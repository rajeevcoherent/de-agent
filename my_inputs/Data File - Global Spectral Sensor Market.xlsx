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jeev Ranjan\Desktop\de-agent\my_inputs\"/>
    </mc:Choice>
  </mc:AlternateContent>
  <bookViews>
    <workbookView xWindow="0" yWindow="0" windowWidth="19200" windowHeight="7310"/>
  </bookViews>
  <sheets>
    <sheet name="Data" sheetId="1" r:id="rId1"/>
    <sheet name="Market Value" sheetId="6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1" i="1" l="1"/>
  <c r="AE10" i="1" s="1"/>
  <c r="AI11" i="1"/>
  <c r="AI10" i="1" s="1"/>
  <c r="AM11" i="1"/>
  <c r="AM10" i="1" s="1"/>
  <c r="AQ11" i="1"/>
  <c r="AQ10" i="1" s="1"/>
  <c r="AU11" i="1"/>
  <c r="AU10" i="1" s="1"/>
  <c r="AC20" i="1"/>
  <c r="AG20" i="1"/>
  <c r="AK20" i="1"/>
  <c r="AO20" i="1"/>
  <c r="AS20" i="1"/>
  <c r="AW20" i="1"/>
  <c r="AE26" i="1"/>
  <c r="AI26" i="1"/>
  <c r="AM26" i="1"/>
  <c r="AQ26" i="1"/>
  <c r="AU26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B2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C5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C47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C43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C35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C10" i="1"/>
  <c r="Y27" i="1"/>
  <c r="AX26" i="1" s="1"/>
  <c r="X27" i="1"/>
  <c r="AW26" i="1" s="1"/>
  <c r="W27" i="1"/>
  <c r="AV26" i="1" s="1"/>
  <c r="V27" i="1"/>
  <c r="U27" i="1"/>
  <c r="AT26" i="1" s="1"/>
  <c r="T27" i="1"/>
  <c r="AS26" i="1" s="1"/>
  <c r="S27" i="1"/>
  <c r="AR26" i="1" s="1"/>
  <c r="R27" i="1"/>
  <c r="Q27" i="1"/>
  <c r="AP26" i="1" s="1"/>
  <c r="P27" i="1"/>
  <c r="AO26" i="1" s="1"/>
  <c r="O27" i="1"/>
  <c r="AN26" i="1" s="1"/>
  <c r="N27" i="1"/>
  <c r="M27" i="1"/>
  <c r="AL26" i="1" s="1"/>
  <c r="L27" i="1"/>
  <c r="AK26" i="1" s="1"/>
  <c r="K27" i="1"/>
  <c r="AJ26" i="1" s="1"/>
  <c r="J27" i="1"/>
  <c r="I27" i="1"/>
  <c r="AH26" i="1" s="1"/>
  <c r="H27" i="1"/>
  <c r="AG26" i="1" s="1"/>
  <c r="G27" i="1"/>
  <c r="AF26" i="1" s="1"/>
  <c r="F27" i="1"/>
  <c r="E27" i="1"/>
  <c r="AD26" i="1" s="1"/>
  <c r="D27" i="1"/>
  <c r="AC26" i="1" s="1"/>
  <c r="C27" i="1"/>
  <c r="AB26" i="1" s="1"/>
  <c r="D21" i="1"/>
  <c r="E21" i="1"/>
  <c r="AD20" i="1" s="1"/>
  <c r="F21" i="1"/>
  <c r="AE20" i="1" s="1"/>
  <c r="G21" i="1"/>
  <c r="AF20" i="1" s="1"/>
  <c r="H21" i="1"/>
  <c r="I21" i="1"/>
  <c r="AH20" i="1" s="1"/>
  <c r="J21" i="1"/>
  <c r="AI20" i="1" s="1"/>
  <c r="K21" i="1"/>
  <c r="AJ20" i="1" s="1"/>
  <c r="L21" i="1"/>
  <c r="M21" i="1"/>
  <c r="AL20" i="1" s="1"/>
  <c r="N21" i="1"/>
  <c r="AM20" i="1" s="1"/>
  <c r="O21" i="1"/>
  <c r="AN20" i="1" s="1"/>
  <c r="P21" i="1"/>
  <c r="Q21" i="1"/>
  <c r="AP20" i="1" s="1"/>
  <c r="R21" i="1"/>
  <c r="AQ20" i="1" s="1"/>
  <c r="S21" i="1"/>
  <c r="AR20" i="1" s="1"/>
  <c r="T21" i="1"/>
  <c r="U21" i="1"/>
  <c r="AT20" i="1" s="1"/>
  <c r="V21" i="1"/>
  <c r="AU20" i="1" s="1"/>
  <c r="W21" i="1"/>
  <c r="AV20" i="1" s="1"/>
  <c r="X21" i="1"/>
  <c r="Y21" i="1"/>
  <c r="AX20" i="1" s="1"/>
  <c r="C21" i="1"/>
  <c r="AB20" i="1" s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11" i="1"/>
  <c r="D14" i="1"/>
  <c r="AC11" i="1" s="1"/>
  <c r="AC10" i="1" s="1"/>
  <c r="E14" i="1"/>
  <c r="AD11" i="1" s="1"/>
  <c r="AD10" i="1" s="1"/>
  <c r="F14" i="1"/>
  <c r="G14" i="1"/>
  <c r="AF11" i="1" s="1"/>
  <c r="AF10" i="1" s="1"/>
  <c r="H14" i="1"/>
  <c r="AG11" i="1" s="1"/>
  <c r="AG10" i="1" s="1"/>
  <c r="I14" i="1"/>
  <c r="AH11" i="1" s="1"/>
  <c r="AH10" i="1" s="1"/>
  <c r="J14" i="1"/>
  <c r="K14" i="1"/>
  <c r="AJ11" i="1" s="1"/>
  <c r="AJ10" i="1" s="1"/>
  <c r="L14" i="1"/>
  <c r="AK11" i="1" s="1"/>
  <c r="AK10" i="1" s="1"/>
  <c r="M14" i="1"/>
  <c r="AL11" i="1" s="1"/>
  <c r="AL10" i="1" s="1"/>
  <c r="N14" i="1"/>
  <c r="O14" i="1"/>
  <c r="AN11" i="1" s="1"/>
  <c r="AN10" i="1" s="1"/>
  <c r="P14" i="1"/>
  <c r="AO11" i="1" s="1"/>
  <c r="AO10" i="1" s="1"/>
  <c r="Q14" i="1"/>
  <c r="AP11" i="1" s="1"/>
  <c r="AP10" i="1" s="1"/>
  <c r="R14" i="1"/>
  <c r="S14" i="1"/>
  <c r="AR11" i="1" s="1"/>
  <c r="AR10" i="1" s="1"/>
  <c r="T14" i="1"/>
  <c r="AS11" i="1" s="1"/>
  <c r="AS10" i="1" s="1"/>
  <c r="U14" i="1"/>
  <c r="AT11" i="1" s="1"/>
  <c r="AT10" i="1" s="1"/>
  <c r="V14" i="1"/>
  <c r="W14" i="1"/>
  <c r="AV11" i="1" s="1"/>
  <c r="AV10" i="1" s="1"/>
  <c r="X14" i="1"/>
  <c r="AW11" i="1" s="1"/>
  <c r="AW10" i="1" s="1"/>
  <c r="Y14" i="1"/>
  <c r="AX11" i="1" s="1"/>
  <c r="AX10" i="1" s="1"/>
  <c r="C14" i="1"/>
  <c r="AB11" i="1" s="1"/>
  <c r="AB10" i="1" s="1"/>
  <c r="C87" i="1"/>
  <c r="C83" i="1"/>
  <c r="C78" i="1"/>
  <c r="C70" i="1"/>
  <c r="C62" i="1"/>
  <c r="E84" i="1"/>
  <c r="D84" i="1"/>
  <c r="C84" i="1"/>
  <c r="E79" i="1"/>
  <c r="D79" i="1"/>
  <c r="C79" i="1"/>
  <c r="E71" i="1"/>
  <c r="D71" i="1"/>
  <c r="C71" i="1"/>
  <c r="E63" i="1"/>
  <c r="D63" i="1"/>
  <c r="C63" i="1"/>
  <c r="E60" i="1"/>
  <c r="D60" i="1"/>
  <c r="C60" i="1"/>
  <c r="C8" i="64"/>
  <c r="D9" i="64" s="1"/>
  <c r="E5" i="64"/>
  <c r="E6" i="64"/>
  <c r="E7" i="64"/>
  <c r="E8" i="64"/>
  <c r="E4" i="64"/>
  <c r="C9" i="64" l="1"/>
  <c r="E85" i="1" l="1"/>
  <c r="E86" i="1"/>
  <c r="E81" i="1"/>
  <c r="E76" i="1"/>
  <c r="E68" i="1"/>
  <c r="E62" i="1"/>
  <c r="E80" i="1" l="1"/>
  <c r="E61" i="1"/>
  <c r="E70" i="1"/>
  <c r="E64" i="1"/>
  <c r="E67" i="1"/>
  <c r="E75" i="1"/>
  <c r="E83" i="1"/>
  <c r="E78" i="1"/>
  <c r="E72" i="1"/>
  <c r="E66" i="1"/>
  <c r="E74" i="1"/>
  <c r="E69" i="1"/>
  <c r="E65" i="1"/>
  <c r="E77" i="1"/>
  <c r="E73" i="1"/>
  <c r="E82" i="1"/>
  <c r="E87" i="1"/>
</calcChain>
</file>

<file path=xl/sharedStrings.xml><?xml version="1.0" encoding="utf-8"?>
<sst xmlns="http://schemas.openxmlformats.org/spreadsheetml/2006/main" count="1220" uniqueCount="91">
  <si>
    <t>U.S.</t>
  </si>
  <si>
    <t>Canada</t>
  </si>
  <si>
    <t>U.K.</t>
  </si>
  <si>
    <t>Germany</t>
  </si>
  <si>
    <t>France</t>
  </si>
  <si>
    <t>Italy</t>
  </si>
  <si>
    <t>Spain</t>
  </si>
  <si>
    <t>Russia</t>
  </si>
  <si>
    <t>Rest of Europe</t>
  </si>
  <si>
    <t>China</t>
  </si>
  <si>
    <t>India</t>
  </si>
  <si>
    <t>Japan</t>
  </si>
  <si>
    <t>Australia</t>
  </si>
  <si>
    <t>South Korea</t>
  </si>
  <si>
    <t>ASEAN</t>
  </si>
  <si>
    <t>Rest of Asia Pacific</t>
  </si>
  <si>
    <t>Brazil</t>
  </si>
  <si>
    <t>Argentina</t>
  </si>
  <si>
    <t>Rest of Latin America</t>
  </si>
  <si>
    <t>Mexico</t>
  </si>
  <si>
    <t>GCC</t>
  </si>
  <si>
    <t>South Africa</t>
  </si>
  <si>
    <t>North America</t>
  </si>
  <si>
    <t>Europe</t>
  </si>
  <si>
    <t>Asia Pacific</t>
  </si>
  <si>
    <t>Latin America</t>
  </si>
  <si>
    <t>CAGR</t>
  </si>
  <si>
    <t>Spectral Sensor Market</t>
  </si>
  <si>
    <t>Market Name</t>
  </si>
  <si>
    <t>By Product Type</t>
  </si>
  <si>
    <t>Hyperspectral Sensors</t>
  </si>
  <si>
    <t>Multispectral Sensors</t>
  </si>
  <si>
    <t>By Offering</t>
  </si>
  <si>
    <t>Hardware</t>
  </si>
  <si>
    <t>Sensors &amp; Detectors</t>
  </si>
  <si>
    <t>Optical Components (Filters, Lenses, Diffraction Gratings)</t>
  </si>
  <si>
    <t>Light Sources (LED, Laser)</t>
  </si>
  <si>
    <t>Processing Units and Embedded Hardware</t>
  </si>
  <si>
    <t>Supporting Hardware (Power Supply, Thermal, Enclosures, Connectivity)</t>
  </si>
  <si>
    <t>Software</t>
  </si>
  <si>
    <t>Spectral Data Processing &amp; Analysis Software</t>
  </si>
  <si>
    <t>Imaging &amp; Visualization Software</t>
  </si>
  <si>
    <t>Calibration &amp; Correction Software</t>
  </si>
  <si>
    <t>Data Management &amp; Integration Platforms</t>
  </si>
  <si>
    <t>Services</t>
  </si>
  <si>
    <t>System Integration &amp; Deployment Services</t>
  </si>
  <si>
    <t>Calibration &amp; Maintenance Services</t>
  </si>
  <si>
    <t>Managed Data Analysis &amp; Interpretation Services</t>
  </si>
  <si>
    <t>Training &amp; Technical Support Services</t>
  </si>
  <si>
    <t>Consulting &amp; Custom Solution Development</t>
  </si>
  <si>
    <t>By Technology</t>
  </si>
  <si>
    <t>By Spectral Range</t>
  </si>
  <si>
    <t>Ultraviolet (UV)</t>
  </si>
  <si>
    <t>Visible (VIS)</t>
  </si>
  <si>
    <t>Near-Infrared (NIR)</t>
  </si>
  <si>
    <t>Short-Wave Infrared (SWIR)</t>
  </si>
  <si>
    <t>Mid-Wave Infrared (MWIR)</t>
  </si>
  <si>
    <t>Long-Wave Infrared (LWIR)</t>
  </si>
  <si>
    <t>By Form Factor</t>
  </si>
  <si>
    <t>Portable</t>
  </si>
  <si>
    <t>Fixed and Installed</t>
  </si>
  <si>
    <t>By End User</t>
  </si>
  <si>
    <t>Agriculture</t>
  </si>
  <si>
    <t>Healthcare &amp; Life Sciences</t>
  </si>
  <si>
    <t>Food &amp; Beverage</t>
  </si>
  <si>
    <t>Industrial &amp; Manufacturing</t>
  </si>
  <si>
    <t>Environmental Monitoring</t>
  </si>
  <si>
    <t>Global</t>
  </si>
  <si>
    <t>Middle East &amp; Africa</t>
  </si>
  <si>
    <t>Rest of Middle East &amp; Africa</t>
  </si>
  <si>
    <t>CMI_Trend_56</t>
  </si>
  <si>
    <t>CMI_Trend_38</t>
  </si>
  <si>
    <t>CMI_Trend_25</t>
  </si>
  <si>
    <t>CMI_Trend_46</t>
  </si>
  <si>
    <t>CMI_Trend_20</t>
  </si>
  <si>
    <t>CMI_Trend_52</t>
  </si>
  <si>
    <t>CMI_Trend_60</t>
  </si>
  <si>
    <t>Hyperspectral Imaging Systems</t>
  </si>
  <si>
    <t>Multispectral Imaging Systems</t>
  </si>
  <si>
    <t>Non-Imaging Spectral Systems</t>
  </si>
  <si>
    <t>Non-Imaging Spectral Sensor Modules / Detector Modules</t>
  </si>
  <si>
    <t>Spectral Separation &amp; Measurement Components</t>
  </si>
  <si>
    <t>AI/ML-Based Spectral Interpretation Software</t>
  </si>
  <si>
    <t>Imaging</t>
  </si>
  <si>
    <t>Non-Imaging</t>
  </si>
  <si>
    <t>Defense</t>
  </si>
  <si>
    <t>Other (Aerospace, Research &amp; Academia, etc.)</t>
  </si>
  <si>
    <t>Region</t>
  </si>
  <si>
    <t>Total</t>
  </si>
  <si>
    <t>Share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</si>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</sst>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0" xfId="0" applyFont="1"/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indent="1"/>
    </xf>
    <xf numFmtId="164" fontId="0" fillId="0" borderId="0" xfId="0" applyNumberFormat="1"/>
    <xf numFmtId="4" fontId="0" fillId="0" borderId="0" xfId="0" applyNumberFormat="1" applyAlignment="1">
      <alignment horizontal="center" vertical="center"/>
    </xf>
    <xf numFmtId="164" fontId="2" fillId="0" borderId="0" xfId="1" applyNumberFormat="1" applyFont="1" applyAlignment="1">
      <alignment horizontal="center"/>
    </xf>
    <xf numFmtId="4" fontId="2" fillId="0" borderId="0" xfId="0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0" fontId="2" fillId="0" borderId="1" xfId="0" applyFont="1" applyBorder="1"/>
    <xf numFmtId="164" fontId="0" fillId="0" borderId="1" xfId="1" applyNumberFormat="1" applyFont="1" applyBorder="1" applyAlignment="1">
      <alignment horizontal="center" vertical="center"/>
    </xf>
    <xf numFmtId="4" fontId="0" fillId="0" borderId="0" xfId="0" applyNumberFormat="1"/>
    <xf numFmtId="0" fontId="2" fillId="0" borderId="0" xfId="0" applyFont="1" applyAlignment="1">
      <alignment horizontal="left"/>
    </xf>
    <xf numFmtId="164" fontId="2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left" vertical="center" indent="1"/>
    </xf>
    <xf numFmtId="165" fontId="0" fillId="0" borderId="0" xfId="1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left" indent="2"/>
    </xf>
    <xf numFmtId="0" fontId="2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0" fillId="2" borderId="0" xfId="1" applyNumberFormat="1" applyFont="1" applyFill="1" applyAlignment="1">
      <alignment horizontal="center" vertical="center"/>
    </xf>
    <xf numFmtId="164" fontId="0" fillId="3" borderId="0" xfId="1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W107"/>
  <sheetViews>
    <sheetView tabSelected="1" workbookViewId="0">
      <pane xSplit="2" ySplit="3" topLeftCell="C73" activePane="bottomRight" state="frozen"/>
      <selection activeCell="C86" sqref="C86"/>
      <selection pane="topRight" activeCell="C86" sqref="C86"/>
      <selection pane="bottomLeft" activeCell="C86" sqref="C86"/>
      <selection pane="bottomRight" activeCell="C86" sqref="C86"/>
    </sheetView>
  </sheetViews>
  <sheetFormatPr defaultRowHeight="14.5" x14ac:dyDescent="0.35"/>
  <cols>
    <col min="2" max="2" width="12.26953125" customWidth="1"/>
    <col min="4" max="4" width="8.7265625" style="3"/>
    <col min="5" max="5" width="10.81640625" bestFit="1" customWidth="1"/>
  </cols>
  <sheetData>
    <row r="1" spans="1:75" x14ac:dyDescent="0.35">
      <c r="B1" t="s">
        <v>28</v>
      </c>
      <c r="C1" s="2" t="s">
        <v>27</v>
      </c>
      <c r="D1"/>
      <c r="W1" s="17"/>
    </row>
    <row r="2" spans="1:75" x14ac:dyDescent="0.35">
      <c r="C2" s="17"/>
      <c r="D2"/>
      <c r="AB2" s="3">
        <f>VLOOKUP(AB3,$B$60:$D$87,3,0)</f>
        <v>8.8465370116287231E-2</v>
      </c>
      <c r="AC2" s="3">
        <f t="shared" ref="AC2:AX2" si="0">VLOOKUP(AC3,$B$60:$D$87,3,0)</f>
        <v>8.0465370116287224E-2</v>
      </c>
      <c r="AD2" s="3">
        <f t="shared" si="0"/>
        <v>8.6978328328704321E-2</v>
      </c>
      <c r="AE2" s="3">
        <f t="shared" si="0"/>
        <v>9.3104837098704346E-2</v>
      </c>
      <c r="AF2" s="3">
        <f t="shared" si="0"/>
        <v>6.3161445947116132E-2</v>
      </c>
      <c r="AG2" s="3">
        <f t="shared" si="0"/>
        <v>8.120793278698428E-2</v>
      </c>
      <c r="AH2" s="3">
        <f t="shared" si="0"/>
        <v>6.9264642551469788E-2</v>
      </c>
      <c r="AI2" s="3">
        <f t="shared" si="0"/>
        <v>5.7072356894892089E-2</v>
      </c>
      <c r="AJ2" s="3">
        <f t="shared" si="0"/>
        <v>7.5061189348340496E-2</v>
      </c>
      <c r="AK2" s="3">
        <f t="shared" si="0"/>
        <v>0.11651171732773626</v>
      </c>
      <c r="AL2" s="3">
        <f t="shared" si="0"/>
        <v>0.10851171732773625</v>
      </c>
      <c r="AM2" s="3">
        <f t="shared" si="0"/>
        <v>7.470716713968574E-2</v>
      </c>
      <c r="AN2" s="3">
        <f t="shared" si="0"/>
        <v>9.4658961676717765E-2</v>
      </c>
      <c r="AO2" s="3">
        <f t="shared" si="0"/>
        <v>0.10151171732773626</v>
      </c>
      <c r="AP2" s="3">
        <f t="shared" si="0"/>
        <v>8.0059282036608698E-2</v>
      </c>
      <c r="AQ2" s="3">
        <f t="shared" si="0"/>
        <v>8.7546229895944225E-2</v>
      </c>
      <c r="AR2" s="3">
        <f t="shared" si="0"/>
        <v>7.8524208858370484E-2</v>
      </c>
      <c r="AS2" s="3">
        <f t="shared" si="0"/>
        <v>6.3142010840509688E-2</v>
      </c>
      <c r="AT2" s="3">
        <f t="shared" si="0"/>
        <v>7.1877322171858452E-2</v>
      </c>
      <c r="AU2" s="3">
        <f t="shared" si="0"/>
        <v>7.398400379569281E-2</v>
      </c>
      <c r="AV2" s="3">
        <f t="shared" si="0"/>
        <v>5.2005036141852576E-2</v>
      </c>
      <c r="AW2" s="3">
        <f t="shared" si="0"/>
        <v>6.0251330528366079E-2</v>
      </c>
      <c r="AX2" s="3">
        <f t="shared" si="0"/>
        <v>6.7367341601362318E-2</v>
      </c>
    </row>
    <row r="3" spans="1:75" x14ac:dyDescent="0.35">
      <c r="C3" s="1" t="s">
        <v>0</v>
      </c>
      <c r="D3" s="1" t="s">
        <v>1</v>
      </c>
      <c r="E3" s="1" t="s">
        <v>2</v>
      </c>
      <c r="F3" s="1" t="s">
        <v>3</v>
      </c>
      <c r="G3" s="1" t="s">
        <v>5</v>
      </c>
      <c r="H3" s="1" t="s">
        <v>4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13</v>
      </c>
      <c r="P3" s="1" t="s">
        <v>14</v>
      </c>
      <c r="Q3" s="1" t="s">
        <v>12</v>
      </c>
      <c r="R3" s="1" t="s">
        <v>15</v>
      </c>
      <c r="S3" s="1" t="s">
        <v>20</v>
      </c>
      <c r="T3" s="1" t="s">
        <v>21</v>
      </c>
      <c r="U3" s="1" t="s">
        <v>69</v>
      </c>
      <c r="V3" s="1" t="s">
        <v>16</v>
      </c>
      <c r="W3" s="1" t="s">
        <v>17</v>
      </c>
      <c r="X3" s="1" t="s">
        <v>19</v>
      </c>
      <c r="Y3" s="1" t="s">
        <v>18</v>
      </c>
      <c r="AB3" s="1" t="s">
        <v>0</v>
      </c>
      <c r="AC3" s="1" t="s">
        <v>1</v>
      </c>
      <c r="AD3" s="1" t="s">
        <v>2</v>
      </c>
      <c r="AE3" s="1" t="s">
        <v>3</v>
      </c>
      <c r="AF3" s="1" t="s">
        <v>5</v>
      </c>
      <c r="AG3" s="1" t="s">
        <v>4</v>
      </c>
      <c r="AH3" s="1" t="s">
        <v>6</v>
      </c>
      <c r="AI3" s="1" t="s">
        <v>7</v>
      </c>
      <c r="AJ3" s="1" t="s">
        <v>8</v>
      </c>
      <c r="AK3" s="1" t="s">
        <v>9</v>
      </c>
      <c r="AL3" s="1" t="s">
        <v>10</v>
      </c>
      <c r="AM3" s="1" t="s">
        <v>11</v>
      </c>
      <c r="AN3" s="1" t="s">
        <v>13</v>
      </c>
      <c r="AO3" s="1" t="s">
        <v>14</v>
      </c>
      <c r="AP3" s="1" t="s">
        <v>12</v>
      </c>
      <c r="AQ3" s="1" t="s">
        <v>15</v>
      </c>
      <c r="AR3" s="1" t="s">
        <v>20</v>
      </c>
      <c r="AS3" s="1" t="s">
        <v>21</v>
      </c>
      <c r="AT3" s="1" t="s">
        <v>69</v>
      </c>
      <c r="AU3" s="1" t="s">
        <v>16</v>
      </c>
      <c r="AV3" s="1" t="s">
        <v>17</v>
      </c>
      <c r="AW3" s="1" t="s">
        <v>19</v>
      </c>
      <c r="AX3" s="1" t="s">
        <v>18</v>
      </c>
      <c r="BA3" s="1" t="s">
        <v>0</v>
      </c>
      <c r="BB3" s="1" t="s">
        <v>1</v>
      </c>
      <c r="BC3" s="1" t="s">
        <v>2</v>
      </c>
      <c r="BD3" s="1" t="s">
        <v>3</v>
      </c>
      <c r="BE3" s="1" t="s">
        <v>5</v>
      </c>
      <c r="BF3" s="1" t="s">
        <v>4</v>
      </c>
      <c r="BG3" s="1" t="s">
        <v>6</v>
      </c>
      <c r="BH3" s="1" t="s">
        <v>7</v>
      </c>
      <c r="BI3" s="1" t="s">
        <v>8</v>
      </c>
      <c r="BJ3" s="1" t="s">
        <v>9</v>
      </c>
      <c r="BK3" s="1" t="s">
        <v>10</v>
      </c>
      <c r="BL3" s="1" t="s">
        <v>11</v>
      </c>
      <c r="BM3" s="1" t="s">
        <v>13</v>
      </c>
      <c r="BN3" s="1" t="s">
        <v>14</v>
      </c>
      <c r="BO3" s="1" t="s">
        <v>12</v>
      </c>
      <c r="BP3" s="1" t="s">
        <v>15</v>
      </c>
      <c r="BQ3" s="1" t="s">
        <v>20</v>
      </c>
      <c r="BR3" s="1" t="s">
        <v>21</v>
      </c>
      <c r="BS3" s="1" t="s">
        <v>69</v>
      </c>
      <c r="BT3" s="1" t="s">
        <v>16</v>
      </c>
      <c r="BU3" s="1" t="s">
        <v>17</v>
      </c>
      <c r="BV3" s="1" t="s">
        <v>19</v>
      </c>
      <c r="BW3" s="1" t="s">
        <v>18</v>
      </c>
    </row>
    <row r="4" spans="1:75" x14ac:dyDescent="0.35">
      <c r="B4" s="2" t="s">
        <v>29</v>
      </c>
      <c r="D4"/>
      <c r="AA4" s="2" t="s">
        <v>29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Z4" s="2" t="s">
        <v>29</v>
      </c>
    </row>
    <row r="5" spans="1:75" x14ac:dyDescent="0.35">
      <c r="A5" s="4"/>
      <c r="B5" t="s">
        <v>77</v>
      </c>
      <c r="C5" s="5">
        <v>0.115</v>
      </c>
      <c r="D5" s="5">
        <v>0.108</v>
      </c>
      <c r="E5" s="5">
        <v>0.11899999999999999</v>
      </c>
      <c r="F5" s="5">
        <v>0.112</v>
      </c>
      <c r="G5" s="5">
        <v>0.107</v>
      </c>
      <c r="H5" s="5">
        <v>0.114</v>
      </c>
      <c r="I5" s="5">
        <v>0.107</v>
      </c>
      <c r="J5" s="5">
        <v>0.121</v>
      </c>
      <c r="K5" s="5">
        <v>0.112</v>
      </c>
      <c r="L5" s="5">
        <v>0.104</v>
      </c>
      <c r="M5" s="5">
        <v>0.10100000000000001</v>
      </c>
      <c r="N5" s="5">
        <v>0.113</v>
      </c>
      <c r="O5" s="5">
        <v>0.113</v>
      </c>
      <c r="P5" s="5">
        <v>0.10100000000000001</v>
      </c>
      <c r="Q5" s="5">
        <v>0.109</v>
      </c>
      <c r="R5" s="5">
        <v>0.10100000000000001</v>
      </c>
      <c r="S5" s="5">
        <v>0.114</v>
      </c>
      <c r="T5" s="5">
        <v>0.10299999999999999</v>
      </c>
      <c r="U5" s="5">
        <v>0.104</v>
      </c>
      <c r="V5" s="5">
        <v>9.9000000000000005E-2</v>
      </c>
      <c r="W5" s="5">
        <v>9.8000000000000004E-2</v>
      </c>
      <c r="X5" s="5">
        <v>0.10100000000000001</v>
      </c>
      <c r="Y5" s="5">
        <v>0.10100000000000001</v>
      </c>
      <c r="AA5" t="s">
        <v>77</v>
      </c>
      <c r="AB5" s="3">
        <v>0.11779537011628724</v>
      </c>
      <c r="AC5" s="3">
        <v>0.10960737011628724</v>
      </c>
      <c r="AD5" s="3">
        <v>0.11616432832870432</v>
      </c>
      <c r="AE5" s="3">
        <v>0.12259283709870435</v>
      </c>
      <c r="AF5" s="3">
        <v>9.2709445947116137E-2</v>
      </c>
      <c r="AG5" s="3">
        <v>0.11050393278698428</v>
      </c>
      <c r="AH5" s="3">
        <v>9.8682642551469801E-2</v>
      </c>
      <c r="AI5" s="3">
        <v>8.5936356894892096E-2</v>
      </c>
      <c r="AJ5" s="3">
        <v>0.1044391893483405</v>
      </c>
      <c r="AK5" s="3">
        <v>0.14606771732773627</v>
      </c>
      <c r="AL5" s="3">
        <v>0.13782571732773624</v>
      </c>
      <c r="AM5" s="3">
        <v>0.10422916713968575</v>
      </c>
      <c r="AN5" s="3">
        <v>0.12417096167671776</v>
      </c>
      <c r="AO5" s="3">
        <v>0.13098571732773626</v>
      </c>
      <c r="AP5" s="3">
        <v>0.1090952820366087</v>
      </c>
      <c r="AQ5" s="3">
        <v>0.11691022989594423</v>
      </c>
      <c r="AR5" s="3">
        <v>0.10776020885837048</v>
      </c>
      <c r="AS5" s="3">
        <v>9.2424010840509704E-2</v>
      </c>
      <c r="AT5" s="3">
        <v>0.10103332217185845</v>
      </c>
      <c r="AU5" s="3">
        <v>0.10319000379569281</v>
      </c>
      <c r="AV5" s="3">
        <v>8.1227036141852574E-2</v>
      </c>
      <c r="AW5" s="3">
        <v>8.9765330528366077E-2</v>
      </c>
      <c r="AX5" s="3">
        <v>9.6511341601362322E-2</v>
      </c>
      <c r="AZ5" t="s">
        <v>77</v>
      </c>
      <c r="BA5" t="s">
        <v>73</v>
      </c>
      <c r="BB5" t="s">
        <v>74</v>
      </c>
      <c r="BC5" t="s">
        <v>76</v>
      </c>
      <c r="BD5" t="s">
        <v>73</v>
      </c>
      <c r="BE5" t="s">
        <v>76</v>
      </c>
      <c r="BF5" t="s">
        <v>70</v>
      </c>
      <c r="BG5" t="s">
        <v>74</v>
      </c>
      <c r="BH5" t="s">
        <v>74</v>
      </c>
      <c r="BI5" t="s">
        <v>70</v>
      </c>
      <c r="BJ5" t="s">
        <v>73</v>
      </c>
      <c r="BK5" t="s">
        <v>75</v>
      </c>
      <c r="BL5" t="s">
        <v>71</v>
      </c>
      <c r="BM5" t="s">
        <v>74</v>
      </c>
      <c r="BN5" t="s">
        <v>71</v>
      </c>
      <c r="BO5" t="s">
        <v>70</v>
      </c>
      <c r="BP5" t="s">
        <v>70</v>
      </c>
      <c r="BQ5" t="s">
        <v>74</v>
      </c>
      <c r="BR5" t="s">
        <v>76</v>
      </c>
      <c r="BS5" t="s">
        <v>74</v>
      </c>
      <c r="BT5" t="s">
        <v>75</v>
      </c>
      <c r="BU5" t="s">
        <v>72</v>
      </c>
      <c r="BV5" t="s">
        <v>74</v>
      </c>
      <c r="BW5" t="s">
        <v>73</v>
      </c>
    </row>
    <row r="6" spans="1:75" x14ac:dyDescent="0.35">
      <c r="A6" s="4"/>
      <c r="B6" t="s">
        <v>78</v>
      </c>
      <c r="C6" s="5">
        <v>0.253</v>
      </c>
      <c r="D6" s="5">
        <v>0.29700000000000004</v>
      </c>
      <c r="E6" s="5">
        <v>0.253</v>
      </c>
      <c r="F6" s="5">
        <v>0.24800000000000011</v>
      </c>
      <c r="G6" s="5">
        <v>0.26</v>
      </c>
      <c r="H6" s="5">
        <v>0.26</v>
      </c>
      <c r="I6" s="5">
        <v>0.27300000000000002</v>
      </c>
      <c r="J6" s="5">
        <v>0.27800000000000002</v>
      </c>
      <c r="K6" s="5">
        <v>0.25900000000000001</v>
      </c>
      <c r="L6" s="5">
        <v>0.27</v>
      </c>
      <c r="M6" s="5">
        <v>0.30500000000000005</v>
      </c>
      <c r="N6" s="5">
        <v>0.2410000000000001</v>
      </c>
      <c r="O6" s="5">
        <v>0.2420000000000001</v>
      </c>
      <c r="P6" s="5">
        <v>0.28900000000000003</v>
      </c>
      <c r="Q6" s="5">
        <v>0.30400000000000005</v>
      </c>
      <c r="R6" s="5">
        <v>0.30000000000000004</v>
      </c>
      <c r="S6" s="5">
        <v>0.26600000000000001</v>
      </c>
      <c r="T6" s="5">
        <v>0.30100000000000005</v>
      </c>
      <c r="U6" s="5">
        <v>0.31000000000000005</v>
      </c>
      <c r="V6" s="5">
        <v>0.32300000000000006</v>
      </c>
      <c r="W6" s="5">
        <v>0.32500000000000007</v>
      </c>
      <c r="X6" s="5">
        <v>0.28500000000000003</v>
      </c>
      <c r="Y6" s="5">
        <v>0.32200000000000006</v>
      </c>
      <c r="AA6" t="s">
        <v>78</v>
      </c>
      <c r="AB6" s="3">
        <v>9.1795370116287231E-2</v>
      </c>
      <c r="AC6" s="3">
        <v>8.360737011628723E-2</v>
      </c>
      <c r="AD6" s="3">
        <v>9.0164328328704316E-2</v>
      </c>
      <c r="AE6" s="3">
        <v>9.6592837098704337E-2</v>
      </c>
      <c r="AF6" s="3">
        <v>6.6709445947116128E-2</v>
      </c>
      <c r="AG6" s="3">
        <v>8.4503932786984273E-2</v>
      </c>
      <c r="AH6" s="3">
        <v>7.2682642551469792E-2</v>
      </c>
      <c r="AI6" s="3">
        <v>5.9936356894892094E-2</v>
      </c>
      <c r="AJ6" s="3">
        <v>7.8439189348340488E-2</v>
      </c>
      <c r="AK6" s="3">
        <v>0.12006771732773625</v>
      </c>
      <c r="AL6" s="3">
        <v>0.11182571732773625</v>
      </c>
      <c r="AM6" s="3">
        <v>7.8229167139685737E-2</v>
      </c>
      <c r="AN6" s="3">
        <v>9.8170961676717752E-2</v>
      </c>
      <c r="AO6" s="3">
        <v>0.10498571732773625</v>
      </c>
      <c r="AP6" s="3">
        <v>8.3095282036608695E-2</v>
      </c>
      <c r="AQ6" s="3">
        <v>9.0910229895944217E-2</v>
      </c>
      <c r="AR6" s="3">
        <v>8.1760208858370473E-2</v>
      </c>
      <c r="AS6" s="3">
        <v>6.6424010840509695E-2</v>
      </c>
      <c r="AT6" s="3">
        <v>7.5033322171858444E-2</v>
      </c>
      <c r="AU6" s="3">
        <v>7.7190003795692796E-2</v>
      </c>
      <c r="AV6" s="3">
        <v>5.5227036141852565E-2</v>
      </c>
      <c r="AW6" s="3">
        <v>6.3765330528366068E-2</v>
      </c>
      <c r="AX6" s="3">
        <v>7.0511341601362312E-2</v>
      </c>
      <c r="AZ6" t="s">
        <v>78</v>
      </c>
      <c r="BA6" t="s">
        <v>75</v>
      </c>
      <c r="BB6" t="s">
        <v>75</v>
      </c>
      <c r="BC6" t="s">
        <v>70</v>
      </c>
      <c r="BD6" t="s">
        <v>72</v>
      </c>
      <c r="BE6" t="s">
        <v>72</v>
      </c>
      <c r="BF6" t="s">
        <v>74</v>
      </c>
      <c r="BG6" t="s">
        <v>71</v>
      </c>
      <c r="BH6" t="s">
        <v>71</v>
      </c>
      <c r="BI6" t="s">
        <v>73</v>
      </c>
      <c r="BJ6" t="s">
        <v>73</v>
      </c>
      <c r="BK6" t="s">
        <v>76</v>
      </c>
      <c r="BL6" t="s">
        <v>73</v>
      </c>
      <c r="BM6" t="s">
        <v>72</v>
      </c>
      <c r="BN6" t="s">
        <v>76</v>
      </c>
      <c r="BO6" t="s">
        <v>72</v>
      </c>
      <c r="BP6" t="s">
        <v>75</v>
      </c>
      <c r="BQ6" t="s">
        <v>74</v>
      </c>
      <c r="BR6" t="s">
        <v>73</v>
      </c>
      <c r="BS6" t="s">
        <v>75</v>
      </c>
      <c r="BT6" t="s">
        <v>72</v>
      </c>
      <c r="BU6" t="s">
        <v>70</v>
      </c>
      <c r="BV6" t="s">
        <v>73</v>
      </c>
      <c r="BW6" t="s">
        <v>70</v>
      </c>
    </row>
    <row r="7" spans="1:75" x14ac:dyDescent="0.35">
      <c r="A7" s="4"/>
      <c r="B7" t="s">
        <v>79</v>
      </c>
      <c r="C7" s="4">
        <v>0.63200000000000001</v>
      </c>
      <c r="D7" s="4">
        <v>0.59499999999999997</v>
      </c>
      <c r="E7" s="4">
        <v>0.628</v>
      </c>
      <c r="F7" s="4">
        <v>0.6399999999999999</v>
      </c>
      <c r="G7" s="4">
        <v>0.63300000000000001</v>
      </c>
      <c r="H7" s="4">
        <v>0.626</v>
      </c>
      <c r="I7" s="4">
        <v>0.62</v>
      </c>
      <c r="J7" s="4">
        <v>0.60099999999999998</v>
      </c>
      <c r="K7" s="4">
        <v>0.629</v>
      </c>
      <c r="L7" s="4">
        <v>0.626</v>
      </c>
      <c r="M7" s="4">
        <v>0.59399999999999997</v>
      </c>
      <c r="N7" s="4">
        <v>0.64599999999999991</v>
      </c>
      <c r="O7" s="4">
        <v>0.64499999999999991</v>
      </c>
      <c r="P7" s="4">
        <v>0.61</v>
      </c>
      <c r="Q7" s="4">
        <v>0.58699999999999997</v>
      </c>
      <c r="R7" s="4">
        <v>0.59899999999999998</v>
      </c>
      <c r="S7" s="4">
        <v>0.62</v>
      </c>
      <c r="T7" s="4">
        <v>0.59599999999999997</v>
      </c>
      <c r="U7" s="4">
        <v>0.58599999999999997</v>
      </c>
      <c r="V7" s="4">
        <v>0.57799999999999996</v>
      </c>
      <c r="W7" s="4">
        <v>0.57699999999999996</v>
      </c>
      <c r="X7" s="4">
        <v>0.61399999999999999</v>
      </c>
      <c r="Y7" s="4">
        <v>0.57699999999999996</v>
      </c>
      <c r="AA7" t="s">
        <v>79</v>
      </c>
      <c r="AB7" s="3">
        <v>8.1795370116287236E-2</v>
      </c>
      <c r="AC7" s="3">
        <v>7.3607370116287235E-2</v>
      </c>
      <c r="AD7" s="3">
        <v>8.0164328328704321E-2</v>
      </c>
      <c r="AE7" s="3">
        <v>8.6592837098704342E-2</v>
      </c>
      <c r="AF7" s="3">
        <v>5.6709445947116133E-2</v>
      </c>
      <c r="AG7" s="3">
        <v>7.4503932786984278E-2</v>
      </c>
      <c r="AH7" s="3">
        <v>6.2682642551469797E-2</v>
      </c>
      <c r="AI7" s="3">
        <v>4.9936356894892099E-2</v>
      </c>
      <c r="AJ7" s="3">
        <v>6.8439189348340493E-2</v>
      </c>
      <c r="AK7" s="3">
        <v>0.11006771732773625</v>
      </c>
      <c r="AL7" s="3">
        <v>0.10182571732773625</v>
      </c>
      <c r="AM7" s="3">
        <v>6.8229167139685742E-2</v>
      </c>
      <c r="AN7" s="3">
        <v>8.8170961676717757E-2</v>
      </c>
      <c r="AO7" s="3">
        <v>9.4985717327736252E-2</v>
      </c>
      <c r="AP7" s="3">
        <v>7.30952820366087E-2</v>
      </c>
      <c r="AQ7" s="3">
        <v>8.0910229895944222E-2</v>
      </c>
      <c r="AR7" s="3">
        <v>7.1760208858370478E-2</v>
      </c>
      <c r="AS7" s="3">
        <v>5.64240108405097E-2</v>
      </c>
      <c r="AT7" s="3">
        <v>6.5033322171858449E-2</v>
      </c>
      <c r="AU7" s="3">
        <v>6.7190003795692801E-2</v>
      </c>
      <c r="AV7" s="3">
        <v>4.522703614185257E-2</v>
      </c>
      <c r="AW7" s="3">
        <v>5.3765330528366073E-2</v>
      </c>
      <c r="AX7" s="3">
        <v>6.0511341601362317E-2</v>
      </c>
      <c r="AZ7" t="s">
        <v>79</v>
      </c>
      <c r="BA7" t="s">
        <v>70</v>
      </c>
      <c r="BB7" t="s">
        <v>75</v>
      </c>
      <c r="BC7" t="s">
        <v>74</v>
      </c>
      <c r="BD7" t="s">
        <v>73</v>
      </c>
      <c r="BE7" t="s">
        <v>72</v>
      </c>
      <c r="BF7" t="s">
        <v>70</v>
      </c>
      <c r="BG7" t="s">
        <v>71</v>
      </c>
      <c r="BH7" t="s">
        <v>76</v>
      </c>
      <c r="BI7" t="s">
        <v>74</v>
      </c>
      <c r="BJ7" t="s">
        <v>74</v>
      </c>
      <c r="BK7" t="s">
        <v>76</v>
      </c>
      <c r="BL7" t="s">
        <v>76</v>
      </c>
      <c r="BM7" t="s">
        <v>72</v>
      </c>
      <c r="BN7" t="s">
        <v>74</v>
      </c>
      <c r="BO7" t="s">
        <v>73</v>
      </c>
      <c r="BP7" t="s">
        <v>71</v>
      </c>
      <c r="BQ7" t="s">
        <v>74</v>
      </c>
      <c r="BR7" t="s">
        <v>70</v>
      </c>
      <c r="BS7" t="s">
        <v>72</v>
      </c>
      <c r="BT7" t="s">
        <v>73</v>
      </c>
      <c r="BU7" t="s">
        <v>73</v>
      </c>
      <c r="BV7" t="s">
        <v>74</v>
      </c>
      <c r="BW7" t="s">
        <v>72</v>
      </c>
    </row>
    <row r="8" spans="1:75" x14ac:dyDescent="0.35">
      <c r="A8" s="4"/>
      <c r="B8" s="1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AA8" s="18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Z8" s="18"/>
    </row>
    <row r="9" spans="1:75" x14ac:dyDescent="0.35">
      <c r="A9" s="4"/>
      <c r="B9" s="2" t="s">
        <v>32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AA9" s="2" t="s">
        <v>32</v>
      </c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Z9" s="2" t="s">
        <v>32</v>
      </c>
    </row>
    <row r="10" spans="1:75" x14ac:dyDescent="0.35">
      <c r="A10" s="4"/>
      <c r="B10" s="18" t="s">
        <v>33</v>
      </c>
      <c r="C10" s="5">
        <f>1-SUM(C20,C26)</f>
        <v>0.81600000000000006</v>
      </c>
      <c r="D10" s="5">
        <f t="shared" ref="D10:Y10" si="1">1-SUM(D20,D26)</f>
        <v>0.82099999999999995</v>
      </c>
      <c r="E10" s="5">
        <f t="shared" si="1"/>
        <v>0.81699999999999995</v>
      </c>
      <c r="F10" s="5">
        <f t="shared" si="1"/>
        <v>0.82000000000000006</v>
      </c>
      <c r="G10" s="5">
        <f t="shared" si="1"/>
        <v>0.82499999999999996</v>
      </c>
      <c r="H10" s="5">
        <f t="shared" si="1"/>
        <v>0.81899999999999995</v>
      </c>
      <c r="I10" s="5">
        <f t="shared" si="1"/>
        <v>0.82499999999999996</v>
      </c>
      <c r="J10" s="5">
        <f t="shared" si="1"/>
        <v>0.82400000000000007</v>
      </c>
      <c r="K10" s="5">
        <f t="shared" si="1"/>
        <v>0.82000000000000006</v>
      </c>
      <c r="L10" s="5">
        <f t="shared" si="1"/>
        <v>0.82600000000000007</v>
      </c>
      <c r="M10" s="5">
        <f t="shared" si="1"/>
        <v>0.82899999999999996</v>
      </c>
      <c r="N10" s="5">
        <f t="shared" si="1"/>
        <v>0.81800000000000006</v>
      </c>
      <c r="O10" s="5">
        <f t="shared" si="1"/>
        <v>0.82000000000000006</v>
      </c>
      <c r="P10" s="5">
        <f t="shared" si="1"/>
        <v>0.83000000000000007</v>
      </c>
      <c r="Q10" s="5">
        <f t="shared" si="1"/>
        <v>0.82200000000000006</v>
      </c>
      <c r="R10" s="5">
        <f t="shared" si="1"/>
        <v>0.83099999999999996</v>
      </c>
      <c r="S10" s="5">
        <f t="shared" si="1"/>
        <v>0.82299999999999995</v>
      </c>
      <c r="T10" s="5">
        <f t="shared" si="1"/>
        <v>0.83000000000000007</v>
      </c>
      <c r="U10" s="5">
        <f t="shared" si="1"/>
        <v>0.83299999999999996</v>
      </c>
      <c r="V10" s="5">
        <f t="shared" si="1"/>
        <v>0.83099999999999996</v>
      </c>
      <c r="W10" s="5">
        <f t="shared" si="1"/>
        <v>0.83200000000000007</v>
      </c>
      <c r="X10" s="5">
        <f t="shared" si="1"/>
        <v>0.82800000000000007</v>
      </c>
      <c r="Y10" s="5">
        <f t="shared" si="1"/>
        <v>0.83299999999999996</v>
      </c>
      <c r="AA10" s="18" t="s">
        <v>33</v>
      </c>
      <c r="AB10" s="31">
        <f>AB11*C11+SUMPRODUCT(AB15:AB19,C15:C19)</f>
        <v>8.4040672625091226E-2</v>
      </c>
      <c r="AC10" s="31">
        <f t="shared" ref="AC10:AX10" si="2">AC11*D11+SUMPRODUCT(AC15:AC19,D15:D19)</f>
        <v>7.6267967267050374E-2</v>
      </c>
      <c r="AD10" s="31">
        <f t="shared" si="2"/>
        <v>8.2534750600910978E-2</v>
      </c>
      <c r="AE10" s="31">
        <f t="shared" si="2"/>
        <v>8.8831579907206581E-2</v>
      </c>
      <c r="AF10" s="31">
        <f t="shared" si="2"/>
        <v>5.9105519492792705E-2</v>
      </c>
      <c r="AG10" s="31">
        <f t="shared" si="2"/>
        <v>7.691040257958931E-2</v>
      </c>
      <c r="AH10" s="31">
        <f t="shared" si="2"/>
        <v>6.5241357436958872E-2</v>
      </c>
      <c r="AI10" s="31">
        <f t="shared" si="2"/>
        <v>5.3110975251088002E-2</v>
      </c>
      <c r="AJ10" s="31">
        <f t="shared" si="2"/>
        <v>7.0774644613713814E-2</v>
      </c>
      <c r="AK10" s="31">
        <f t="shared" si="2"/>
        <v>0.11240531270481799</v>
      </c>
      <c r="AL10" s="31">
        <f t="shared" si="2"/>
        <v>0.10461465308940947</v>
      </c>
      <c r="AM10" s="31">
        <f t="shared" si="2"/>
        <v>7.0257771761668725E-2</v>
      </c>
      <c r="AN10" s="31">
        <f t="shared" si="2"/>
        <v>9.0298106224849628E-2</v>
      </c>
      <c r="AO10" s="31">
        <f t="shared" si="2"/>
        <v>9.7646080160768214E-2</v>
      </c>
      <c r="AP10" s="31">
        <f t="shared" si="2"/>
        <v>7.5886304737245822E-2</v>
      </c>
      <c r="AQ10" s="31">
        <f t="shared" si="2"/>
        <v>8.3751340853603223E-2</v>
      </c>
      <c r="AR10" s="31">
        <f t="shared" si="2"/>
        <v>7.4466051159090108E-2</v>
      </c>
      <c r="AS10" s="31">
        <f t="shared" si="2"/>
        <v>5.9348946349901344E-2</v>
      </c>
      <c r="AT10" s="31">
        <f t="shared" si="2"/>
        <v>6.821342720566867E-2</v>
      </c>
      <c r="AU10" s="31">
        <f t="shared" si="2"/>
        <v>7.0202562703021471E-2</v>
      </c>
      <c r="AV10" s="31">
        <f t="shared" si="2"/>
        <v>4.826831189741148E-2</v>
      </c>
      <c r="AW10" s="31">
        <f t="shared" si="2"/>
        <v>5.6340021130964826E-2</v>
      </c>
      <c r="AX10" s="31">
        <f t="shared" si="2"/>
        <v>6.3698784679872528E-2</v>
      </c>
      <c r="AZ10" s="18" t="s">
        <v>33</v>
      </c>
      <c r="BA10" t="s">
        <v>76</v>
      </c>
      <c r="BB10" t="s">
        <v>70</v>
      </c>
      <c r="BC10" t="s">
        <v>72</v>
      </c>
      <c r="BD10" t="s">
        <v>74</v>
      </c>
      <c r="BE10" t="s">
        <v>72</v>
      </c>
      <c r="BF10" t="s">
        <v>74</v>
      </c>
      <c r="BG10" t="s">
        <v>73</v>
      </c>
      <c r="BH10" t="s">
        <v>76</v>
      </c>
      <c r="BI10" t="s">
        <v>74</v>
      </c>
      <c r="BJ10" t="s">
        <v>75</v>
      </c>
      <c r="BK10" t="s">
        <v>70</v>
      </c>
      <c r="BL10" t="s">
        <v>74</v>
      </c>
      <c r="BM10" t="s">
        <v>75</v>
      </c>
      <c r="BN10" t="s">
        <v>75</v>
      </c>
      <c r="BO10" t="s">
        <v>76</v>
      </c>
      <c r="BP10" t="s">
        <v>72</v>
      </c>
      <c r="BQ10" t="s">
        <v>73</v>
      </c>
      <c r="BR10" t="s">
        <v>74</v>
      </c>
      <c r="BS10" t="s">
        <v>75</v>
      </c>
      <c r="BT10" t="s">
        <v>75</v>
      </c>
      <c r="BU10" t="s">
        <v>73</v>
      </c>
      <c r="BV10" t="s">
        <v>75</v>
      </c>
      <c r="BW10" t="s">
        <v>73</v>
      </c>
    </row>
    <row r="11" spans="1:75" x14ac:dyDescent="0.35">
      <c r="A11" s="4"/>
      <c r="B11" s="6" t="s">
        <v>34</v>
      </c>
      <c r="C11" s="5">
        <f>1-SUM(C15:C19)</f>
        <v>0.249</v>
      </c>
      <c r="D11" s="5">
        <f t="shared" ref="D11:Y11" si="3">1-SUM(D15:D19)</f>
        <v>0.252</v>
      </c>
      <c r="E11" s="5">
        <f t="shared" si="3"/>
        <v>0.25</v>
      </c>
      <c r="F11" s="5">
        <f t="shared" si="3"/>
        <v>0.249</v>
      </c>
      <c r="G11" s="5">
        <f t="shared" si="3"/>
        <v>0.25</v>
      </c>
      <c r="H11" s="5">
        <f t="shared" si="3"/>
        <v>0.249</v>
      </c>
      <c r="I11" s="5">
        <f t="shared" si="3"/>
        <v>0.25</v>
      </c>
      <c r="J11" s="5">
        <f t="shared" si="3"/>
        <v>0.251</v>
      </c>
      <c r="K11" s="5">
        <f t="shared" si="3"/>
        <v>0.25</v>
      </c>
      <c r="L11" s="5">
        <f t="shared" si="3"/>
        <v>0.251</v>
      </c>
      <c r="M11" s="5">
        <f t="shared" si="3"/>
        <v>0.252</v>
      </c>
      <c r="N11" s="5">
        <f t="shared" si="3"/>
        <v>0.248</v>
      </c>
      <c r="O11" s="5">
        <f t="shared" si="3"/>
        <v>0.247</v>
      </c>
      <c r="P11" s="5">
        <f t="shared" si="3"/>
        <v>0.251</v>
      </c>
      <c r="Q11" s="5">
        <f t="shared" si="3"/>
        <v>0.253</v>
      </c>
      <c r="R11" s="5">
        <f t="shared" si="3"/>
        <v>0.251</v>
      </c>
      <c r="S11" s="5">
        <f t="shared" si="3"/>
        <v>0.25</v>
      </c>
      <c r="T11" s="5">
        <f t="shared" si="3"/>
        <v>0.252</v>
      </c>
      <c r="U11" s="5">
        <f t="shared" si="3"/>
        <v>0.253</v>
      </c>
      <c r="V11" s="5">
        <f t="shared" si="3"/>
        <v>0.254</v>
      </c>
      <c r="W11" s="5">
        <f t="shared" si="3"/>
        <v>0.254</v>
      </c>
      <c r="X11" s="5">
        <f t="shared" si="3"/>
        <v>0.251</v>
      </c>
      <c r="Y11" s="5">
        <f t="shared" si="3"/>
        <v>0.253</v>
      </c>
      <c r="AA11" s="6" t="s">
        <v>34</v>
      </c>
      <c r="AB11" s="31">
        <f>SUMPRODUCT(AB12:AB14,C12:C14)</f>
        <v>9.3276953990502148E-2</v>
      </c>
      <c r="AC11" s="31">
        <f t="shared" ref="AC11:AX11" si="4">SUMPRODUCT(AC12:AC14,D12:D14)</f>
        <v>8.5459735744724735E-2</v>
      </c>
      <c r="AD11" s="31">
        <f t="shared" si="4"/>
        <v>9.1944545019695928E-2</v>
      </c>
      <c r="AE11" s="31">
        <f t="shared" si="4"/>
        <v>9.7891820443823427E-2</v>
      </c>
      <c r="AF11" s="31">
        <f t="shared" si="4"/>
        <v>6.7978918988351997E-2</v>
      </c>
      <c r="AG11" s="31">
        <f t="shared" si="4"/>
        <v>8.6120179290632398E-2</v>
      </c>
      <c r="AH11" s="31">
        <f t="shared" si="4"/>
        <v>7.4246466581317588E-2</v>
      </c>
      <c r="AI11" s="31">
        <f t="shared" si="4"/>
        <v>6.2701421628762355E-2</v>
      </c>
      <c r="AJ11" s="31">
        <f t="shared" si="4"/>
        <v>7.9916315150330638E-2</v>
      </c>
      <c r="AK11" s="31">
        <f t="shared" si="4"/>
        <v>0.1211465682414348</v>
      </c>
      <c r="AL11" s="31">
        <f t="shared" si="4"/>
        <v>0.11348592734603161</v>
      </c>
      <c r="AM11" s="31">
        <f t="shared" si="4"/>
        <v>7.9324005747138035E-2</v>
      </c>
      <c r="AN11" s="31">
        <f t="shared" si="4"/>
        <v>9.9372101210318947E-2</v>
      </c>
      <c r="AO11" s="31">
        <f t="shared" si="4"/>
        <v>0.1064666069307007</v>
      </c>
      <c r="AP11" s="31">
        <f t="shared" si="4"/>
        <v>8.5106651893867971E-2</v>
      </c>
      <c r="AQ11" s="31">
        <f t="shared" si="4"/>
        <v>9.2672528331277593E-2</v>
      </c>
      <c r="AR11" s="31">
        <f t="shared" si="4"/>
        <v>8.3674477356822846E-2</v>
      </c>
      <c r="AS11" s="31">
        <f t="shared" si="4"/>
        <v>6.8372653553149462E-2</v>
      </c>
      <c r="AT11" s="31">
        <f t="shared" si="4"/>
        <v>7.7293118116658677E-2</v>
      </c>
      <c r="AU11" s="31">
        <f t="shared" si="4"/>
        <v>7.9182176514011479E-2</v>
      </c>
      <c r="AV11" s="31">
        <f t="shared" si="4"/>
        <v>5.7123744808401489E-2</v>
      </c>
      <c r="AW11" s="31">
        <f t="shared" si="4"/>
        <v>6.5129437000897308E-2</v>
      </c>
      <c r="AX11" s="31">
        <f t="shared" si="4"/>
        <v>7.2641391490862545E-2</v>
      </c>
      <c r="AZ11" s="6" t="s">
        <v>34</v>
      </c>
      <c r="BA11" t="s">
        <v>74</v>
      </c>
      <c r="BB11" t="s">
        <v>70</v>
      </c>
      <c r="BC11" t="s">
        <v>70</v>
      </c>
      <c r="BD11" t="s">
        <v>75</v>
      </c>
      <c r="BE11" t="s">
        <v>70</v>
      </c>
      <c r="BF11" t="s">
        <v>75</v>
      </c>
      <c r="BG11" t="s">
        <v>72</v>
      </c>
      <c r="BH11" t="s">
        <v>76</v>
      </c>
      <c r="BI11" t="s">
        <v>74</v>
      </c>
      <c r="BJ11" t="s">
        <v>74</v>
      </c>
      <c r="BK11" t="s">
        <v>73</v>
      </c>
      <c r="BL11" t="s">
        <v>75</v>
      </c>
      <c r="BM11" t="s">
        <v>70</v>
      </c>
      <c r="BN11" t="s">
        <v>70</v>
      </c>
      <c r="BO11" t="s">
        <v>75</v>
      </c>
      <c r="BP11" t="s">
        <v>76</v>
      </c>
      <c r="BQ11" t="s">
        <v>71</v>
      </c>
      <c r="BR11" t="s">
        <v>72</v>
      </c>
      <c r="BS11" t="s">
        <v>72</v>
      </c>
      <c r="BT11" t="s">
        <v>71</v>
      </c>
      <c r="BU11" t="s">
        <v>70</v>
      </c>
      <c r="BV11" t="s">
        <v>72</v>
      </c>
      <c r="BW11" t="s">
        <v>72</v>
      </c>
    </row>
    <row r="12" spans="1:75" x14ac:dyDescent="0.35">
      <c r="B12" s="25" t="s">
        <v>30</v>
      </c>
      <c r="C12" s="5">
        <v>0.222</v>
      </c>
      <c r="D12" s="5">
        <v>0.20300000000000001</v>
      </c>
      <c r="E12" s="5">
        <v>0.22600000000000001</v>
      </c>
      <c r="F12" s="5">
        <v>0.216</v>
      </c>
      <c r="G12" s="5">
        <v>0.20399999999999999</v>
      </c>
      <c r="H12" s="5">
        <v>0.216</v>
      </c>
      <c r="I12" s="5">
        <v>0.20399999999999999</v>
      </c>
      <c r="J12" s="5">
        <v>0.22700000000000001</v>
      </c>
      <c r="K12" s="5">
        <v>0.215</v>
      </c>
      <c r="L12" s="5">
        <v>0.19500000000000001</v>
      </c>
      <c r="M12" s="5">
        <v>0.186</v>
      </c>
      <c r="N12" s="5">
        <v>0.217</v>
      </c>
      <c r="O12" s="5">
        <v>0.217</v>
      </c>
      <c r="P12" s="5">
        <v>0.192</v>
      </c>
      <c r="Q12" s="5">
        <v>0.20200000000000001</v>
      </c>
      <c r="R12" s="5">
        <v>0.191</v>
      </c>
      <c r="S12" s="5">
        <v>0.21299999999999999</v>
      </c>
      <c r="T12" s="5">
        <v>0.19600000000000001</v>
      </c>
      <c r="U12" s="5">
        <v>0.19400000000000001</v>
      </c>
      <c r="V12" s="5">
        <v>0.185</v>
      </c>
      <c r="W12" s="5">
        <v>0.18</v>
      </c>
      <c r="X12" s="5">
        <v>0.192</v>
      </c>
      <c r="Y12" s="5">
        <v>0.185</v>
      </c>
      <c r="AA12" s="25" t="s">
        <v>30</v>
      </c>
      <c r="AB12" s="32">
        <v>0.11822295399050216</v>
      </c>
      <c r="AC12" s="32">
        <v>0.11041273574472475</v>
      </c>
      <c r="AD12" s="32">
        <v>0.11669454501969594</v>
      </c>
      <c r="AE12" s="32">
        <v>0.12307182044382342</v>
      </c>
      <c r="AF12" s="32">
        <v>9.3398918988351995E-2</v>
      </c>
      <c r="AG12" s="32">
        <v>0.11112017929063239</v>
      </c>
      <c r="AH12" s="32">
        <v>9.9498466581317585E-2</v>
      </c>
      <c r="AI12" s="32">
        <v>8.7114421628762373E-2</v>
      </c>
      <c r="AJ12" s="32">
        <v>0.10497731515033064</v>
      </c>
      <c r="AK12" s="32">
        <v>0.14673156824143482</v>
      </c>
      <c r="AL12" s="32">
        <v>0.1388759273460316</v>
      </c>
      <c r="AM12" s="32">
        <v>0.10456300574713803</v>
      </c>
      <c r="AN12" s="32">
        <v>0.12461110121031894</v>
      </c>
      <c r="AO12" s="32">
        <v>0.13189860693070071</v>
      </c>
      <c r="AP12" s="32">
        <v>0.11000065189386797</v>
      </c>
      <c r="AQ12" s="32">
        <v>0.11799752833127761</v>
      </c>
      <c r="AR12" s="32">
        <v>0.10870147735682285</v>
      </c>
      <c r="AS12" s="32">
        <v>9.3512653553149472E-2</v>
      </c>
      <c r="AT12" s="32">
        <v>0.10237511811665867</v>
      </c>
      <c r="AU12" s="32">
        <v>0.10436917651401149</v>
      </c>
      <c r="AV12" s="32">
        <v>8.2495744808401494E-2</v>
      </c>
      <c r="AW12" s="32">
        <v>9.0621437000897309E-2</v>
      </c>
      <c r="AX12" s="32">
        <v>9.788839149086255E-2</v>
      </c>
      <c r="AZ12" s="25" t="s">
        <v>30</v>
      </c>
      <c r="BA12" t="s">
        <v>75</v>
      </c>
      <c r="BB12" t="s">
        <v>72</v>
      </c>
      <c r="BC12" t="s">
        <v>71</v>
      </c>
      <c r="BD12" t="s">
        <v>73</v>
      </c>
      <c r="BE12" t="s">
        <v>72</v>
      </c>
      <c r="BF12" t="s">
        <v>70</v>
      </c>
      <c r="BG12" t="s">
        <v>74</v>
      </c>
      <c r="BH12" t="s">
        <v>75</v>
      </c>
      <c r="BI12" t="s">
        <v>71</v>
      </c>
      <c r="BJ12" t="s">
        <v>76</v>
      </c>
      <c r="BK12" t="s">
        <v>74</v>
      </c>
      <c r="BL12" t="s">
        <v>74</v>
      </c>
      <c r="BM12" t="s">
        <v>73</v>
      </c>
      <c r="BN12" t="s">
        <v>71</v>
      </c>
      <c r="BO12" t="s">
        <v>74</v>
      </c>
      <c r="BP12" t="s">
        <v>71</v>
      </c>
      <c r="BQ12" t="s">
        <v>71</v>
      </c>
      <c r="BR12" t="s">
        <v>74</v>
      </c>
      <c r="BS12" t="s">
        <v>73</v>
      </c>
      <c r="BT12" t="s">
        <v>75</v>
      </c>
      <c r="BU12" t="s">
        <v>75</v>
      </c>
      <c r="BV12" t="s">
        <v>75</v>
      </c>
      <c r="BW12" t="s">
        <v>72</v>
      </c>
    </row>
    <row r="13" spans="1:75" x14ac:dyDescent="0.35">
      <c r="B13" s="25" t="s">
        <v>31</v>
      </c>
      <c r="C13" s="5">
        <v>0.32000000000000006</v>
      </c>
      <c r="D13" s="5">
        <v>0.37799999999999989</v>
      </c>
      <c r="E13" s="5">
        <v>0.32400000000000007</v>
      </c>
      <c r="F13" s="5">
        <v>0.31900000000000006</v>
      </c>
      <c r="G13" s="5">
        <v>0.33600000000000008</v>
      </c>
      <c r="H13" s="5">
        <v>0.33400000000000007</v>
      </c>
      <c r="I13" s="5">
        <v>0.35000000000000009</v>
      </c>
      <c r="J13" s="5">
        <v>0.34899999999999998</v>
      </c>
      <c r="K13" s="5">
        <v>0.33200000000000007</v>
      </c>
      <c r="L13" s="5">
        <v>0.35000000000000009</v>
      </c>
      <c r="M13" s="5">
        <v>0.39399999999999991</v>
      </c>
      <c r="N13" s="5">
        <v>0.31100000000000005</v>
      </c>
      <c r="O13" s="5">
        <v>0.31100000000000005</v>
      </c>
      <c r="P13" s="5">
        <v>0.37199999999999989</v>
      </c>
      <c r="Q13" s="5">
        <v>0.3859999999999999</v>
      </c>
      <c r="R13" s="5">
        <v>0.3839999999999999</v>
      </c>
      <c r="S13" s="5">
        <v>0.34100000000000008</v>
      </c>
      <c r="T13" s="5">
        <v>0.3839999999999999</v>
      </c>
      <c r="U13" s="5">
        <v>0.39500000000000002</v>
      </c>
      <c r="V13" s="5">
        <v>0.41399999999999992</v>
      </c>
      <c r="W13" s="5">
        <v>0.41399999999999992</v>
      </c>
      <c r="X13" s="5">
        <v>0.36699999999999999</v>
      </c>
      <c r="Y13" s="5">
        <v>0.40900000000000003</v>
      </c>
      <c r="AA13" s="25" t="s">
        <v>31</v>
      </c>
      <c r="AB13" s="32">
        <v>9.322295399050215E-2</v>
      </c>
      <c r="AC13" s="32">
        <v>8.5412735744724744E-2</v>
      </c>
      <c r="AD13" s="32">
        <v>9.1694545019695928E-2</v>
      </c>
      <c r="AE13" s="32">
        <v>9.8071820443823413E-2</v>
      </c>
      <c r="AF13" s="32">
        <v>6.8398918988351987E-2</v>
      </c>
      <c r="AG13" s="32">
        <v>8.6120179290632384E-2</v>
      </c>
      <c r="AH13" s="32">
        <v>7.4498466581317577E-2</v>
      </c>
      <c r="AI13" s="32">
        <v>6.2114421628762358E-2</v>
      </c>
      <c r="AJ13" s="32">
        <v>7.997731515033063E-2</v>
      </c>
      <c r="AK13" s="32">
        <v>0.12173156824143481</v>
      </c>
      <c r="AL13" s="32">
        <v>0.11387592734603161</v>
      </c>
      <c r="AM13" s="32">
        <v>7.9563005747138024E-2</v>
      </c>
      <c r="AN13" s="32">
        <v>9.9611101210318936E-2</v>
      </c>
      <c r="AO13" s="32">
        <v>0.10689860693070069</v>
      </c>
      <c r="AP13" s="32">
        <v>8.5000651893867962E-2</v>
      </c>
      <c r="AQ13" s="32">
        <v>9.2997528331277599E-2</v>
      </c>
      <c r="AR13" s="32">
        <v>8.3701477356822845E-2</v>
      </c>
      <c r="AS13" s="32">
        <v>6.8512653553149463E-2</v>
      </c>
      <c r="AT13" s="32">
        <v>7.7375118116658662E-2</v>
      </c>
      <c r="AU13" s="32">
        <v>7.9369176514011486E-2</v>
      </c>
      <c r="AV13" s="32">
        <v>5.7495744808401486E-2</v>
      </c>
      <c r="AW13" s="32">
        <v>6.5621437000897301E-2</v>
      </c>
      <c r="AX13" s="32">
        <v>7.2888391490862542E-2</v>
      </c>
      <c r="AZ13" s="25" t="s">
        <v>31</v>
      </c>
      <c r="BA13" t="s">
        <v>70</v>
      </c>
      <c r="BB13" t="s">
        <v>70</v>
      </c>
      <c r="BC13" t="s">
        <v>70</v>
      </c>
      <c r="BD13" t="s">
        <v>73</v>
      </c>
      <c r="BE13" t="s">
        <v>70</v>
      </c>
      <c r="BF13" t="s">
        <v>73</v>
      </c>
      <c r="BG13" t="s">
        <v>72</v>
      </c>
      <c r="BH13" t="s">
        <v>75</v>
      </c>
      <c r="BI13" t="s">
        <v>71</v>
      </c>
      <c r="BJ13" t="s">
        <v>74</v>
      </c>
      <c r="BK13" t="s">
        <v>76</v>
      </c>
      <c r="BL13" t="s">
        <v>70</v>
      </c>
      <c r="BM13" t="s">
        <v>75</v>
      </c>
      <c r="BN13" t="s">
        <v>76</v>
      </c>
      <c r="BO13" t="s">
        <v>70</v>
      </c>
      <c r="BP13" t="s">
        <v>74</v>
      </c>
      <c r="BQ13" t="s">
        <v>74</v>
      </c>
      <c r="BR13" t="s">
        <v>74</v>
      </c>
      <c r="BS13" t="s">
        <v>75</v>
      </c>
      <c r="BT13" t="s">
        <v>72</v>
      </c>
      <c r="BU13" t="s">
        <v>73</v>
      </c>
      <c r="BV13" t="s">
        <v>73</v>
      </c>
      <c r="BW13" t="s">
        <v>73</v>
      </c>
    </row>
    <row r="14" spans="1:75" x14ac:dyDescent="0.35">
      <c r="A14" s="4"/>
      <c r="B14" s="25" t="s">
        <v>80</v>
      </c>
      <c r="C14" s="5">
        <f>1-SUM(C12:C13)</f>
        <v>0.45799999999999996</v>
      </c>
      <c r="D14" s="5">
        <f t="shared" ref="D14:Y14" si="5">1-SUM(D12:D13)</f>
        <v>0.41900000000000004</v>
      </c>
      <c r="E14" s="5">
        <f t="shared" si="5"/>
        <v>0.44999999999999996</v>
      </c>
      <c r="F14" s="5">
        <f t="shared" si="5"/>
        <v>0.46499999999999997</v>
      </c>
      <c r="G14" s="5">
        <f t="shared" si="5"/>
        <v>0.45999999999999996</v>
      </c>
      <c r="H14" s="5">
        <f t="shared" si="5"/>
        <v>0.44999999999999996</v>
      </c>
      <c r="I14" s="5">
        <f t="shared" si="5"/>
        <v>0.44599999999999995</v>
      </c>
      <c r="J14" s="5">
        <f t="shared" si="5"/>
        <v>0.42400000000000004</v>
      </c>
      <c r="K14" s="5">
        <f t="shared" si="5"/>
        <v>0.45299999999999996</v>
      </c>
      <c r="L14" s="5">
        <f t="shared" si="5"/>
        <v>0.45499999999999985</v>
      </c>
      <c r="M14" s="5">
        <f t="shared" si="5"/>
        <v>0.42000000000000015</v>
      </c>
      <c r="N14" s="5">
        <f t="shared" si="5"/>
        <v>0.47199999999999998</v>
      </c>
      <c r="O14" s="5">
        <f t="shared" si="5"/>
        <v>0.47199999999999998</v>
      </c>
      <c r="P14" s="5">
        <f t="shared" si="5"/>
        <v>0.43600000000000017</v>
      </c>
      <c r="Q14" s="5">
        <f t="shared" si="5"/>
        <v>0.41200000000000014</v>
      </c>
      <c r="R14" s="5">
        <f t="shared" si="5"/>
        <v>0.42500000000000004</v>
      </c>
      <c r="S14" s="5">
        <f t="shared" si="5"/>
        <v>0.44599999999999995</v>
      </c>
      <c r="T14" s="5">
        <f t="shared" si="5"/>
        <v>0.42000000000000015</v>
      </c>
      <c r="U14" s="5">
        <f t="shared" si="5"/>
        <v>0.41100000000000003</v>
      </c>
      <c r="V14" s="5">
        <f t="shared" si="5"/>
        <v>0.40100000000000002</v>
      </c>
      <c r="W14" s="5">
        <f t="shared" si="5"/>
        <v>0.40600000000000014</v>
      </c>
      <c r="X14" s="5">
        <f t="shared" si="5"/>
        <v>0.44100000000000006</v>
      </c>
      <c r="Y14" s="5">
        <f t="shared" si="5"/>
        <v>0.40599999999999992</v>
      </c>
      <c r="AA14" s="25" t="s">
        <v>80</v>
      </c>
      <c r="AB14" s="32">
        <v>8.1222953990502153E-2</v>
      </c>
      <c r="AC14" s="32">
        <v>7.3412735744724747E-2</v>
      </c>
      <c r="AD14" s="32">
        <v>7.9694545019695931E-2</v>
      </c>
      <c r="AE14" s="32">
        <v>8.6071820443823416E-2</v>
      </c>
      <c r="AF14" s="32">
        <v>5.639891898835199E-2</v>
      </c>
      <c r="AG14" s="32">
        <v>7.4120179290632388E-2</v>
      </c>
      <c r="AH14" s="32">
        <v>6.249846658131758E-2</v>
      </c>
      <c r="AI14" s="32">
        <v>5.0114421628762361E-2</v>
      </c>
      <c r="AJ14" s="32">
        <v>6.7977315150330633E-2</v>
      </c>
      <c r="AK14" s="32">
        <v>0.10973156824143482</v>
      </c>
      <c r="AL14" s="32">
        <v>0.10187592734603161</v>
      </c>
      <c r="AM14" s="32">
        <v>6.7563005747138027E-2</v>
      </c>
      <c r="AN14" s="32">
        <v>8.761110121031894E-2</v>
      </c>
      <c r="AO14" s="32">
        <v>9.4898606930700694E-2</v>
      </c>
      <c r="AP14" s="32">
        <v>7.3000651893867965E-2</v>
      </c>
      <c r="AQ14" s="32">
        <v>8.0997528331277602E-2</v>
      </c>
      <c r="AR14" s="32">
        <v>7.1701477356822849E-2</v>
      </c>
      <c r="AS14" s="32">
        <v>5.6512653553149467E-2</v>
      </c>
      <c r="AT14" s="32">
        <v>6.5375118116658665E-2</v>
      </c>
      <c r="AU14" s="32">
        <v>6.7369176514011489E-2</v>
      </c>
      <c r="AV14" s="32">
        <v>4.5495744808401489E-2</v>
      </c>
      <c r="AW14" s="32">
        <v>5.3621437000897304E-2</v>
      </c>
      <c r="AX14" s="32">
        <v>6.0888391490862545E-2</v>
      </c>
      <c r="AZ14" s="25" t="s">
        <v>80</v>
      </c>
      <c r="BA14" t="s">
        <v>74</v>
      </c>
      <c r="BB14" t="s">
        <v>70</v>
      </c>
      <c r="BC14" t="s">
        <v>70</v>
      </c>
      <c r="BD14" t="s">
        <v>70</v>
      </c>
      <c r="BE14" t="s">
        <v>73</v>
      </c>
      <c r="BF14" t="s">
        <v>75</v>
      </c>
      <c r="BG14" t="s">
        <v>76</v>
      </c>
      <c r="BH14" t="s">
        <v>70</v>
      </c>
      <c r="BI14" t="s">
        <v>70</v>
      </c>
      <c r="BJ14" t="s">
        <v>70</v>
      </c>
      <c r="BK14" t="s">
        <v>70</v>
      </c>
      <c r="BL14" t="s">
        <v>70</v>
      </c>
      <c r="BM14" t="s">
        <v>70</v>
      </c>
      <c r="BN14" t="s">
        <v>76</v>
      </c>
      <c r="BO14" t="s">
        <v>76</v>
      </c>
      <c r="BP14" t="s">
        <v>72</v>
      </c>
      <c r="BQ14" t="s">
        <v>74</v>
      </c>
      <c r="BR14" t="s">
        <v>73</v>
      </c>
      <c r="BS14" t="s">
        <v>70</v>
      </c>
      <c r="BT14" t="s">
        <v>75</v>
      </c>
      <c r="BU14" t="s">
        <v>73</v>
      </c>
      <c r="BV14" t="s">
        <v>75</v>
      </c>
      <c r="BW14" t="s">
        <v>75</v>
      </c>
    </row>
    <row r="15" spans="1:75" x14ac:dyDescent="0.35">
      <c r="A15" s="4"/>
      <c r="B15" s="6" t="s">
        <v>81</v>
      </c>
      <c r="C15" s="5">
        <v>0.221</v>
      </c>
      <c r="D15" s="5">
        <v>0.217</v>
      </c>
      <c r="E15" s="5">
        <v>0.22</v>
      </c>
      <c r="F15" s="5">
        <v>0.222</v>
      </c>
      <c r="G15" s="5">
        <v>0.222</v>
      </c>
      <c r="H15" s="5">
        <v>0.221</v>
      </c>
      <c r="I15" s="5">
        <v>0.22</v>
      </c>
      <c r="J15" s="5">
        <v>0.217</v>
      </c>
      <c r="K15" s="5">
        <v>0.221</v>
      </c>
      <c r="L15" s="5">
        <v>0.22</v>
      </c>
      <c r="M15" s="5">
        <v>0.217</v>
      </c>
      <c r="N15" s="5">
        <v>0.222</v>
      </c>
      <c r="O15" s="5">
        <v>0.223</v>
      </c>
      <c r="P15" s="5">
        <v>0.218</v>
      </c>
      <c r="Q15" s="5">
        <v>0.215</v>
      </c>
      <c r="R15" s="5">
        <v>0.218</v>
      </c>
      <c r="S15" s="5">
        <v>0.22</v>
      </c>
      <c r="T15" s="5">
        <v>0.217</v>
      </c>
      <c r="U15" s="5">
        <v>0.216</v>
      </c>
      <c r="V15" s="5">
        <v>0.214</v>
      </c>
      <c r="W15" s="5">
        <v>0.215</v>
      </c>
      <c r="X15" s="5">
        <v>0.219</v>
      </c>
      <c r="Y15" s="5">
        <v>0.215</v>
      </c>
      <c r="AA15" s="6" t="s">
        <v>81</v>
      </c>
      <c r="AB15" s="19">
        <v>8.5222953990502157E-2</v>
      </c>
      <c r="AC15" s="19">
        <v>7.741273574472475E-2</v>
      </c>
      <c r="AD15" s="19">
        <v>8.3694545019695935E-2</v>
      </c>
      <c r="AE15" s="19">
        <v>9.0071820443823419E-2</v>
      </c>
      <c r="AF15" s="19">
        <v>6.0398918988351993E-2</v>
      </c>
      <c r="AG15" s="19">
        <v>7.8120179290632391E-2</v>
      </c>
      <c r="AH15" s="19">
        <v>6.6498466581317583E-2</v>
      </c>
      <c r="AI15" s="19">
        <v>5.4114421628762364E-2</v>
      </c>
      <c r="AJ15" s="19">
        <v>7.1977315150330637E-2</v>
      </c>
      <c r="AK15" s="19">
        <v>0.11373156824143482</v>
      </c>
      <c r="AL15" s="19">
        <v>0.10587592734603161</v>
      </c>
      <c r="AM15" s="19">
        <v>7.1563005747138031E-2</v>
      </c>
      <c r="AN15" s="19">
        <v>9.1611101210318943E-2</v>
      </c>
      <c r="AO15" s="19">
        <v>9.8898606930700697E-2</v>
      </c>
      <c r="AP15" s="19">
        <v>7.7000651893867969E-2</v>
      </c>
      <c r="AQ15" s="19">
        <v>8.4997528331277605E-2</v>
      </c>
      <c r="AR15" s="19">
        <v>7.5701477356822852E-2</v>
      </c>
      <c r="AS15" s="19">
        <v>6.051265355314947E-2</v>
      </c>
      <c r="AT15" s="19">
        <v>6.9375118116658668E-2</v>
      </c>
      <c r="AU15" s="19">
        <v>7.1369176514011493E-2</v>
      </c>
      <c r="AV15" s="19">
        <v>4.9495744808401493E-2</v>
      </c>
      <c r="AW15" s="19">
        <v>5.7621437000897308E-2</v>
      </c>
      <c r="AX15" s="19">
        <v>6.4888391490862549E-2</v>
      </c>
      <c r="AZ15" s="6" t="s">
        <v>81</v>
      </c>
      <c r="BA15" t="s">
        <v>75</v>
      </c>
      <c r="BB15" t="s">
        <v>73</v>
      </c>
      <c r="BC15" t="s">
        <v>74</v>
      </c>
      <c r="BD15" t="s">
        <v>71</v>
      </c>
      <c r="BE15" t="s">
        <v>73</v>
      </c>
      <c r="BF15" t="s">
        <v>74</v>
      </c>
      <c r="BG15" t="s">
        <v>72</v>
      </c>
      <c r="BH15" t="s">
        <v>71</v>
      </c>
      <c r="BI15" t="s">
        <v>74</v>
      </c>
      <c r="BJ15" t="s">
        <v>71</v>
      </c>
      <c r="BK15" t="s">
        <v>72</v>
      </c>
      <c r="BL15" t="s">
        <v>72</v>
      </c>
      <c r="BM15" t="s">
        <v>75</v>
      </c>
      <c r="BN15" t="s">
        <v>72</v>
      </c>
      <c r="BO15" t="s">
        <v>71</v>
      </c>
      <c r="BP15" t="s">
        <v>72</v>
      </c>
      <c r="BQ15" t="s">
        <v>71</v>
      </c>
      <c r="BR15" t="s">
        <v>76</v>
      </c>
      <c r="BS15" t="s">
        <v>73</v>
      </c>
      <c r="BT15" t="s">
        <v>76</v>
      </c>
      <c r="BU15" t="s">
        <v>72</v>
      </c>
      <c r="BV15" t="s">
        <v>75</v>
      </c>
      <c r="BW15" t="s">
        <v>71</v>
      </c>
    </row>
    <row r="16" spans="1:75" x14ac:dyDescent="0.35">
      <c r="B16" s="6" t="s">
        <v>35</v>
      </c>
      <c r="C16" s="5">
        <v>0.13500000000000001</v>
      </c>
      <c r="D16" s="5">
        <v>0.13600000000000001</v>
      </c>
      <c r="E16" s="5">
        <v>0.13500000000000001</v>
      </c>
      <c r="F16" s="5">
        <v>0.13400000000000001</v>
      </c>
      <c r="G16" s="5">
        <v>0.13200000000000001</v>
      </c>
      <c r="H16" s="5">
        <v>0.13400000000000001</v>
      </c>
      <c r="I16" s="5">
        <v>0.13500000000000001</v>
      </c>
      <c r="J16" s="5">
        <v>0.13600000000000001</v>
      </c>
      <c r="K16" s="5">
        <v>0.13400000000000001</v>
      </c>
      <c r="L16" s="5">
        <v>0.13400000000000001</v>
      </c>
      <c r="M16" s="5">
        <v>0.13600000000000001</v>
      </c>
      <c r="N16" s="5">
        <v>0.13400000000000001</v>
      </c>
      <c r="O16" s="5">
        <v>0.13400000000000001</v>
      </c>
      <c r="P16" s="5">
        <v>0.13500000000000001</v>
      </c>
      <c r="Q16" s="5">
        <v>0.13600000000000001</v>
      </c>
      <c r="R16" s="5">
        <v>0.13600000000000001</v>
      </c>
      <c r="S16" s="5">
        <v>0.13500000000000001</v>
      </c>
      <c r="T16" s="5">
        <v>0.13600000000000001</v>
      </c>
      <c r="U16" s="5">
        <v>0.13700000000000001</v>
      </c>
      <c r="V16" s="5">
        <v>0.13700000000000001</v>
      </c>
      <c r="W16" s="5">
        <v>0.13700000000000001</v>
      </c>
      <c r="X16" s="5">
        <v>0.13500000000000001</v>
      </c>
      <c r="Y16" s="5">
        <v>0.13700000000000001</v>
      </c>
      <c r="AA16" s="6" t="s">
        <v>35</v>
      </c>
      <c r="AB16" s="3">
        <v>7.853434624861505E-2</v>
      </c>
      <c r="AC16" s="3">
        <v>7.0724128002837644E-2</v>
      </c>
      <c r="AD16" s="3">
        <v>7.7005937277808828E-2</v>
      </c>
      <c r="AE16" s="3">
        <v>8.3383212701936313E-2</v>
      </c>
      <c r="AF16" s="3">
        <v>5.3710311246464887E-2</v>
      </c>
      <c r="AG16" s="3">
        <v>7.1431571548745285E-2</v>
      </c>
      <c r="AH16" s="3">
        <v>5.9809858839430477E-2</v>
      </c>
      <c r="AI16" s="3">
        <v>4.7425813886875258E-2</v>
      </c>
      <c r="AJ16" s="3">
        <v>6.528870740844353E-2</v>
      </c>
      <c r="AK16" s="3">
        <v>0.10704296049954772</v>
      </c>
      <c r="AL16" s="3">
        <v>9.9187319604144508E-2</v>
      </c>
      <c r="AM16" s="3">
        <v>6.4874398005250924E-2</v>
      </c>
      <c r="AN16" s="3">
        <v>8.4922493468431837E-2</v>
      </c>
      <c r="AO16" s="3">
        <v>9.2209999188813591E-2</v>
      </c>
      <c r="AP16" s="3">
        <v>7.0312044151980863E-2</v>
      </c>
      <c r="AQ16" s="3">
        <v>7.8308920589390499E-2</v>
      </c>
      <c r="AR16" s="3">
        <v>6.9012869614935746E-2</v>
      </c>
      <c r="AS16" s="3">
        <v>5.3824045811262364E-2</v>
      </c>
      <c r="AT16" s="3">
        <v>6.2686510374771562E-2</v>
      </c>
      <c r="AU16" s="3">
        <v>6.4680568772124386E-2</v>
      </c>
      <c r="AV16" s="3">
        <v>4.2807137066514386E-2</v>
      </c>
      <c r="AW16" s="3">
        <v>5.0932829259010201E-2</v>
      </c>
      <c r="AX16" s="3">
        <v>5.8199783748975442E-2</v>
      </c>
      <c r="AZ16" s="6" t="s">
        <v>35</v>
      </c>
      <c r="BA16" t="s">
        <v>75</v>
      </c>
      <c r="BB16" t="s">
        <v>71</v>
      </c>
      <c r="BC16" t="s">
        <v>70</v>
      </c>
      <c r="BD16" t="s">
        <v>75</v>
      </c>
      <c r="BE16" t="s">
        <v>74</v>
      </c>
      <c r="BF16" t="s">
        <v>75</v>
      </c>
      <c r="BG16" t="s">
        <v>70</v>
      </c>
      <c r="BH16" t="s">
        <v>73</v>
      </c>
      <c r="BI16" t="s">
        <v>73</v>
      </c>
      <c r="BJ16" t="s">
        <v>70</v>
      </c>
      <c r="BK16" t="s">
        <v>70</v>
      </c>
      <c r="BL16" t="s">
        <v>71</v>
      </c>
      <c r="BM16" t="s">
        <v>75</v>
      </c>
      <c r="BN16" t="s">
        <v>75</v>
      </c>
      <c r="BO16" t="s">
        <v>72</v>
      </c>
      <c r="BP16" t="s">
        <v>75</v>
      </c>
      <c r="BQ16" t="s">
        <v>70</v>
      </c>
      <c r="BR16" t="s">
        <v>72</v>
      </c>
      <c r="BS16" t="s">
        <v>70</v>
      </c>
      <c r="BT16" t="s">
        <v>74</v>
      </c>
      <c r="BU16" t="s">
        <v>72</v>
      </c>
      <c r="BV16" t="s">
        <v>70</v>
      </c>
      <c r="BW16" t="s">
        <v>71</v>
      </c>
    </row>
    <row r="17" spans="1:75" x14ac:dyDescent="0.35">
      <c r="B17" s="6" t="s">
        <v>36</v>
      </c>
      <c r="C17" s="5">
        <v>8.5999999999999993E-2</v>
      </c>
      <c r="D17" s="5">
        <v>8.4000000000000005E-2</v>
      </c>
      <c r="E17" s="5">
        <v>8.5999999999999993E-2</v>
      </c>
      <c r="F17" s="5">
        <v>8.5000000000000006E-2</v>
      </c>
      <c r="G17" s="5">
        <v>8.5999999999999993E-2</v>
      </c>
      <c r="H17" s="5">
        <v>8.5999999999999993E-2</v>
      </c>
      <c r="I17" s="5">
        <v>8.5000000000000006E-2</v>
      </c>
      <c r="J17" s="5">
        <v>8.4000000000000005E-2</v>
      </c>
      <c r="K17" s="5">
        <v>8.5000000000000006E-2</v>
      </c>
      <c r="L17" s="5">
        <v>8.5000000000000006E-2</v>
      </c>
      <c r="M17" s="5">
        <v>8.3000000000000004E-2</v>
      </c>
      <c r="N17" s="5">
        <v>8.6999999999999994E-2</v>
      </c>
      <c r="O17" s="5">
        <v>8.6999999999999994E-2</v>
      </c>
      <c r="P17" s="5">
        <v>8.4000000000000005E-2</v>
      </c>
      <c r="Q17" s="5">
        <v>8.3000000000000004E-2</v>
      </c>
      <c r="R17" s="5">
        <v>8.4000000000000005E-2</v>
      </c>
      <c r="S17" s="5">
        <v>8.5000000000000006E-2</v>
      </c>
      <c r="T17" s="5">
        <v>8.3000000000000004E-2</v>
      </c>
      <c r="U17" s="5">
        <v>8.3000000000000004E-2</v>
      </c>
      <c r="V17" s="5">
        <v>8.3000000000000004E-2</v>
      </c>
      <c r="W17" s="5">
        <v>8.3000000000000004E-2</v>
      </c>
      <c r="X17" s="5">
        <v>8.4000000000000005E-2</v>
      </c>
      <c r="Y17" s="5">
        <v>8.3000000000000004E-2</v>
      </c>
      <c r="AA17" s="6" t="s">
        <v>36</v>
      </c>
      <c r="AB17" s="3">
        <v>7.0866779564264001E-2</v>
      </c>
      <c r="AC17" s="3">
        <v>6.3056561318486595E-2</v>
      </c>
      <c r="AD17" s="3">
        <v>6.9338370593457779E-2</v>
      </c>
      <c r="AE17" s="3">
        <v>7.5715646017585264E-2</v>
      </c>
      <c r="AF17" s="3">
        <v>4.6042744562113838E-2</v>
      </c>
      <c r="AG17" s="3">
        <v>6.3764004864394236E-2</v>
      </c>
      <c r="AH17" s="3">
        <v>5.2142292155079428E-2</v>
      </c>
      <c r="AI17" s="3">
        <v>3.9758247202524209E-2</v>
      </c>
      <c r="AJ17" s="3">
        <v>5.7621140724092482E-2</v>
      </c>
      <c r="AK17" s="3">
        <v>9.9375393815196666E-2</v>
      </c>
      <c r="AL17" s="3">
        <v>9.151975291979346E-2</v>
      </c>
      <c r="AM17" s="3">
        <v>5.7206831320899876E-2</v>
      </c>
      <c r="AN17" s="3">
        <v>7.7254926784080788E-2</v>
      </c>
      <c r="AO17" s="3">
        <v>8.4542432504462542E-2</v>
      </c>
      <c r="AP17" s="3">
        <v>6.2644477467629814E-2</v>
      </c>
      <c r="AQ17" s="3">
        <v>7.064135390503945E-2</v>
      </c>
      <c r="AR17" s="3">
        <v>6.1345302930584697E-2</v>
      </c>
      <c r="AS17" s="3">
        <v>4.6156479126911315E-2</v>
      </c>
      <c r="AT17" s="3">
        <v>5.5018943690420513E-2</v>
      </c>
      <c r="AU17" s="3">
        <v>5.7013002087773337E-2</v>
      </c>
      <c r="AV17" s="3">
        <v>3.5139570382163338E-2</v>
      </c>
      <c r="AW17" s="3">
        <v>4.3265262574659152E-2</v>
      </c>
      <c r="AX17" s="3">
        <v>5.0532217064624393E-2</v>
      </c>
      <c r="AZ17" s="6" t="s">
        <v>36</v>
      </c>
      <c r="BA17" t="s">
        <v>75</v>
      </c>
      <c r="BB17" t="s">
        <v>72</v>
      </c>
      <c r="BC17" t="s">
        <v>76</v>
      </c>
      <c r="BD17" t="s">
        <v>71</v>
      </c>
      <c r="BE17" t="s">
        <v>73</v>
      </c>
      <c r="BF17" t="s">
        <v>76</v>
      </c>
      <c r="BG17" t="s">
        <v>73</v>
      </c>
      <c r="BH17" t="s">
        <v>73</v>
      </c>
      <c r="BI17" t="s">
        <v>71</v>
      </c>
      <c r="BJ17" t="s">
        <v>74</v>
      </c>
      <c r="BK17" t="s">
        <v>74</v>
      </c>
      <c r="BL17" t="s">
        <v>70</v>
      </c>
      <c r="BM17" t="s">
        <v>75</v>
      </c>
      <c r="BN17" t="s">
        <v>70</v>
      </c>
      <c r="BO17" t="s">
        <v>75</v>
      </c>
      <c r="BP17" t="s">
        <v>70</v>
      </c>
      <c r="BQ17" t="s">
        <v>71</v>
      </c>
      <c r="BR17" t="s">
        <v>70</v>
      </c>
      <c r="BS17" t="s">
        <v>72</v>
      </c>
      <c r="BT17" t="s">
        <v>75</v>
      </c>
      <c r="BU17" t="s">
        <v>74</v>
      </c>
      <c r="BV17" t="s">
        <v>72</v>
      </c>
      <c r="BW17" t="s">
        <v>70</v>
      </c>
    </row>
    <row r="18" spans="1:75" x14ac:dyDescent="0.35">
      <c r="A18" s="4"/>
      <c r="B18" s="6" t="s">
        <v>37</v>
      </c>
      <c r="C18" s="5">
        <v>0.155</v>
      </c>
      <c r="D18" s="5">
        <v>0.156</v>
      </c>
      <c r="E18" s="5">
        <v>0.154</v>
      </c>
      <c r="F18" s="5">
        <v>0.155</v>
      </c>
      <c r="G18" s="5">
        <v>0.155</v>
      </c>
      <c r="H18" s="5">
        <v>0.155</v>
      </c>
      <c r="I18" s="5">
        <v>0.155</v>
      </c>
      <c r="J18" s="5">
        <v>0.157</v>
      </c>
      <c r="K18" s="5">
        <v>0.155</v>
      </c>
      <c r="L18" s="5">
        <v>0.155</v>
      </c>
      <c r="M18" s="5">
        <v>0.156</v>
      </c>
      <c r="N18" s="5">
        <v>0.154</v>
      </c>
      <c r="O18" s="5">
        <v>0.154</v>
      </c>
      <c r="P18" s="5">
        <v>0.157</v>
      </c>
      <c r="Q18" s="5">
        <v>0.157</v>
      </c>
      <c r="R18" s="5">
        <v>0.156</v>
      </c>
      <c r="S18" s="5">
        <v>0.154</v>
      </c>
      <c r="T18" s="5">
        <v>0.157</v>
      </c>
      <c r="U18" s="5">
        <v>0.156</v>
      </c>
      <c r="V18" s="5">
        <v>0.157</v>
      </c>
      <c r="W18" s="5">
        <v>0.156</v>
      </c>
      <c r="X18" s="5">
        <v>0.156</v>
      </c>
      <c r="Y18" s="5">
        <v>0.157</v>
      </c>
      <c r="AA18" s="6" t="s">
        <v>37</v>
      </c>
      <c r="AB18" s="3">
        <v>9.9052053990502154E-2</v>
      </c>
      <c r="AC18" s="3">
        <v>9.1241835744724747E-2</v>
      </c>
      <c r="AD18" s="3">
        <v>9.7523645019695931E-2</v>
      </c>
      <c r="AE18" s="3">
        <v>0.10390092044382342</v>
      </c>
      <c r="AF18" s="3">
        <v>7.422801898835199E-2</v>
      </c>
      <c r="AG18" s="3">
        <v>9.1949279290632388E-2</v>
      </c>
      <c r="AH18" s="3">
        <v>8.032756658131758E-2</v>
      </c>
      <c r="AI18" s="3">
        <v>6.7943521628762354E-2</v>
      </c>
      <c r="AJ18" s="3">
        <v>8.5806415150330634E-2</v>
      </c>
      <c r="AK18" s="3">
        <v>0.1275606682414348</v>
      </c>
      <c r="AL18" s="3">
        <v>0.11970502734603161</v>
      </c>
      <c r="AM18" s="3">
        <v>8.5392105747138028E-2</v>
      </c>
      <c r="AN18" s="3">
        <v>0.10544020121031894</v>
      </c>
      <c r="AO18" s="3">
        <v>0.11272770693070069</v>
      </c>
      <c r="AP18" s="3">
        <v>9.0829751893867966E-2</v>
      </c>
      <c r="AQ18" s="3">
        <v>9.8826628331277602E-2</v>
      </c>
      <c r="AR18" s="3">
        <v>8.9530577356822849E-2</v>
      </c>
      <c r="AS18" s="3">
        <v>7.4341753553149467E-2</v>
      </c>
      <c r="AT18" s="3">
        <v>8.3204218116658665E-2</v>
      </c>
      <c r="AU18" s="3">
        <v>8.5198276514011489E-2</v>
      </c>
      <c r="AV18" s="3">
        <v>6.332484480840149E-2</v>
      </c>
      <c r="AW18" s="3">
        <v>7.1450537000897305E-2</v>
      </c>
      <c r="AX18" s="3">
        <v>7.8717491490862546E-2</v>
      </c>
      <c r="AZ18" s="6" t="s">
        <v>37</v>
      </c>
      <c r="BA18" t="s">
        <v>72</v>
      </c>
      <c r="BB18" t="s">
        <v>72</v>
      </c>
      <c r="BC18" t="s">
        <v>74</v>
      </c>
      <c r="BD18" t="s">
        <v>76</v>
      </c>
      <c r="BE18" t="s">
        <v>75</v>
      </c>
      <c r="BF18" t="s">
        <v>74</v>
      </c>
      <c r="BG18" t="s">
        <v>71</v>
      </c>
      <c r="BH18" t="s">
        <v>76</v>
      </c>
      <c r="BI18" t="s">
        <v>76</v>
      </c>
      <c r="BJ18" t="s">
        <v>72</v>
      </c>
      <c r="BK18" t="s">
        <v>74</v>
      </c>
      <c r="BL18" t="s">
        <v>72</v>
      </c>
      <c r="BM18" t="s">
        <v>74</v>
      </c>
      <c r="BN18" t="s">
        <v>70</v>
      </c>
      <c r="BO18" t="s">
        <v>74</v>
      </c>
      <c r="BP18" t="s">
        <v>72</v>
      </c>
      <c r="BQ18" t="s">
        <v>76</v>
      </c>
      <c r="BR18" t="s">
        <v>75</v>
      </c>
      <c r="BS18" t="s">
        <v>71</v>
      </c>
      <c r="BT18" t="s">
        <v>74</v>
      </c>
      <c r="BU18" t="s">
        <v>76</v>
      </c>
      <c r="BV18" t="s">
        <v>75</v>
      </c>
      <c r="BW18" t="s">
        <v>72</v>
      </c>
    </row>
    <row r="19" spans="1:75" x14ac:dyDescent="0.35">
      <c r="A19" s="4"/>
      <c r="B19" s="6" t="s">
        <v>38</v>
      </c>
      <c r="C19" s="5">
        <v>0.154</v>
      </c>
      <c r="D19" s="5">
        <v>0.155</v>
      </c>
      <c r="E19" s="5">
        <v>0.155</v>
      </c>
      <c r="F19" s="5">
        <v>0.155</v>
      </c>
      <c r="G19" s="5">
        <v>0.155</v>
      </c>
      <c r="H19" s="5">
        <v>0.155</v>
      </c>
      <c r="I19" s="5">
        <v>0.155</v>
      </c>
      <c r="J19" s="5">
        <v>0.155</v>
      </c>
      <c r="K19" s="5">
        <v>0.155</v>
      </c>
      <c r="L19" s="5">
        <v>0.155</v>
      </c>
      <c r="M19" s="5">
        <v>0.156</v>
      </c>
      <c r="N19" s="5">
        <v>0.155</v>
      </c>
      <c r="O19" s="5">
        <v>0.155</v>
      </c>
      <c r="P19" s="5">
        <v>0.155</v>
      </c>
      <c r="Q19" s="5">
        <v>0.156</v>
      </c>
      <c r="R19" s="5">
        <v>0.155</v>
      </c>
      <c r="S19" s="5">
        <v>0.156</v>
      </c>
      <c r="T19" s="5">
        <v>0.155</v>
      </c>
      <c r="U19" s="5">
        <v>0.155</v>
      </c>
      <c r="V19" s="5">
        <v>0.155</v>
      </c>
      <c r="W19" s="5">
        <v>0.155</v>
      </c>
      <c r="X19" s="5">
        <v>0.155</v>
      </c>
      <c r="Y19" s="5">
        <v>0.155</v>
      </c>
      <c r="AA19" s="6" t="s">
        <v>38</v>
      </c>
      <c r="AB19" s="3">
        <v>6.4485000616478189E-2</v>
      </c>
      <c r="AC19" s="3">
        <v>5.6674782370700776E-2</v>
      </c>
      <c r="AD19" s="3">
        <v>6.2956591645671967E-2</v>
      </c>
      <c r="AE19" s="3">
        <v>6.9333867069799437E-2</v>
      </c>
      <c r="AF19" s="3">
        <v>3.9660965614328018E-2</v>
      </c>
      <c r="AG19" s="3">
        <v>5.7382225916608416E-2</v>
      </c>
      <c r="AH19" s="3">
        <v>4.5760513207293609E-2</v>
      </c>
      <c r="AI19" s="3">
        <v>3.337646825473839E-2</v>
      </c>
      <c r="AJ19" s="3">
        <v>5.1239361776306662E-2</v>
      </c>
      <c r="AK19" s="3">
        <v>9.299361486741084E-2</v>
      </c>
      <c r="AL19" s="3">
        <v>8.5137973972007647E-2</v>
      </c>
      <c r="AM19" s="3">
        <v>5.0825052373114056E-2</v>
      </c>
      <c r="AN19" s="3">
        <v>7.0873147836294975E-2</v>
      </c>
      <c r="AO19" s="3">
        <v>7.8160653556676729E-2</v>
      </c>
      <c r="AP19" s="3">
        <v>5.6262698519843994E-2</v>
      </c>
      <c r="AQ19" s="3">
        <v>6.4259574957253623E-2</v>
      </c>
      <c r="AR19" s="3">
        <v>5.4963523982798877E-2</v>
      </c>
      <c r="AS19" s="3">
        <v>3.9774700179125495E-2</v>
      </c>
      <c r="AT19" s="3">
        <v>4.8637164742634693E-2</v>
      </c>
      <c r="AU19" s="3">
        <v>5.0631223139987518E-2</v>
      </c>
      <c r="AV19" s="3">
        <v>2.8757791434377518E-2</v>
      </c>
      <c r="AW19" s="3">
        <v>3.6883483626873333E-2</v>
      </c>
      <c r="AX19" s="3">
        <v>4.4150438116838574E-2</v>
      </c>
      <c r="AZ19" s="6" t="s">
        <v>38</v>
      </c>
      <c r="BA19" t="s">
        <v>73</v>
      </c>
      <c r="BB19" t="s">
        <v>70</v>
      </c>
      <c r="BC19" t="s">
        <v>75</v>
      </c>
      <c r="BD19" t="s">
        <v>75</v>
      </c>
      <c r="BE19" t="s">
        <v>75</v>
      </c>
      <c r="BF19" t="s">
        <v>75</v>
      </c>
      <c r="BG19" t="s">
        <v>71</v>
      </c>
      <c r="BH19" t="s">
        <v>74</v>
      </c>
      <c r="BI19" t="s">
        <v>72</v>
      </c>
      <c r="BJ19" t="s">
        <v>70</v>
      </c>
      <c r="BK19" t="s">
        <v>75</v>
      </c>
      <c r="BL19" t="s">
        <v>72</v>
      </c>
      <c r="BM19" t="s">
        <v>72</v>
      </c>
      <c r="BN19" t="s">
        <v>72</v>
      </c>
      <c r="BO19" t="s">
        <v>75</v>
      </c>
      <c r="BP19" t="s">
        <v>73</v>
      </c>
      <c r="BQ19" t="s">
        <v>74</v>
      </c>
      <c r="BR19" t="s">
        <v>75</v>
      </c>
      <c r="BS19" t="s">
        <v>74</v>
      </c>
      <c r="BT19" t="s">
        <v>70</v>
      </c>
      <c r="BU19" t="s">
        <v>71</v>
      </c>
      <c r="BV19" t="s">
        <v>71</v>
      </c>
      <c r="BW19" t="s">
        <v>73</v>
      </c>
    </row>
    <row r="20" spans="1:75" x14ac:dyDescent="0.35">
      <c r="A20" s="4"/>
      <c r="B20" s="18" t="s">
        <v>39</v>
      </c>
      <c r="C20" s="5">
        <v>0.115</v>
      </c>
      <c r="D20" s="5">
        <v>0.107</v>
      </c>
      <c r="E20" s="5">
        <v>0.11600000000000001</v>
      </c>
      <c r="F20" s="5">
        <v>0.109</v>
      </c>
      <c r="G20" s="5">
        <v>0.10199999999999999</v>
      </c>
      <c r="H20" s="5">
        <v>0.112</v>
      </c>
      <c r="I20" s="5">
        <v>0.10100000000000001</v>
      </c>
      <c r="J20" s="5">
        <v>0.1</v>
      </c>
      <c r="K20" s="5">
        <v>0.11</v>
      </c>
      <c r="L20" s="5">
        <v>0.105</v>
      </c>
      <c r="M20" s="5">
        <v>9.8000000000000004E-2</v>
      </c>
      <c r="N20" s="5">
        <v>0.114</v>
      </c>
      <c r="O20" s="5">
        <v>0.113</v>
      </c>
      <c r="P20" s="5">
        <v>9.6000000000000002E-2</v>
      </c>
      <c r="Q20" s="5">
        <v>0.107</v>
      </c>
      <c r="R20" s="5">
        <v>9.4E-2</v>
      </c>
      <c r="S20" s="5">
        <v>0.1</v>
      </c>
      <c r="T20" s="5">
        <v>9.5000000000000001E-2</v>
      </c>
      <c r="U20" s="5">
        <v>0.09</v>
      </c>
      <c r="V20" s="5">
        <v>9.4E-2</v>
      </c>
      <c r="W20" s="5">
        <v>9.1999999999999998E-2</v>
      </c>
      <c r="X20" s="5">
        <v>9.7000000000000003E-2</v>
      </c>
      <c r="Y20" s="5">
        <v>0.09</v>
      </c>
      <c r="AA20" s="18" t="s">
        <v>39</v>
      </c>
      <c r="AB20" s="31">
        <f>SUMPRODUCT(AB21:AB25,C21:C25)</f>
        <v>0.11623426713083326</v>
      </c>
      <c r="AC20" s="31">
        <f t="shared" ref="AC20:AX20" si="6">SUMPRODUCT(AC21:AC25,D21:D25)</f>
        <v>0.10815879881975693</v>
      </c>
      <c r="AD20" s="31">
        <f t="shared" si="6"/>
        <v>0.11468242934510714</v>
      </c>
      <c r="AE20" s="31">
        <f t="shared" si="6"/>
        <v>0.12082942756974602</v>
      </c>
      <c r="AF20" s="31">
        <f t="shared" si="6"/>
        <v>9.1139322143520871E-2</v>
      </c>
      <c r="AG20" s="31">
        <f t="shared" si="6"/>
        <v>0.10881396423593465</v>
      </c>
      <c r="AH20" s="31">
        <f t="shared" si="6"/>
        <v>9.7058364975185177E-2</v>
      </c>
      <c r="AI20" s="31">
        <f t="shared" si="6"/>
        <v>8.4758493455474135E-2</v>
      </c>
      <c r="AJ20" s="31">
        <f t="shared" si="6"/>
        <v>0.10293911096433667</v>
      </c>
      <c r="AK20" s="31">
        <f t="shared" si="6"/>
        <v>0.14453899158166919</v>
      </c>
      <c r="AL20" s="31">
        <f t="shared" si="6"/>
        <v>0.13628401827726702</v>
      </c>
      <c r="AM20" s="31">
        <f t="shared" si="6"/>
        <v>0.10281890094125301</v>
      </c>
      <c r="AN20" s="31">
        <f t="shared" si="6"/>
        <v>0.12247637189240423</v>
      </c>
      <c r="AO20" s="31">
        <f t="shared" si="6"/>
        <v>0.12948158963499198</v>
      </c>
      <c r="AP20" s="31">
        <f t="shared" si="6"/>
        <v>0.10756027914495389</v>
      </c>
      <c r="AQ20" s="31">
        <f t="shared" si="6"/>
        <v>0.1156299234257876</v>
      </c>
      <c r="AR20" s="31">
        <f t="shared" si="6"/>
        <v>0.10655270009903046</v>
      </c>
      <c r="AS20" s="31">
        <f t="shared" si="6"/>
        <v>9.093787509342402E-2</v>
      </c>
      <c r="AT20" s="31">
        <f t="shared" si="6"/>
        <v>0.10002784711736475</v>
      </c>
      <c r="AU20" s="31">
        <f t="shared" si="6"/>
        <v>0.10200157160852145</v>
      </c>
      <c r="AV20" s="31">
        <f t="shared" si="6"/>
        <v>8.004082759897263E-2</v>
      </c>
      <c r="AW20" s="31">
        <f t="shared" si="6"/>
        <v>8.8405639558039456E-2</v>
      </c>
      <c r="AX20" s="31">
        <f t="shared" si="6"/>
        <v>9.5541120491568626E-2</v>
      </c>
      <c r="AZ20" s="18" t="s">
        <v>39</v>
      </c>
      <c r="BA20" t="s">
        <v>71</v>
      </c>
      <c r="BB20" t="s">
        <v>73</v>
      </c>
      <c r="BC20" t="s">
        <v>75</v>
      </c>
      <c r="BD20" t="s">
        <v>73</v>
      </c>
      <c r="BE20" t="s">
        <v>70</v>
      </c>
      <c r="BF20" t="s">
        <v>72</v>
      </c>
      <c r="BG20" t="s">
        <v>72</v>
      </c>
      <c r="BH20" t="s">
        <v>75</v>
      </c>
      <c r="BI20" t="s">
        <v>74</v>
      </c>
      <c r="BJ20" t="s">
        <v>76</v>
      </c>
      <c r="BK20" t="s">
        <v>72</v>
      </c>
      <c r="BL20" t="s">
        <v>74</v>
      </c>
      <c r="BM20" t="s">
        <v>70</v>
      </c>
      <c r="BN20" t="s">
        <v>74</v>
      </c>
      <c r="BO20" t="s">
        <v>76</v>
      </c>
      <c r="BP20" t="s">
        <v>75</v>
      </c>
      <c r="BQ20" t="s">
        <v>75</v>
      </c>
      <c r="BR20" t="s">
        <v>73</v>
      </c>
      <c r="BS20" t="s">
        <v>71</v>
      </c>
      <c r="BT20" t="s">
        <v>74</v>
      </c>
      <c r="BU20" t="s">
        <v>73</v>
      </c>
      <c r="BV20" t="s">
        <v>73</v>
      </c>
      <c r="BW20" t="s">
        <v>73</v>
      </c>
    </row>
    <row r="21" spans="1:75" x14ac:dyDescent="0.35">
      <c r="B21" s="6" t="s">
        <v>40</v>
      </c>
      <c r="C21" s="7">
        <f>1-SUM(C22:C25)</f>
        <v>0.26100000000000001</v>
      </c>
      <c r="D21" s="7">
        <f t="shared" ref="D21:Y21" si="7">1-SUM(D22:D25)</f>
        <v>0.26200000000000001</v>
      </c>
      <c r="E21" s="7">
        <f t="shared" si="7"/>
        <v>0.25900000000000001</v>
      </c>
      <c r="F21" s="7">
        <f t="shared" si="7"/>
        <v>0.25700000000000001</v>
      </c>
      <c r="G21" s="7">
        <f t="shared" si="7"/>
        <v>0.255</v>
      </c>
      <c r="H21" s="7">
        <f t="shared" si="7"/>
        <v>0.25900000000000001</v>
      </c>
      <c r="I21" s="7">
        <f t="shared" si="7"/>
        <v>0.25700000000000001</v>
      </c>
      <c r="J21" s="7">
        <f t="shared" si="7"/>
        <v>0.2599999999999999</v>
      </c>
      <c r="K21" s="7">
        <f t="shared" si="7"/>
        <v>0.26300000000000001</v>
      </c>
      <c r="L21" s="7">
        <f t="shared" si="7"/>
        <v>0.25700000000000001</v>
      </c>
      <c r="M21" s="7">
        <f t="shared" si="7"/>
        <v>0.25500000000000012</v>
      </c>
      <c r="N21" s="7">
        <f t="shared" si="7"/>
        <v>0.26300000000000001</v>
      </c>
      <c r="O21" s="7">
        <f t="shared" si="7"/>
        <v>0.25700000000000001</v>
      </c>
      <c r="P21" s="7">
        <f t="shared" si="7"/>
        <v>0.26</v>
      </c>
      <c r="Q21" s="7">
        <f t="shared" si="7"/>
        <v>0.26200000000000001</v>
      </c>
      <c r="R21" s="7">
        <f t="shared" si="7"/>
        <v>0.25599999999999989</v>
      </c>
      <c r="S21" s="7">
        <f t="shared" si="7"/>
        <v>0.2599999999999999</v>
      </c>
      <c r="T21" s="7">
        <f t="shared" si="7"/>
        <v>0.253</v>
      </c>
      <c r="U21" s="7">
        <f t="shared" si="7"/>
        <v>0.25500000000000012</v>
      </c>
      <c r="V21" s="7">
        <f t="shared" si="7"/>
        <v>0.25599999999999989</v>
      </c>
      <c r="W21" s="7">
        <f t="shared" si="7"/>
        <v>0.26100000000000012</v>
      </c>
      <c r="X21" s="7">
        <f t="shared" si="7"/>
        <v>0.25800000000000001</v>
      </c>
      <c r="Y21" s="7">
        <f t="shared" si="7"/>
        <v>0.25500000000000012</v>
      </c>
      <c r="AA21" s="6" t="s">
        <v>40</v>
      </c>
      <c r="AB21" s="19">
        <v>0.12299017055661216</v>
      </c>
      <c r="AC21" s="19">
        <v>0.11517995231083475</v>
      </c>
      <c r="AD21" s="19">
        <v>0.12146176158580593</v>
      </c>
      <c r="AE21" s="19">
        <v>0.12783903700993343</v>
      </c>
      <c r="AF21" s="19">
        <v>9.8166135554461992E-2</v>
      </c>
      <c r="AG21" s="19">
        <v>0.11588739585674239</v>
      </c>
      <c r="AH21" s="19">
        <v>0.10426568314742758</v>
      </c>
      <c r="AI21" s="19">
        <v>9.1881638194872356E-2</v>
      </c>
      <c r="AJ21" s="19">
        <v>0.10974453171644064</v>
      </c>
      <c r="AK21" s="19">
        <v>0.15149878480754481</v>
      </c>
      <c r="AL21" s="19">
        <v>0.14364314391214161</v>
      </c>
      <c r="AM21" s="19">
        <v>0.10933022231324803</v>
      </c>
      <c r="AN21" s="19">
        <v>0.12937831777642894</v>
      </c>
      <c r="AO21" s="19">
        <v>0.1366658234968107</v>
      </c>
      <c r="AP21" s="19">
        <v>0.11476786845997797</v>
      </c>
      <c r="AQ21" s="19">
        <v>0.1227647448973876</v>
      </c>
      <c r="AR21" s="19">
        <v>0.11346869392293285</v>
      </c>
      <c r="AS21" s="19">
        <v>9.8279870119259469E-2</v>
      </c>
      <c r="AT21" s="19">
        <v>0.10714233468276867</v>
      </c>
      <c r="AU21" s="19">
        <v>0.10913639308012149</v>
      </c>
      <c r="AV21" s="19">
        <v>8.7262961374511491E-2</v>
      </c>
      <c r="AW21" s="19">
        <v>9.5388653567007306E-2</v>
      </c>
      <c r="AX21" s="19">
        <v>0.10265560805697255</v>
      </c>
      <c r="AZ21" s="6" t="s">
        <v>40</v>
      </c>
      <c r="BA21" t="s">
        <v>71</v>
      </c>
      <c r="BB21" t="s">
        <v>76</v>
      </c>
      <c r="BC21" t="s">
        <v>74</v>
      </c>
      <c r="BD21" t="s">
        <v>71</v>
      </c>
      <c r="BE21" t="s">
        <v>76</v>
      </c>
      <c r="BF21" t="s">
        <v>76</v>
      </c>
      <c r="BG21" t="s">
        <v>75</v>
      </c>
      <c r="BH21" t="s">
        <v>72</v>
      </c>
      <c r="BI21" t="s">
        <v>76</v>
      </c>
      <c r="BJ21" t="s">
        <v>76</v>
      </c>
      <c r="BK21" t="s">
        <v>76</v>
      </c>
      <c r="BL21" t="s">
        <v>76</v>
      </c>
      <c r="BM21" t="s">
        <v>74</v>
      </c>
      <c r="BN21" t="s">
        <v>72</v>
      </c>
      <c r="BO21" t="s">
        <v>75</v>
      </c>
      <c r="BP21" t="s">
        <v>74</v>
      </c>
      <c r="BQ21" t="s">
        <v>71</v>
      </c>
      <c r="BR21" t="s">
        <v>75</v>
      </c>
      <c r="BS21" t="s">
        <v>71</v>
      </c>
      <c r="BT21" t="s">
        <v>71</v>
      </c>
      <c r="BU21" t="s">
        <v>72</v>
      </c>
      <c r="BV21" t="s">
        <v>71</v>
      </c>
      <c r="BW21" t="s">
        <v>71</v>
      </c>
    </row>
    <row r="22" spans="1:75" x14ac:dyDescent="0.35">
      <c r="A22" s="4"/>
      <c r="B22" s="6" t="s">
        <v>82</v>
      </c>
      <c r="C22" s="5">
        <v>0.217</v>
      </c>
      <c r="D22" s="5">
        <v>0.20499999999999999</v>
      </c>
      <c r="E22" s="5">
        <v>0.215</v>
      </c>
      <c r="F22" s="5">
        <v>0.21099999999999999</v>
      </c>
      <c r="G22" s="5">
        <v>0.20599999999999999</v>
      </c>
      <c r="H22" s="5">
        <v>0.20499999999999999</v>
      </c>
      <c r="I22" s="5">
        <v>0.19900000000000001</v>
      </c>
      <c r="J22" s="5">
        <v>0.2</v>
      </c>
      <c r="K22" s="5">
        <v>0.20899999999999999</v>
      </c>
      <c r="L22" s="5">
        <v>0.21</v>
      </c>
      <c r="M22" s="5">
        <v>0.19500000000000001</v>
      </c>
      <c r="N22" s="5">
        <v>0.219</v>
      </c>
      <c r="O22" s="5">
        <v>0.21199999999999999</v>
      </c>
      <c r="P22" s="5">
        <v>0.19800000000000001</v>
      </c>
      <c r="Q22" s="5">
        <v>0.19600000000000001</v>
      </c>
      <c r="R22" s="5">
        <v>0.20200000000000001</v>
      </c>
      <c r="S22" s="5">
        <v>0.21</v>
      </c>
      <c r="T22" s="5">
        <v>0.2</v>
      </c>
      <c r="U22" s="5">
        <v>0.2</v>
      </c>
      <c r="V22" s="5">
        <v>0.20200000000000001</v>
      </c>
      <c r="W22" s="5">
        <v>0.19600000000000001</v>
      </c>
      <c r="X22" s="5">
        <v>0.20599999999999999</v>
      </c>
      <c r="Y22" s="5">
        <v>0.2</v>
      </c>
      <c r="AA22" s="6" t="s">
        <v>82</v>
      </c>
      <c r="AB22" s="3">
        <v>0.13493804554008684</v>
      </c>
      <c r="AC22" s="3">
        <v>0.12712782729430944</v>
      </c>
      <c r="AD22" s="3">
        <v>0.13340963656928062</v>
      </c>
      <c r="AE22" s="3">
        <v>0.13978691199340809</v>
      </c>
      <c r="AF22" s="3">
        <v>0.11011401053793668</v>
      </c>
      <c r="AG22" s="3">
        <v>0.12783527084021706</v>
      </c>
      <c r="AH22" s="3">
        <v>0.11621355813090227</v>
      </c>
      <c r="AI22" s="3">
        <v>0.10382951317834704</v>
      </c>
      <c r="AJ22" s="3">
        <v>0.12169240669991532</v>
      </c>
      <c r="AK22" s="3">
        <v>0.16344665979101952</v>
      </c>
      <c r="AL22" s="3">
        <v>0.1555910188956163</v>
      </c>
      <c r="AM22" s="3">
        <v>0.12127809729672272</v>
      </c>
      <c r="AN22" s="3">
        <v>0.14132619275990363</v>
      </c>
      <c r="AO22" s="3">
        <v>0.14861369848028538</v>
      </c>
      <c r="AP22" s="3">
        <v>0.12671574344345266</v>
      </c>
      <c r="AQ22" s="3">
        <v>0.13471261988086231</v>
      </c>
      <c r="AR22" s="3">
        <v>0.12541656890640754</v>
      </c>
      <c r="AS22" s="3">
        <v>0.11022774510273416</v>
      </c>
      <c r="AT22" s="3">
        <v>0.11909020966624335</v>
      </c>
      <c r="AU22" s="3">
        <v>0.12108426806359618</v>
      </c>
      <c r="AV22" s="3">
        <v>9.9210836357986179E-2</v>
      </c>
      <c r="AW22" s="3">
        <v>0.10733652855048199</v>
      </c>
      <c r="AX22" s="3">
        <v>0.11460348304044723</v>
      </c>
      <c r="AZ22" s="6" t="s">
        <v>82</v>
      </c>
      <c r="BA22" t="s">
        <v>75</v>
      </c>
      <c r="BB22" t="s">
        <v>72</v>
      </c>
      <c r="BC22" t="s">
        <v>76</v>
      </c>
      <c r="BD22" t="s">
        <v>76</v>
      </c>
      <c r="BE22" t="s">
        <v>73</v>
      </c>
      <c r="BF22" t="s">
        <v>73</v>
      </c>
      <c r="BG22" t="s">
        <v>74</v>
      </c>
      <c r="BH22" t="s">
        <v>72</v>
      </c>
      <c r="BI22" t="s">
        <v>70</v>
      </c>
      <c r="BJ22" t="s">
        <v>73</v>
      </c>
      <c r="BK22" t="s">
        <v>72</v>
      </c>
      <c r="BL22" t="s">
        <v>71</v>
      </c>
      <c r="BM22" t="s">
        <v>76</v>
      </c>
      <c r="BN22" t="s">
        <v>74</v>
      </c>
      <c r="BO22" t="s">
        <v>76</v>
      </c>
      <c r="BP22" t="s">
        <v>71</v>
      </c>
      <c r="BQ22" t="s">
        <v>74</v>
      </c>
      <c r="BR22" t="s">
        <v>73</v>
      </c>
      <c r="BS22" t="s">
        <v>74</v>
      </c>
      <c r="BT22" t="s">
        <v>73</v>
      </c>
      <c r="BU22" t="s">
        <v>76</v>
      </c>
      <c r="BV22" t="s">
        <v>75</v>
      </c>
      <c r="BW22" t="s">
        <v>71</v>
      </c>
    </row>
    <row r="23" spans="1:75" x14ac:dyDescent="0.35">
      <c r="A23" s="4"/>
      <c r="B23" s="6" t="s">
        <v>41</v>
      </c>
      <c r="C23" s="5">
        <v>0.16500000000000001</v>
      </c>
      <c r="D23" s="5">
        <v>0.16800000000000001</v>
      </c>
      <c r="E23" s="5">
        <v>0.16400000000000001</v>
      </c>
      <c r="F23" s="5">
        <v>0.17399999999999999</v>
      </c>
      <c r="G23" s="5">
        <v>0.16600000000000001</v>
      </c>
      <c r="H23" s="5">
        <v>0.17</v>
      </c>
      <c r="I23" s="5">
        <v>0.16800000000000001</v>
      </c>
      <c r="J23" s="5">
        <v>0.17</v>
      </c>
      <c r="K23" s="5">
        <v>0.16400000000000001</v>
      </c>
      <c r="L23" s="5">
        <v>0.17100000000000001</v>
      </c>
      <c r="M23" s="5">
        <v>0.17299999999999999</v>
      </c>
      <c r="N23" s="5">
        <v>0.158</v>
      </c>
      <c r="O23" s="5">
        <v>0.16800000000000001</v>
      </c>
      <c r="P23" s="5">
        <v>0.16700000000000001</v>
      </c>
      <c r="Q23" s="5">
        <v>0.16800000000000001</v>
      </c>
      <c r="R23" s="5">
        <v>0.17</v>
      </c>
      <c r="S23" s="5">
        <v>0.17</v>
      </c>
      <c r="T23" s="5">
        <v>0.17899999999999999</v>
      </c>
      <c r="U23" s="5">
        <v>0.16700000000000001</v>
      </c>
      <c r="V23" s="5">
        <v>0.17</v>
      </c>
      <c r="W23" s="5">
        <v>0.17399999999999999</v>
      </c>
      <c r="X23" s="5">
        <v>0.16500000000000001</v>
      </c>
      <c r="Y23" s="5">
        <v>0.16700000000000001</v>
      </c>
      <c r="AA23" s="6" t="s">
        <v>41</v>
      </c>
      <c r="AB23" s="3">
        <v>9.672520171556237E-2</v>
      </c>
      <c r="AC23" s="3">
        <v>8.8914983469784964E-2</v>
      </c>
      <c r="AD23" s="3">
        <v>9.5196792744756148E-2</v>
      </c>
      <c r="AE23" s="3">
        <v>0.10157406816888363</v>
      </c>
      <c r="AF23" s="3">
        <v>7.1901166713412207E-2</v>
      </c>
      <c r="AG23" s="3">
        <v>8.9622427015692605E-2</v>
      </c>
      <c r="AH23" s="3">
        <v>7.8000714306377797E-2</v>
      </c>
      <c r="AI23" s="3">
        <v>6.5616669353822571E-2</v>
      </c>
      <c r="AJ23" s="3">
        <v>8.347956287539085E-2</v>
      </c>
      <c r="AK23" s="3">
        <v>0.12523381596649502</v>
      </c>
      <c r="AL23" s="3">
        <v>0.11737817507109183</v>
      </c>
      <c r="AM23" s="3">
        <v>8.3065253472198244E-2</v>
      </c>
      <c r="AN23" s="3">
        <v>0.10311334893537916</v>
      </c>
      <c r="AO23" s="3">
        <v>0.11040085465576091</v>
      </c>
      <c r="AP23" s="3">
        <v>8.8502899618928182E-2</v>
      </c>
      <c r="AQ23" s="3">
        <v>9.6499776056337819E-2</v>
      </c>
      <c r="AR23" s="3">
        <v>8.7203725081883066E-2</v>
      </c>
      <c r="AS23" s="3">
        <v>7.2014901278209684E-2</v>
      </c>
      <c r="AT23" s="3">
        <v>8.0877365841718882E-2</v>
      </c>
      <c r="AU23" s="3">
        <v>8.2871424239071706E-2</v>
      </c>
      <c r="AV23" s="3">
        <v>6.0997992533461706E-2</v>
      </c>
      <c r="AW23" s="3">
        <v>6.9123684725957521E-2</v>
      </c>
      <c r="AX23" s="3">
        <v>7.6390639215922762E-2</v>
      </c>
      <c r="AZ23" s="6" t="s">
        <v>41</v>
      </c>
      <c r="BA23" t="s">
        <v>73</v>
      </c>
      <c r="BB23" t="s">
        <v>71</v>
      </c>
      <c r="BC23" t="s">
        <v>71</v>
      </c>
      <c r="BD23" t="s">
        <v>70</v>
      </c>
      <c r="BE23" t="s">
        <v>76</v>
      </c>
      <c r="BF23" t="s">
        <v>73</v>
      </c>
      <c r="BG23" t="s">
        <v>74</v>
      </c>
      <c r="BH23" t="s">
        <v>74</v>
      </c>
      <c r="BI23" t="s">
        <v>70</v>
      </c>
      <c r="BJ23" t="s">
        <v>73</v>
      </c>
      <c r="BK23" t="s">
        <v>71</v>
      </c>
      <c r="BL23" t="s">
        <v>71</v>
      </c>
      <c r="BM23" t="s">
        <v>73</v>
      </c>
      <c r="BN23" t="s">
        <v>71</v>
      </c>
      <c r="BO23" t="s">
        <v>70</v>
      </c>
      <c r="BP23" t="s">
        <v>73</v>
      </c>
      <c r="BQ23" t="s">
        <v>72</v>
      </c>
      <c r="BR23" t="s">
        <v>75</v>
      </c>
      <c r="BS23" t="s">
        <v>72</v>
      </c>
      <c r="BT23" t="s">
        <v>71</v>
      </c>
      <c r="BU23" t="s">
        <v>74</v>
      </c>
      <c r="BV23" t="s">
        <v>74</v>
      </c>
      <c r="BW23" t="s">
        <v>75</v>
      </c>
    </row>
    <row r="24" spans="1:75" x14ac:dyDescent="0.35">
      <c r="B24" s="6" t="s">
        <v>42</v>
      </c>
      <c r="C24" s="5">
        <v>0.20899999999999999</v>
      </c>
      <c r="D24" s="5">
        <v>0.20599999999999999</v>
      </c>
      <c r="E24" s="5">
        <v>0.20699999999999999</v>
      </c>
      <c r="F24" s="5">
        <v>0.20200000000000001</v>
      </c>
      <c r="G24" s="5">
        <v>0.20599999999999999</v>
      </c>
      <c r="H24" s="5">
        <v>0.20499999999999999</v>
      </c>
      <c r="I24" s="5">
        <v>0.20799999999999999</v>
      </c>
      <c r="J24" s="5">
        <v>0.2</v>
      </c>
      <c r="K24" s="5">
        <v>0.2</v>
      </c>
      <c r="L24" s="5">
        <v>0.2</v>
      </c>
      <c r="M24" s="5">
        <v>0.20399999999999999</v>
      </c>
      <c r="N24" s="5">
        <v>0.20200000000000001</v>
      </c>
      <c r="O24" s="5">
        <v>0.20399999999999999</v>
      </c>
      <c r="P24" s="5">
        <v>0.20799999999999999</v>
      </c>
      <c r="Q24" s="5">
        <v>0.20599999999999999</v>
      </c>
      <c r="R24" s="5">
        <v>0.20200000000000001</v>
      </c>
      <c r="S24" s="5">
        <v>0.2</v>
      </c>
      <c r="T24" s="5">
        <v>0.2</v>
      </c>
      <c r="U24" s="5">
        <v>0.2</v>
      </c>
      <c r="V24" s="5">
        <v>0.20200000000000001</v>
      </c>
      <c r="W24" s="5">
        <v>0.19500000000000001</v>
      </c>
      <c r="X24" s="5">
        <v>0.20599999999999999</v>
      </c>
      <c r="Y24" s="5">
        <v>0.2</v>
      </c>
      <c r="AA24" s="6" t="s">
        <v>42</v>
      </c>
      <c r="AB24" s="3">
        <v>0.10520392947223223</v>
      </c>
      <c r="AC24" s="3">
        <v>9.7393711226454821E-2</v>
      </c>
      <c r="AD24" s="3">
        <v>0.10367552050142601</v>
      </c>
      <c r="AE24" s="3">
        <v>0.11005279592555349</v>
      </c>
      <c r="AF24" s="3">
        <v>8.0379894470082064E-2</v>
      </c>
      <c r="AG24" s="3">
        <v>9.8101154772362462E-2</v>
      </c>
      <c r="AH24" s="3">
        <v>8.6479442063047654E-2</v>
      </c>
      <c r="AI24" s="3">
        <v>7.4095397110492428E-2</v>
      </c>
      <c r="AJ24" s="3">
        <v>9.1958290632060707E-2</v>
      </c>
      <c r="AK24" s="3">
        <v>0.13371254372316488</v>
      </c>
      <c r="AL24" s="3">
        <v>0.12585690282776169</v>
      </c>
      <c r="AM24" s="3">
        <v>9.1543981228868102E-2</v>
      </c>
      <c r="AN24" s="3">
        <v>0.11159207669204901</v>
      </c>
      <c r="AO24" s="3">
        <v>0.11887958241243077</v>
      </c>
      <c r="AP24" s="3">
        <v>9.698162737559804E-2</v>
      </c>
      <c r="AQ24" s="3">
        <v>0.10497850381300768</v>
      </c>
      <c r="AR24" s="3">
        <v>9.5682452838552923E-2</v>
      </c>
      <c r="AS24" s="3">
        <v>8.0493629034879541E-2</v>
      </c>
      <c r="AT24" s="3">
        <v>8.9356093598388739E-2</v>
      </c>
      <c r="AU24" s="3">
        <v>9.1350151995741563E-2</v>
      </c>
      <c r="AV24" s="3">
        <v>6.9476720290131563E-2</v>
      </c>
      <c r="AW24" s="3">
        <v>7.7602412482627378E-2</v>
      </c>
      <c r="AX24" s="3">
        <v>8.4869366972592619E-2</v>
      </c>
      <c r="AZ24" s="6" t="s">
        <v>42</v>
      </c>
      <c r="BA24" t="s">
        <v>71</v>
      </c>
      <c r="BB24" t="s">
        <v>74</v>
      </c>
      <c r="BC24" t="s">
        <v>70</v>
      </c>
      <c r="BD24" t="s">
        <v>75</v>
      </c>
      <c r="BE24" t="s">
        <v>73</v>
      </c>
      <c r="BF24" t="s">
        <v>75</v>
      </c>
      <c r="BG24" t="s">
        <v>72</v>
      </c>
      <c r="BH24" t="s">
        <v>71</v>
      </c>
      <c r="BI24" t="s">
        <v>76</v>
      </c>
      <c r="BJ24" t="s">
        <v>73</v>
      </c>
      <c r="BK24" t="s">
        <v>75</v>
      </c>
      <c r="BL24" t="s">
        <v>74</v>
      </c>
      <c r="BM24" t="s">
        <v>75</v>
      </c>
      <c r="BN24" t="s">
        <v>75</v>
      </c>
      <c r="BO24" t="s">
        <v>72</v>
      </c>
      <c r="BP24" t="s">
        <v>75</v>
      </c>
      <c r="BQ24" t="s">
        <v>76</v>
      </c>
      <c r="BR24" t="s">
        <v>76</v>
      </c>
      <c r="BS24" t="s">
        <v>70</v>
      </c>
      <c r="BT24" t="s">
        <v>72</v>
      </c>
      <c r="BU24" t="s">
        <v>70</v>
      </c>
      <c r="BV24" t="s">
        <v>70</v>
      </c>
      <c r="BW24" t="s">
        <v>70</v>
      </c>
    </row>
    <row r="25" spans="1:75" x14ac:dyDescent="0.35">
      <c r="B25" s="6" t="s">
        <v>43</v>
      </c>
      <c r="C25" s="5">
        <v>0.14799999999999999</v>
      </c>
      <c r="D25" s="5">
        <v>0.159</v>
      </c>
      <c r="E25" s="5">
        <v>0.155</v>
      </c>
      <c r="F25" s="5">
        <v>0.156</v>
      </c>
      <c r="G25" s="5">
        <v>0.16700000000000001</v>
      </c>
      <c r="H25" s="5">
        <v>0.161</v>
      </c>
      <c r="I25" s="5">
        <v>0.16800000000000001</v>
      </c>
      <c r="J25" s="5">
        <v>0.17</v>
      </c>
      <c r="K25" s="5">
        <v>0.16400000000000001</v>
      </c>
      <c r="L25" s="5">
        <v>0.16200000000000001</v>
      </c>
      <c r="M25" s="5">
        <v>0.17299999999999999</v>
      </c>
      <c r="N25" s="5">
        <v>0.158</v>
      </c>
      <c r="O25" s="5">
        <v>0.159</v>
      </c>
      <c r="P25" s="5">
        <v>0.16700000000000001</v>
      </c>
      <c r="Q25" s="5">
        <v>0.16800000000000001</v>
      </c>
      <c r="R25" s="5">
        <v>0.17</v>
      </c>
      <c r="S25" s="5">
        <v>0.16</v>
      </c>
      <c r="T25" s="5">
        <v>0.16800000000000001</v>
      </c>
      <c r="U25" s="5">
        <v>0.17799999999999999</v>
      </c>
      <c r="V25" s="5">
        <v>0.17</v>
      </c>
      <c r="W25" s="5">
        <v>0.17399999999999999</v>
      </c>
      <c r="X25" s="5">
        <v>0.16500000000000001</v>
      </c>
      <c r="Y25" s="5">
        <v>0.17799999999999999</v>
      </c>
      <c r="AA25" s="6" t="s">
        <v>43</v>
      </c>
      <c r="AB25" s="3">
        <v>0.11422295399050215</v>
      </c>
      <c r="AC25" s="3">
        <v>0.10641273574472475</v>
      </c>
      <c r="AD25" s="3">
        <v>0.11269454501969593</v>
      </c>
      <c r="AE25" s="3">
        <v>0.11907182044382342</v>
      </c>
      <c r="AF25" s="3">
        <v>8.9398918988351991E-2</v>
      </c>
      <c r="AG25" s="3">
        <v>0.10712017929063239</v>
      </c>
      <c r="AH25" s="3">
        <v>9.5498466581317581E-2</v>
      </c>
      <c r="AI25" s="3">
        <v>8.3114421628762369E-2</v>
      </c>
      <c r="AJ25" s="3">
        <v>0.10097731515033063</v>
      </c>
      <c r="AK25" s="3">
        <v>0.14273156824143482</v>
      </c>
      <c r="AL25" s="3">
        <v>0.1348759273460316</v>
      </c>
      <c r="AM25" s="3">
        <v>0.10056300574713803</v>
      </c>
      <c r="AN25" s="3">
        <v>0.12061110121031894</v>
      </c>
      <c r="AO25" s="3">
        <v>0.12789860693070071</v>
      </c>
      <c r="AP25" s="3">
        <v>0.10600065189386797</v>
      </c>
      <c r="AQ25" s="3">
        <v>0.1139975283312776</v>
      </c>
      <c r="AR25" s="3">
        <v>0.10470147735682285</v>
      </c>
      <c r="AS25" s="3">
        <v>8.9512653553149468E-2</v>
      </c>
      <c r="AT25" s="3">
        <v>9.8375118116658666E-2</v>
      </c>
      <c r="AU25" s="3">
        <v>0.10036917651401149</v>
      </c>
      <c r="AV25" s="3">
        <v>7.8495744808401491E-2</v>
      </c>
      <c r="AW25" s="3">
        <v>8.6621437000897306E-2</v>
      </c>
      <c r="AX25" s="3">
        <v>9.3888391490862547E-2</v>
      </c>
      <c r="AZ25" s="6" t="s">
        <v>43</v>
      </c>
      <c r="BA25" t="s">
        <v>72</v>
      </c>
      <c r="BB25" t="s">
        <v>72</v>
      </c>
      <c r="BC25" t="s">
        <v>70</v>
      </c>
      <c r="BD25" t="s">
        <v>75</v>
      </c>
      <c r="BE25" t="s">
        <v>76</v>
      </c>
      <c r="BF25" t="s">
        <v>73</v>
      </c>
      <c r="BG25" t="s">
        <v>71</v>
      </c>
      <c r="BH25" t="s">
        <v>75</v>
      </c>
      <c r="BI25" t="s">
        <v>71</v>
      </c>
      <c r="BJ25" t="s">
        <v>72</v>
      </c>
      <c r="BK25" t="s">
        <v>73</v>
      </c>
      <c r="BL25" t="s">
        <v>75</v>
      </c>
      <c r="BM25" t="s">
        <v>72</v>
      </c>
      <c r="BN25" t="s">
        <v>76</v>
      </c>
      <c r="BO25" t="s">
        <v>75</v>
      </c>
      <c r="BP25" t="s">
        <v>75</v>
      </c>
      <c r="BQ25" t="s">
        <v>72</v>
      </c>
      <c r="BR25" t="s">
        <v>71</v>
      </c>
      <c r="BS25" t="s">
        <v>71</v>
      </c>
      <c r="BT25" t="s">
        <v>72</v>
      </c>
      <c r="BU25" t="s">
        <v>71</v>
      </c>
      <c r="BV25" t="s">
        <v>73</v>
      </c>
      <c r="BW25" t="s">
        <v>70</v>
      </c>
    </row>
    <row r="26" spans="1:75" x14ac:dyDescent="0.35">
      <c r="A26" s="4"/>
      <c r="B26" s="18" t="s">
        <v>44</v>
      </c>
      <c r="C26" s="5">
        <v>6.9000000000000006E-2</v>
      </c>
      <c r="D26" s="5">
        <v>7.1999999999999995E-2</v>
      </c>
      <c r="E26" s="5">
        <v>6.7000000000000004E-2</v>
      </c>
      <c r="F26" s="5">
        <v>7.0999999999999994E-2</v>
      </c>
      <c r="G26" s="5">
        <v>7.2999999999999995E-2</v>
      </c>
      <c r="H26" s="5">
        <v>6.9000000000000006E-2</v>
      </c>
      <c r="I26" s="5">
        <v>7.3999999999999996E-2</v>
      </c>
      <c r="J26" s="5">
        <v>7.5999999999999998E-2</v>
      </c>
      <c r="K26" s="5">
        <v>7.0000000000000007E-2</v>
      </c>
      <c r="L26" s="5">
        <v>6.9000000000000006E-2</v>
      </c>
      <c r="M26" s="5">
        <v>7.2999999999999995E-2</v>
      </c>
      <c r="N26" s="5">
        <v>6.8000000000000005E-2</v>
      </c>
      <c r="O26" s="5">
        <v>6.7000000000000004E-2</v>
      </c>
      <c r="P26" s="5">
        <v>7.3999999999999996E-2</v>
      </c>
      <c r="Q26" s="5">
        <v>7.0999999999999994E-2</v>
      </c>
      <c r="R26" s="5">
        <v>7.4999999999999997E-2</v>
      </c>
      <c r="S26" s="5">
        <v>7.6999999999999999E-2</v>
      </c>
      <c r="T26" s="5">
        <v>7.4999999999999997E-2</v>
      </c>
      <c r="U26" s="5">
        <v>7.6999999999999999E-2</v>
      </c>
      <c r="V26" s="5">
        <v>7.4999999999999997E-2</v>
      </c>
      <c r="W26" s="5">
        <v>7.5999999999999998E-2</v>
      </c>
      <c r="X26" s="5">
        <v>7.4999999999999997E-2</v>
      </c>
      <c r="Y26" s="5">
        <v>7.6999999999999999E-2</v>
      </c>
      <c r="AA26" s="18" t="s">
        <v>44</v>
      </c>
      <c r="AB26" s="31">
        <f>SUMPRODUCT(AB27:AB31,C27:C31)</f>
        <v>9.4510732379231382E-2</v>
      </c>
      <c r="AC26" s="31">
        <f t="shared" ref="AC26:AX26" si="8">SUMPRODUCT(AC27:AC31,D27:D31)</f>
        <v>8.7171909948956572E-2</v>
      </c>
      <c r="AD26" s="31">
        <f t="shared" si="8"/>
        <v>9.3198138563098831E-2</v>
      </c>
      <c r="AE26" s="31">
        <f t="shared" si="8"/>
        <v>9.9894844643557884E-2</v>
      </c>
      <c r="AF26" s="31">
        <f t="shared" si="8"/>
        <v>6.9906595985246997E-2</v>
      </c>
      <c r="AG26" s="31">
        <f t="shared" si="8"/>
        <v>8.7407957679361603E-2</v>
      </c>
      <c r="AH26" s="31">
        <f t="shared" si="8"/>
        <v>7.6184159506554688E-2</v>
      </c>
      <c r="AI26" s="31">
        <f t="shared" si="8"/>
        <v>6.3592946611160009E-2</v>
      </c>
      <c r="AJ26" s="31">
        <f t="shared" si="8"/>
        <v>8.1466836557401959E-2</v>
      </c>
      <c r="AK26" s="31">
        <f t="shared" si="8"/>
        <v>0.12301934663016403</v>
      </c>
      <c r="AL26" s="31">
        <f t="shared" si="8"/>
        <v>0.11548405651292662</v>
      </c>
      <c r="AM26" s="31">
        <f t="shared" si="8"/>
        <v>8.1102281343204088E-2</v>
      </c>
      <c r="AN26" s="31">
        <f t="shared" si="8"/>
        <v>0.10111469475372184</v>
      </c>
      <c r="AO26" s="31">
        <f t="shared" si="8"/>
        <v>0.10858429985593782</v>
      </c>
      <c r="AP26" s="31">
        <f t="shared" si="8"/>
        <v>8.692661512792349E-2</v>
      </c>
      <c r="AQ26" s="31">
        <f t="shared" si="8"/>
        <v>9.4395371261012093E-2</v>
      </c>
      <c r="AR26" s="31">
        <f t="shared" si="8"/>
        <v>8.5498425253717855E-2</v>
      </c>
      <c r="AS26" s="31">
        <f t="shared" si="8"/>
        <v>6.9910496482883944E-2</v>
      </c>
      <c r="AT26" s="31">
        <f t="shared" si="8"/>
        <v>7.8610793103553664E-2</v>
      </c>
      <c r="AU26" s="31">
        <f t="shared" si="8"/>
        <v>8.0767019443745966E-2</v>
      </c>
      <c r="AV26" s="31">
        <f t="shared" si="8"/>
        <v>5.8974269790799123E-2</v>
      </c>
      <c r="AW26" s="31">
        <f t="shared" si="8"/>
        <v>6.7019279930631781E-2</v>
      </c>
      <c r="AX26" s="31">
        <f t="shared" si="8"/>
        <v>7.4124066477757558E-2</v>
      </c>
      <c r="AZ26" s="18" t="s">
        <v>44</v>
      </c>
      <c r="BA26" t="s">
        <v>71</v>
      </c>
      <c r="BB26" t="s">
        <v>74</v>
      </c>
      <c r="BC26" t="s">
        <v>72</v>
      </c>
      <c r="BD26" t="s">
        <v>74</v>
      </c>
      <c r="BE26" t="s">
        <v>71</v>
      </c>
      <c r="BF26" t="s">
        <v>72</v>
      </c>
      <c r="BG26" t="s">
        <v>74</v>
      </c>
      <c r="BH26" t="s">
        <v>75</v>
      </c>
      <c r="BI26" t="s">
        <v>74</v>
      </c>
      <c r="BJ26" t="s">
        <v>71</v>
      </c>
      <c r="BK26" t="s">
        <v>74</v>
      </c>
      <c r="BL26" t="s">
        <v>74</v>
      </c>
      <c r="BM26" t="s">
        <v>73</v>
      </c>
      <c r="BN26" t="s">
        <v>70</v>
      </c>
      <c r="BO26" t="s">
        <v>75</v>
      </c>
      <c r="BP26" t="s">
        <v>73</v>
      </c>
      <c r="BQ26" t="s">
        <v>75</v>
      </c>
      <c r="BR26" t="s">
        <v>71</v>
      </c>
      <c r="BS26" t="s">
        <v>72</v>
      </c>
      <c r="BT26" t="s">
        <v>70</v>
      </c>
      <c r="BU26" t="s">
        <v>75</v>
      </c>
      <c r="BV26" t="s">
        <v>73</v>
      </c>
      <c r="BW26" t="s">
        <v>73</v>
      </c>
    </row>
    <row r="27" spans="1:75" x14ac:dyDescent="0.35">
      <c r="A27" s="4"/>
      <c r="B27" s="6" t="s">
        <v>45</v>
      </c>
      <c r="C27" s="7">
        <f>1-SUM(C28:C31)</f>
        <v>0.29000000000000004</v>
      </c>
      <c r="D27" s="7">
        <f t="shared" ref="D27" si="9">1-SUM(D28:D31)</f>
        <v>0.29199999999999993</v>
      </c>
      <c r="E27" s="7">
        <f t="shared" ref="E27" si="10">1-SUM(E28:E31)</f>
        <v>0.28400000000000003</v>
      </c>
      <c r="F27" s="7">
        <f t="shared" ref="F27" si="11">1-SUM(F28:F31)</f>
        <v>0.29599999999999993</v>
      </c>
      <c r="G27" s="7">
        <f t="shared" ref="G27" si="12">1-SUM(G28:G31)</f>
        <v>0.28800000000000003</v>
      </c>
      <c r="H27" s="7">
        <f t="shared" ref="H27" si="13">1-SUM(H28:H31)</f>
        <v>0.29000000000000004</v>
      </c>
      <c r="I27" s="7">
        <f t="shared" ref="I27" si="14">1-SUM(I28:I31)</f>
        <v>0.29699999999999993</v>
      </c>
      <c r="J27" s="7">
        <f t="shared" ref="J27" si="15">1-SUM(J28:J31)</f>
        <v>0.30299999999999994</v>
      </c>
      <c r="K27" s="7">
        <f t="shared" ref="K27" si="16">1-SUM(K28:K31)</f>
        <v>0.29999999999999993</v>
      </c>
      <c r="L27" s="7">
        <f t="shared" ref="L27" si="17">1-SUM(L28:L31)</f>
        <v>0.29000000000000004</v>
      </c>
      <c r="M27" s="7">
        <f t="shared" ref="M27" si="18">1-SUM(M28:M31)</f>
        <v>0.30100000000000005</v>
      </c>
      <c r="N27" s="7">
        <f t="shared" ref="N27" si="19">1-SUM(N28:N31)</f>
        <v>0.29400000000000004</v>
      </c>
      <c r="O27" s="7">
        <f t="shared" ref="O27" si="20">1-SUM(O28:O31)</f>
        <v>0.28400000000000003</v>
      </c>
      <c r="P27" s="7">
        <f t="shared" ref="P27" si="21">1-SUM(P28:P31)</f>
        <v>0.29699999999999993</v>
      </c>
      <c r="Q27" s="7">
        <f t="shared" ref="Q27" si="22">1-SUM(Q28:Q31)</f>
        <v>0.29599999999999993</v>
      </c>
      <c r="R27" s="7">
        <f t="shared" ref="R27" si="23">1-SUM(R28:R31)</f>
        <v>0.29299999999999993</v>
      </c>
      <c r="S27" s="7">
        <f t="shared" ref="S27" si="24">1-SUM(S28:S31)</f>
        <v>0.29799999999999993</v>
      </c>
      <c r="T27" s="7">
        <f t="shared" ref="T27" si="25">1-SUM(T28:T31)</f>
        <v>0.29299999999999993</v>
      </c>
      <c r="U27" s="7">
        <f t="shared" ref="U27" si="26">1-SUM(U28:U31)</f>
        <v>0.29899999999999993</v>
      </c>
      <c r="V27" s="7">
        <f t="shared" ref="V27" si="27">1-SUM(V28:V31)</f>
        <v>0.29299999999999993</v>
      </c>
      <c r="W27" s="7">
        <f t="shared" ref="W27" si="28">1-SUM(W28:W31)</f>
        <v>0.30299999999999994</v>
      </c>
      <c r="X27" s="7">
        <f t="shared" ref="X27" si="29">1-SUM(X28:X31)</f>
        <v>0.29299999999999993</v>
      </c>
      <c r="Y27" s="7">
        <f t="shared" ref="Y27" si="30">1-SUM(Y28:Y31)</f>
        <v>0.29899999999999993</v>
      </c>
      <c r="AA27" s="6" t="s">
        <v>45</v>
      </c>
      <c r="AB27" s="19">
        <v>9.8950043990502154E-2</v>
      </c>
      <c r="AC27" s="19">
        <v>9.1139825744724748E-2</v>
      </c>
      <c r="AD27" s="19">
        <v>9.7421635019695932E-2</v>
      </c>
      <c r="AE27" s="19">
        <v>0.10379891044382342</v>
      </c>
      <c r="AF27" s="19">
        <v>7.4126008988351991E-2</v>
      </c>
      <c r="AG27" s="19">
        <v>9.1847269290632388E-2</v>
      </c>
      <c r="AH27" s="19">
        <v>8.0225556581317581E-2</v>
      </c>
      <c r="AI27" s="19">
        <v>6.7841511628762369E-2</v>
      </c>
      <c r="AJ27" s="19">
        <v>8.5704405150330634E-2</v>
      </c>
      <c r="AK27" s="19">
        <v>0.12745865824143482</v>
      </c>
      <c r="AL27" s="19">
        <v>0.11960301734603161</v>
      </c>
      <c r="AM27" s="19">
        <v>8.5290095747138028E-2</v>
      </c>
      <c r="AN27" s="19">
        <v>0.10533819121031894</v>
      </c>
      <c r="AO27" s="19">
        <v>0.11262569693070069</v>
      </c>
      <c r="AP27" s="19">
        <v>9.0727741893867966E-2</v>
      </c>
      <c r="AQ27" s="19">
        <v>9.8724618331277603E-2</v>
      </c>
      <c r="AR27" s="19">
        <v>8.942856735682285E-2</v>
      </c>
      <c r="AS27" s="19">
        <v>7.4239743553149468E-2</v>
      </c>
      <c r="AT27" s="19">
        <v>8.3102208116658666E-2</v>
      </c>
      <c r="AU27" s="19">
        <v>8.509626651401149E-2</v>
      </c>
      <c r="AV27" s="19">
        <v>6.322283480840149E-2</v>
      </c>
      <c r="AW27" s="19">
        <v>7.1348527000897305E-2</v>
      </c>
      <c r="AX27" s="19">
        <v>7.8615481490862546E-2</v>
      </c>
      <c r="AZ27" s="6" t="s">
        <v>45</v>
      </c>
      <c r="BA27" t="s">
        <v>71</v>
      </c>
      <c r="BB27" t="s">
        <v>72</v>
      </c>
      <c r="BC27" t="s">
        <v>74</v>
      </c>
      <c r="BD27" t="s">
        <v>70</v>
      </c>
      <c r="BE27" t="s">
        <v>73</v>
      </c>
      <c r="BF27" t="s">
        <v>75</v>
      </c>
      <c r="BG27" t="s">
        <v>71</v>
      </c>
      <c r="BH27" t="s">
        <v>70</v>
      </c>
      <c r="BI27" t="s">
        <v>73</v>
      </c>
      <c r="BJ27" t="s">
        <v>72</v>
      </c>
      <c r="BK27" t="s">
        <v>70</v>
      </c>
      <c r="BL27" t="s">
        <v>73</v>
      </c>
      <c r="BM27" t="s">
        <v>76</v>
      </c>
      <c r="BN27" t="s">
        <v>71</v>
      </c>
      <c r="BO27" t="s">
        <v>74</v>
      </c>
      <c r="BP27" t="s">
        <v>75</v>
      </c>
      <c r="BQ27" t="s">
        <v>71</v>
      </c>
      <c r="BR27" t="s">
        <v>70</v>
      </c>
      <c r="BS27" t="s">
        <v>70</v>
      </c>
      <c r="BT27" t="s">
        <v>75</v>
      </c>
      <c r="BU27" t="s">
        <v>72</v>
      </c>
      <c r="BV27" t="s">
        <v>73</v>
      </c>
      <c r="BW27" t="s">
        <v>75</v>
      </c>
    </row>
    <row r="28" spans="1:75" x14ac:dyDescent="0.35">
      <c r="A28" s="4"/>
      <c r="B28" s="6" t="s">
        <v>46</v>
      </c>
      <c r="C28" s="5">
        <v>0.26100000000000001</v>
      </c>
      <c r="D28" s="5">
        <v>0.26400000000000001</v>
      </c>
      <c r="E28" s="5">
        <v>0.26900000000000002</v>
      </c>
      <c r="F28" s="5">
        <v>0.26700000000000002</v>
      </c>
      <c r="G28" s="5">
        <v>0.26</v>
      </c>
      <c r="H28" s="5">
        <v>0.26100000000000001</v>
      </c>
      <c r="I28" s="5">
        <v>0.27</v>
      </c>
      <c r="J28" s="5">
        <v>0.26300000000000001</v>
      </c>
      <c r="K28" s="5">
        <v>0.27100000000000002</v>
      </c>
      <c r="L28" s="5">
        <v>0.26100000000000001</v>
      </c>
      <c r="M28" s="5">
        <v>0.26</v>
      </c>
      <c r="N28" s="5">
        <v>0.26500000000000001</v>
      </c>
      <c r="O28" s="5">
        <v>0.26900000000000002</v>
      </c>
      <c r="P28" s="5">
        <v>0.27</v>
      </c>
      <c r="Q28" s="5">
        <v>0.253</v>
      </c>
      <c r="R28" s="5">
        <v>0.26700000000000002</v>
      </c>
      <c r="S28" s="5">
        <v>0.26</v>
      </c>
      <c r="T28" s="5">
        <v>0.26700000000000002</v>
      </c>
      <c r="U28" s="5">
        <v>0.26</v>
      </c>
      <c r="V28" s="5">
        <v>0.26700000000000002</v>
      </c>
      <c r="W28" s="5">
        <v>0.26300000000000001</v>
      </c>
      <c r="X28" s="5">
        <v>0.26700000000000002</v>
      </c>
      <c r="Y28" s="5">
        <v>0.26</v>
      </c>
      <c r="AA28" s="6" t="s">
        <v>46</v>
      </c>
      <c r="AB28" s="19">
        <v>8.3870165824713711E-2</v>
      </c>
      <c r="AC28" s="19">
        <v>7.6059947578936304E-2</v>
      </c>
      <c r="AD28" s="19">
        <v>8.2341756853907488E-2</v>
      </c>
      <c r="AE28" s="19">
        <v>8.8719032278034973E-2</v>
      </c>
      <c r="AF28" s="19">
        <v>5.9046130822563547E-2</v>
      </c>
      <c r="AG28" s="19">
        <v>7.6767391124843945E-2</v>
      </c>
      <c r="AH28" s="19">
        <v>6.5145678415529137E-2</v>
      </c>
      <c r="AI28" s="19">
        <v>5.2761633462973918E-2</v>
      </c>
      <c r="AJ28" s="19">
        <v>7.0624526984542191E-2</v>
      </c>
      <c r="AK28" s="19">
        <v>0.11237878007564638</v>
      </c>
      <c r="AL28" s="19">
        <v>0.10452313918024317</v>
      </c>
      <c r="AM28" s="19">
        <v>7.0210217581349585E-2</v>
      </c>
      <c r="AN28" s="19">
        <v>9.0258313044530497E-2</v>
      </c>
      <c r="AO28" s="19">
        <v>9.7545818764912251E-2</v>
      </c>
      <c r="AP28" s="19">
        <v>7.5647863728079523E-2</v>
      </c>
      <c r="AQ28" s="19">
        <v>8.3644740165489159E-2</v>
      </c>
      <c r="AR28" s="19">
        <v>7.4348689191034406E-2</v>
      </c>
      <c r="AS28" s="19">
        <v>5.9159865387361024E-2</v>
      </c>
      <c r="AT28" s="19">
        <v>6.8022329950870222E-2</v>
      </c>
      <c r="AU28" s="19">
        <v>7.0016388348223046E-2</v>
      </c>
      <c r="AV28" s="19">
        <v>4.8142956642613047E-2</v>
      </c>
      <c r="AW28" s="19">
        <v>5.6268648835108862E-2</v>
      </c>
      <c r="AX28" s="19">
        <v>6.3535603325074103E-2</v>
      </c>
      <c r="AZ28" s="6" t="s">
        <v>46</v>
      </c>
      <c r="BA28" t="s">
        <v>70</v>
      </c>
      <c r="BB28" t="s">
        <v>75</v>
      </c>
      <c r="BC28" t="s">
        <v>70</v>
      </c>
      <c r="BD28" t="s">
        <v>76</v>
      </c>
      <c r="BE28" t="s">
        <v>74</v>
      </c>
      <c r="BF28" t="s">
        <v>76</v>
      </c>
      <c r="BG28" t="s">
        <v>75</v>
      </c>
      <c r="BH28" t="s">
        <v>70</v>
      </c>
      <c r="BI28" t="s">
        <v>73</v>
      </c>
      <c r="BJ28" t="s">
        <v>70</v>
      </c>
      <c r="BK28" t="s">
        <v>72</v>
      </c>
      <c r="BL28" t="s">
        <v>76</v>
      </c>
      <c r="BM28" t="s">
        <v>75</v>
      </c>
      <c r="BN28" t="s">
        <v>71</v>
      </c>
      <c r="BO28" t="s">
        <v>73</v>
      </c>
      <c r="BP28" t="s">
        <v>75</v>
      </c>
      <c r="BQ28" t="s">
        <v>72</v>
      </c>
      <c r="BR28" t="s">
        <v>73</v>
      </c>
      <c r="BS28" t="s">
        <v>76</v>
      </c>
      <c r="BT28" t="s">
        <v>75</v>
      </c>
      <c r="BU28" t="s">
        <v>74</v>
      </c>
      <c r="BV28" t="s">
        <v>76</v>
      </c>
      <c r="BW28" t="s">
        <v>70</v>
      </c>
    </row>
    <row r="29" spans="1:75" x14ac:dyDescent="0.35">
      <c r="B29" s="6" t="s">
        <v>47</v>
      </c>
      <c r="C29" s="5">
        <v>0.17399999999999999</v>
      </c>
      <c r="D29" s="5">
        <v>0.18</v>
      </c>
      <c r="E29" s="5">
        <v>0.17899999999999999</v>
      </c>
      <c r="F29" s="5">
        <v>0.183</v>
      </c>
      <c r="G29" s="5">
        <v>0.17799999999999999</v>
      </c>
      <c r="H29" s="5">
        <v>0.17399999999999999</v>
      </c>
      <c r="I29" s="5">
        <v>0.17599999999999999</v>
      </c>
      <c r="J29" s="5">
        <v>0.17100000000000001</v>
      </c>
      <c r="K29" s="5">
        <v>0.17199999999999999</v>
      </c>
      <c r="L29" s="5">
        <v>0.17399999999999999</v>
      </c>
      <c r="M29" s="5">
        <v>0.17799999999999999</v>
      </c>
      <c r="N29" s="5">
        <v>0.17599999999999999</v>
      </c>
      <c r="O29" s="5">
        <v>0.17899999999999999</v>
      </c>
      <c r="P29" s="5">
        <v>0.17599999999999999</v>
      </c>
      <c r="Q29" s="5">
        <v>0.183</v>
      </c>
      <c r="R29" s="5">
        <v>0.17299999999999999</v>
      </c>
      <c r="S29" s="5">
        <v>0.182</v>
      </c>
      <c r="T29" s="5">
        <v>0.17299999999999999</v>
      </c>
      <c r="U29" s="5">
        <v>0.16900000000000001</v>
      </c>
      <c r="V29" s="5">
        <v>0.17299999999999999</v>
      </c>
      <c r="W29" s="5">
        <v>0.17100000000000001</v>
      </c>
      <c r="X29" s="5">
        <v>0.17299999999999999</v>
      </c>
      <c r="Y29" s="5">
        <v>0.16900000000000001</v>
      </c>
      <c r="AA29" s="6" t="s">
        <v>47</v>
      </c>
      <c r="AB29" s="3">
        <v>0.12022295399050216</v>
      </c>
      <c r="AC29" s="3">
        <v>0.11241273574472475</v>
      </c>
      <c r="AD29" s="3">
        <v>0.11869454501969594</v>
      </c>
      <c r="AE29" s="3">
        <v>0.12507182044382342</v>
      </c>
      <c r="AF29" s="3">
        <v>9.5398918988351997E-2</v>
      </c>
      <c r="AG29" s="3">
        <v>0.11312017929063239</v>
      </c>
      <c r="AH29" s="3">
        <v>0.10149846658131759</v>
      </c>
      <c r="AI29" s="3">
        <v>8.9114421628762375E-2</v>
      </c>
      <c r="AJ29" s="3">
        <v>0.10697731515033064</v>
      </c>
      <c r="AK29" s="3">
        <v>0.14873156824143483</v>
      </c>
      <c r="AL29" s="3">
        <v>0.1408759273460316</v>
      </c>
      <c r="AM29" s="3">
        <v>0.10656300574713803</v>
      </c>
      <c r="AN29" s="3">
        <v>0.12661110121031893</v>
      </c>
      <c r="AO29" s="3">
        <v>0.13389860693070071</v>
      </c>
      <c r="AP29" s="3">
        <v>0.11200065189386797</v>
      </c>
      <c r="AQ29" s="3">
        <v>0.11999752833127761</v>
      </c>
      <c r="AR29" s="3">
        <v>0.11070147735682286</v>
      </c>
      <c r="AS29" s="3">
        <v>9.5512653553149474E-2</v>
      </c>
      <c r="AT29" s="3">
        <v>0.10437511811665867</v>
      </c>
      <c r="AU29" s="3">
        <v>0.1063691765140115</v>
      </c>
      <c r="AV29" s="3">
        <v>8.4495744808401496E-2</v>
      </c>
      <c r="AW29" s="3">
        <v>9.2621437000897311E-2</v>
      </c>
      <c r="AX29" s="3">
        <v>9.9888391490862552E-2</v>
      </c>
      <c r="AZ29" s="6" t="s">
        <v>47</v>
      </c>
      <c r="BA29" t="s">
        <v>71</v>
      </c>
      <c r="BB29" t="s">
        <v>70</v>
      </c>
      <c r="BC29" t="s">
        <v>70</v>
      </c>
      <c r="BD29" t="s">
        <v>76</v>
      </c>
      <c r="BE29" t="s">
        <v>73</v>
      </c>
      <c r="BF29" t="s">
        <v>74</v>
      </c>
      <c r="BG29" t="s">
        <v>70</v>
      </c>
      <c r="BH29" t="s">
        <v>72</v>
      </c>
      <c r="BI29" t="s">
        <v>74</v>
      </c>
      <c r="BJ29" t="s">
        <v>76</v>
      </c>
      <c r="BK29" t="s">
        <v>71</v>
      </c>
      <c r="BL29" t="s">
        <v>75</v>
      </c>
      <c r="BM29" t="s">
        <v>70</v>
      </c>
      <c r="BN29" t="s">
        <v>72</v>
      </c>
      <c r="BO29" t="s">
        <v>73</v>
      </c>
      <c r="BP29" t="s">
        <v>72</v>
      </c>
      <c r="BQ29" t="s">
        <v>76</v>
      </c>
      <c r="BR29" t="s">
        <v>76</v>
      </c>
      <c r="BS29" t="s">
        <v>76</v>
      </c>
      <c r="BT29" t="s">
        <v>70</v>
      </c>
      <c r="BU29" t="s">
        <v>72</v>
      </c>
      <c r="BV29" t="s">
        <v>70</v>
      </c>
      <c r="BW29" t="s">
        <v>74</v>
      </c>
    </row>
    <row r="30" spans="1:75" x14ac:dyDescent="0.35">
      <c r="B30" s="6" t="s">
        <v>48</v>
      </c>
      <c r="C30" s="3">
        <v>0.13</v>
      </c>
      <c r="D30" s="3">
        <v>0.111</v>
      </c>
      <c r="E30" s="3">
        <v>0.11899999999999999</v>
      </c>
      <c r="F30" s="3">
        <v>0.113</v>
      </c>
      <c r="G30" s="3">
        <v>0.123</v>
      </c>
      <c r="H30" s="3">
        <v>0.13</v>
      </c>
      <c r="I30" s="3">
        <v>0.108</v>
      </c>
      <c r="J30" s="3">
        <v>0.11799999999999999</v>
      </c>
      <c r="K30" s="3">
        <v>0.114</v>
      </c>
      <c r="L30" s="3">
        <v>0.13</v>
      </c>
      <c r="M30" s="3">
        <v>0.123</v>
      </c>
      <c r="N30" s="3">
        <v>0.11799999999999999</v>
      </c>
      <c r="O30" s="3">
        <v>0.11899999999999999</v>
      </c>
      <c r="P30" s="3">
        <v>0.108</v>
      </c>
      <c r="Q30" s="3">
        <v>0.113</v>
      </c>
      <c r="R30" s="3">
        <v>0.12</v>
      </c>
      <c r="S30" s="3">
        <v>0.11700000000000001</v>
      </c>
      <c r="T30" s="3">
        <v>0.12</v>
      </c>
      <c r="U30" s="3">
        <v>0.129</v>
      </c>
      <c r="V30" s="3">
        <v>0.12</v>
      </c>
      <c r="W30" s="3">
        <v>0.11799999999999999</v>
      </c>
      <c r="X30" s="3">
        <v>0.12</v>
      </c>
      <c r="Y30" s="3">
        <v>0.129</v>
      </c>
      <c r="AA30" s="6" t="s">
        <v>48</v>
      </c>
      <c r="AB30" s="3">
        <v>7.5222953990502162E-2</v>
      </c>
      <c r="AC30" s="3">
        <v>6.7412735744724755E-2</v>
      </c>
      <c r="AD30" s="3">
        <v>7.369454501969594E-2</v>
      </c>
      <c r="AE30" s="3">
        <v>8.0071820443823424E-2</v>
      </c>
      <c r="AF30" s="3">
        <v>5.0398918988351998E-2</v>
      </c>
      <c r="AG30" s="3">
        <v>6.8120179290632396E-2</v>
      </c>
      <c r="AH30" s="3">
        <v>5.6498466581317588E-2</v>
      </c>
      <c r="AI30" s="3">
        <v>4.4114421628762369E-2</v>
      </c>
      <c r="AJ30" s="3">
        <v>6.1977315150330642E-2</v>
      </c>
      <c r="AK30" s="3">
        <v>0.10373156824143483</v>
      </c>
      <c r="AL30" s="3">
        <v>9.587592734603162E-2</v>
      </c>
      <c r="AM30" s="3">
        <v>6.1563005747138036E-2</v>
      </c>
      <c r="AN30" s="3">
        <v>8.1611101210318948E-2</v>
      </c>
      <c r="AO30" s="3">
        <v>8.8898606930700702E-2</v>
      </c>
      <c r="AP30" s="3">
        <v>6.7000651893867974E-2</v>
      </c>
      <c r="AQ30" s="3">
        <v>7.499752833127761E-2</v>
      </c>
      <c r="AR30" s="3">
        <v>6.5701477356822857E-2</v>
      </c>
      <c r="AS30" s="3">
        <v>5.0512653553149475E-2</v>
      </c>
      <c r="AT30" s="3">
        <v>5.9375118116658673E-2</v>
      </c>
      <c r="AU30" s="3">
        <v>6.1369176514011498E-2</v>
      </c>
      <c r="AV30" s="3">
        <v>3.9495744808401498E-2</v>
      </c>
      <c r="AW30" s="3">
        <v>4.7621437000897313E-2</v>
      </c>
      <c r="AX30" s="3">
        <v>5.4888391490862554E-2</v>
      </c>
      <c r="AZ30" s="6" t="s">
        <v>48</v>
      </c>
      <c r="BA30" t="s">
        <v>73</v>
      </c>
      <c r="BB30" t="s">
        <v>73</v>
      </c>
      <c r="BC30" t="s">
        <v>73</v>
      </c>
      <c r="BD30" t="s">
        <v>72</v>
      </c>
      <c r="BE30" t="s">
        <v>72</v>
      </c>
      <c r="BF30" t="s">
        <v>74</v>
      </c>
      <c r="BG30" t="s">
        <v>74</v>
      </c>
      <c r="BH30" t="s">
        <v>73</v>
      </c>
      <c r="BI30" t="s">
        <v>72</v>
      </c>
      <c r="BJ30" t="s">
        <v>76</v>
      </c>
      <c r="BK30" t="s">
        <v>73</v>
      </c>
      <c r="BL30" t="s">
        <v>74</v>
      </c>
      <c r="BM30" t="s">
        <v>70</v>
      </c>
      <c r="BN30" t="s">
        <v>71</v>
      </c>
      <c r="BO30" t="s">
        <v>72</v>
      </c>
      <c r="BP30" t="s">
        <v>72</v>
      </c>
      <c r="BQ30" t="s">
        <v>76</v>
      </c>
      <c r="BR30" t="s">
        <v>70</v>
      </c>
      <c r="BS30" t="s">
        <v>75</v>
      </c>
      <c r="BT30" t="s">
        <v>75</v>
      </c>
      <c r="BU30" t="s">
        <v>73</v>
      </c>
      <c r="BV30" t="s">
        <v>72</v>
      </c>
      <c r="BW30" t="s">
        <v>74</v>
      </c>
    </row>
    <row r="31" spans="1:75" x14ac:dyDescent="0.35">
      <c r="A31" s="4"/>
      <c r="B31" s="6" t="s">
        <v>49</v>
      </c>
      <c r="C31" s="3">
        <v>0.14499999999999999</v>
      </c>
      <c r="D31" s="3">
        <v>0.153</v>
      </c>
      <c r="E31" s="3">
        <v>0.14899999999999999</v>
      </c>
      <c r="F31" s="3">
        <v>0.14099999999999999</v>
      </c>
      <c r="G31" s="3">
        <v>0.151</v>
      </c>
      <c r="H31" s="3">
        <v>0.14499999999999999</v>
      </c>
      <c r="I31" s="3">
        <v>0.14899999999999999</v>
      </c>
      <c r="J31" s="3">
        <v>0.14499999999999999</v>
      </c>
      <c r="K31" s="3">
        <v>0.14299999999999999</v>
      </c>
      <c r="L31" s="3">
        <v>0.14499999999999999</v>
      </c>
      <c r="M31" s="3">
        <v>0.13800000000000001</v>
      </c>
      <c r="N31" s="3">
        <v>0.14699999999999999</v>
      </c>
      <c r="O31" s="3">
        <v>0.14899999999999999</v>
      </c>
      <c r="P31" s="3">
        <v>0.14899999999999999</v>
      </c>
      <c r="Q31" s="3">
        <v>0.155</v>
      </c>
      <c r="R31" s="3">
        <v>0.14699999999999999</v>
      </c>
      <c r="S31" s="3">
        <v>0.14299999999999999</v>
      </c>
      <c r="T31" s="3">
        <v>0.14699999999999999</v>
      </c>
      <c r="U31" s="3">
        <v>0.14299999999999999</v>
      </c>
      <c r="V31" s="5">
        <v>0.14699999999999999</v>
      </c>
      <c r="W31" s="3">
        <v>0.14499999999999999</v>
      </c>
      <c r="X31" s="3">
        <v>0.14699999999999999</v>
      </c>
      <c r="Y31" s="3">
        <v>0.14299999999999999</v>
      </c>
      <c r="AA31" s="6" t="s">
        <v>49</v>
      </c>
      <c r="AB31" s="3">
        <v>9.1222953990502162E-2</v>
      </c>
      <c r="AC31" s="3">
        <v>8.3412735744724756E-2</v>
      </c>
      <c r="AD31" s="3">
        <v>8.969454501969594E-2</v>
      </c>
      <c r="AE31" s="3">
        <v>9.6071820443823425E-2</v>
      </c>
      <c r="AF31" s="3">
        <v>6.6398918988351999E-2</v>
      </c>
      <c r="AG31" s="3">
        <v>8.4120179290632396E-2</v>
      </c>
      <c r="AH31" s="3">
        <v>7.2498466581317589E-2</v>
      </c>
      <c r="AI31" s="3">
        <v>6.011442162876237E-2</v>
      </c>
      <c r="AJ31" s="3">
        <v>7.7977315150330642E-2</v>
      </c>
      <c r="AK31" s="3">
        <v>0.11973156824143483</v>
      </c>
      <c r="AL31" s="3">
        <v>0.11187592734603162</v>
      </c>
      <c r="AM31" s="3">
        <v>7.7563005747138036E-2</v>
      </c>
      <c r="AN31" s="3">
        <v>9.7611101210318948E-2</v>
      </c>
      <c r="AO31" s="3">
        <v>0.1048986069307007</v>
      </c>
      <c r="AP31" s="3">
        <v>8.3000651893867974E-2</v>
      </c>
      <c r="AQ31" s="3">
        <v>9.0997528331277611E-2</v>
      </c>
      <c r="AR31" s="3">
        <v>8.1701477356822858E-2</v>
      </c>
      <c r="AS31" s="3">
        <v>6.6512653553149476E-2</v>
      </c>
      <c r="AT31" s="3">
        <v>7.5375118116658674E-2</v>
      </c>
      <c r="AU31" s="3">
        <v>7.7369176514011498E-2</v>
      </c>
      <c r="AV31" s="3">
        <v>5.5495744808401498E-2</v>
      </c>
      <c r="AW31" s="3">
        <v>6.3621437000897313E-2</v>
      </c>
      <c r="AX31" s="3">
        <v>7.0888391490862554E-2</v>
      </c>
      <c r="AZ31" s="6" t="s">
        <v>49</v>
      </c>
      <c r="BA31" t="s">
        <v>72</v>
      </c>
      <c r="BB31" t="s">
        <v>73</v>
      </c>
      <c r="BC31" t="s">
        <v>74</v>
      </c>
      <c r="BD31" t="s">
        <v>74</v>
      </c>
      <c r="BE31" t="s">
        <v>72</v>
      </c>
      <c r="BF31" t="s">
        <v>71</v>
      </c>
      <c r="BG31" t="s">
        <v>76</v>
      </c>
      <c r="BH31" t="s">
        <v>76</v>
      </c>
      <c r="BI31" t="s">
        <v>70</v>
      </c>
      <c r="BJ31" t="s">
        <v>71</v>
      </c>
      <c r="BK31" t="s">
        <v>71</v>
      </c>
      <c r="BL31" t="s">
        <v>70</v>
      </c>
      <c r="BM31" t="s">
        <v>71</v>
      </c>
      <c r="BN31" t="s">
        <v>72</v>
      </c>
      <c r="BO31" t="s">
        <v>71</v>
      </c>
      <c r="BP31" t="s">
        <v>71</v>
      </c>
      <c r="BQ31" t="s">
        <v>72</v>
      </c>
      <c r="BR31" t="s">
        <v>73</v>
      </c>
      <c r="BS31" t="s">
        <v>71</v>
      </c>
      <c r="BT31" t="s">
        <v>73</v>
      </c>
      <c r="BU31" t="s">
        <v>74</v>
      </c>
      <c r="BV31" t="s">
        <v>70</v>
      </c>
      <c r="BW31" t="s">
        <v>70</v>
      </c>
    </row>
    <row r="32" spans="1:75" x14ac:dyDescent="0.35">
      <c r="A32" s="4"/>
      <c r="B32" s="2"/>
      <c r="C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5"/>
      <c r="W32" s="3"/>
      <c r="X32" s="3"/>
      <c r="Y32" s="3"/>
      <c r="AA32" s="2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Z32" s="2"/>
    </row>
    <row r="33" spans="1:75" x14ac:dyDescent="0.35">
      <c r="A33" s="4"/>
      <c r="B33" s="2" t="s">
        <v>50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AA33" s="2" t="s">
        <v>50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Z33" s="2" t="s">
        <v>50</v>
      </c>
    </row>
    <row r="34" spans="1:75" x14ac:dyDescent="0.35">
      <c r="A34" s="4"/>
      <c r="B34" t="s">
        <v>83</v>
      </c>
      <c r="C34" s="5">
        <v>0.36799999999999999</v>
      </c>
      <c r="D34" s="5">
        <v>0.40500000000000003</v>
      </c>
      <c r="E34" s="5">
        <v>0.372</v>
      </c>
      <c r="F34" s="5">
        <v>0.3600000000000001</v>
      </c>
      <c r="G34" s="5">
        <v>0.36699999999999999</v>
      </c>
      <c r="H34" s="5">
        <v>0.374</v>
      </c>
      <c r="I34" s="5">
        <v>0.38</v>
      </c>
      <c r="J34" s="5">
        <v>0.39900000000000002</v>
      </c>
      <c r="K34" s="5">
        <v>0.371</v>
      </c>
      <c r="L34" s="5">
        <v>0.374</v>
      </c>
      <c r="M34" s="5">
        <v>0.40600000000000003</v>
      </c>
      <c r="N34" s="5">
        <v>0.35400000000000009</v>
      </c>
      <c r="O34" s="5">
        <v>0.35500000000000009</v>
      </c>
      <c r="P34" s="5">
        <v>0.39</v>
      </c>
      <c r="Q34" s="5">
        <v>0.41300000000000003</v>
      </c>
      <c r="R34" s="5">
        <v>0.40100000000000002</v>
      </c>
      <c r="S34" s="5">
        <v>0.38</v>
      </c>
      <c r="T34" s="5">
        <v>0.40400000000000003</v>
      </c>
      <c r="U34" s="5">
        <v>0.41400000000000003</v>
      </c>
      <c r="V34" s="5">
        <v>0.42200000000000004</v>
      </c>
      <c r="W34" s="5">
        <v>0.42300000000000004</v>
      </c>
      <c r="X34" s="5">
        <v>0.38600000000000001</v>
      </c>
      <c r="Y34" s="5">
        <v>0.42300000000000004</v>
      </c>
      <c r="AA34" t="s">
        <v>83</v>
      </c>
      <c r="AB34" s="3">
        <v>0.10047337011628724</v>
      </c>
      <c r="AC34" s="3">
        <v>9.1770370116287234E-2</v>
      </c>
      <c r="AD34" s="3">
        <v>9.8910328328704319E-2</v>
      </c>
      <c r="AE34" s="3">
        <v>0.10526483709870435</v>
      </c>
      <c r="AF34" s="3">
        <v>7.5188445947116142E-2</v>
      </c>
      <c r="AG34" s="3">
        <v>9.3101932786984282E-2</v>
      </c>
      <c r="AH34" s="3">
        <v>8.10446425514698E-2</v>
      </c>
      <c r="AI34" s="3">
        <v>6.8491356894892108E-2</v>
      </c>
      <c r="AJ34" s="3">
        <v>8.7012189348340499E-2</v>
      </c>
      <c r="AK34" s="3">
        <v>0.12840571732773626</v>
      </c>
      <c r="AL34" s="3">
        <v>0.11979771732773625</v>
      </c>
      <c r="AM34" s="3">
        <v>8.6981167139685747E-2</v>
      </c>
      <c r="AN34" s="3">
        <v>0.10691396167671775</v>
      </c>
      <c r="AO34" s="3">
        <v>0.11310171732773626</v>
      </c>
      <c r="AP34" s="3">
        <v>9.1212282036608694E-2</v>
      </c>
      <c r="AQ34" s="3">
        <v>9.8927229895944227E-2</v>
      </c>
      <c r="AR34" s="3">
        <v>9.0304208858370497E-2</v>
      </c>
      <c r="AS34" s="3">
        <v>7.4466010840509689E-2</v>
      </c>
      <c r="AT34" s="3">
        <v>8.3011322171858457E-2</v>
      </c>
      <c r="AU34" s="3">
        <v>8.4966003795692802E-2</v>
      </c>
      <c r="AV34" s="3">
        <v>6.2968036141852576E-2</v>
      </c>
      <c r="AW34" s="3">
        <v>7.1917330528366089E-2</v>
      </c>
      <c r="AX34" s="3">
        <v>7.8330341601362319E-2</v>
      </c>
      <c r="AZ34" t="s">
        <v>83</v>
      </c>
      <c r="BA34" t="s">
        <v>75</v>
      </c>
      <c r="BB34" t="s">
        <v>76</v>
      </c>
      <c r="BC34" t="s">
        <v>72</v>
      </c>
      <c r="BD34" t="s">
        <v>76</v>
      </c>
      <c r="BE34" t="s">
        <v>72</v>
      </c>
      <c r="BF34" t="s">
        <v>71</v>
      </c>
      <c r="BG34" t="s">
        <v>76</v>
      </c>
      <c r="BH34" t="s">
        <v>71</v>
      </c>
      <c r="BI34" t="s">
        <v>76</v>
      </c>
      <c r="BJ34" t="s">
        <v>73</v>
      </c>
      <c r="BK34" t="s">
        <v>73</v>
      </c>
      <c r="BL34" t="s">
        <v>75</v>
      </c>
      <c r="BM34" t="s">
        <v>70</v>
      </c>
      <c r="BN34" t="s">
        <v>70</v>
      </c>
      <c r="BO34" t="s">
        <v>75</v>
      </c>
      <c r="BP34" t="s">
        <v>70</v>
      </c>
      <c r="BQ34" t="s">
        <v>70</v>
      </c>
      <c r="BR34" t="s">
        <v>73</v>
      </c>
      <c r="BS34" t="s">
        <v>73</v>
      </c>
      <c r="BT34" t="s">
        <v>74</v>
      </c>
      <c r="BU34" t="s">
        <v>76</v>
      </c>
      <c r="BV34" t="s">
        <v>75</v>
      </c>
      <c r="BW34" t="s">
        <v>72</v>
      </c>
    </row>
    <row r="35" spans="1:75" x14ac:dyDescent="0.35">
      <c r="A35" s="4"/>
      <c r="B35" t="s">
        <v>84</v>
      </c>
      <c r="C35" s="5">
        <f>1-C34</f>
        <v>0.63200000000000001</v>
      </c>
      <c r="D35" s="5">
        <f t="shared" ref="D35:Y35" si="31">1-D34</f>
        <v>0.59499999999999997</v>
      </c>
      <c r="E35" s="5">
        <f t="shared" si="31"/>
        <v>0.628</v>
      </c>
      <c r="F35" s="5">
        <f t="shared" si="31"/>
        <v>0.6399999999999999</v>
      </c>
      <c r="G35" s="5">
        <f t="shared" si="31"/>
        <v>0.63300000000000001</v>
      </c>
      <c r="H35" s="5">
        <f t="shared" si="31"/>
        <v>0.626</v>
      </c>
      <c r="I35" s="5">
        <f t="shared" si="31"/>
        <v>0.62</v>
      </c>
      <c r="J35" s="5">
        <f t="shared" si="31"/>
        <v>0.60099999999999998</v>
      </c>
      <c r="K35" s="5">
        <f t="shared" si="31"/>
        <v>0.629</v>
      </c>
      <c r="L35" s="5">
        <f t="shared" si="31"/>
        <v>0.626</v>
      </c>
      <c r="M35" s="5">
        <f t="shared" si="31"/>
        <v>0.59399999999999997</v>
      </c>
      <c r="N35" s="5">
        <f t="shared" si="31"/>
        <v>0.64599999999999991</v>
      </c>
      <c r="O35" s="5">
        <f t="shared" si="31"/>
        <v>0.64499999999999991</v>
      </c>
      <c r="P35" s="5">
        <f t="shared" si="31"/>
        <v>0.61</v>
      </c>
      <c r="Q35" s="5">
        <f t="shared" si="31"/>
        <v>0.58699999999999997</v>
      </c>
      <c r="R35" s="5">
        <f t="shared" si="31"/>
        <v>0.59899999999999998</v>
      </c>
      <c r="S35" s="5">
        <f t="shared" si="31"/>
        <v>0.62</v>
      </c>
      <c r="T35" s="5">
        <f t="shared" si="31"/>
        <v>0.59599999999999997</v>
      </c>
      <c r="U35" s="5">
        <f t="shared" si="31"/>
        <v>0.58599999999999997</v>
      </c>
      <c r="V35" s="5">
        <f t="shared" si="31"/>
        <v>0.57799999999999996</v>
      </c>
      <c r="W35" s="5">
        <f t="shared" si="31"/>
        <v>0.57699999999999996</v>
      </c>
      <c r="X35" s="5">
        <f t="shared" si="31"/>
        <v>0.61399999999999999</v>
      </c>
      <c r="Y35" s="5">
        <f t="shared" si="31"/>
        <v>0.57699999999999996</v>
      </c>
      <c r="AA35" t="s">
        <v>84</v>
      </c>
      <c r="AB35" s="3">
        <v>8.1473370116287233E-2</v>
      </c>
      <c r="AC35" s="3">
        <v>7.2770370116287231E-2</v>
      </c>
      <c r="AD35" s="3">
        <v>7.9910328328704316E-2</v>
      </c>
      <c r="AE35" s="3">
        <v>8.6264837098704347E-2</v>
      </c>
      <c r="AF35" s="3">
        <v>5.6188445947116139E-2</v>
      </c>
      <c r="AG35" s="3">
        <v>7.4101932786984279E-2</v>
      </c>
      <c r="AH35" s="3">
        <v>6.2044642551469797E-2</v>
      </c>
      <c r="AI35" s="3">
        <v>4.9491356894892098E-2</v>
      </c>
      <c r="AJ35" s="3">
        <v>6.8012189348340496E-2</v>
      </c>
      <c r="AK35" s="3">
        <v>0.10940571732773625</v>
      </c>
      <c r="AL35" s="3">
        <v>0.10079771732773625</v>
      </c>
      <c r="AM35" s="3">
        <v>6.7981167139685744E-2</v>
      </c>
      <c r="AN35" s="3">
        <v>8.791396167671775E-2</v>
      </c>
      <c r="AO35" s="3">
        <v>9.4101717327736256E-2</v>
      </c>
      <c r="AP35" s="3">
        <v>7.2212282036608691E-2</v>
      </c>
      <c r="AQ35" s="3">
        <v>7.9927229895944224E-2</v>
      </c>
      <c r="AR35" s="3">
        <v>7.1304208858370494E-2</v>
      </c>
      <c r="AS35" s="3">
        <v>5.5466010840509686E-2</v>
      </c>
      <c r="AT35" s="3">
        <v>6.4011322171858454E-2</v>
      </c>
      <c r="AU35" s="3">
        <v>6.5966003795692799E-2</v>
      </c>
      <c r="AV35" s="3">
        <v>4.3968036141852573E-2</v>
      </c>
      <c r="AW35" s="3">
        <v>5.2917330528366086E-2</v>
      </c>
      <c r="AX35" s="3">
        <v>5.9330341601362316E-2</v>
      </c>
      <c r="AZ35" t="s">
        <v>84</v>
      </c>
      <c r="BA35" t="s">
        <v>75</v>
      </c>
      <c r="BB35" t="s">
        <v>75</v>
      </c>
      <c r="BC35" t="s">
        <v>74</v>
      </c>
      <c r="BD35" t="s">
        <v>70</v>
      </c>
      <c r="BE35" t="s">
        <v>75</v>
      </c>
      <c r="BF35" t="s">
        <v>75</v>
      </c>
      <c r="BG35" t="s">
        <v>74</v>
      </c>
      <c r="BH35" t="s">
        <v>74</v>
      </c>
      <c r="BI35" t="s">
        <v>70</v>
      </c>
      <c r="BJ35" t="s">
        <v>75</v>
      </c>
      <c r="BK35" t="s">
        <v>74</v>
      </c>
      <c r="BL35" t="s">
        <v>71</v>
      </c>
      <c r="BM35" t="s">
        <v>75</v>
      </c>
      <c r="BN35" t="s">
        <v>74</v>
      </c>
      <c r="BO35" t="s">
        <v>72</v>
      </c>
      <c r="BP35" t="s">
        <v>70</v>
      </c>
      <c r="BQ35" t="s">
        <v>70</v>
      </c>
      <c r="BR35" t="s">
        <v>75</v>
      </c>
      <c r="BS35" t="s">
        <v>73</v>
      </c>
      <c r="BT35" t="s">
        <v>71</v>
      </c>
      <c r="BU35" t="s">
        <v>75</v>
      </c>
      <c r="BV35" t="s">
        <v>75</v>
      </c>
      <c r="BW35" t="s">
        <v>72</v>
      </c>
    </row>
    <row r="36" spans="1:75" x14ac:dyDescent="0.35">
      <c r="A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75" x14ac:dyDescent="0.35">
      <c r="A37" s="4"/>
      <c r="B37" s="2" t="s">
        <v>51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AA37" s="2" t="s">
        <v>51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Z37" s="2" t="s">
        <v>51</v>
      </c>
    </row>
    <row r="38" spans="1:75" x14ac:dyDescent="0.35">
      <c r="A38" s="4"/>
      <c r="B38" t="s">
        <v>52</v>
      </c>
      <c r="C38" s="3">
        <v>6.6000000000000003E-2</v>
      </c>
      <c r="D38" s="3">
        <v>6.3E-2</v>
      </c>
      <c r="E38" s="3">
        <v>6.9000000000000006E-2</v>
      </c>
      <c r="F38" s="3">
        <v>6.6000000000000003E-2</v>
      </c>
      <c r="G38" s="3">
        <v>6.0999999999999999E-2</v>
      </c>
      <c r="H38" s="3">
        <v>6.4000000000000001E-2</v>
      </c>
      <c r="I38" s="3">
        <v>6.3E-2</v>
      </c>
      <c r="J38" s="3">
        <v>0.05</v>
      </c>
      <c r="K38" s="3">
        <v>6.9000000000000006E-2</v>
      </c>
      <c r="L38" s="3">
        <v>5.8000000000000003E-2</v>
      </c>
      <c r="M38" s="3">
        <v>5.5E-2</v>
      </c>
      <c r="N38" s="3">
        <v>7.0000000000000007E-2</v>
      </c>
      <c r="O38" s="3">
        <v>6.4000000000000001E-2</v>
      </c>
      <c r="P38" s="3">
        <v>5.6000000000000001E-2</v>
      </c>
      <c r="Q38" s="3">
        <v>0.06</v>
      </c>
      <c r="R38" s="3">
        <v>5.3999999999999999E-2</v>
      </c>
      <c r="S38" s="3">
        <v>5.8000000000000003E-2</v>
      </c>
      <c r="T38" s="3">
        <v>5.8999999999999997E-2</v>
      </c>
      <c r="U38" s="3">
        <v>5.2999999999999999E-2</v>
      </c>
      <c r="V38" s="3">
        <v>5.2999999999999999E-2</v>
      </c>
      <c r="W38" s="3">
        <v>5.1999999999999998E-2</v>
      </c>
      <c r="X38" s="3">
        <v>5.6000000000000001E-2</v>
      </c>
      <c r="Y38" s="3">
        <v>5.3999999999999999E-2</v>
      </c>
      <c r="AA38" t="s">
        <v>52</v>
      </c>
      <c r="AB38" s="5">
        <v>6.9087411688841416E-2</v>
      </c>
      <c r="AC38" s="5">
        <v>6.0817442674856642E-2</v>
      </c>
      <c r="AD38" s="5">
        <v>6.7723069540730818E-2</v>
      </c>
      <c r="AE38" s="5">
        <v>7.3576967904997848E-2</v>
      </c>
      <c r="AF38" s="5">
        <v>4.3295801372631948E-2</v>
      </c>
      <c r="AG38" s="5">
        <v>6.1679965760643218E-2</v>
      </c>
      <c r="AH38" s="5">
        <v>4.9501741088015611E-2</v>
      </c>
      <c r="AI38" s="5">
        <v>3.7320340185460495E-2</v>
      </c>
      <c r="AJ38" s="5">
        <v>5.5655222628055168E-2</v>
      </c>
      <c r="AK38" s="5">
        <v>9.6590579934984822E-2</v>
      </c>
      <c r="AL38" s="5">
        <v>8.8462580152702891E-2</v>
      </c>
      <c r="AM38" s="5">
        <v>5.5299104435917401E-2</v>
      </c>
      <c r="AN38" s="5">
        <v>7.5114913537632916E-2</v>
      </c>
      <c r="AO38" s="5">
        <v>8.1412591058722117E-2</v>
      </c>
      <c r="AP38" s="5">
        <v>6.0363059921147974E-2</v>
      </c>
      <c r="AQ38" s="5">
        <v>6.7397770171053972E-2</v>
      </c>
      <c r="AR38" s="5">
        <v>5.8886053361546092E-2</v>
      </c>
      <c r="AS38" s="5">
        <v>4.3252148376619573E-2</v>
      </c>
      <c r="AT38" s="5">
        <v>5.1799006051446744E-2</v>
      </c>
      <c r="AU38" s="5">
        <v>5.3784616344396768E-2</v>
      </c>
      <c r="AV38" s="5">
        <v>3.1726552785146273E-2</v>
      </c>
      <c r="AW38" s="5">
        <v>4.0138890448035675E-2</v>
      </c>
      <c r="AX38" s="5">
        <v>4.7219553132843956E-2</v>
      </c>
      <c r="AZ38" t="s">
        <v>52</v>
      </c>
      <c r="BA38" t="s">
        <v>70</v>
      </c>
      <c r="BB38" t="s">
        <v>75</v>
      </c>
      <c r="BC38" t="s">
        <v>71</v>
      </c>
      <c r="BD38" t="s">
        <v>73</v>
      </c>
      <c r="BE38" t="s">
        <v>74</v>
      </c>
      <c r="BF38" t="s">
        <v>73</v>
      </c>
      <c r="BG38" t="s">
        <v>74</v>
      </c>
      <c r="BH38" t="s">
        <v>75</v>
      </c>
      <c r="BI38" t="s">
        <v>73</v>
      </c>
      <c r="BJ38" t="s">
        <v>75</v>
      </c>
      <c r="BK38" t="s">
        <v>74</v>
      </c>
      <c r="BL38" t="s">
        <v>71</v>
      </c>
      <c r="BM38" t="s">
        <v>75</v>
      </c>
      <c r="BN38" t="s">
        <v>72</v>
      </c>
      <c r="BO38" t="s">
        <v>75</v>
      </c>
      <c r="BP38" t="s">
        <v>74</v>
      </c>
      <c r="BQ38" t="s">
        <v>73</v>
      </c>
      <c r="BR38" t="s">
        <v>76</v>
      </c>
      <c r="BS38" t="s">
        <v>75</v>
      </c>
      <c r="BT38" t="s">
        <v>70</v>
      </c>
      <c r="BU38" t="s">
        <v>71</v>
      </c>
      <c r="BV38" t="s">
        <v>74</v>
      </c>
      <c r="BW38" t="s">
        <v>75</v>
      </c>
    </row>
    <row r="39" spans="1:75" x14ac:dyDescent="0.35">
      <c r="A39" s="4"/>
      <c r="B39" t="s">
        <v>53</v>
      </c>
      <c r="C39" s="3">
        <v>0.17199999999999999</v>
      </c>
      <c r="D39" s="3">
        <v>0.183</v>
      </c>
      <c r="E39" s="3">
        <v>0.17399999999999999</v>
      </c>
      <c r="F39" s="3">
        <v>0.17100000000000001</v>
      </c>
      <c r="G39" s="3">
        <v>0.17799999999999999</v>
      </c>
      <c r="H39" s="3">
        <v>0.17499999999999999</v>
      </c>
      <c r="I39" s="3">
        <v>0.18</v>
      </c>
      <c r="J39" s="3">
        <v>0.153</v>
      </c>
      <c r="K39" s="3">
        <v>0.17799999999999999</v>
      </c>
      <c r="L39" s="3">
        <v>0.17299999999999999</v>
      </c>
      <c r="M39" s="3">
        <v>0.17899999999999999</v>
      </c>
      <c r="N39" s="3">
        <v>0.17499999999999999</v>
      </c>
      <c r="O39" s="3">
        <v>0.16800000000000001</v>
      </c>
      <c r="P39" s="3">
        <v>0.17899999999999999</v>
      </c>
      <c r="Q39" s="3">
        <v>0.17599999999999999</v>
      </c>
      <c r="R39" s="3">
        <v>0.17799999999999999</v>
      </c>
      <c r="S39" s="3">
        <v>0.16</v>
      </c>
      <c r="T39" s="3">
        <v>0.18</v>
      </c>
      <c r="U39" s="3">
        <v>0.17499999999999999</v>
      </c>
      <c r="V39" s="5">
        <v>0.185</v>
      </c>
      <c r="W39" s="3">
        <v>0.185</v>
      </c>
      <c r="X39" s="3">
        <v>0.17699999999999999</v>
      </c>
      <c r="Y39" s="3">
        <v>0.182</v>
      </c>
      <c r="AA39" t="s">
        <v>53</v>
      </c>
      <c r="AB39" s="5">
        <v>7.3662583968756204E-2</v>
      </c>
      <c r="AC39" s="5">
        <v>6.539261495477143E-2</v>
      </c>
      <c r="AD39" s="5">
        <v>7.2298241820645606E-2</v>
      </c>
      <c r="AE39" s="5">
        <v>7.8152140184912636E-2</v>
      </c>
      <c r="AF39" s="5">
        <v>4.7870973652546736E-2</v>
      </c>
      <c r="AG39" s="5">
        <v>6.6255138040558006E-2</v>
      </c>
      <c r="AH39" s="5">
        <v>5.4076913367930399E-2</v>
      </c>
      <c r="AI39" s="5">
        <v>4.1895512465375283E-2</v>
      </c>
      <c r="AJ39" s="5">
        <v>6.0230394907969956E-2</v>
      </c>
      <c r="AK39" s="5">
        <v>0.10116575221489961</v>
      </c>
      <c r="AL39" s="5">
        <v>9.3037752432617679E-2</v>
      </c>
      <c r="AM39" s="5">
        <v>5.9874276715832189E-2</v>
      </c>
      <c r="AN39" s="5">
        <v>7.9690085817547704E-2</v>
      </c>
      <c r="AO39" s="5">
        <v>8.5987763338636905E-2</v>
      </c>
      <c r="AP39" s="5">
        <v>6.4938232201062762E-2</v>
      </c>
      <c r="AQ39" s="5">
        <v>7.197294245096876E-2</v>
      </c>
      <c r="AR39" s="5">
        <v>6.3461225641460881E-2</v>
      </c>
      <c r="AS39" s="5">
        <v>4.7827320656534361E-2</v>
      </c>
      <c r="AT39" s="5">
        <v>5.6374178331361532E-2</v>
      </c>
      <c r="AU39" s="5">
        <v>5.8359788624311557E-2</v>
      </c>
      <c r="AV39" s="5">
        <v>3.6301725065061061E-2</v>
      </c>
      <c r="AW39" s="5">
        <v>4.4714062727950463E-2</v>
      </c>
      <c r="AX39" s="5">
        <v>5.1794725412758744E-2</v>
      </c>
      <c r="AZ39" t="s">
        <v>53</v>
      </c>
      <c r="BA39" t="s">
        <v>70</v>
      </c>
      <c r="BB39" t="s">
        <v>75</v>
      </c>
      <c r="BC39" t="s">
        <v>70</v>
      </c>
      <c r="BD39" t="s">
        <v>73</v>
      </c>
      <c r="BE39" t="s">
        <v>75</v>
      </c>
      <c r="BF39" t="s">
        <v>73</v>
      </c>
      <c r="BG39" t="s">
        <v>71</v>
      </c>
      <c r="BH39" t="s">
        <v>73</v>
      </c>
      <c r="BI39" t="s">
        <v>73</v>
      </c>
      <c r="BJ39" t="s">
        <v>74</v>
      </c>
      <c r="BK39" t="s">
        <v>75</v>
      </c>
      <c r="BL39" t="s">
        <v>71</v>
      </c>
      <c r="BM39" t="s">
        <v>76</v>
      </c>
      <c r="BN39" t="s">
        <v>73</v>
      </c>
      <c r="BO39" t="s">
        <v>72</v>
      </c>
      <c r="BP39" t="s">
        <v>76</v>
      </c>
      <c r="BQ39" t="s">
        <v>75</v>
      </c>
      <c r="BR39" t="s">
        <v>72</v>
      </c>
      <c r="BS39" t="s">
        <v>75</v>
      </c>
      <c r="BT39" t="s">
        <v>75</v>
      </c>
      <c r="BU39" t="s">
        <v>76</v>
      </c>
      <c r="BV39" t="s">
        <v>73</v>
      </c>
      <c r="BW39" t="s">
        <v>73</v>
      </c>
    </row>
    <row r="40" spans="1:75" x14ac:dyDescent="0.35">
      <c r="A40" s="4"/>
      <c r="B40" t="s">
        <v>54</v>
      </c>
      <c r="C40" s="3">
        <v>0.318</v>
      </c>
      <c r="D40" s="3">
        <v>0.34100000000000003</v>
      </c>
      <c r="E40" s="3">
        <v>0.315</v>
      </c>
      <c r="F40" s="3">
        <v>0.32700000000000001</v>
      </c>
      <c r="G40" s="3">
        <v>0.34599999999999997</v>
      </c>
      <c r="H40" s="3">
        <v>0.32700000000000001</v>
      </c>
      <c r="I40" s="3">
        <v>0.34499999999999997</v>
      </c>
      <c r="J40" s="3">
        <v>0.30499999999999999</v>
      </c>
      <c r="K40" s="3">
        <v>0.32900000000000001</v>
      </c>
      <c r="L40" s="3">
        <v>0.34300000000000003</v>
      </c>
      <c r="M40" s="3">
        <v>0.35299999999999998</v>
      </c>
      <c r="N40" s="3">
        <v>0.32700000000000001</v>
      </c>
      <c r="O40" s="3">
        <v>0.32300000000000001</v>
      </c>
      <c r="P40" s="3">
        <v>0.35699999999999998</v>
      </c>
      <c r="Q40" s="3">
        <v>0.33500000000000002</v>
      </c>
      <c r="R40" s="3">
        <v>0.35699999999999998</v>
      </c>
      <c r="S40" s="3">
        <v>0.316</v>
      </c>
      <c r="T40" s="3">
        <v>0.34899999999999998</v>
      </c>
      <c r="U40" s="3">
        <v>0.34899999999999998</v>
      </c>
      <c r="V40" s="5">
        <v>0.36499999999999999</v>
      </c>
      <c r="W40" s="3">
        <v>0.36899999999999999</v>
      </c>
      <c r="X40" s="3">
        <v>0.35599999999999998</v>
      </c>
      <c r="Y40" s="3">
        <v>0.36</v>
      </c>
      <c r="AA40" t="s">
        <v>54</v>
      </c>
      <c r="AB40" s="5">
        <v>0.1005318839687562</v>
      </c>
      <c r="AC40" s="5">
        <v>9.2261914954771429E-2</v>
      </c>
      <c r="AD40" s="5">
        <v>9.9167541820645605E-2</v>
      </c>
      <c r="AE40" s="5">
        <v>0.10502144018491263</v>
      </c>
      <c r="AF40" s="5">
        <v>7.4740273652546735E-2</v>
      </c>
      <c r="AG40" s="5">
        <v>9.3124438040558005E-2</v>
      </c>
      <c r="AH40" s="5">
        <v>8.0946213367930397E-2</v>
      </c>
      <c r="AI40" s="5">
        <v>6.8764812465375275E-2</v>
      </c>
      <c r="AJ40" s="5">
        <v>8.7099694907969955E-2</v>
      </c>
      <c r="AK40" s="5">
        <v>0.12803505221489961</v>
      </c>
      <c r="AL40" s="5">
        <v>0.11990705243261768</v>
      </c>
      <c r="AM40" s="5">
        <v>8.6743576715832188E-2</v>
      </c>
      <c r="AN40" s="5">
        <v>0.1065593858175477</v>
      </c>
      <c r="AO40" s="5">
        <v>0.1128570633386369</v>
      </c>
      <c r="AP40" s="5">
        <v>9.1807532201062761E-2</v>
      </c>
      <c r="AQ40" s="5">
        <v>9.8842242450968759E-2</v>
      </c>
      <c r="AR40" s="5">
        <v>9.0330525641460879E-2</v>
      </c>
      <c r="AS40" s="5">
        <v>7.469662065653436E-2</v>
      </c>
      <c r="AT40" s="5">
        <v>8.3243478331361531E-2</v>
      </c>
      <c r="AU40" s="5">
        <v>8.5229088624311555E-2</v>
      </c>
      <c r="AV40" s="5">
        <v>6.3171025065061059E-2</v>
      </c>
      <c r="AW40" s="5">
        <v>7.1583362727950461E-2</v>
      </c>
      <c r="AX40" s="5">
        <v>7.8664025412758742E-2</v>
      </c>
      <c r="AZ40" t="s">
        <v>54</v>
      </c>
      <c r="BA40" t="s">
        <v>70</v>
      </c>
      <c r="BB40" t="s">
        <v>71</v>
      </c>
      <c r="BC40" t="s">
        <v>76</v>
      </c>
      <c r="BD40" t="s">
        <v>74</v>
      </c>
      <c r="BE40" t="s">
        <v>71</v>
      </c>
      <c r="BF40" t="s">
        <v>72</v>
      </c>
      <c r="BG40" t="s">
        <v>71</v>
      </c>
      <c r="BH40" t="s">
        <v>70</v>
      </c>
      <c r="BI40" t="s">
        <v>75</v>
      </c>
      <c r="BJ40" t="s">
        <v>70</v>
      </c>
      <c r="BK40" t="s">
        <v>74</v>
      </c>
      <c r="BL40" t="s">
        <v>71</v>
      </c>
      <c r="BM40" t="s">
        <v>75</v>
      </c>
      <c r="BN40" t="s">
        <v>71</v>
      </c>
      <c r="BO40" t="s">
        <v>70</v>
      </c>
      <c r="BP40" t="s">
        <v>75</v>
      </c>
      <c r="BQ40" t="s">
        <v>72</v>
      </c>
      <c r="BR40" t="s">
        <v>70</v>
      </c>
      <c r="BS40" t="s">
        <v>72</v>
      </c>
      <c r="BT40" t="s">
        <v>72</v>
      </c>
      <c r="BU40" t="s">
        <v>73</v>
      </c>
      <c r="BV40" t="s">
        <v>73</v>
      </c>
      <c r="BW40" t="s">
        <v>74</v>
      </c>
    </row>
    <row r="41" spans="1:75" x14ac:dyDescent="0.35">
      <c r="A41" s="4"/>
      <c r="B41" t="s">
        <v>55</v>
      </c>
      <c r="C41" s="5">
        <v>0.22700000000000001</v>
      </c>
      <c r="D41" s="5">
        <v>0.221</v>
      </c>
      <c r="E41" s="5">
        <v>0.22500000000000001</v>
      </c>
      <c r="F41" s="5">
        <v>0.22700000000000001</v>
      </c>
      <c r="G41" s="5">
        <v>0.22600000000000001</v>
      </c>
      <c r="H41" s="5">
        <v>0.22600000000000001</v>
      </c>
      <c r="I41" s="5">
        <v>0.223</v>
      </c>
      <c r="J41" s="5">
        <v>0.24399999999999999</v>
      </c>
      <c r="K41" s="5">
        <v>0.222</v>
      </c>
      <c r="L41" s="5">
        <v>0.22900000000000001</v>
      </c>
      <c r="M41" s="5">
        <v>0.22600000000000001</v>
      </c>
      <c r="N41" s="5">
        <v>0.224</v>
      </c>
      <c r="O41" s="5">
        <v>0.23</v>
      </c>
      <c r="P41" s="5">
        <v>0.22600000000000001</v>
      </c>
      <c r="Q41" s="5">
        <v>0.22600000000000001</v>
      </c>
      <c r="R41" s="5">
        <v>0.22700000000000001</v>
      </c>
      <c r="S41" s="5">
        <v>0.23499999999999999</v>
      </c>
      <c r="T41" s="5">
        <v>0.224</v>
      </c>
      <c r="U41" s="5">
        <v>0.22900000000000001</v>
      </c>
      <c r="V41" s="5">
        <v>0.223</v>
      </c>
      <c r="W41" s="5">
        <v>0.223</v>
      </c>
      <c r="X41" s="5">
        <v>0.22700000000000001</v>
      </c>
      <c r="Y41" s="5">
        <v>0.22500000000000001</v>
      </c>
      <c r="AA41" t="s">
        <v>55</v>
      </c>
      <c r="AB41" s="5">
        <v>9.388922841537907E-2</v>
      </c>
      <c r="AC41" s="5">
        <v>8.5619259401394296E-2</v>
      </c>
      <c r="AD41" s="5">
        <v>9.2524886267268472E-2</v>
      </c>
      <c r="AE41" s="5">
        <v>9.8378784631535501E-2</v>
      </c>
      <c r="AF41" s="5">
        <v>6.8097618099169602E-2</v>
      </c>
      <c r="AG41" s="5">
        <v>8.6481782487180872E-2</v>
      </c>
      <c r="AH41" s="5">
        <v>7.4303557814553264E-2</v>
      </c>
      <c r="AI41" s="5">
        <v>6.2122156911998148E-2</v>
      </c>
      <c r="AJ41" s="5">
        <v>8.0457039354592821E-2</v>
      </c>
      <c r="AK41" s="5">
        <v>0.12139239666152248</v>
      </c>
      <c r="AL41" s="5">
        <v>0.11326439687924054</v>
      </c>
      <c r="AM41" s="5">
        <v>8.0100921162455055E-2</v>
      </c>
      <c r="AN41" s="5">
        <v>9.991673026417057E-2</v>
      </c>
      <c r="AO41" s="5">
        <v>0.10621440778525977</v>
      </c>
      <c r="AP41" s="5">
        <v>8.5164876647685628E-2</v>
      </c>
      <c r="AQ41" s="5">
        <v>9.2199586897591626E-2</v>
      </c>
      <c r="AR41" s="5">
        <v>8.3687870088083746E-2</v>
      </c>
      <c r="AS41" s="5">
        <v>6.8053965103157227E-2</v>
      </c>
      <c r="AT41" s="5">
        <v>7.6600822777984398E-2</v>
      </c>
      <c r="AU41" s="5">
        <v>7.8586433070934422E-2</v>
      </c>
      <c r="AV41" s="5">
        <v>5.6528369511683926E-2</v>
      </c>
      <c r="AW41" s="5">
        <v>6.4940707174573328E-2</v>
      </c>
      <c r="AX41" s="5">
        <v>7.2021369859381609E-2</v>
      </c>
      <c r="AZ41" t="s">
        <v>55</v>
      </c>
      <c r="BA41" t="s">
        <v>74</v>
      </c>
      <c r="BB41" t="s">
        <v>74</v>
      </c>
      <c r="BC41" t="s">
        <v>70</v>
      </c>
      <c r="BD41" t="s">
        <v>70</v>
      </c>
      <c r="BE41" t="s">
        <v>71</v>
      </c>
      <c r="BF41" t="s">
        <v>74</v>
      </c>
      <c r="BG41" t="s">
        <v>70</v>
      </c>
      <c r="BH41" t="s">
        <v>71</v>
      </c>
      <c r="BI41" t="s">
        <v>72</v>
      </c>
      <c r="BJ41" t="s">
        <v>72</v>
      </c>
      <c r="BK41" t="s">
        <v>73</v>
      </c>
      <c r="BL41" t="s">
        <v>76</v>
      </c>
      <c r="BM41" t="s">
        <v>70</v>
      </c>
      <c r="BN41" t="s">
        <v>70</v>
      </c>
      <c r="BO41" t="s">
        <v>75</v>
      </c>
      <c r="BP41" t="s">
        <v>70</v>
      </c>
      <c r="BQ41" t="s">
        <v>70</v>
      </c>
      <c r="BR41" t="s">
        <v>70</v>
      </c>
      <c r="BS41" t="s">
        <v>72</v>
      </c>
      <c r="BT41" t="s">
        <v>73</v>
      </c>
      <c r="BU41" t="s">
        <v>74</v>
      </c>
      <c r="BV41" t="s">
        <v>70</v>
      </c>
      <c r="BW41" t="s">
        <v>74</v>
      </c>
    </row>
    <row r="42" spans="1:75" x14ac:dyDescent="0.35">
      <c r="A42" s="4"/>
      <c r="B42" t="s">
        <v>56</v>
      </c>
      <c r="C42" s="3">
        <v>7.5999999999999998E-2</v>
      </c>
      <c r="D42" s="3">
        <v>6.5000000000000002E-2</v>
      </c>
      <c r="E42" s="3">
        <v>7.8E-2</v>
      </c>
      <c r="F42" s="3">
        <v>7.0000000000000007E-2</v>
      </c>
      <c r="G42" s="3">
        <v>6.4000000000000001E-2</v>
      </c>
      <c r="H42" s="3">
        <v>7.2999999999999995E-2</v>
      </c>
      <c r="I42" s="3">
        <v>6.3E-2</v>
      </c>
      <c r="J42" s="3">
        <v>9.0999999999999998E-2</v>
      </c>
      <c r="K42" s="3">
        <v>6.8000000000000005E-2</v>
      </c>
      <c r="L42" s="3">
        <v>6.5000000000000002E-2</v>
      </c>
      <c r="M42" s="3">
        <v>6.0999999999999999E-2</v>
      </c>
      <c r="N42" s="3">
        <v>6.9000000000000006E-2</v>
      </c>
      <c r="O42" s="3">
        <v>7.1999999999999995E-2</v>
      </c>
      <c r="P42" s="3">
        <v>5.8000000000000003E-2</v>
      </c>
      <c r="Q42" s="3">
        <v>6.8000000000000005E-2</v>
      </c>
      <c r="R42" s="3">
        <v>5.8999999999999997E-2</v>
      </c>
      <c r="S42" s="3">
        <v>7.9000000000000001E-2</v>
      </c>
      <c r="T42" s="3">
        <v>6.0999999999999999E-2</v>
      </c>
      <c r="U42" s="3">
        <v>6.4000000000000001E-2</v>
      </c>
      <c r="V42" s="3">
        <v>5.6000000000000001E-2</v>
      </c>
      <c r="W42" s="3">
        <v>5.3999999999999999E-2</v>
      </c>
      <c r="X42" s="3">
        <v>5.8999999999999997E-2</v>
      </c>
      <c r="Y42" s="3">
        <v>5.8000000000000003E-2</v>
      </c>
      <c r="AA42" t="s">
        <v>56</v>
      </c>
      <c r="AB42" s="5">
        <v>8.6662583968756202E-2</v>
      </c>
      <c r="AC42" s="5">
        <v>7.8392614954771428E-2</v>
      </c>
      <c r="AD42" s="5">
        <v>8.5298241820645604E-2</v>
      </c>
      <c r="AE42" s="5">
        <v>9.1152140184912633E-2</v>
      </c>
      <c r="AF42" s="5">
        <v>6.0870973652546734E-2</v>
      </c>
      <c r="AG42" s="5">
        <v>7.9255138040558004E-2</v>
      </c>
      <c r="AH42" s="5">
        <v>6.7076913367930396E-2</v>
      </c>
      <c r="AI42" s="5">
        <v>5.489551246537528E-2</v>
      </c>
      <c r="AJ42" s="5">
        <v>7.3230394907969953E-2</v>
      </c>
      <c r="AK42" s="5">
        <v>0.11416575221489961</v>
      </c>
      <c r="AL42" s="5">
        <v>0.10603775243261768</v>
      </c>
      <c r="AM42" s="5">
        <v>7.2874276715832187E-2</v>
      </c>
      <c r="AN42" s="5">
        <v>9.2690085817547702E-2</v>
      </c>
      <c r="AO42" s="5">
        <v>9.8987763338636903E-2</v>
      </c>
      <c r="AP42" s="5">
        <v>7.793823220106276E-2</v>
      </c>
      <c r="AQ42" s="5">
        <v>8.4972942450968758E-2</v>
      </c>
      <c r="AR42" s="5">
        <v>7.6461225641460878E-2</v>
      </c>
      <c r="AS42" s="5">
        <v>6.0827320656534359E-2</v>
      </c>
      <c r="AT42" s="5">
        <v>6.937417833136153E-2</v>
      </c>
      <c r="AU42" s="5">
        <v>7.1359788624311554E-2</v>
      </c>
      <c r="AV42" s="5">
        <v>4.9301725065061058E-2</v>
      </c>
      <c r="AW42" s="5">
        <v>5.771406272795046E-2</v>
      </c>
      <c r="AX42" s="5">
        <v>6.4794725412758741E-2</v>
      </c>
      <c r="AZ42" t="s">
        <v>56</v>
      </c>
      <c r="BA42" t="s">
        <v>71</v>
      </c>
      <c r="BB42" t="s">
        <v>72</v>
      </c>
      <c r="BC42" t="s">
        <v>73</v>
      </c>
      <c r="BD42" t="s">
        <v>70</v>
      </c>
      <c r="BE42" t="s">
        <v>70</v>
      </c>
      <c r="BF42" t="s">
        <v>75</v>
      </c>
      <c r="BG42" t="s">
        <v>75</v>
      </c>
      <c r="BH42" t="s">
        <v>75</v>
      </c>
      <c r="BI42" t="s">
        <v>71</v>
      </c>
      <c r="BJ42" t="s">
        <v>72</v>
      </c>
      <c r="BK42" t="s">
        <v>72</v>
      </c>
      <c r="BL42" t="s">
        <v>71</v>
      </c>
      <c r="BM42" t="s">
        <v>71</v>
      </c>
      <c r="BN42" t="s">
        <v>71</v>
      </c>
      <c r="BO42" t="s">
        <v>73</v>
      </c>
      <c r="BP42" t="s">
        <v>75</v>
      </c>
      <c r="BQ42" t="s">
        <v>71</v>
      </c>
      <c r="BR42" t="s">
        <v>76</v>
      </c>
      <c r="BS42" t="s">
        <v>75</v>
      </c>
      <c r="BT42" t="s">
        <v>73</v>
      </c>
      <c r="BU42" t="s">
        <v>70</v>
      </c>
      <c r="BV42" t="s">
        <v>70</v>
      </c>
      <c r="BW42" t="s">
        <v>74</v>
      </c>
    </row>
    <row r="43" spans="1:75" x14ac:dyDescent="0.35">
      <c r="A43" s="4"/>
      <c r="B43" t="s">
        <v>57</v>
      </c>
      <c r="C43" s="3">
        <f>1-SUM(C38:C42)</f>
        <v>0.14100000000000001</v>
      </c>
      <c r="D43" s="3">
        <f t="shared" ref="D43:Y43" si="32">1-SUM(D38:D42)</f>
        <v>0.127</v>
      </c>
      <c r="E43" s="3">
        <f t="shared" si="32"/>
        <v>0.13900000000000001</v>
      </c>
      <c r="F43" s="3">
        <f t="shared" si="32"/>
        <v>0.13900000000000001</v>
      </c>
      <c r="G43" s="3">
        <f t="shared" si="32"/>
        <v>0.125</v>
      </c>
      <c r="H43" s="3">
        <f t="shared" si="32"/>
        <v>0.13500000000000001</v>
      </c>
      <c r="I43" s="3">
        <f t="shared" si="32"/>
        <v>0.12600000000000011</v>
      </c>
      <c r="J43" s="3">
        <f t="shared" si="32"/>
        <v>0.15700000000000003</v>
      </c>
      <c r="K43" s="3">
        <f t="shared" si="32"/>
        <v>0.1339999999999999</v>
      </c>
      <c r="L43" s="3">
        <f t="shared" si="32"/>
        <v>0.1319999999999999</v>
      </c>
      <c r="M43" s="3">
        <f t="shared" si="32"/>
        <v>0.12600000000000011</v>
      </c>
      <c r="N43" s="3">
        <f t="shared" si="32"/>
        <v>0.13500000000000001</v>
      </c>
      <c r="O43" s="3">
        <f t="shared" si="32"/>
        <v>0.14300000000000002</v>
      </c>
      <c r="P43" s="3">
        <f t="shared" si="32"/>
        <v>0.124</v>
      </c>
      <c r="Q43" s="3">
        <f t="shared" si="32"/>
        <v>0.13500000000000001</v>
      </c>
      <c r="R43" s="3">
        <f t="shared" si="32"/>
        <v>0.125</v>
      </c>
      <c r="S43" s="3">
        <f t="shared" si="32"/>
        <v>0.15200000000000002</v>
      </c>
      <c r="T43" s="3">
        <f t="shared" si="32"/>
        <v>0.127</v>
      </c>
      <c r="U43" s="3">
        <f t="shared" si="32"/>
        <v>0.13000000000000012</v>
      </c>
      <c r="V43" s="3">
        <f t="shared" si="32"/>
        <v>0.11799999999999999</v>
      </c>
      <c r="W43" s="3">
        <f t="shared" si="32"/>
        <v>0.11699999999999999</v>
      </c>
      <c r="X43" s="3">
        <f t="shared" si="32"/>
        <v>0.125</v>
      </c>
      <c r="Y43" s="3">
        <f t="shared" si="32"/>
        <v>0.121</v>
      </c>
      <c r="AA43" t="s">
        <v>57</v>
      </c>
      <c r="AB43" s="5">
        <v>8.0619050838415876E-2</v>
      </c>
      <c r="AC43" s="5">
        <v>7.2349081824431102E-2</v>
      </c>
      <c r="AD43" s="5">
        <v>7.9254708690305278E-2</v>
      </c>
      <c r="AE43" s="5">
        <v>8.5108607054572308E-2</v>
      </c>
      <c r="AF43" s="5">
        <v>5.4827440522206408E-2</v>
      </c>
      <c r="AG43" s="5">
        <v>7.3211604910217679E-2</v>
      </c>
      <c r="AH43" s="5">
        <v>6.1033380237590071E-2</v>
      </c>
      <c r="AI43" s="5">
        <v>4.8851979335034955E-2</v>
      </c>
      <c r="AJ43" s="5">
        <v>6.7186861777629628E-2</v>
      </c>
      <c r="AK43" s="5">
        <v>0.10812221908455928</v>
      </c>
      <c r="AL43" s="5">
        <v>9.9994219302277351E-2</v>
      </c>
      <c r="AM43" s="5">
        <v>6.6830743585491861E-2</v>
      </c>
      <c r="AN43" s="5">
        <v>8.6646552687207376E-2</v>
      </c>
      <c r="AO43" s="5">
        <v>9.2944230208296577E-2</v>
      </c>
      <c r="AP43" s="5">
        <v>7.1894699070722434E-2</v>
      </c>
      <c r="AQ43" s="5">
        <v>7.8929409320628433E-2</v>
      </c>
      <c r="AR43" s="5">
        <v>7.0417692511120553E-2</v>
      </c>
      <c r="AS43" s="5">
        <v>5.4783787526194033E-2</v>
      </c>
      <c r="AT43" s="5">
        <v>6.3330645201021205E-2</v>
      </c>
      <c r="AU43" s="5">
        <v>6.5316255493971229E-2</v>
      </c>
      <c r="AV43" s="5">
        <v>4.3258191934720733E-2</v>
      </c>
      <c r="AW43" s="5">
        <v>5.1670529597610135E-2</v>
      </c>
      <c r="AX43" s="5">
        <v>5.8751192282418416E-2</v>
      </c>
      <c r="AZ43" t="s">
        <v>57</v>
      </c>
      <c r="BA43" t="s">
        <v>74</v>
      </c>
      <c r="BB43" t="s">
        <v>70</v>
      </c>
      <c r="BC43" t="s">
        <v>70</v>
      </c>
      <c r="BD43" t="s">
        <v>70</v>
      </c>
      <c r="BE43" t="s">
        <v>73</v>
      </c>
      <c r="BF43" t="s">
        <v>74</v>
      </c>
      <c r="BG43" t="s">
        <v>73</v>
      </c>
      <c r="BH43" t="s">
        <v>74</v>
      </c>
      <c r="BI43" t="s">
        <v>76</v>
      </c>
      <c r="BJ43" t="s">
        <v>72</v>
      </c>
      <c r="BK43" t="s">
        <v>72</v>
      </c>
      <c r="BL43" t="s">
        <v>72</v>
      </c>
      <c r="BM43" t="s">
        <v>75</v>
      </c>
      <c r="BN43" t="s">
        <v>71</v>
      </c>
      <c r="BO43" t="s">
        <v>74</v>
      </c>
      <c r="BP43" t="s">
        <v>76</v>
      </c>
      <c r="BQ43" t="s">
        <v>70</v>
      </c>
      <c r="BR43" t="s">
        <v>73</v>
      </c>
      <c r="BS43" t="s">
        <v>76</v>
      </c>
      <c r="BT43" t="s">
        <v>73</v>
      </c>
      <c r="BU43" t="s">
        <v>75</v>
      </c>
      <c r="BV43" t="s">
        <v>70</v>
      </c>
      <c r="BW43" t="s">
        <v>70</v>
      </c>
    </row>
    <row r="44" spans="1:75" x14ac:dyDescent="0.35">
      <c r="A44" s="4"/>
      <c r="B44" s="2"/>
      <c r="C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5"/>
      <c r="W44" s="3"/>
      <c r="X44" s="3"/>
      <c r="Y44" s="3"/>
      <c r="AA44" s="2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Z44" s="2"/>
    </row>
    <row r="45" spans="1:75" x14ac:dyDescent="0.35">
      <c r="A45" s="4"/>
      <c r="B45" s="2" t="s">
        <v>58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AA45" s="2" t="s">
        <v>58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Z45" s="2" t="s">
        <v>58</v>
      </c>
    </row>
    <row r="46" spans="1:75" x14ac:dyDescent="0.35">
      <c r="A46" s="4"/>
      <c r="B46" t="s">
        <v>59</v>
      </c>
      <c r="C46" s="5">
        <v>0.41199999999999998</v>
      </c>
      <c r="D46" s="5">
        <v>0.44</v>
      </c>
      <c r="E46" s="5">
        <v>0.41699999999999998</v>
      </c>
      <c r="F46" s="5">
        <v>0.39700000000000002</v>
      </c>
      <c r="G46" s="5">
        <v>0.40500000000000003</v>
      </c>
      <c r="H46" s="5">
        <v>0.41799999999999998</v>
      </c>
      <c r="I46" s="5">
        <v>0.41699999999999998</v>
      </c>
      <c r="J46" s="5">
        <v>0.45600000000000002</v>
      </c>
      <c r="K46" s="5">
        <v>0.40799999999999997</v>
      </c>
      <c r="L46" s="5">
        <v>0.41199999999999998</v>
      </c>
      <c r="M46" s="5">
        <v>0.443</v>
      </c>
      <c r="N46" s="5">
        <v>0.38800000000000001</v>
      </c>
      <c r="O46" s="5">
        <v>0.39300000000000002</v>
      </c>
      <c r="P46" s="5">
        <v>0.42199999999999999</v>
      </c>
      <c r="Q46" s="5">
        <v>0.45</v>
      </c>
      <c r="R46" s="5">
        <v>0.433</v>
      </c>
      <c r="S46" s="5">
        <v>0.42799999999999999</v>
      </c>
      <c r="T46" s="5">
        <v>0.438</v>
      </c>
      <c r="U46" s="5">
        <v>0.45200000000000001</v>
      </c>
      <c r="V46" s="5">
        <v>0.45300000000000001</v>
      </c>
      <c r="W46" s="5">
        <v>0.45300000000000001</v>
      </c>
      <c r="X46" s="5">
        <v>0.42</v>
      </c>
      <c r="Y46" s="5">
        <v>0.45200000000000001</v>
      </c>
      <c r="AA46" t="s">
        <v>59</v>
      </c>
      <c r="AB46" s="3">
        <v>9.6439342326188213E-2</v>
      </c>
      <c r="AC46" s="3">
        <v>8.8059629363811967E-2</v>
      </c>
      <c r="AD46" s="3">
        <v>9.4884494652466705E-2</v>
      </c>
      <c r="AE46" s="3">
        <v>0.10128222696702117</v>
      </c>
      <c r="AF46" s="3">
        <v>7.1230346397611166E-2</v>
      </c>
      <c r="AG46" s="3">
        <v>8.9100537933518922E-2</v>
      </c>
      <c r="AH46" s="3">
        <v>7.7170808875232172E-2</v>
      </c>
      <c r="AI46" s="3">
        <v>6.4449637306773278E-2</v>
      </c>
      <c r="AJ46" s="3">
        <v>8.3089406267152374E-2</v>
      </c>
      <c r="AK46" s="3">
        <v>0.12448568953763724</v>
      </c>
      <c r="AL46" s="3">
        <v>0.11606529304357784</v>
      </c>
      <c r="AM46" s="3">
        <v>8.3006607603052077E-2</v>
      </c>
      <c r="AN46" s="3">
        <v>0.10289059625394548</v>
      </c>
      <c r="AO46" s="3">
        <v>0.10935007776536002</v>
      </c>
      <c r="AP46" s="3">
        <v>8.7517929511856205E-2</v>
      </c>
      <c r="AQ46" s="3">
        <v>9.5235417384063048E-2</v>
      </c>
      <c r="AR46" s="3">
        <v>8.628120223262789E-2</v>
      </c>
      <c r="AS46" s="3">
        <v>7.0763392442489872E-2</v>
      </c>
      <c r="AT46" s="3">
        <v>7.9308847292650531E-2</v>
      </c>
      <c r="AU46" s="3">
        <v>8.1401967739257161E-2</v>
      </c>
      <c r="AV46" s="3">
        <v>5.9423000085416927E-2</v>
      </c>
      <c r="AW46" s="3">
        <v>6.811681332044528E-2</v>
      </c>
      <c r="AX46" s="3">
        <v>7.4798866722154397E-2</v>
      </c>
      <c r="AZ46" t="s">
        <v>59</v>
      </c>
      <c r="BA46" t="s">
        <v>72</v>
      </c>
      <c r="BB46" t="s">
        <v>73</v>
      </c>
      <c r="BC46" t="s">
        <v>70</v>
      </c>
      <c r="BD46" t="s">
        <v>75</v>
      </c>
      <c r="BE46" t="s">
        <v>74</v>
      </c>
      <c r="BF46" t="s">
        <v>70</v>
      </c>
      <c r="BG46" t="s">
        <v>74</v>
      </c>
      <c r="BH46" t="s">
        <v>70</v>
      </c>
      <c r="BI46" t="s">
        <v>76</v>
      </c>
      <c r="BJ46" t="s">
        <v>70</v>
      </c>
      <c r="BK46" t="s">
        <v>71</v>
      </c>
      <c r="BL46" t="s">
        <v>73</v>
      </c>
      <c r="BM46" t="s">
        <v>76</v>
      </c>
      <c r="BN46" t="s">
        <v>72</v>
      </c>
      <c r="BO46" t="s">
        <v>75</v>
      </c>
      <c r="BP46" t="s">
        <v>70</v>
      </c>
      <c r="BQ46" t="s">
        <v>72</v>
      </c>
      <c r="BR46" t="s">
        <v>71</v>
      </c>
      <c r="BS46" t="s">
        <v>74</v>
      </c>
      <c r="BT46" t="s">
        <v>71</v>
      </c>
      <c r="BU46" t="s">
        <v>74</v>
      </c>
      <c r="BV46" t="s">
        <v>75</v>
      </c>
      <c r="BW46" t="s">
        <v>73</v>
      </c>
    </row>
    <row r="47" spans="1:75" x14ac:dyDescent="0.35">
      <c r="A47" s="4"/>
      <c r="B47" t="s">
        <v>60</v>
      </c>
      <c r="C47" s="5">
        <f>1-C46</f>
        <v>0.58800000000000008</v>
      </c>
      <c r="D47" s="5">
        <f t="shared" ref="D47:Y47" si="33">1-D46</f>
        <v>0.56000000000000005</v>
      </c>
      <c r="E47" s="5">
        <f t="shared" si="33"/>
        <v>0.58299999999999996</v>
      </c>
      <c r="F47" s="5">
        <f t="shared" si="33"/>
        <v>0.60299999999999998</v>
      </c>
      <c r="G47" s="5">
        <f t="shared" si="33"/>
        <v>0.59499999999999997</v>
      </c>
      <c r="H47" s="5">
        <f t="shared" si="33"/>
        <v>0.58200000000000007</v>
      </c>
      <c r="I47" s="5">
        <f t="shared" si="33"/>
        <v>0.58299999999999996</v>
      </c>
      <c r="J47" s="5">
        <f t="shared" si="33"/>
        <v>0.54400000000000004</v>
      </c>
      <c r="K47" s="5">
        <f t="shared" si="33"/>
        <v>0.59200000000000008</v>
      </c>
      <c r="L47" s="5">
        <f t="shared" si="33"/>
        <v>0.58800000000000008</v>
      </c>
      <c r="M47" s="5">
        <f t="shared" si="33"/>
        <v>0.55699999999999994</v>
      </c>
      <c r="N47" s="5">
        <f t="shared" si="33"/>
        <v>0.61199999999999999</v>
      </c>
      <c r="O47" s="5">
        <f t="shared" si="33"/>
        <v>0.60699999999999998</v>
      </c>
      <c r="P47" s="5">
        <f t="shared" si="33"/>
        <v>0.57800000000000007</v>
      </c>
      <c r="Q47" s="5">
        <f t="shared" si="33"/>
        <v>0.55000000000000004</v>
      </c>
      <c r="R47" s="5">
        <f t="shared" si="33"/>
        <v>0.56699999999999995</v>
      </c>
      <c r="S47" s="5">
        <f t="shared" si="33"/>
        <v>0.57200000000000006</v>
      </c>
      <c r="T47" s="5">
        <f t="shared" si="33"/>
        <v>0.56200000000000006</v>
      </c>
      <c r="U47" s="5">
        <f t="shared" si="33"/>
        <v>0.54800000000000004</v>
      </c>
      <c r="V47" s="5">
        <f t="shared" si="33"/>
        <v>0.54699999999999993</v>
      </c>
      <c r="W47" s="5">
        <f t="shared" si="33"/>
        <v>0.54699999999999993</v>
      </c>
      <c r="X47" s="5">
        <f t="shared" si="33"/>
        <v>0.58000000000000007</v>
      </c>
      <c r="Y47" s="5">
        <f t="shared" si="33"/>
        <v>0.54800000000000004</v>
      </c>
      <c r="AA47" t="s">
        <v>60</v>
      </c>
      <c r="AB47" s="3">
        <v>8.2878165098465448E-2</v>
      </c>
      <c r="AC47" s="3">
        <v>7.4498452136089202E-2</v>
      </c>
      <c r="AD47" s="3">
        <v>8.1323317424743941E-2</v>
      </c>
      <c r="AE47" s="3">
        <v>8.772104973929841E-2</v>
      </c>
      <c r="AF47" s="3">
        <v>5.7669169169888401E-2</v>
      </c>
      <c r="AG47" s="3">
        <v>7.5539360705796157E-2</v>
      </c>
      <c r="AH47" s="3">
        <v>6.3609631647509407E-2</v>
      </c>
      <c r="AI47" s="3">
        <v>5.0888460079050506E-2</v>
      </c>
      <c r="AJ47" s="3">
        <v>6.9528229039429609E-2</v>
      </c>
      <c r="AK47" s="3">
        <v>0.11092451230991447</v>
      </c>
      <c r="AL47" s="3">
        <v>0.10250411581585507</v>
      </c>
      <c r="AM47" s="3">
        <v>6.9445430375329312E-2</v>
      </c>
      <c r="AN47" s="3">
        <v>8.9329419026222712E-2</v>
      </c>
      <c r="AO47" s="3">
        <v>9.578890053763725E-2</v>
      </c>
      <c r="AP47" s="3">
        <v>7.395675228413344E-2</v>
      </c>
      <c r="AQ47" s="3">
        <v>8.1674240156340283E-2</v>
      </c>
      <c r="AR47" s="3">
        <v>7.2720025004905126E-2</v>
      </c>
      <c r="AS47" s="3">
        <v>5.7202215214767108E-2</v>
      </c>
      <c r="AT47" s="3">
        <v>6.5747670064927766E-2</v>
      </c>
      <c r="AU47" s="3">
        <v>6.7840790511534396E-2</v>
      </c>
      <c r="AV47" s="3">
        <v>4.5861822857694162E-2</v>
      </c>
      <c r="AW47" s="3">
        <v>5.4555636092722515E-2</v>
      </c>
      <c r="AX47" s="3">
        <v>6.1237689494431632E-2</v>
      </c>
      <c r="AZ47" t="s">
        <v>60</v>
      </c>
      <c r="BA47" t="s">
        <v>70</v>
      </c>
      <c r="BB47" t="s">
        <v>72</v>
      </c>
      <c r="BC47" t="s">
        <v>71</v>
      </c>
      <c r="BD47" t="s">
        <v>70</v>
      </c>
      <c r="BE47" t="s">
        <v>71</v>
      </c>
      <c r="BF47" t="s">
        <v>71</v>
      </c>
      <c r="BG47" t="s">
        <v>70</v>
      </c>
      <c r="BH47" t="s">
        <v>76</v>
      </c>
      <c r="BI47" t="s">
        <v>70</v>
      </c>
      <c r="BJ47" t="s">
        <v>72</v>
      </c>
      <c r="BK47" t="s">
        <v>70</v>
      </c>
      <c r="BL47" t="s">
        <v>75</v>
      </c>
      <c r="BM47" t="s">
        <v>71</v>
      </c>
      <c r="BN47" t="s">
        <v>75</v>
      </c>
      <c r="BO47" t="s">
        <v>71</v>
      </c>
      <c r="BP47" t="s">
        <v>71</v>
      </c>
      <c r="BQ47" t="s">
        <v>75</v>
      </c>
      <c r="BR47" t="s">
        <v>70</v>
      </c>
      <c r="BS47" t="s">
        <v>74</v>
      </c>
      <c r="BT47" t="s">
        <v>74</v>
      </c>
      <c r="BU47" t="s">
        <v>75</v>
      </c>
      <c r="BV47" t="s">
        <v>75</v>
      </c>
      <c r="BW47" t="s">
        <v>71</v>
      </c>
    </row>
    <row r="48" spans="1:75" x14ac:dyDescent="0.35">
      <c r="A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75" x14ac:dyDescent="0.35">
      <c r="A49" s="4"/>
      <c r="B49" s="2" t="s">
        <v>61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AA49" s="2" t="s">
        <v>61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Z49" s="2" t="s">
        <v>61</v>
      </c>
    </row>
    <row r="50" spans="1:75" x14ac:dyDescent="0.35">
      <c r="A50" s="4"/>
      <c r="B50" t="s">
        <v>62</v>
      </c>
      <c r="C50" s="3">
        <v>7.0000000000000007E-2</v>
      </c>
      <c r="D50" s="3">
        <v>0.121</v>
      </c>
      <c r="E50" s="3">
        <v>4.5999999999999999E-2</v>
      </c>
      <c r="F50" s="3">
        <v>3.7999999999999999E-2</v>
      </c>
      <c r="G50" s="3">
        <v>6.4000000000000001E-2</v>
      </c>
      <c r="H50" s="3">
        <v>6.2E-2</v>
      </c>
      <c r="I50" s="3">
        <v>7.5999999999999998E-2</v>
      </c>
      <c r="J50" s="3">
        <v>7.1999999999999995E-2</v>
      </c>
      <c r="K50" s="3">
        <v>5.0999999999999997E-2</v>
      </c>
      <c r="L50" s="3">
        <v>9.4E-2</v>
      </c>
      <c r="M50" s="3">
        <v>0.14799999999999999</v>
      </c>
      <c r="N50" s="3">
        <v>3.1E-2</v>
      </c>
      <c r="O50" s="3">
        <v>3.7999999999999999E-2</v>
      </c>
      <c r="P50" s="3">
        <v>0.11799999999999999</v>
      </c>
      <c r="Q50" s="3">
        <v>0.112</v>
      </c>
      <c r="R50" s="3">
        <v>0.13200000000000001</v>
      </c>
      <c r="S50" s="3">
        <v>3.5999999999999997E-2</v>
      </c>
      <c r="T50" s="3">
        <v>0.108</v>
      </c>
      <c r="U50" s="3">
        <v>0.13600000000000001</v>
      </c>
      <c r="V50" s="3">
        <v>0.16800000000000001</v>
      </c>
      <c r="W50" s="3">
        <v>0.17399999999999999</v>
      </c>
      <c r="X50" s="3">
        <v>0.109</v>
      </c>
      <c r="Y50" s="3">
        <v>0.156</v>
      </c>
      <c r="AA50" t="s">
        <v>62</v>
      </c>
      <c r="AB50" s="3">
        <v>0.10847722001801624</v>
      </c>
      <c r="AC50" s="3">
        <v>9.8587651251723724E-2</v>
      </c>
      <c r="AD50" s="3">
        <v>0.10805806773388081</v>
      </c>
      <c r="AE50" s="3">
        <v>0.11362332318907029</v>
      </c>
      <c r="AF50" s="3">
        <v>8.3814175139208788E-2</v>
      </c>
      <c r="AG50" s="3">
        <v>0.1021348819927087</v>
      </c>
      <c r="AH50" s="3">
        <v>8.8783630645683759E-2</v>
      </c>
      <c r="AI50" s="3">
        <v>8.1261102533116525E-2</v>
      </c>
      <c r="AJ50" s="3">
        <v>9.4648346316451942E-2</v>
      </c>
      <c r="AK50" s="3">
        <v>0.13561133240101433</v>
      </c>
      <c r="AL50" s="3">
        <v>0.12653250500479649</v>
      </c>
      <c r="AM50" s="3">
        <v>9.4926630281517474E-2</v>
      </c>
      <c r="AN50" s="3">
        <v>0.11553947725926476</v>
      </c>
      <c r="AO50" s="3">
        <v>0.12043890379969156</v>
      </c>
      <c r="AP50" s="3">
        <v>9.8686660222672307E-2</v>
      </c>
      <c r="AQ50" s="3">
        <v>0.10639216609993851</v>
      </c>
      <c r="AR50" s="3">
        <v>9.9581227176108469E-2</v>
      </c>
      <c r="AS50" s="3">
        <v>8.0965368724229783E-2</v>
      </c>
      <c r="AT50" s="3">
        <v>9.0880842579870655E-2</v>
      </c>
      <c r="AU50" s="3">
        <v>9.1662588954031191E-2</v>
      </c>
      <c r="AV50" s="3">
        <v>6.9951259296605867E-2</v>
      </c>
      <c r="AW50" s="3">
        <v>7.9177795250813837E-2</v>
      </c>
      <c r="AX50" s="3">
        <v>8.5386076872252997E-2</v>
      </c>
      <c r="AZ50" t="s">
        <v>62</v>
      </c>
      <c r="BA50" t="s">
        <v>75</v>
      </c>
      <c r="BB50" t="s">
        <v>73</v>
      </c>
      <c r="BC50" t="s">
        <v>76</v>
      </c>
      <c r="BD50" t="s">
        <v>72</v>
      </c>
      <c r="BE50" t="s">
        <v>75</v>
      </c>
      <c r="BF50" t="s">
        <v>71</v>
      </c>
      <c r="BG50" t="s">
        <v>76</v>
      </c>
      <c r="BH50" t="s">
        <v>75</v>
      </c>
      <c r="BI50" t="s">
        <v>70</v>
      </c>
      <c r="BJ50" t="s">
        <v>71</v>
      </c>
      <c r="BK50" t="s">
        <v>76</v>
      </c>
      <c r="BL50" t="s">
        <v>70</v>
      </c>
      <c r="BM50" t="s">
        <v>73</v>
      </c>
      <c r="BN50" t="s">
        <v>74</v>
      </c>
      <c r="BO50" t="s">
        <v>76</v>
      </c>
      <c r="BP50" t="s">
        <v>75</v>
      </c>
      <c r="BQ50" t="s">
        <v>71</v>
      </c>
      <c r="BR50" t="s">
        <v>75</v>
      </c>
      <c r="BS50" t="s">
        <v>76</v>
      </c>
      <c r="BT50" t="s">
        <v>74</v>
      </c>
      <c r="BU50" t="s">
        <v>75</v>
      </c>
      <c r="BV50" t="s">
        <v>74</v>
      </c>
      <c r="BW50" t="s">
        <v>76</v>
      </c>
    </row>
    <row r="51" spans="1:75" x14ac:dyDescent="0.35">
      <c r="A51" s="4"/>
      <c r="B51" t="s">
        <v>63</v>
      </c>
      <c r="C51" s="3">
        <v>0.252</v>
      </c>
      <c r="D51" s="3">
        <v>0.20300000000000001</v>
      </c>
      <c r="E51" s="3">
        <v>0.25</v>
      </c>
      <c r="F51" s="3">
        <v>0.19600000000000001</v>
      </c>
      <c r="G51" s="3">
        <v>0.16900000000000001</v>
      </c>
      <c r="H51" s="3">
        <v>0.216</v>
      </c>
      <c r="I51" s="3">
        <v>0.185</v>
      </c>
      <c r="J51" s="3">
        <v>9.8000000000000004E-2</v>
      </c>
      <c r="K51" s="3">
        <v>0.22600000000000001</v>
      </c>
      <c r="L51" s="3">
        <v>0.158</v>
      </c>
      <c r="M51" s="3">
        <v>0.14599999999999999</v>
      </c>
      <c r="N51" s="3">
        <v>0.224</v>
      </c>
      <c r="O51" s="3">
        <v>0.186</v>
      </c>
      <c r="P51" s="3">
        <v>0.126</v>
      </c>
      <c r="Q51" s="3">
        <v>0.16300000000000001</v>
      </c>
      <c r="R51" s="3">
        <v>0.108</v>
      </c>
      <c r="S51" s="3">
        <v>0.14699999999999999</v>
      </c>
      <c r="T51" s="3">
        <v>0.14899999999999999</v>
      </c>
      <c r="U51" s="3">
        <v>0.108</v>
      </c>
      <c r="V51" s="3">
        <v>0.11600000000000001</v>
      </c>
      <c r="W51" s="3">
        <v>9.8000000000000004E-2</v>
      </c>
      <c r="X51" s="3">
        <v>0.126</v>
      </c>
      <c r="Y51" s="3">
        <v>0.10199999999999999</v>
      </c>
      <c r="AA51" t="s">
        <v>63</v>
      </c>
      <c r="AB51" s="3">
        <v>0.10198503832838535</v>
      </c>
      <c r="AC51" s="3">
        <v>9.209546956209283E-2</v>
      </c>
      <c r="AD51" s="3">
        <v>0.10156588604424992</v>
      </c>
      <c r="AE51" s="3">
        <v>0.10713114149943939</v>
      </c>
      <c r="AF51" s="3">
        <v>7.7321993449577894E-2</v>
      </c>
      <c r="AG51" s="3">
        <v>9.564270030307781E-2</v>
      </c>
      <c r="AH51" s="3">
        <v>8.2291448956052865E-2</v>
      </c>
      <c r="AI51" s="3">
        <v>7.4768920843485631E-2</v>
      </c>
      <c r="AJ51" s="3">
        <v>8.8156164626821049E-2</v>
      </c>
      <c r="AK51" s="3">
        <v>0.12911915071138344</v>
      </c>
      <c r="AL51" s="3">
        <v>0.12004032331516559</v>
      </c>
      <c r="AM51" s="3">
        <v>8.843444859188658E-2</v>
      </c>
      <c r="AN51" s="3">
        <v>0.10904729556963387</v>
      </c>
      <c r="AO51" s="3">
        <v>0.11394672211006067</v>
      </c>
      <c r="AP51" s="3">
        <v>9.2194478533041413E-2</v>
      </c>
      <c r="AQ51" s="3">
        <v>9.9899984410307618E-2</v>
      </c>
      <c r="AR51" s="3">
        <v>9.3089045486477576E-2</v>
      </c>
      <c r="AS51" s="3">
        <v>7.4473187034598889E-2</v>
      </c>
      <c r="AT51" s="3">
        <v>8.4388660890239761E-2</v>
      </c>
      <c r="AU51" s="3">
        <v>8.5170407264400297E-2</v>
      </c>
      <c r="AV51" s="3">
        <v>6.3459077606974973E-2</v>
      </c>
      <c r="AW51" s="3">
        <v>7.2685613561182943E-2</v>
      </c>
      <c r="AX51" s="3">
        <v>7.8893895182622104E-2</v>
      </c>
      <c r="AZ51" t="s">
        <v>63</v>
      </c>
      <c r="BA51" t="s">
        <v>75</v>
      </c>
      <c r="BB51" t="s">
        <v>74</v>
      </c>
      <c r="BC51" t="s">
        <v>71</v>
      </c>
      <c r="BD51" t="s">
        <v>72</v>
      </c>
      <c r="BE51" t="s">
        <v>75</v>
      </c>
      <c r="BF51" t="s">
        <v>76</v>
      </c>
      <c r="BG51" t="s">
        <v>72</v>
      </c>
      <c r="BH51" t="s">
        <v>73</v>
      </c>
      <c r="BI51" t="s">
        <v>72</v>
      </c>
      <c r="BJ51" t="s">
        <v>75</v>
      </c>
      <c r="BK51" t="s">
        <v>73</v>
      </c>
      <c r="BL51" t="s">
        <v>73</v>
      </c>
      <c r="BM51" t="s">
        <v>72</v>
      </c>
      <c r="BN51" t="s">
        <v>70</v>
      </c>
      <c r="BO51" t="s">
        <v>73</v>
      </c>
      <c r="BP51" t="s">
        <v>74</v>
      </c>
      <c r="BQ51" t="s">
        <v>73</v>
      </c>
      <c r="BR51" t="s">
        <v>72</v>
      </c>
      <c r="BS51" t="s">
        <v>72</v>
      </c>
      <c r="BT51" t="s">
        <v>73</v>
      </c>
      <c r="BU51" t="s">
        <v>71</v>
      </c>
      <c r="BV51" t="s">
        <v>76</v>
      </c>
      <c r="BW51" t="s">
        <v>75</v>
      </c>
    </row>
    <row r="52" spans="1:75" x14ac:dyDescent="0.35">
      <c r="A52" s="4"/>
      <c r="B52" t="s">
        <v>64</v>
      </c>
      <c r="C52" s="3">
        <v>7.8E-2</v>
      </c>
      <c r="D52" s="3">
        <v>0.104</v>
      </c>
      <c r="E52" s="3">
        <v>8.7999999999999995E-2</v>
      </c>
      <c r="F52" s="3">
        <v>8.8999999999999996E-2</v>
      </c>
      <c r="G52" s="3">
        <v>0.16800000000000001</v>
      </c>
      <c r="H52" s="3">
        <v>0.124</v>
      </c>
      <c r="I52" s="3">
        <v>0.14799999999999999</v>
      </c>
      <c r="J52" s="3">
        <v>8.4000000000000005E-2</v>
      </c>
      <c r="K52" s="3">
        <v>9.4E-2</v>
      </c>
      <c r="L52" s="3">
        <v>0.11700000000000001</v>
      </c>
      <c r="M52" s="3">
        <v>0.13900000000000001</v>
      </c>
      <c r="N52" s="3">
        <v>8.5999999999999993E-2</v>
      </c>
      <c r="O52" s="3">
        <v>7.4999999999999997E-2</v>
      </c>
      <c r="P52" s="3">
        <v>0.157</v>
      </c>
      <c r="Q52" s="3">
        <v>8.5999999999999993E-2</v>
      </c>
      <c r="R52" s="3">
        <v>0.14499999999999999</v>
      </c>
      <c r="S52" s="3">
        <v>6.8000000000000005E-2</v>
      </c>
      <c r="T52" s="3">
        <v>0.11600000000000001</v>
      </c>
      <c r="U52" s="3">
        <v>0.13200000000000001</v>
      </c>
      <c r="V52" s="3">
        <v>0.16200000000000001</v>
      </c>
      <c r="W52" s="3">
        <v>0.17100000000000001</v>
      </c>
      <c r="X52" s="3">
        <v>0.154</v>
      </c>
      <c r="Y52" s="3">
        <v>0.14099999999999999</v>
      </c>
      <c r="AA52" t="s">
        <v>64</v>
      </c>
      <c r="AB52" s="3">
        <v>8.2210492720435666E-2</v>
      </c>
      <c r="AC52" s="3">
        <v>7.2320923954143149E-2</v>
      </c>
      <c r="AD52" s="3">
        <v>8.1791340436300236E-2</v>
      </c>
      <c r="AE52" s="3">
        <v>8.7356595891489711E-2</v>
      </c>
      <c r="AF52" s="3">
        <v>5.7547447841628213E-2</v>
      </c>
      <c r="AG52" s="3">
        <v>7.5868154695128129E-2</v>
      </c>
      <c r="AH52" s="3">
        <v>6.2516903348103184E-2</v>
      </c>
      <c r="AI52" s="3">
        <v>5.4994375235535957E-2</v>
      </c>
      <c r="AJ52" s="3">
        <v>6.8381619018871367E-2</v>
      </c>
      <c r="AK52" s="3">
        <v>0.10934460510343376</v>
      </c>
      <c r="AL52" s="3">
        <v>0.10026577770721591</v>
      </c>
      <c r="AM52" s="3">
        <v>6.8659902983936899E-2</v>
      </c>
      <c r="AN52" s="3">
        <v>8.9272749961684189E-2</v>
      </c>
      <c r="AO52" s="3">
        <v>9.4172176502110988E-2</v>
      </c>
      <c r="AP52" s="3">
        <v>7.2419932925091732E-2</v>
      </c>
      <c r="AQ52" s="3">
        <v>8.0125438802357937E-2</v>
      </c>
      <c r="AR52" s="3">
        <v>7.3314499878527895E-2</v>
      </c>
      <c r="AS52" s="3">
        <v>5.4698641426649208E-2</v>
      </c>
      <c r="AT52" s="3">
        <v>6.461411528229008E-2</v>
      </c>
      <c r="AU52" s="3">
        <v>6.5395861656450616E-2</v>
      </c>
      <c r="AV52" s="3">
        <v>4.3684531999025292E-2</v>
      </c>
      <c r="AW52" s="3">
        <v>5.2911067953233262E-2</v>
      </c>
      <c r="AX52" s="3">
        <v>5.9119349574672422E-2</v>
      </c>
      <c r="AZ52" t="s">
        <v>64</v>
      </c>
      <c r="BA52" t="s">
        <v>73</v>
      </c>
      <c r="BB52" t="s">
        <v>73</v>
      </c>
      <c r="BC52" t="s">
        <v>75</v>
      </c>
      <c r="BD52" t="s">
        <v>75</v>
      </c>
      <c r="BE52" t="s">
        <v>72</v>
      </c>
      <c r="BF52" t="s">
        <v>75</v>
      </c>
      <c r="BG52" t="s">
        <v>75</v>
      </c>
      <c r="BH52" t="s">
        <v>71</v>
      </c>
      <c r="BI52" t="s">
        <v>75</v>
      </c>
      <c r="BJ52" t="s">
        <v>70</v>
      </c>
      <c r="BK52" t="s">
        <v>76</v>
      </c>
      <c r="BL52" t="s">
        <v>70</v>
      </c>
      <c r="BM52" t="s">
        <v>75</v>
      </c>
      <c r="BN52" t="s">
        <v>74</v>
      </c>
      <c r="BO52" t="s">
        <v>72</v>
      </c>
      <c r="BP52" t="s">
        <v>74</v>
      </c>
      <c r="BQ52" t="s">
        <v>71</v>
      </c>
      <c r="BR52" t="s">
        <v>73</v>
      </c>
      <c r="BS52" t="s">
        <v>75</v>
      </c>
      <c r="BT52" t="s">
        <v>72</v>
      </c>
      <c r="BU52" t="s">
        <v>75</v>
      </c>
      <c r="BV52" t="s">
        <v>75</v>
      </c>
      <c r="BW52" t="s">
        <v>76</v>
      </c>
    </row>
    <row r="53" spans="1:75" x14ac:dyDescent="0.35">
      <c r="A53" s="4"/>
      <c r="B53" t="s">
        <v>65</v>
      </c>
      <c r="C53" s="3">
        <v>0.26800000000000002</v>
      </c>
      <c r="D53" s="3">
        <v>0.21299999999999999</v>
      </c>
      <c r="E53" s="3">
        <v>0.20899999999999999</v>
      </c>
      <c r="F53" s="3">
        <v>0.34699999999999998</v>
      </c>
      <c r="G53" s="3">
        <v>0.29499999999999998</v>
      </c>
      <c r="H53" s="3">
        <v>0.22800000000000001</v>
      </c>
      <c r="I53" s="3">
        <v>0.26400000000000001</v>
      </c>
      <c r="J53" s="3">
        <v>0.246</v>
      </c>
      <c r="K53" s="3">
        <v>0.27800000000000002</v>
      </c>
      <c r="L53" s="3">
        <v>0.36599999999999999</v>
      </c>
      <c r="M53" s="3">
        <v>0.27200000000000002</v>
      </c>
      <c r="N53" s="3">
        <v>0.34100000000000003</v>
      </c>
      <c r="O53" s="3">
        <v>0.38400000000000001</v>
      </c>
      <c r="P53" s="3">
        <v>0.32400000000000001</v>
      </c>
      <c r="Q53" s="3">
        <v>0.23899999999999999</v>
      </c>
      <c r="R53" s="3">
        <v>0.316</v>
      </c>
      <c r="S53" s="3">
        <v>0.33900000000000002</v>
      </c>
      <c r="T53" s="3">
        <v>0.28699999999999998</v>
      </c>
      <c r="U53" s="3">
        <v>0.27100000000000002</v>
      </c>
      <c r="V53" s="3">
        <v>0.24099999999999999</v>
      </c>
      <c r="W53" s="3">
        <v>0.246</v>
      </c>
      <c r="X53" s="3">
        <v>0.34200000000000003</v>
      </c>
      <c r="Y53" s="3">
        <v>0.26400000000000001</v>
      </c>
      <c r="AA53" t="s">
        <v>65</v>
      </c>
      <c r="AB53" s="3">
        <v>8.8789583564538047E-2</v>
      </c>
      <c r="AC53" s="3">
        <v>7.890001479824553E-2</v>
      </c>
      <c r="AD53" s="3">
        <v>8.8370431280402617E-2</v>
      </c>
      <c r="AE53" s="3">
        <v>9.3935686735592092E-2</v>
      </c>
      <c r="AF53" s="3">
        <v>6.4126538685730594E-2</v>
      </c>
      <c r="AG53" s="3">
        <v>8.244724553923051E-2</v>
      </c>
      <c r="AH53" s="3">
        <v>6.9095994192205565E-2</v>
      </c>
      <c r="AI53" s="3">
        <v>6.1573466079638338E-2</v>
      </c>
      <c r="AJ53" s="3">
        <v>7.4960709862973748E-2</v>
      </c>
      <c r="AK53" s="3">
        <v>0.11592369594753614</v>
      </c>
      <c r="AL53" s="3">
        <v>0.10684486855131829</v>
      </c>
      <c r="AM53" s="3">
        <v>7.523899382803928E-2</v>
      </c>
      <c r="AN53" s="3">
        <v>9.585184080578657E-2</v>
      </c>
      <c r="AO53" s="3">
        <v>0.10075126734621337</v>
      </c>
      <c r="AP53" s="3">
        <v>7.8999023769194113E-2</v>
      </c>
      <c r="AQ53" s="3">
        <v>8.6704529646460318E-2</v>
      </c>
      <c r="AR53" s="3">
        <v>7.9893590722630276E-2</v>
      </c>
      <c r="AS53" s="3">
        <v>6.1277732270751589E-2</v>
      </c>
      <c r="AT53" s="3">
        <v>7.1193206126392461E-2</v>
      </c>
      <c r="AU53" s="3">
        <v>7.1974952500552997E-2</v>
      </c>
      <c r="AV53" s="3">
        <v>5.0263622843127673E-2</v>
      </c>
      <c r="AW53" s="3">
        <v>5.9490158797335643E-2</v>
      </c>
      <c r="AX53" s="3">
        <v>6.5698440418774803E-2</v>
      </c>
      <c r="AZ53" t="s">
        <v>65</v>
      </c>
      <c r="BA53" t="s">
        <v>72</v>
      </c>
      <c r="BB53" t="s">
        <v>72</v>
      </c>
      <c r="BC53" t="s">
        <v>73</v>
      </c>
      <c r="BD53" t="s">
        <v>72</v>
      </c>
      <c r="BE53" t="s">
        <v>72</v>
      </c>
      <c r="BF53" t="s">
        <v>75</v>
      </c>
      <c r="BG53" t="s">
        <v>70</v>
      </c>
      <c r="BH53" t="s">
        <v>72</v>
      </c>
      <c r="BI53" t="s">
        <v>74</v>
      </c>
      <c r="BJ53" t="s">
        <v>73</v>
      </c>
      <c r="BK53" t="s">
        <v>71</v>
      </c>
      <c r="BL53" t="s">
        <v>70</v>
      </c>
      <c r="BM53" t="s">
        <v>71</v>
      </c>
      <c r="BN53" t="s">
        <v>75</v>
      </c>
      <c r="BO53" t="s">
        <v>70</v>
      </c>
      <c r="BP53" t="s">
        <v>73</v>
      </c>
      <c r="BQ53" t="s">
        <v>75</v>
      </c>
      <c r="BR53" t="s">
        <v>74</v>
      </c>
      <c r="BS53" t="s">
        <v>74</v>
      </c>
      <c r="BT53" t="s">
        <v>72</v>
      </c>
      <c r="BU53" t="s">
        <v>75</v>
      </c>
      <c r="BV53" t="s">
        <v>72</v>
      </c>
      <c r="BW53" t="s">
        <v>72</v>
      </c>
    </row>
    <row r="54" spans="1:75" x14ac:dyDescent="0.35">
      <c r="A54" s="4"/>
      <c r="B54" t="s">
        <v>66</v>
      </c>
      <c r="C54" s="3">
        <v>6.4000000000000001E-2</v>
      </c>
      <c r="D54" s="3">
        <v>0.13800000000000001</v>
      </c>
      <c r="E54" s="3">
        <v>8.5999999999999993E-2</v>
      </c>
      <c r="F54" s="3">
        <v>8.4000000000000005E-2</v>
      </c>
      <c r="G54" s="3">
        <v>7.3999999999999996E-2</v>
      </c>
      <c r="H54" s="3">
        <v>8.2000000000000003E-2</v>
      </c>
      <c r="I54" s="3">
        <v>0.113</v>
      </c>
      <c r="J54" s="3">
        <v>0.106</v>
      </c>
      <c r="K54" s="3">
        <v>0.109</v>
      </c>
      <c r="L54" s="3">
        <v>8.8999999999999996E-2</v>
      </c>
      <c r="M54" s="3">
        <v>0.125</v>
      </c>
      <c r="N54" s="3">
        <v>7.1999999999999995E-2</v>
      </c>
      <c r="O54" s="3">
        <v>6.4000000000000001E-2</v>
      </c>
      <c r="P54" s="3">
        <v>0.10199999999999999</v>
      </c>
      <c r="Q54" s="3">
        <v>0.17399999999999999</v>
      </c>
      <c r="R54" s="3">
        <v>0.11700000000000001</v>
      </c>
      <c r="S54" s="3">
        <v>0.158</v>
      </c>
      <c r="T54" s="3">
        <v>0.17799999999999999</v>
      </c>
      <c r="U54" s="3">
        <v>0.151</v>
      </c>
      <c r="V54" s="3">
        <v>0.14699999999999999</v>
      </c>
      <c r="W54" s="3">
        <v>0.13800000000000001</v>
      </c>
      <c r="X54" s="3">
        <v>0.107</v>
      </c>
      <c r="Y54" s="3">
        <v>0.159</v>
      </c>
      <c r="AA54" t="s">
        <v>66</v>
      </c>
      <c r="AB54" s="3">
        <v>9.5153355160068523E-2</v>
      </c>
      <c r="AC54" s="3">
        <v>8.5263786393776006E-2</v>
      </c>
      <c r="AD54" s="3">
        <v>9.4734202875933093E-2</v>
      </c>
      <c r="AE54" s="3">
        <v>0.10029945833112257</v>
      </c>
      <c r="AF54" s="3">
        <v>7.049031028126107E-2</v>
      </c>
      <c r="AG54" s="3">
        <v>8.8811017134760986E-2</v>
      </c>
      <c r="AH54" s="3">
        <v>7.5459765787736041E-2</v>
      </c>
      <c r="AI54" s="3">
        <v>6.7937237675168821E-2</v>
      </c>
      <c r="AJ54" s="3">
        <v>8.1324481458504225E-2</v>
      </c>
      <c r="AK54" s="3">
        <v>0.12228746754306662</v>
      </c>
      <c r="AL54" s="3">
        <v>0.11320864014684877</v>
      </c>
      <c r="AM54" s="3">
        <v>8.1602765423569756E-2</v>
      </c>
      <c r="AN54" s="3">
        <v>0.10221561240131705</v>
      </c>
      <c r="AO54" s="3">
        <v>0.10711503894174385</v>
      </c>
      <c r="AP54" s="3">
        <v>8.5362795364724589E-2</v>
      </c>
      <c r="AQ54" s="3">
        <v>9.3068301241990795E-2</v>
      </c>
      <c r="AR54" s="3">
        <v>8.6257362318160752E-2</v>
      </c>
      <c r="AS54" s="3">
        <v>6.7641503866282066E-2</v>
      </c>
      <c r="AT54" s="3">
        <v>7.7556977721922937E-2</v>
      </c>
      <c r="AU54" s="3">
        <v>7.8338724096083473E-2</v>
      </c>
      <c r="AV54" s="3">
        <v>5.6627394438658149E-2</v>
      </c>
      <c r="AW54" s="3">
        <v>6.585393039286612E-2</v>
      </c>
      <c r="AX54" s="3">
        <v>7.206221201430528E-2</v>
      </c>
      <c r="AZ54" t="s">
        <v>66</v>
      </c>
      <c r="BA54" t="s">
        <v>73</v>
      </c>
      <c r="BB54" t="s">
        <v>73</v>
      </c>
      <c r="BC54" t="s">
        <v>72</v>
      </c>
      <c r="BD54" t="s">
        <v>70</v>
      </c>
      <c r="BE54" t="s">
        <v>76</v>
      </c>
      <c r="BF54" t="s">
        <v>76</v>
      </c>
      <c r="BG54" t="s">
        <v>71</v>
      </c>
      <c r="BH54" t="s">
        <v>74</v>
      </c>
      <c r="BI54" t="s">
        <v>73</v>
      </c>
      <c r="BJ54" t="s">
        <v>72</v>
      </c>
      <c r="BK54" t="s">
        <v>75</v>
      </c>
      <c r="BL54" t="s">
        <v>74</v>
      </c>
      <c r="BM54" t="s">
        <v>72</v>
      </c>
      <c r="BN54" t="s">
        <v>73</v>
      </c>
      <c r="BO54" t="s">
        <v>75</v>
      </c>
      <c r="BP54" t="s">
        <v>71</v>
      </c>
      <c r="BQ54" t="s">
        <v>72</v>
      </c>
      <c r="BR54" t="s">
        <v>71</v>
      </c>
      <c r="BS54" t="s">
        <v>75</v>
      </c>
      <c r="BT54" t="s">
        <v>72</v>
      </c>
      <c r="BU54" t="s">
        <v>73</v>
      </c>
      <c r="BV54" t="s">
        <v>72</v>
      </c>
      <c r="BW54" t="s">
        <v>75</v>
      </c>
    </row>
    <row r="55" spans="1:75" x14ac:dyDescent="0.35">
      <c r="A55" s="4"/>
      <c r="B55" t="s">
        <v>85</v>
      </c>
      <c r="C55" s="3">
        <v>0.185</v>
      </c>
      <c r="D55" s="3">
        <v>9.6000000000000002E-2</v>
      </c>
      <c r="E55" s="3">
        <v>0.17100000000000001</v>
      </c>
      <c r="F55" s="3">
        <v>0.108</v>
      </c>
      <c r="G55" s="3">
        <v>9.7000000000000003E-2</v>
      </c>
      <c r="H55" s="3">
        <v>0.157</v>
      </c>
      <c r="I55" s="3">
        <v>8.4000000000000005E-2</v>
      </c>
      <c r="J55" s="3">
        <v>0.28699999999999998</v>
      </c>
      <c r="K55" s="3">
        <v>9.2999999999999999E-2</v>
      </c>
      <c r="L55" s="3">
        <v>0.108</v>
      </c>
      <c r="M55" s="3">
        <v>0.107</v>
      </c>
      <c r="N55" s="3">
        <v>8.8999999999999996E-2</v>
      </c>
      <c r="O55" s="3">
        <v>0.123</v>
      </c>
      <c r="P55" s="3">
        <v>6.8000000000000005E-2</v>
      </c>
      <c r="Q55" s="3">
        <v>0.108</v>
      </c>
      <c r="R55" s="3">
        <v>6.9000000000000006E-2</v>
      </c>
      <c r="S55" s="3">
        <v>0.16600000000000001</v>
      </c>
      <c r="T55" s="3">
        <v>5.3999999999999999E-2</v>
      </c>
      <c r="U55" s="3">
        <v>0.109</v>
      </c>
      <c r="V55" s="3">
        <v>6.0999999999999999E-2</v>
      </c>
      <c r="W55" s="3">
        <v>5.0999999999999997E-2</v>
      </c>
      <c r="X55" s="3">
        <v>7.1999999999999995E-2</v>
      </c>
      <c r="Y55" s="3">
        <v>5.6000000000000001E-2</v>
      </c>
      <c r="AA55" t="s">
        <v>85</v>
      </c>
      <c r="AB55" s="3">
        <v>6.840390199266215E-2</v>
      </c>
      <c r="AC55" s="3">
        <v>5.8514333226369633E-2</v>
      </c>
      <c r="AD55" s="3">
        <v>6.7984749708526721E-2</v>
      </c>
      <c r="AE55" s="3">
        <v>7.3550005163716195E-2</v>
      </c>
      <c r="AF55" s="3">
        <v>4.3740857113854698E-2</v>
      </c>
      <c r="AG55" s="3">
        <v>6.2061563967354613E-2</v>
      </c>
      <c r="AH55" s="3">
        <v>4.8710312620329668E-2</v>
      </c>
      <c r="AI55" s="3">
        <v>4.1187784507762441E-2</v>
      </c>
      <c r="AJ55" s="3">
        <v>5.4575028291097852E-2</v>
      </c>
      <c r="AK55" s="3">
        <v>9.5538014375660243E-2</v>
      </c>
      <c r="AL55" s="3">
        <v>8.6459186979442396E-2</v>
      </c>
      <c r="AM55" s="3">
        <v>5.4853312256163383E-2</v>
      </c>
      <c r="AN55" s="3">
        <v>7.5466159233910673E-2</v>
      </c>
      <c r="AO55" s="3">
        <v>8.0365585774337472E-2</v>
      </c>
      <c r="AP55" s="3">
        <v>5.8613342197318216E-2</v>
      </c>
      <c r="AQ55" s="3">
        <v>6.6318848074584422E-2</v>
      </c>
      <c r="AR55" s="3">
        <v>5.9507909150754379E-2</v>
      </c>
      <c r="AS55" s="3">
        <v>4.0892050698875693E-2</v>
      </c>
      <c r="AT55" s="3">
        <v>5.0807524554516564E-2</v>
      </c>
      <c r="AU55" s="3">
        <v>5.15892709286771E-2</v>
      </c>
      <c r="AV55" s="3">
        <v>2.9877941271251776E-2</v>
      </c>
      <c r="AW55" s="3">
        <v>3.9104477225459747E-2</v>
      </c>
      <c r="AX55" s="3">
        <v>4.5312758846898907E-2</v>
      </c>
      <c r="AZ55" t="s">
        <v>85</v>
      </c>
      <c r="BA55" t="s">
        <v>74</v>
      </c>
      <c r="BB55" t="s">
        <v>74</v>
      </c>
      <c r="BC55" t="s">
        <v>74</v>
      </c>
      <c r="BD55" t="s">
        <v>75</v>
      </c>
      <c r="BE55" t="s">
        <v>76</v>
      </c>
      <c r="BF55" t="s">
        <v>73</v>
      </c>
      <c r="BG55" t="s">
        <v>76</v>
      </c>
      <c r="BH55" t="s">
        <v>70</v>
      </c>
      <c r="BI55" t="s">
        <v>75</v>
      </c>
      <c r="BJ55" t="s">
        <v>76</v>
      </c>
      <c r="BK55" t="s">
        <v>72</v>
      </c>
      <c r="BL55" t="s">
        <v>70</v>
      </c>
      <c r="BM55" t="s">
        <v>70</v>
      </c>
      <c r="BN55" t="s">
        <v>70</v>
      </c>
      <c r="BO55" t="s">
        <v>74</v>
      </c>
      <c r="BP55" t="s">
        <v>70</v>
      </c>
      <c r="BQ55" t="s">
        <v>70</v>
      </c>
      <c r="BR55" t="s">
        <v>70</v>
      </c>
      <c r="BS55" t="s">
        <v>76</v>
      </c>
      <c r="BT55" t="s">
        <v>74</v>
      </c>
      <c r="BU55" t="s">
        <v>73</v>
      </c>
      <c r="BV55" t="s">
        <v>70</v>
      </c>
      <c r="BW55" t="s">
        <v>72</v>
      </c>
    </row>
    <row r="56" spans="1:75" x14ac:dyDescent="0.35">
      <c r="A56" s="4"/>
      <c r="B56" t="s">
        <v>86</v>
      </c>
      <c r="C56" s="3">
        <f>1-SUM(C50:C55)</f>
        <v>8.2999999999999963E-2</v>
      </c>
      <c r="D56" s="3">
        <f t="shared" ref="D56:Y56" si="34">1-SUM(D50:D55)</f>
        <v>0.125</v>
      </c>
      <c r="E56" s="3">
        <f t="shared" si="34"/>
        <v>0.15000000000000002</v>
      </c>
      <c r="F56" s="3">
        <f t="shared" si="34"/>
        <v>0.13800000000000012</v>
      </c>
      <c r="G56" s="3">
        <f t="shared" si="34"/>
        <v>0.13300000000000012</v>
      </c>
      <c r="H56" s="3">
        <f t="shared" si="34"/>
        <v>0.13100000000000001</v>
      </c>
      <c r="I56" s="3">
        <f t="shared" si="34"/>
        <v>0.13</v>
      </c>
      <c r="J56" s="3">
        <f t="shared" si="34"/>
        <v>0.10699999999999998</v>
      </c>
      <c r="K56" s="3">
        <f t="shared" si="34"/>
        <v>0.14900000000000002</v>
      </c>
      <c r="L56" s="3">
        <f t="shared" si="34"/>
        <v>6.800000000000006E-2</v>
      </c>
      <c r="M56" s="3">
        <f t="shared" si="34"/>
        <v>6.2999999999999945E-2</v>
      </c>
      <c r="N56" s="3">
        <f t="shared" si="34"/>
        <v>0.15700000000000014</v>
      </c>
      <c r="O56" s="3">
        <f t="shared" si="34"/>
        <v>0.12999999999999989</v>
      </c>
      <c r="P56" s="3">
        <f t="shared" si="34"/>
        <v>0.10499999999999998</v>
      </c>
      <c r="Q56" s="3">
        <f t="shared" si="34"/>
        <v>0.11799999999999999</v>
      </c>
      <c r="R56" s="3">
        <f t="shared" si="34"/>
        <v>0.11299999999999999</v>
      </c>
      <c r="S56" s="3">
        <f t="shared" si="34"/>
        <v>8.5999999999999854E-2</v>
      </c>
      <c r="T56" s="3">
        <f t="shared" si="34"/>
        <v>0.1080000000000001</v>
      </c>
      <c r="U56" s="3">
        <f t="shared" si="34"/>
        <v>9.2999999999999972E-2</v>
      </c>
      <c r="V56" s="3">
        <f t="shared" si="34"/>
        <v>0.10499999999999998</v>
      </c>
      <c r="W56" s="3">
        <f t="shared" si="34"/>
        <v>0.12199999999999989</v>
      </c>
      <c r="X56" s="3">
        <f t="shared" si="34"/>
        <v>8.9999999999999969E-2</v>
      </c>
      <c r="Y56" s="3">
        <f t="shared" si="34"/>
        <v>0.12199999999999989</v>
      </c>
      <c r="AA56" t="s">
        <v>86</v>
      </c>
      <c r="AB56" s="3">
        <v>7.4929778673444969E-2</v>
      </c>
      <c r="AC56" s="3">
        <v>6.5040209907152452E-2</v>
      </c>
      <c r="AD56" s="3">
        <v>7.4510626389309539E-2</v>
      </c>
      <c r="AE56" s="3">
        <v>8.0075881844499014E-2</v>
      </c>
      <c r="AF56" s="3">
        <v>5.0266733794637516E-2</v>
      </c>
      <c r="AG56" s="3">
        <v>6.8587440648137432E-2</v>
      </c>
      <c r="AH56" s="3">
        <v>5.5236189301112487E-2</v>
      </c>
      <c r="AI56" s="3">
        <v>4.771366118854526E-2</v>
      </c>
      <c r="AJ56" s="3">
        <v>6.1100904971880671E-2</v>
      </c>
      <c r="AK56" s="3">
        <v>0.10206389105644306</v>
      </c>
      <c r="AL56" s="3">
        <v>9.2985063660225215E-2</v>
      </c>
      <c r="AM56" s="3">
        <v>6.1379188936946202E-2</v>
      </c>
      <c r="AN56" s="3">
        <v>8.1992035914693492E-2</v>
      </c>
      <c r="AO56" s="3">
        <v>8.6891462455120291E-2</v>
      </c>
      <c r="AP56" s="3">
        <v>6.5139218878101035E-2</v>
      </c>
      <c r="AQ56" s="3">
        <v>7.2844724755367241E-2</v>
      </c>
      <c r="AR56" s="3">
        <v>6.6033785831537198E-2</v>
      </c>
      <c r="AS56" s="3">
        <v>4.7417927379658512E-2</v>
      </c>
      <c r="AT56" s="3">
        <v>5.7333401235299383E-2</v>
      </c>
      <c r="AU56" s="3">
        <v>5.8115147609459919E-2</v>
      </c>
      <c r="AV56" s="3">
        <v>3.6403817952034595E-2</v>
      </c>
      <c r="AW56" s="3">
        <v>4.5630353906242566E-2</v>
      </c>
      <c r="AX56" s="3">
        <v>5.1838635527681726E-2</v>
      </c>
      <c r="AZ56" t="s">
        <v>86</v>
      </c>
      <c r="BA56" t="s">
        <v>75</v>
      </c>
      <c r="BB56" t="s">
        <v>72</v>
      </c>
      <c r="BC56" t="s">
        <v>75</v>
      </c>
      <c r="BD56" t="s">
        <v>73</v>
      </c>
      <c r="BE56" t="s">
        <v>76</v>
      </c>
      <c r="BF56" t="s">
        <v>74</v>
      </c>
      <c r="BG56" t="s">
        <v>75</v>
      </c>
      <c r="BH56" t="s">
        <v>73</v>
      </c>
      <c r="BI56" t="s">
        <v>72</v>
      </c>
      <c r="BJ56" t="s">
        <v>76</v>
      </c>
      <c r="BK56" t="s">
        <v>73</v>
      </c>
      <c r="BL56" t="s">
        <v>73</v>
      </c>
      <c r="BM56" t="s">
        <v>74</v>
      </c>
      <c r="BN56" t="s">
        <v>70</v>
      </c>
      <c r="BO56" t="s">
        <v>74</v>
      </c>
      <c r="BP56" t="s">
        <v>71</v>
      </c>
      <c r="BQ56" t="s">
        <v>75</v>
      </c>
      <c r="BR56" t="s">
        <v>76</v>
      </c>
      <c r="BS56" t="s">
        <v>72</v>
      </c>
      <c r="BT56" t="s">
        <v>76</v>
      </c>
      <c r="BU56" t="s">
        <v>76</v>
      </c>
      <c r="BV56" t="s">
        <v>76</v>
      </c>
      <c r="BW56" t="s">
        <v>75</v>
      </c>
    </row>
    <row r="57" spans="1:75" x14ac:dyDescent="0.35">
      <c r="A57" s="4"/>
      <c r="C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75" x14ac:dyDescent="0.35">
      <c r="A58" s="4"/>
      <c r="C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5"/>
      <c r="W58" s="3"/>
      <c r="X58" s="3"/>
      <c r="Y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75" x14ac:dyDescent="0.35">
      <c r="A59" s="4"/>
      <c r="B59" s="2" t="s">
        <v>67</v>
      </c>
      <c r="C59" s="3"/>
      <c r="E59" s="22">
        <v>6531.6545999999998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5"/>
      <c r="W59" s="3"/>
      <c r="X59" s="3"/>
      <c r="Y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75" x14ac:dyDescent="0.35">
      <c r="A60" s="20">
        <v>1</v>
      </c>
      <c r="B60" s="2" t="s">
        <v>22</v>
      </c>
      <c r="C60" s="19">
        <f>VLOOKUP($B60,'Market Value'!$B$3:$E$9,2,0)</f>
        <v>0.315</v>
      </c>
      <c r="D60" s="19">
        <f>VLOOKUP($B60,'Market Value'!$B$3:$E$9,3,0)</f>
        <v>8.7463493556287228E-2</v>
      </c>
      <c r="E60" s="24">
        <f>VLOOKUP($B60,'Market Value'!$B$3:$E$9,4,0)</f>
        <v>2057.4711990000001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5"/>
      <c r="W60" s="3"/>
      <c r="X60" s="3"/>
      <c r="Y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75" x14ac:dyDescent="0.35">
      <c r="A61" s="20"/>
      <c r="B61" t="s">
        <v>0</v>
      </c>
      <c r="C61" s="3">
        <v>0.87476542999999995</v>
      </c>
      <c r="D61" s="3">
        <v>8.8465370116287231E-2</v>
      </c>
      <c r="E61" s="23">
        <f>C61*$E$60</f>
        <v>1799.8046781058506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5"/>
      <c r="W61" s="3"/>
      <c r="X61" s="3"/>
      <c r="Y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75" x14ac:dyDescent="0.35">
      <c r="A62" s="20"/>
      <c r="B62" t="s">
        <v>1</v>
      </c>
      <c r="C62" s="3">
        <f>1-C61</f>
        <v>0.12523457000000005</v>
      </c>
      <c r="D62" s="3">
        <v>8.0465370116287224E-2</v>
      </c>
      <c r="E62" s="23">
        <f>C62*$E$60</f>
        <v>257.66652089414953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5"/>
      <c r="W62" s="3"/>
      <c r="X62" s="3"/>
      <c r="Y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75" x14ac:dyDescent="0.35">
      <c r="A63" s="20">
        <v>2</v>
      </c>
      <c r="B63" s="2" t="s">
        <v>23</v>
      </c>
      <c r="C63" s="19">
        <f>VLOOKUP($B63,'Market Value'!$B$3:$E$9,2,0)</f>
        <v>0.27399999999999997</v>
      </c>
      <c r="D63" s="19">
        <f>VLOOKUP($B63,'Market Value'!$B$3:$E$9,3,0)</f>
        <v>7.9473866605548255E-2</v>
      </c>
      <c r="E63" s="24">
        <f>VLOOKUP($B63,'Market Value'!$B$3:$E$9,4,0)</f>
        <v>1789.6733603999996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5"/>
      <c r="W63" s="3"/>
      <c r="X63" s="3"/>
      <c r="Y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75" x14ac:dyDescent="0.35">
      <c r="A64" s="20"/>
      <c r="B64" t="s">
        <v>2</v>
      </c>
      <c r="C64" s="3">
        <v>0.21052533192937456</v>
      </c>
      <c r="D64" s="3">
        <v>8.6978328328704321E-2</v>
      </c>
      <c r="E64" s="23">
        <f>C64*$E$63</f>
        <v>376.77157824336911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5"/>
      <c r="W64" s="3"/>
      <c r="X64" s="3"/>
      <c r="Y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x14ac:dyDescent="0.35">
      <c r="A65" s="20"/>
      <c r="B65" t="s">
        <v>3</v>
      </c>
      <c r="C65" s="3">
        <v>0.24745</v>
      </c>
      <c r="D65" s="3">
        <v>9.3104837098704346E-2</v>
      </c>
      <c r="E65" s="23">
        <f t="shared" ref="E65:E70" si="35">C65*$E$63</f>
        <v>442.85467303097994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5"/>
      <c r="W65" s="3"/>
      <c r="X65" s="3"/>
      <c r="Y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x14ac:dyDescent="0.35">
      <c r="A66" s="20"/>
      <c r="B66" t="s">
        <v>5</v>
      </c>
      <c r="C66" s="3">
        <v>9.405940594059406E-2</v>
      </c>
      <c r="D66" s="3">
        <v>6.3161445947116132E-2</v>
      </c>
      <c r="E66" s="23">
        <f t="shared" si="35"/>
        <v>168.33561310693065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5"/>
      <c r="W66" s="3"/>
      <c r="X66" s="3"/>
      <c r="Y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x14ac:dyDescent="0.35">
      <c r="A67" s="20"/>
      <c r="B67" t="s">
        <v>4</v>
      </c>
      <c r="C67" s="3">
        <v>0.1515</v>
      </c>
      <c r="D67" s="3">
        <v>8.120793278698428E-2</v>
      </c>
      <c r="E67" s="23">
        <f t="shared" si="35"/>
        <v>271.13551410059995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5"/>
      <c r="W67" s="3"/>
      <c r="X67" s="3"/>
      <c r="Y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x14ac:dyDescent="0.35">
      <c r="A68" s="20"/>
      <c r="B68" t="s">
        <v>6</v>
      </c>
      <c r="C68" s="3">
        <v>7.9207920792079209E-2</v>
      </c>
      <c r="D68" s="3">
        <v>6.9264642551469788E-2</v>
      </c>
      <c r="E68" s="23">
        <f t="shared" si="35"/>
        <v>141.75630577425738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5"/>
      <c r="W68" s="3"/>
      <c r="X68" s="3"/>
      <c r="Y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x14ac:dyDescent="0.35">
      <c r="A69" s="20"/>
      <c r="B69" t="s">
        <v>7</v>
      </c>
      <c r="C69" s="3">
        <v>6.0600000000000001E-2</v>
      </c>
      <c r="D69" s="3">
        <v>5.7072356894892089E-2</v>
      </c>
      <c r="E69" s="23">
        <f t="shared" si="35"/>
        <v>108.45420564023998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5"/>
      <c r="W69" s="3"/>
      <c r="X69" s="3"/>
      <c r="Y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x14ac:dyDescent="0.35">
      <c r="A70" s="20"/>
      <c r="B70" t="s">
        <v>8</v>
      </c>
      <c r="C70" s="3">
        <f>1-SUM(C64:C69)</f>
        <v>0.15665734133795228</v>
      </c>
      <c r="D70" s="3">
        <v>7.5061189348340496E-2</v>
      </c>
      <c r="E70" s="23">
        <f t="shared" si="35"/>
        <v>280.36547050362282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x14ac:dyDescent="0.35">
      <c r="A71" s="21">
        <v>3</v>
      </c>
      <c r="B71" s="2" t="s">
        <v>24</v>
      </c>
      <c r="C71" s="19">
        <f>VLOOKUP($B71,'Market Value'!$B$3:$E$9,2,0)</f>
        <v>0.30199999999999999</v>
      </c>
      <c r="D71" s="19">
        <f>VLOOKUP($B71,'Market Value'!$B$3:$E$9,3,0)</f>
        <v>9.9669243694784679E-2</v>
      </c>
      <c r="E71" s="24">
        <f>VLOOKUP($B71,'Market Value'!$B$3:$E$9,4,0)</f>
        <v>1972.5596891999999</v>
      </c>
      <c r="F71" s="3"/>
    </row>
    <row r="72" spans="1:50" x14ac:dyDescent="0.35">
      <c r="A72" s="21"/>
      <c r="B72" t="s">
        <v>9</v>
      </c>
      <c r="C72" s="3">
        <v>0.34023454619999999</v>
      </c>
      <c r="D72" s="3">
        <v>0.11651171732773626</v>
      </c>
      <c r="E72" s="23">
        <f>C72*$E$71</f>
        <v>671.13295070737502</v>
      </c>
      <c r="F72" s="3"/>
      <c r="G72" s="5"/>
    </row>
    <row r="73" spans="1:50" x14ac:dyDescent="0.35">
      <c r="A73" s="21"/>
      <c r="B73" t="s">
        <v>10</v>
      </c>
      <c r="C73" s="3">
        <v>0.10396039603960396</v>
      </c>
      <c r="D73" s="3">
        <v>0.10851171732773625</v>
      </c>
      <c r="E73" s="23">
        <f t="shared" ref="E73:E78" si="36">C73*$E$71</f>
        <v>205.06808650099006</v>
      </c>
      <c r="F73" s="4"/>
      <c r="G73" s="5"/>
    </row>
    <row r="74" spans="1:50" x14ac:dyDescent="0.35">
      <c r="A74" s="21"/>
      <c r="B74" t="s">
        <v>11</v>
      </c>
      <c r="C74" s="3">
        <v>0.17170000000000002</v>
      </c>
      <c r="D74" s="3">
        <v>7.470716713968574E-2</v>
      </c>
      <c r="E74" s="23">
        <f t="shared" si="36"/>
        <v>338.68849863564003</v>
      </c>
      <c r="G74" s="5"/>
    </row>
    <row r="75" spans="1:50" x14ac:dyDescent="0.35">
      <c r="A75" s="21"/>
      <c r="B75" t="s">
        <v>13</v>
      </c>
      <c r="C75" s="3">
        <v>0.11615</v>
      </c>
      <c r="D75" s="3">
        <v>9.4658961676717765E-2</v>
      </c>
      <c r="E75" s="23">
        <f t="shared" si="36"/>
        <v>229.11280790057998</v>
      </c>
      <c r="G75" s="5"/>
    </row>
    <row r="76" spans="1:50" x14ac:dyDescent="0.35">
      <c r="A76" s="21"/>
      <c r="B76" t="s">
        <v>14</v>
      </c>
      <c r="C76" s="3">
        <v>0.1313</v>
      </c>
      <c r="D76" s="3">
        <v>0.10151171732773626</v>
      </c>
      <c r="E76" s="23">
        <f t="shared" si="36"/>
        <v>258.99708719195996</v>
      </c>
    </row>
    <row r="77" spans="1:50" x14ac:dyDescent="0.35">
      <c r="A77" s="21"/>
      <c r="B77" t="s">
        <v>12</v>
      </c>
      <c r="C77" s="3">
        <v>4.9014802470346043E-2</v>
      </c>
      <c r="D77" s="3">
        <v>8.0059282036608698E-2</v>
      </c>
      <c r="E77" s="23">
        <f t="shared" si="36"/>
        <v>96.684623527105174</v>
      </c>
      <c r="G77" s="5"/>
    </row>
    <row r="78" spans="1:50" x14ac:dyDescent="0.35">
      <c r="A78" s="21"/>
      <c r="B78" t="s">
        <v>15</v>
      </c>
      <c r="C78" s="3">
        <f>1-SUM(C72:C77)</f>
        <v>8.764025529005004E-2</v>
      </c>
      <c r="D78" s="3">
        <v>8.7546229895944225E-2</v>
      </c>
      <c r="E78" s="23">
        <f t="shared" si="36"/>
        <v>172.87563473634975</v>
      </c>
    </row>
    <row r="79" spans="1:50" x14ac:dyDescent="0.35">
      <c r="A79" s="21">
        <v>4</v>
      </c>
      <c r="B79" s="2" t="s">
        <v>25</v>
      </c>
      <c r="C79" s="19">
        <f>VLOOKUP($B79,'Market Value'!$B$3:$E$9,2,0)</f>
        <v>6.2999999999999945E-2</v>
      </c>
      <c r="D79" s="19">
        <f>VLOOKUP($B79,'Market Value'!$B$3:$E$9,3,0)</f>
        <v>6.6784444853902794E-2</v>
      </c>
      <c r="E79" s="24">
        <f>VLOOKUP($B79,'Market Value'!$B$3:$E$9,4,0)</f>
        <v>411.4942397999996</v>
      </c>
      <c r="F79" s="3"/>
    </row>
    <row r="80" spans="1:50" x14ac:dyDescent="0.35">
      <c r="A80" s="21"/>
      <c r="B80" t="s">
        <v>16</v>
      </c>
      <c r="C80" s="3">
        <v>0.42419999999999997</v>
      </c>
      <c r="D80" s="3">
        <v>7.398400379569281E-2</v>
      </c>
      <c r="E80" s="23">
        <f>C80*$E$79</f>
        <v>174.55585652315983</v>
      </c>
      <c r="F80" s="3"/>
    </row>
    <row r="81" spans="1:6" x14ac:dyDescent="0.35">
      <c r="A81" s="21"/>
      <c r="B81" t="s">
        <v>17</v>
      </c>
      <c r="C81" s="3">
        <v>9.9009900990099015E-2</v>
      </c>
      <c r="D81" s="3">
        <v>5.2005036141852576E-2</v>
      </c>
      <c r="E81" s="23">
        <f t="shared" ref="E81:E83" si="37">C81*$E$79</f>
        <v>40.742003940594024</v>
      </c>
    </row>
    <row r="82" spans="1:6" x14ac:dyDescent="0.35">
      <c r="A82" s="21"/>
      <c r="B82" t="s">
        <v>19</v>
      </c>
      <c r="C82" s="3">
        <v>0.2626</v>
      </c>
      <c r="D82" s="3">
        <v>6.0251330528366079E-2</v>
      </c>
      <c r="E82" s="23">
        <f t="shared" si="37"/>
        <v>108.0583873714799</v>
      </c>
    </row>
    <row r="83" spans="1:6" x14ac:dyDescent="0.35">
      <c r="A83" s="21"/>
      <c r="B83" t="s">
        <v>18</v>
      </c>
      <c r="C83" s="3">
        <f>1-SUM(C80:C82)</f>
        <v>0.21419009900990105</v>
      </c>
      <c r="D83" s="3">
        <v>6.7367341601362318E-2</v>
      </c>
      <c r="E83" s="23">
        <f t="shared" si="37"/>
        <v>88.137991964765874</v>
      </c>
    </row>
    <row r="84" spans="1:6" x14ac:dyDescent="0.35">
      <c r="A84" s="21">
        <v>5</v>
      </c>
      <c r="B84" s="2" t="s">
        <v>68</v>
      </c>
      <c r="C84" s="19">
        <f>VLOOKUP($B84,'Market Value'!$B$3:$E$9,2,0)</f>
        <v>4.5999999999999999E-2</v>
      </c>
      <c r="D84" s="19">
        <f>VLOOKUP($B84,'Market Value'!$B$3:$E$9,3,0)</f>
        <v>7.3165836048444857E-2</v>
      </c>
      <c r="E84" s="24">
        <f>VLOOKUP($B84,'Market Value'!$B$3:$E$9,4,0)</f>
        <v>300.45611159999999</v>
      </c>
      <c r="F84" s="3"/>
    </row>
    <row r="85" spans="1:6" x14ac:dyDescent="0.35">
      <c r="A85" s="21"/>
      <c r="B85" t="s">
        <v>20</v>
      </c>
      <c r="C85" s="3">
        <v>0.45151245324650002</v>
      </c>
      <c r="D85" s="3">
        <v>7.8524208858370484E-2</v>
      </c>
      <c r="E85" s="23">
        <f>C85*$E$84</f>
        <v>135.6596760414202</v>
      </c>
      <c r="F85" s="3"/>
    </row>
    <row r="86" spans="1:6" x14ac:dyDescent="0.35">
      <c r="A86" s="21"/>
      <c r="B86" t="s">
        <v>21</v>
      </c>
      <c r="C86" s="3">
        <v>0.22092442508224089</v>
      </c>
      <c r="D86" s="3">
        <v>6.3142010840509688E-2</v>
      </c>
      <c r="E86" s="23">
        <f t="shared" ref="E86:E87" si="38">C86*$E$84</f>
        <v>66.378093717675611</v>
      </c>
    </row>
    <row r="87" spans="1:6" x14ac:dyDescent="0.35">
      <c r="A87" s="21"/>
      <c r="B87" t="s">
        <v>69</v>
      </c>
      <c r="C87" s="3">
        <f>1-SUM(C85:C86)</f>
        <v>0.32756312167125912</v>
      </c>
      <c r="D87" s="3">
        <v>7.1877322171858452E-2</v>
      </c>
      <c r="E87" s="23">
        <f t="shared" si="38"/>
        <v>98.418341840904205</v>
      </c>
    </row>
    <row r="88" spans="1:6" x14ac:dyDescent="0.35">
      <c r="C88" s="3"/>
      <c r="E88" s="8"/>
    </row>
    <row r="89" spans="1:6" x14ac:dyDescent="0.35">
      <c r="B89" s="2"/>
      <c r="C89" s="11"/>
      <c r="E89" s="8"/>
    </row>
    <row r="90" spans="1:6" x14ac:dyDescent="0.35">
      <c r="C90" s="11"/>
      <c r="E90" s="8"/>
    </row>
    <row r="91" spans="1:6" x14ac:dyDescent="0.35">
      <c r="C91" s="11"/>
      <c r="E91" s="8"/>
    </row>
    <row r="92" spans="1:6" x14ac:dyDescent="0.35">
      <c r="C92" s="12"/>
      <c r="E92" s="8"/>
    </row>
    <row r="93" spans="1:6" x14ac:dyDescent="0.35">
      <c r="C93" s="9"/>
      <c r="E93" s="10"/>
    </row>
    <row r="94" spans="1:6" x14ac:dyDescent="0.35">
      <c r="C94" s="13"/>
      <c r="E94" s="8"/>
    </row>
    <row r="95" spans="1:6" x14ac:dyDescent="0.35">
      <c r="C95" s="13"/>
      <c r="E95" s="8"/>
    </row>
    <row r="96" spans="1:6" x14ac:dyDescent="0.35">
      <c r="C96" s="13"/>
      <c r="E96" s="8"/>
    </row>
    <row r="97" spans="3:5" x14ac:dyDescent="0.35">
      <c r="C97" s="13"/>
      <c r="E97" s="8"/>
    </row>
    <row r="98" spans="3:5" x14ac:dyDescent="0.35">
      <c r="C98" s="12"/>
      <c r="E98" s="8"/>
    </row>
    <row r="99" spans="3:5" x14ac:dyDescent="0.35">
      <c r="C99" s="9"/>
      <c r="E99" s="10"/>
    </row>
    <row r="100" spans="3:5" x14ac:dyDescent="0.35">
      <c r="C100" s="11"/>
      <c r="E100" s="8"/>
    </row>
    <row r="101" spans="3:5" x14ac:dyDescent="0.35">
      <c r="C101" s="11"/>
      <c r="E101" s="8"/>
    </row>
    <row r="102" spans="3:5" x14ac:dyDescent="0.35">
      <c r="C102" s="11"/>
      <c r="E102" s="8"/>
    </row>
    <row r="103" spans="3:5" x14ac:dyDescent="0.35">
      <c r="C103" s="12"/>
      <c r="E103" s="8"/>
    </row>
    <row r="104" spans="3:5" x14ac:dyDescent="0.35">
      <c r="C104" s="9"/>
      <c r="E104" s="10"/>
    </row>
    <row r="105" spans="3:5" x14ac:dyDescent="0.35">
      <c r="C105" s="11"/>
      <c r="E105" s="8"/>
    </row>
    <row r="106" spans="3:5" x14ac:dyDescent="0.35">
      <c r="C106" s="11"/>
      <c r="E106" s="8"/>
    </row>
    <row r="107" spans="3:5" x14ac:dyDescent="0.35">
      <c r="C107" s="11"/>
      <c r="E10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9"/>
  <sheetViews>
    <sheetView workbookViewId="0">
      <selection activeCell="C86" sqref="C86"/>
    </sheetView>
  </sheetViews>
  <sheetFormatPr defaultRowHeight="14.5" x14ac:dyDescent="0.35"/>
  <cols>
    <col min="2" max="2" width="17.81640625" bestFit="1" customWidth="1"/>
  </cols>
  <sheetData>
    <row r="3" spans="2:5" x14ac:dyDescent="0.35">
      <c r="B3" s="15" t="s">
        <v>87</v>
      </c>
      <c r="C3" s="26" t="s">
        <v>89</v>
      </c>
      <c r="D3" s="26" t="s">
        <v>26</v>
      </c>
      <c r="E3" s="26" t="s">
        <v>90</v>
      </c>
    </row>
    <row r="4" spans="2:5" x14ac:dyDescent="0.35">
      <c r="B4" s="14" t="s">
        <v>22</v>
      </c>
      <c r="C4" s="16">
        <v>0.315</v>
      </c>
      <c r="D4" s="16">
        <v>8.7463493556287228E-2</v>
      </c>
      <c r="E4" s="27">
        <f>C4*$E$9</f>
        <v>2057.4711990000001</v>
      </c>
    </row>
    <row r="5" spans="2:5" x14ac:dyDescent="0.35">
      <c r="B5" s="14" t="s">
        <v>23</v>
      </c>
      <c r="C5" s="16">
        <v>0.27399999999999997</v>
      </c>
      <c r="D5" s="16">
        <v>7.9473866605548255E-2</v>
      </c>
      <c r="E5" s="27">
        <f t="shared" ref="E5:E8" si="0">C5*$E$9</f>
        <v>1789.6733603999996</v>
      </c>
    </row>
    <row r="6" spans="2:5" x14ac:dyDescent="0.35">
      <c r="B6" s="14" t="s">
        <v>24</v>
      </c>
      <c r="C6" s="16">
        <v>0.30199999999999999</v>
      </c>
      <c r="D6" s="16">
        <v>9.9669243694784679E-2</v>
      </c>
      <c r="E6" s="27">
        <f t="shared" si="0"/>
        <v>1972.5596891999999</v>
      </c>
    </row>
    <row r="7" spans="2:5" x14ac:dyDescent="0.35">
      <c r="B7" s="14" t="s">
        <v>68</v>
      </c>
      <c r="C7" s="16">
        <v>4.5999999999999999E-2</v>
      </c>
      <c r="D7" s="16">
        <v>7.3165836048444857E-2</v>
      </c>
      <c r="E7" s="27">
        <f t="shared" si="0"/>
        <v>300.45611159999999</v>
      </c>
    </row>
    <row r="8" spans="2:5" x14ac:dyDescent="0.35">
      <c r="B8" s="14" t="s">
        <v>25</v>
      </c>
      <c r="C8" s="16">
        <f>1-SUM(C4:C7)</f>
        <v>6.2999999999999945E-2</v>
      </c>
      <c r="D8" s="16">
        <v>6.6784444853902794E-2</v>
      </c>
      <c r="E8" s="27">
        <f t="shared" si="0"/>
        <v>411.4942397999996</v>
      </c>
    </row>
    <row r="9" spans="2:5" x14ac:dyDescent="0.35">
      <c r="B9" s="15" t="s">
        <v>88</v>
      </c>
      <c r="C9" s="28">
        <f>SUM(C4:C8)</f>
        <v>1</v>
      </c>
      <c r="D9" s="29">
        <f>SUMPRODUCT(D4:D8,C4:C8)</f>
        <v>8.7000000000000008E-2</v>
      </c>
      <c r="E9" s="30">
        <v>6531.6545999999998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Market Value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Budhwani</dc:creator>
  <cp:lastModifiedBy>Rajeev Ranjan</cp:lastModifiedBy>
  <dcterms:created xsi:type="dcterms:W3CDTF">2026-04-20T08:19:11Z</dcterms:created>
  <dcterms:modified xsi:type="dcterms:W3CDTF">2026-06-25T07:12:13Z</dcterms:modified>
</cp:coreProperties>
</file>