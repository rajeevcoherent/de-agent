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190\IT-Temp-Folder\Vijay Budhwani\Data files\"/>
    </mc:Choice>
  </mc:AlternateContent>
  <xr:revisionPtr revIDLastSave="0" documentId="13_ncr:1_{474AB484-B9EB-4704-B911-56ECD8877A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6" r:id="rId1"/>
    <sheet name="ASP" sheetId="2" r:id="rId2"/>
    <sheet name="Market Valu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2" l="1"/>
  <c r="E83" i="2" s="1"/>
  <c r="I59" i="2"/>
  <c r="I83" i="2" s="1"/>
  <c r="M59" i="2"/>
  <c r="M83" i="2" s="1"/>
  <c r="Q59" i="2"/>
  <c r="Q83" i="2" s="1"/>
  <c r="U59" i="2"/>
  <c r="U83" i="2" s="1"/>
  <c r="Y59" i="2"/>
  <c r="Y83" i="2" s="1"/>
  <c r="C54" i="2"/>
  <c r="C78" i="2" s="1"/>
  <c r="Z65" i="2"/>
  <c r="Z89" i="2" s="1"/>
  <c r="V65" i="2"/>
  <c r="V89" i="2" s="1"/>
  <c r="R65" i="2"/>
  <c r="R89" i="2" s="1"/>
  <c r="N65" i="2"/>
  <c r="N89" i="2" s="1"/>
  <c r="J65" i="2"/>
  <c r="J89" i="2" s="1"/>
  <c r="F65" i="2"/>
  <c r="F89" i="2" s="1"/>
  <c r="C65" i="2"/>
  <c r="C89" i="2" s="1"/>
  <c r="Y64" i="2"/>
  <c r="Y88" i="2" s="1"/>
  <c r="U64" i="2"/>
  <c r="U88" i="2" s="1"/>
  <c r="Q64" i="2"/>
  <c r="Q88" i="2" s="1"/>
  <c r="M64" i="2"/>
  <c r="M88" i="2" s="1"/>
  <c r="I64" i="2"/>
  <c r="I88" i="2" s="1"/>
  <c r="E64" i="2"/>
  <c r="E88" i="2" s="1"/>
  <c r="Z60" i="2"/>
  <c r="V60" i="2"/>
  <c r="R60" i="2"/>
  <c r="N60" i="2"/>
  <c r="J60" i="2"/>
  <c r="F60" i="2"/>
  <c r="C60" i="2"/>
  <c r="C62" i="2" s="1"/>
  <c r="C86" i="2" s="1"/>
  <c r="Y55" i="2"/>
  <c r="Y56" i="2" s="1"/>
  <c r="Y80" i="2" s="1"/>
  <c r="U55" i="2"/>
  <c r="U56" i="2" s="1"/>
  <c r="U80" i="2" s="1"/>
  <c r="Q55" i="2"/>
  <c r="Q56" i="2" s="1"/>
  <c r="Q80" i="2" s="1"/>
  <c r="M55" i="2"/>
  <c r="M56" i="2" s="1"/>
  <c r="M80" i="2" s="1"/>
  <c r="I55" i="2"/>
  <c r="I56" i="2" s="1"/>
  <c r="I80" i="2" s="1"/>
  <c r="E55" i="2"/>
  <c r="E56" i="2" s="1"/>
  <c r="E80" i="2" s="1"/>
  <c r="F49" i="2"/>
  <c r="J49" i="2"/>
  <c r="N49" i="2"/>
  <c r="R49" i="2"/>
  <c r="V49" i="2"/>
  <c r="Z49" i="2"/>
  <c r="C49" i="2"/>
  <c r="C51" i="2" s="1"/>
  <c r="C75" i="2" s="1"/>
  <c r="D46" i="2"/>
  <c r="E46" i="2"/>
  <c r="E65" i="2" s="1"/>
  <c r="E89" i="2" s="1"/>
  <c r="F46" i="2"/>
  <c r="F64" i="2" s="1"/>
  <c r="F88" i="2" s="1"/>
  <c r="G46" i="2"/>
  <c r="G64" i="2" s="1"/>
  <c r="G88" i="2" s="1"/>
  <c r="H46" i="2"/>
  <c r="I46" i="2"/>
  <c r="I65" i="2" s="1"/>
  <c r="I89" i="2" s="1"/>
  <c r="J46" i="2"/>
  <c r="J64" i="2" s="1"/>
  <c r="J88" i="2" s="1"/>
  <c r="K46" i="2"/>
  <c r="K64" i="2" s="1"/>
  <c r="K88" i="2" s="1"/>
  <c r="L46" i="2"/>
  <c r="L64" i="2" s="1"/>
  <c r="L88" i="2" s="1"/>
  <c r="M46" i="2"/>
  <c r="M65" i="2" s="1"/>
  <c r="M89" i="2" s="1"/>
  <c r="N46" i="2"/>
  <c r="N64" i="2" s="1"/>
  <c r="N88" i="2" s="1"/>
  <c r="O46" i="2"/>
  <c r="O64" i="2" s="1"/>
  <c r="O88" i="2" s="1"/>
  <c r="P46" i="2"/>
  <c r="Q46" i="2"/>
  <c r="Q65" i="2" s="1"/>
  <c r="Q89" i="2" s="1"/>
  <c r="R46" i="2"/>
  <c r="R64" i="2" s="1"/>
  <c r="R88" i="2" s="1"/>
  <c r="S46" i="2"/>
  <c r="S64" i="2" s="1"/>
  <c r="S88" i="2" s="1"/>
  <c r="T46" i="2"/>
  <c r="U46" i="2"/>
  <c r="U65" i="2" s="1"/>
  <c r="U89" i="2" s="1"/>
  <c r="V46" i="2"/>
  <c r="V64" i="2" s="1"/>
  <c r="V88" i="2" s="1"/>
  <c r="W46" i="2"/>
  <c r="W64" i="2" s="1"/>
  <c r="W88" i="2" s="1"/>
  <c r="X46" i="2"/>
  <c r="Y46" i="2"/>
  <c r="Y65" i="2" s="1"/>
  <c r="Y89" i="2" s="1"/>
  <c r="Z46" i="2"/>
  <c r="Z64" i="2" s="1"/>
  <c r="Z88" i="2" s="1"/>
  <c r="AA46" i="2"/>
  <c r="AA64" i="2" s="1"/>
  <c r="AA88" i="2" s="1"/>
  <c r="AB46" i="2"/>
  <c r="AB55" i="2" s="1"/>
  <c r="C46" i="2"/>
  <c r="C64" i="2" s="1"/>
  <c r="C88" i="2" s="1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B27" i="2"/>
  <c r="AA27" i="2"/>
  <c r="Z27" i="2"/>
  <c r="Y27" i="2"/>
  <c r="Y49" i="2" s="1"/>
  <c r="X27" i="2"/>
  <c r="W27" i="2"/>
  <c r="V27" i="2"/>
  <c r="U27" i="2"/>
  <c r="U49" i="2" s="1"/>
  <c r="T27" i="2"/>
  <c r="S27" i="2"/>
  <c r="R27" i="2"/>
  <c r="Q27" i="2"/>
  <c r="Q49" i="2" s="1"/>
  <c r="P27" i="2"/>
  <c r="O27" i="2"/>
  <c r="N27" i="2"/>
  <c r="M27" i="2"/>
  <c r="M49" i="2" s="1"/>
  <c r="L27" i="2"/>
  <c r="K27" i="2"/>
  <c r="J27" i="2"/>
  <c r="I27" i="2"/>
  <c r="I49" i="2" s="1"/>
  <c r="H27" i="2"/>
  <c r="G27" i="2"/>
  <c r="F27" i="2"/>
  <c r="E27" i="2"/>
  <c r="E49" i="2" s="1"/>
  <c r="D27" i="2"/>
  <c r="C27" i="2"/>
  <c r="E150" i="6"/>
  <c r="E151" i="6"/>
  <c r="E149" i="6"/>
  <c r="E148" i="6"/>
  <c r="E146" i="6"/>
  <c r="E147" i="6"/>
  <c r="E145" i="6"/>
  <c r="E144" i="6"/>
  <c r="E141" i="6"/>
  <c r="E142" i="6"/>
  <c r="E143" i="6"/>
  <c r="E140" i="6"/>
  <c r="E139" i="6"/>
  <c r="E133" i="6"/>
  <c r="E134" i="6"/>
  <c r="E135" i="6"/>
  <c r="E136" i="6"/>
  <c r="E137" i="6"/>
  <c r="E138" i="6"/>
  <c r="E132" i="6"/>
  <c r="E131" i="6"/>
  <c r="E125" i="6"/>
  <c r="E126" i="6"/>
  <c r="E127" i="6"/>
  <c r="E128" i="6"/>
  <c r="E129" i="6"/>
  <c r="E130" i="6"/>
  <c r="E124" i="6"/>
  <c r="E123" i="6"/>
  <c r="E120" i="6"/>
  <c r="E122" i="6" s="1"/>
  <c r="AB57" i="2" l="1"/>
  <c r="AB81" i="2" s="1"/>
  <c r="AB58" i="2"/>
  <c r="AB82" i="2" s="1"/>
  <c r="AB56" i="2"/>
  <c r="AB80" i="2" s="1"/>
  <c r="AB59" i="2"/>
  <c r="AB83" i="2" s="1"/>
  <c r="X65" i="2"/>
  <c r="X89" i="2" s="1"/>
  <c r="X60" i="2"/>
  <c r="X49" i="2"/>
  <c r="P65" i="2"/>
  <c r="P89" i="2" s="1"/>
  <c r="P60" i="2"/>
  <c r="P49" i="2"/>
  <c r="H65" i="2"/>
  <c r="H89" i="2" s="1"/>
  <c r="H60" i="2"/>
  <c r="H49" i="2"/>
  <c r="R53" i="2"/>
  <c r="R77" i="2" s="1"/>
  <c r="R52" i="2"/>
  <c r="R76" i="2" s="1"/>
  <c r="R50" i="2"/>
  <c r="R74" i="2" s="1"/>
  <c r="R54" i="2"/>
  <c r="R78" i="2" s="1"/>
  <c r="R51" i="2"/>
  <c r="R75" i="2" s="1"/>
  <c r="L55" i="2"/>
  <c r="E50" i="2"/>
  <c r="E74" i="2" s="1"/>
  <c r="E54" i="2"/>
  <c r="E78" i="2" s="1"/>
  <c r="E51" i="2"/>
  <c r="E75" i="2" s="1"/>
  <c r="E53" i="2"/>
  <c r="E77" i="2" s="1"/>
  <c r="E52" i="2"/>
  <c r="E76" i="2" s="1"/>
  <c r="M50" i="2"/>
  <c r="M74" i="2" s="1"/>
  <c r="M54" i="2"/>
  <c r="M78" i="2" s="1"/>
  <c r="M53" i="2"/>
  <c r="M77" i="2" s="1"/>
  <c r="M51" i="2"/>
  <c r="M75" i="2" s="1"/>
  <c r="M52" i="2"/>
  <c r="M76" i="2" s="1"/>
  <c r="U50" i="2"/>
  <c r="U74" i="2" s="1"/>
  <c r="U54" i="2"/>
  <c r="U78" i="2" s="1"/>
  <c r="U53" i="2"/>
  <c r="U77" i="2" s="1"/>
  <c r="U51" i="2"/>
  <c r="U75" i="2" s="1"/>
  <c r="U52" i="2"/>
  <c r="U76" i="2" s="1"/>
  <c r="R61" i="2"/>
  <c r="R85" i="2" s="1"/>
  <c r="R62" i="2"/>
  <c r="R86" i="2" s="1"/>
  <c r="R63" i="2"/>
  <c r="R87" i="2" s="1"/>
  <c r="Z53" i="2"/>
  <c r="Z77" i="2" s="1"/>
  <c r="Z52" i="2"/>
  <c r="Z76" i="2" s="1"/>
  <c r="Z50" i="2"/>
  <c r="Z74" i="2" s="1"/>
  <c r="Z54" i="2"/>
  <c r="Z78" i="2" s="1"/>
  <c r="Z51" i="2"/>
  <c r="Z75" i="2" s="1"/>
  <c r="J53" i="2"/>
  <c r="J77" i="2" s="1"/>
  <c r="J52" i="2"/>
  <c r="J76" i="2" s="1"/>
  <c r="J50" i="2"/>
  <c r="J74" i="2" s="1"/>
  <c r="J54" i="2"/>
  <c r="J78" i="2" s="1"/>
  <c r="J51" i="2"/>
  <c r="J75" i="2" s="1"/>
  <c r="H55" i="2"/>
  <c r="P55" i="2"/>
  <c r="X55" i="2"/>
  <c r="F61" i="2"/>
  <c r="F85" i="2" s="1"/>
  <c r="F62" i="2"/>
  <c r="F86" i="2" s="1"/>
  <c r="F63" i="2"/>
  <c r="F87" i="2" s="1"/>
  <c r="V61" i="2"/>
  <c r="V85" i="2" s="1"/>
  <c r="V62" i="2"/>
  <c r="V86" i="2" s="1"/>
  <c r="V63" i="2"/>
  <c r="V87" i="2" s="1"/>
  <c r="H64" i="2"/>
  <c r="H88" i="2" s="1"/>
  <c r="P64" i="2"/>
  <c r="P88" i="2" s="1"/>
  <c r="X64" i="2"/>
  <c r="X88" i="2" s="1"/>
  <c r="AB65" i="2"/>
  <c r="AB89" i="2" s="1"/>
  <c r="AB60" i="2"/>
  <c r="AB49" i="2"/>
  <c r="T65" i="2"/>
  <c r="T89" i="2" s="1"/>
  <c r="T60" i="2"/>
  <c r="T49" i="2"/>
  <c r="L65" i="2"/>
  <c r="L89" i="2" s="1"/>
  <c r="L60" i="2"/>
  <c r="L49" i="2"/>
  <c r="D65" i="2"/>
  <c r="D89" i="2" s="1"/>
  <c r="D60" i="2"/>
  <c r="D49" i="2"/>
  <c r="D55" i="2"/>
  <c r="T55" i="2"/>
  <c r="N61" i="2"/>
  <c r="N85" i="2" s="1"/>
  <c r="N62" i="2"/>
  <c r="N86" i="2" s="1"/>
  <c r="N63" i="2"/>
  <c r="N87" i="2" s="1"/>
  <c r="D64" i="2"/>
  <c r="D88" i="2" s="1"/>
  <c r="T64" i="2"/>
  <c r="T88" i="2" s="1"/>
  <c r="AB64" i="2"/>
  <c r="AB88" i="2" s="1"/>
  <c r="I50" i="2"/>
  <c r="I74" i="2" s="1"/>
  <c r="I54" i="2"/>
  <c r="I78" i="2" s="1"/>
  <c r="I53" i="2"/>
  <c r="I77" i="2" s="1"/>
  <c r="I51" i="2"/>
  <c r="I75" i="2" s="1"/>
  <c r="I52" i="2"/>
  <c r="I76" i="2" s="1"/>
  <c r="Q50" i="2"/>
  <c r="Q74" i="2" s="1"/>
  <c r="Q54" i="2"/>
  <c r="Q78" i="2" s="1"/>
  <c r="Q51" i="2"/>
  <c r="Q75" i="2" s="1"/>
  <c r="Q53" i="2"/>
  <c r="Q77" i="2" s="1"/>
  <c r="Q52" i="2"/>
  <c r="Q76" i="2" s="1"/>
  <c r="Y50" i="2"/>
  <c r="Y74" i="2" s="1"/>
  <c r="Y54" i="2"/>
  <c r="Y78" i="2" s="1"/>
  <c r="Y51" i="2"/>
  <c r="Y75" i="2" s="1"/>
  <c r="Y53" i="2"/>
  <c r="Y77" i="2" s="1"/>
  <c r="Y52" i="2"/>
  <c r="Y76" i="2" s="1"/>
  <c r="N53" i="2"/>
  <c r="N77" i="2" s="1"/>
  <c r="N50" i="2"/>
  <c r="N74" i="2" s="1"/>
  <c r="N54" i="2"/>
  <c r="N78" i="2" s="1"/>
  <c r="N52" i="2"/>
  <c r="N76" i="2" s="1"/>
  <c r="N51" i="2"/>
  <c r="N75" i="2" s="1"/>
  <c r="V53" i="2"/>
  <c r="V77" i="2" s="1"/>
  <c r="V50" i="2"/>
  <c r="V74" i="2" s="1"/>
  <c r="V54" i="2"/>
  <c r="V78" i="2" s="1"/>
  <c r="V52" i="2"/>
  <c r="V76" i="2" s="1"/>
  <c r="V51" i="2"/>
  <c r="V75" i="2" s="1"/>
  <c r="F53" i="2"/>
  <c r="F77" i="2" s="1"/>
  <c r="F50" i="2"/>
  <c r="F74" i="2" s="1"/>
  <c r="F54" i="2"/>
  <c r="F78" i="2" s="1"/>
  <c r="F52" i="2"/>
  <c r="F76" i="2" s="1"/>
  <c r="F51" i="2"/>
  <c r="F75" i="2" s="1"/>
  <c r="J61" i="2"/>
  <c r="J85" i="2" s="1"/>
  <c r="J62" i="2"/>
  <c r="J86" i="2" s="1"/>
  <c r="J63" i="2"/>
  <c r="J87" i="2" s="1"/>
  <c r="Z61" i="2"/>
  <c r="Z85" i="2" s="1"/>
  <c r="Z62" i="2"/>
  <c r="Z86" i="2" s="1"/>
  <c r="Z63" i="2"/>
  <c r="Z87" i="2" s="1"/>
  <c r="G65" i="2"/>
  <c r="G89" i="2" s="1"/>
  <c r="K65" i="2"/>
  <c r="K89" i="2" s="1"/>
  <c r="O65" i="2"/>
  <c r="O89" i="2" s="1"/>
  <c r="S65" i="2"/>
  <c r="S89" i="2" s="1"/>
  <c r="W65" i="2"/>
  <c r="W89" i="2" s="1"/>
  <c r="AA65" i="2"/>
  <c r="AA89" i="2" s="1"/>
  <c r="C53" i="2"/>
  <c r="C77" i="2" s="1"/>
  <c r="Y58" i="2"/>
  <c r="Y82" i="2" s="1"/>
  <c r="U58" i="2"/>
  <c r="U82" i="2" s="1"/>
  <c r="Q58" i="2"/>
  <c r="Q82" i="2" s="1"/>
  <c r="M58" i="2"/>
  <c r="M82" i="2" s="1"/>
  <c r="I58" i="2"/>
  <c r="I82" i="2" s="1"/>
  <c r="E58" i="2"/>
  <c r="E82" i="2" s="1"/>
  <c r="C61" i="2"/>
  <c r="C85" i="2" s="1"/>
  <c r="K60" i="2"/>
  <c r="W60" i="2"/>
  <c r="F55" i="2"/>
  <c r="J55" i="2"/>
  <c r="N55" i="2"/>
  <c r="R55" i="2"/>
  <c r="V55" i="2"/>
  <c r="Z55" i="2"/>
  <c r="C52" i="2"/>
  <c r="C76" i="2" s="1"/>
  <c r="Y57" i="2"/>
  <c r="Y81" i="2" s="1"/>
  <c r="Y79" i="2" s="1"/>
  <c r="U57" i="2"/>
  <c r="U81" i="2" s="1"/>
  <c r="Q57" i="2"/>
  <c r="Q81" i="2" s="1"/>
  <c r="Q79" i="2" s="1"/>
  <c r="M57" i="2"/>
  <c r="M81" i="2" s="1"/>
  <c r="M79" i="2" s="1"/>
  <c r="I57" i="2"/>
  <c r="I81" i="2" s="1"/>
  <c r="I79" i="2" s="1"/>
  <c r="E57" i="2"/>
  <c r="E81" i="2" s="1"/>
  <c r="C63" i="2"/>
  <c r="C87" i="2" s="1"/>
  <c r="G60" i="2"/>
  <c r="O60" i="2"/>
  <c r="S60" i="2"/>
  <c r="AA60" i="2"/>
  <c r="AA49" i="2"/>
  <c r="W49" i="2"/>
  <c r="S49" i="2"/>
  <c r="O49" i="2"/>
  <c r="K49" i="2"/>
  <c r="G49" i="2"/>
  <c r="C55" i="2"/>
  <c r="G55" i="2"/>
  <c r="K55" i="2"/>
  <c r="O55" i="2"/>
  <c r="S55" i="2"/>
  <c r="W55" i="2"/>
  <c r="AA55" i="2"/>
  <c r="E60" i="2"/>
  <c r="I60" i="2"/>
  <c r="M60" i="2"/>
  <c r="Q60" i="2"/>
  <c r="U60" i="2"/>
  <c r="Y60" i="2"/>
  <c r="C50" i="2"/>
  <c r="C74" i="2" s="1"/>
  <c r="E121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AE11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AE111" i="6"/>
  <c r="AE107" i="6"/>
  <c r="AE103" i="6"/>
  <c r="AE99" i="6"/>
  <c r="AE94" i="6"/>
  <c r="AH70" i="6"/>
  <c r="AL70" i="6"/>
  <c r="AP70" i="6"/>
  <c r="AT70" i="6"/>
  <c r="AX70" i="6"/>
  <c r="BB70" i="6"/>
  <c r="AG79" i="6"/>
  <c r="AK79" i="6"/>
  <c r="AO79" i="6"/>
  <c r="AS79" i="6"/>
  <c r="AW79" i="6"/>
  <c r="BA79" i="6"/>
  <c r="AF84" i="6"/>
  <c r="AJ84" i="6"/>
  <c r="AN84" i="6"/>
  <c r="AR84" i="6"/>
  <c r="AV84" i="6"/>
  <c r="AZ84" i="6"/>
  <c r="BD84" i="6"/>
  <c r="AE64" i="6"/>
  <c r="AI47" i="6"/>
  <c r="AM47" i="6"/>
  <c r="AQ47" i="6"/>
  <c r="AU47" i="6"/>
  <c r="AY47" i="6"/>
  <c r="BC47" i="6"/>
  <c r="AH52" i="6"/>
  <c r="AL52" i="6"/>
  <c r="AP52" i="6"/>
  <c r="AT52" i="6"/>
  <c r="AX52" i="6"/>
  <c r="BB52" i="6"/>
  <c r="AG56" i="6"/>
  <c r="AK56" i="6"/>
  <c r="AO56" i="6"/>
  <c r="AS56" i="6"/>
  <c r="AW56" i="6"/>
  <c r="BA56" i="6"/>
  <c r="AE56" i="6"/>
  <c r="AI5" i="6"/>
  <c r="AM5" i="6"/>
  <c r="AQ5" i="6"/>
  <c r="AU5" i="6"/>
  <c r="AY5" i="6"/>
  <c r="BC5" i="6"/>
  <c r="AH11" i="6"/>
  <c r="AL11" i="6"/>
  <c r="AP11" i="6"/>
  <c r="AT11" i="6"/>
  <c r="AX11" i="6"/>
  <c r="BB1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AE1" i="6"/>
  <c r="AE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D85" i="6"/>
  <c r="E85" i="6"/>
  <c r="AG84" i="6" s="1"/>
  <c r="F85" i="6"/>
  <c r="AH84" i="6" s="1"/>
  <c r="G85" i="6"/>
  <c r="AI84" i="6" s="1"/>
  <c r="H85" i="6"/>
  <c r="I85" i="6"/>
  <c r="AK84" i="6" s="1"/>
  <c r="J85" i="6"/>
  <c r="AL84" i="6" s="1"/>
  <c r="K85" i="6"/>
  <c r="AM84" i="6" s="1"/>
  <c r="L85" i="6"/>
  <c r="M85" i="6"/>
  <c r="AO84" i="6" s="1"/>
  <c r="N85" i="6"/>
  <c r="AP84" i="6" s="1"/>
  <c r="O85" i="6"/>
  <c r="AQ84" i="6" s="1"/>
  <c r="P85" i="6"/>
  <c r="Q85" i="6"/>
  <c r="AS84" i="6" s="1"/>
  <c r="R85" i="6"/>
  <c r="AT84" i="6" s="1"/>
  <c r="S85" i="6"/>
  <c r="AU84" i="6" s="1"/>
  <c r="T85" i="6"/>
  <c r="U85" i="6"/>
  <c r="AW84" i="6" s="1"/>
  <c r="V85" i="6"/>
  <c r="AX84" i="6" s="1"/>
  <c r="W85" i="6"/>
  <c r="AY84" i="6" s="1"/>
  <c r="X85" i="6"/>
  <c r="Y85" i="6"/>
  <c r="BA84" i="6" s="1"/>
  <c r="Z85" i="6"/>
  <c r="BB84" i="6" s="1"/>
  <c r="AA85" i="6"/>
  <c r="BC84" i="6" s="1"/>
  <c r="AB85" i="6"/>
  <c r="C85" i="6"/>
  <c r="AE84" i="6" s="1"/>
  <c r="D80" i="6"/>
  <c r="AF79" i="6" s="1"/>
  <c r="E80" i="6"/>
  <c r="F80" i="6"/>
  <c r="AH79" i="6" s="1"/>
  <c r="G80" i="6"/>
  <c r="AI79" i="6" s="1"/>
  <c r="H80" i="6"/>
  <c r="AJ79" i="6" s="1"/>
  <c r="I80" i="6"/>
  <c r="J80" i="6"/>
  <c r="AL79" i="6" s="1"/>
  <c r="K80" i="6"/>
  <c r="AM79" i="6" s="1"/>
  <c r="L80" i="6"/>
  <c r="AN79" i="6" s="1"/>
  <c r="M80" i="6"/>
  <c r="N80" i="6"/>
  <c r="AP79" i="6" s="1"/>
  <c r="O80" i="6"/>
  <c r="AQ79" i="6" s="1"/>
  <c r="P80" i="6"/>
  <c r="AR79" i="6" s="1"/>
  <c r="Q80" i="6"/>
  <c r="R80" i="6"/>
  <c r="AT79" i="6" s="1"/>
  <c r="S80" i="6"/>
  <c r="AU79" i="6" s="1"/>
  <c r="T80" i="6"/>
  <c r="AV79" i="6" s="1"/>
  <c r="U80" i="6"/>
  <c r="V80" i="6"/>
  <c r="AX79" i="6" s="1"/>
  <c r="W80" i="6"/>
  <c r="AY79" i="6" s="1"/>
  <c r="X80" i="6"/>
  <c r="AZ79" i="6" s="1"/>
  <c r="Y80" i="6"/>
  <c r="Z80" i="6"/>
  <c r="BB79" i="6" s="1"/>
  <c r="AA80" i="6"/>
  <c r="BC79" i="6" s="1"/>
  <c r="AB80" i="6"/>
  <c r="BD79" i="6" s="1"/>
  <c r="C80" i="6"/>
  <c r="AE79" i="6" s="1"/>
  <c r="D71" i="6"/>
  <c r="AF70" i="6" s="1"/>
  <c r="E71" i="6"/>
  <c r="AG70" i="6" s="1"/>
  <c r="F71" i="6"/>
  <c r="G71" i="6"/>
  <c r="AI70" i="6" s="1"/>
  <c r="H71" i="6"/>
  <c r="AJ70" i="6" s="1"/>
  <c r="I71" i="6"/>
  <c r="AK70" i="6" s="1"/>
  <c r="J71" i="6"/>
  <c r="K71" i="6"/>
  <c r="AM70" i="6" s="1"/>
  <c r="L71" i="6"/>
  <c r="AN70" i="6" s="1"/>
  <c r="M71" i="6"/>
  <c r="AO70" i="6" s="1"/>
  <c r="N71" i="6"/>
  <c r="O71" i="6"/>
  <c r="AQ70" i="6" s="1"/>
  <c r="P71" i="6"/>
  <c r="AR70" i="6" s="1"/>
  <c r="Q71" i="6"/>
  <c r="AS70" i="6" s="1"/>
  <c r="R71" i="6"/>
  <c r="S71" i="6"/>
  <c r="AU70" i="6" s="1"/>
  <c r="T71" i="6"/>
  <c r="AV70" i="6" s="1"/>
  <c r="U71" i="6"/>
  <c r="AW70" i="6" s="1"/>
  <c r="V71" i="6"/>
  <c r="W71" i="6"/>
  <c r="AY70" i="6" s="1"/>
  <c r="X71" i="6"/>
  <c r="AZ70" i="6" s="1"/>
  <c r="Y71" i="6"/>
  <c r="BA70" i="6" s="1"/>
  <c r="Z71" i="6"/>
  <c r="AA71" i="6"/>
  <c r="BC70" i="6" s="1"/>
  <c r="AB71" i="6"/>
  <c r="BD70" i="6" s="1"/>
  <c r="C71" i="6"/>
  <c r="AE70" i="6" s="1"/>
  <c r="D65" i="6"/>
  <c r="AF64" i="6" s="1"/>
  <c r="E65" i="6"/>
  <c r="AG64" i="6" s="1"/>
  <c r="F65" i="6"/>
  <c r="AH64" i="6" s="1"/>
  <c r="G65" i="6"/>
  <c r="AI64" i="6" s="1"/>
  <c r="AI63" i="6" s="1"/>
  <c r="H65" i="6"/>
  <c r="AJ64" i="6" s="1"/>
  <c r="I65" i="6"/>
  <c r="AK64" i="6" s="1"/>
  <c r="J65" i="6"/>
  <c r="AL64" i="6" s="1"/>
  <c r="K65" i="6"/>
  <c r="AM64" i="6" s="1"/>
  <c r="AM63" i="6" s="1"/>
  <c r="L65" i="6"/>
  <c r="AN64" i="6" s="1"/>
  <c r="M65" i="6"/>
  <c r="AO64" i="6" s="1"/>
  <c r="N65" i="6"/>
  <c r="AP64" i="6" s="1"/>
  <c r="O65" i="6"/>
  <c r="AQ64" i="6" s="1"/>
  <c r="AQ63" i="6" s="1"/>
  <c r="P65" i="6"/>
  <c r="AR64" i="6" s="1"/>
  <c r="Q65" i="6"/>
  <c r="AS64" i="6" s="1"/>
  <c r="R65" i="6"/>
  <c r="AT64" i="6" s="1"/>
  <c r="S65" i="6"/>
  <c r="AU64" i="6" s="1"/>
  <c r="AU63" i="6" s="1"/>
  <c r="T65" i="6"/>
  <c r="AV64" i="6" s="1"/>
  <c r="U65" i="6"/>
  <c r="AW64" i="6" s="1"/>
  <c r="V65" i="6"/>
  <c r="AX64" i="6" s="1"/>
  <c r="W65" i="6"/>
  <c r="AY64" i="6" s="1"/>
  <c r="AY63" i="6" s="1"/>
  <c r="X65" i="6"/>
  <c r="AZ64" i="6" s="1"/>
  <c r="Y65" i="6"/>
  <c r="BA64" i="6" s="1"/>
  <c r="Z65" i="6"/>
  <c r="BB64" i="6" s="1"/>
  <c r="AA65" i="6"/>
  <c r="BC64" i="6" s="1"/>
  <c r="BC63" i="6" s="1"/>
  <c r="AB65" i="6"/>
  <c r="BD64" i="6" s="1"/>
  <c r="C65" i="6"/>
  <c r="D64" i="6"/>
  <c r="D94" i="6" s="1"/>
  <c r="E64" i="6"/>
  <c r="E94" i="6" s="1"/>
  <c r="E115" i="6" s="1"/>
  <c r="F64" i="6"/>
  <c r="F94" i="6" s="1"/>
  <c r="F115" i="6" s="1"/>
  <c r="G64" i="6"/>
  <c r="G94" i="6" s="1"/>
  <c r="H64" i="6"/>
  <c r="H94" i="6" s="1"/>
  <c r="H115" i="6" s="1"/>
  <c r="I64" i="6"/>
  <c r="I94" i="6" s="1"/>
  <c r="J64" i="6"/>
  <c r="J94" i="6" s="1"/>
  <c r="J115" i="6" s="1"/>
  <c r="K64" i="6"/>
  <c r="K94" i="6" s="1"/>
  <c r="L64" i="6"/>
  <c r="L94" i="6" s="1"/>
  <c r="L115" i="6" s="1"/>
  <c r="M64" i="6"/>
  <c r="M94" i="6" s="1"/>
  <c r="N64" i="6"/>
  <c r="N94" i="6" s="1"/>
  <c r="N115" i="6" s="1"/>
  <c r="O64" i="6"/>
  <c r="O94" i="6" s="1"/>
  <c r="P64" i="6"/>
  <c r="P94" i="6" s="1"/>
  <c r="Q64" i="6"/>
  <c r="Q94" i="6" s="1"/>
  <c r="R64" i="6"/>
  <c r="R94" i="6" s="1"/>
  <c r="R115" i="6" s="1"/>
  <c r="S64" i="6"/>
  <c r="S94" i="6" s="1"/>
  <c r="T64" i="6"/>
  <c r="T94" i="6" s="1"/>
  <c r="U64" i="6"/>
  <c r="U94" i="6" s="1"/>
  <c r="V64" i="6"/>
  <c r="V94" i="6" s="1"/>
  <c r="V115" i="6" s="1"/>
  <c r="W64" i="6"/>
  <c r="W94" i="6" s="1"/>
  <c r="X64" i="6"/>
  <c r="X94" i="6" s="1"/>
  <c r="Y64" i="6"/>
  <c r="Y94" i="6" s="1"/>
  <c r="Z64" i="6"/>
  <c r="Z94" i="6" s="1"/>
  <c r="Z115" i="6" s="1"/>
  <c r="AA64" i="6"/>
  <c r="AA94" i="6" s="1"/>
  <c r="AB64" i="6"/>
  <c r="AB94" i="6" s="1"/>
  <c r="C64" i="6"/>
  <c r="C94" i="6" s="1"/>
  <c r="D57" i="6"/>
  <c r="AF56" i="6" s="1"/>
  <c r="E57" i="6"/>
  <c r="F57" i="6"/>
  <c r="AH56" i="6" s="1"/>
  <c r="G57" i="6"/>
  <c r="AI56" i="6" s="1"/>
  <c r="H57" i="6"/>
  <c r="AJ56" i="6" s="1"/>
  <c r="I57" i="6"/>
  <c r="J57" i="6"/>
  <c r="AL56" i="6" s="1"/>
  <c r="K57" i="6"/>
  <c r="AM56" i="6" s="1"/>
  <c r="L57" i="6"/>
  <c r="AN56" i="6" s="1"/>
  <c r="M57" i="6"/>
  <c r="N57" i="6"/>
  <c r="AP56" i="6" s="1"/>
  <c r="O57" i="6"/>
  <c r="AQ56" i="6" s="1"/>
  <c r="P57" i="6"/>
  <c r="AR56" i="6" s="1"/>
  <c r="Q57" i="6"/>
  <c r="R57" i="6"/>
  <c r="AT56" i="6" s="1"/>
  <c r="S57" i="6"/>
  <c r="AU56" i="6" s="1"/>
  <c r="T57" i="6"/>
  <c r="AV56" i="6" s="1"/>
  <c r="U57" i="6"/>
  <c r="V57" i="6"/>
  <c r="AX56" i="6" s="1"/>
  <c r="W57" i="6"/>
  <c r="AY56" i="6" s="1"/>
  <c r="X57" i="6"/>
  <c r="AZ56" i="6" s="1"/>
  <c r="Y57" i="6"/>
  <c r="Z57" i="6"/>
  <c r="BB56" i="6" s="1"/>
  <c r="AA57" i="6"/>
  <c r="BC56" i="6" s="1"/>
  <c r="AB57" i="6"/>
  <c r="BD56" i="6" s="1"/>
  <c r="C57" i="6"/>
  <c r="AB55" i="6"/>
  <c r="BD52" i="6" s="1"/>
  <c r="AA55" i="6"/>
  <c r="BC52" i="6" s="1"/>
  <c r="Z55" i="6"/>
  <c r="Y55" i="6"/>
  <c r="BA52" i="6" s="1"/>
  <c r="X55" i="6"/>
  <c r="AZ52" i="6" s="1"/>
  <c r="W55" i="6"/>
  <c r="AY52" i="6" s="1"/>
  <c r="V55" i="6"/>
  <c r="U55" i="6"/>
  <c r="AW52" i="6" s="1"/>
  <c r="T55" i="6"/>
  <c r="AV52" i="6" s="1"/>
  <c r="S55" i="6"/>
  <c r="AU52" i="6" s="1"/>
  <c r="R55" i="6"/>
  <c r="Q55" i="6"/>
  <c r="AS52" i="6" s="1"/>
  <c r="P55" i="6"/>
  <c r="AR52" i="6" s="1"/>
  <c r="O55" i="6"/>
  <c r="AQ52" i="6" s="1"/>
  <c r="N55" i="6"/>
  <c r="M55" i="6"/>
  <c r="AO52" i="6" s="1"/>
  <c r="L55" i="6"/>
  <c r="AN52" i="6" s="1"/>
  <c r="K55" i="6"/>
  <c r="AM52" i="6" s="1"/>
  <c r="J55" i="6"/>
  <c r="I55" i="6"/>
  <c r="AK52" i="6" s="1"/>
  <c r="H55" i="6"/>
  <c r="AJ52" i="6" s="1"/>
  <c r="G55" i="6"/>
  <c r="AI52" i="6" s="1"/>
  <c r="F55" i="6"/>
  <c r="E55" i="6"/>
  <c r="AG52" i="6" s="1"/>
  <c r="D55" i="6"/>
  <c r="AF52" i="6" s="1"/>
  <c r="C55" i="6"/>
  <c r="AE52" i="6" s="1"/>
  <c r="AB51" i="6"/>
  <c r="BD47" i="6" s="1"/>
  <c r="AA51" i="6"/>
  <c r="Z51" i="6"/>
  <c r="BB47" i="6" s="1"/>
  <c r="Y51" i="6"/>
  <c r="BA47" i="6" s="1"/>
  <c r="X51" i="6"/>
  <c r="AZ47" i="6" s="1"/>
  <c r="W51" i="6"/>
  <c r="V51" i="6"/>
  <c r="AX47" i="6" s="1"/>
  <c r="U51" i="6"/>
  <c r="AW47" i="6" s="1"/>
  <c r="T51" i="6"/>
  <c r="AV47" i="6" s="1"/>
  <c r="S51" i="6"/>
  <c r="R51" i="6"/>
  <c r="AT47" i="6" s="1"/>
  <c r="Q51" i="6"/>
  <c r="AS47" i="6" s="1"/>
  <c r="P51" i="6"/>
  <c r="AR47" i="6" s="1"/>
  <c r="O51" i="6"/>
  <c r="N51" i="6"/>
  <c r="AP47" i="6" s="1"/>
  <c r="M51" i="6"/>
  <c r="AO47" i="6" s="1"/>
  <c r="L51" i="6"/>
  <c r="AN47" i="6" s="1"/>
  <c r="K51" i="6"/>
  <c r="J51" i="6"/>
  <c r="AL47" i="6" s="1"/>
  <c r="I51" i="6"/>
  <c r="AK47" i="6" s="1"/>
  <c r="H51" i="6"/>
  <c r="AJ47" i="6" s="1"/>
  <c r="G51" i="6"/>
  <c r="F51" i="6"/>
  <c r="AH47" i="6" s="1"/>
  <c r="E51" i="6"/>
  <c r="AG47" i="6" s="1"/>
  <c r="D51" i="6"/>
  <c r="AF47" i="6" s="1"/>
  <c r="C51" i="6"/>
  <c r="AE47" i="6" s="1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C47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C43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C38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B19" i="6"/>
  <c r="BD16" i="6" s="1"/>
  <c r="AA19" i="6"/>
  <c r="BC16" i="6" s="1"/>
  <c r="Z19" i="6"/>
  <c r="BB16" i="6" s="1"/>
  <c r="Y19" i="6"/>
  <c r="BA16" i="6" s="1"/>
  <c r="X19" i="6"/>
  <c r="AZ16" i="6" s="1"/>
  <c r="W19" i="6"/>
  <c r="AY16" i="6" s="1"/>
  <c r="V19" i="6"/>
  <c r="AX16" i="6" s="1"/>
  <c r="U19" i="6"/>
  <c r="AW16" i="6" s="1"/>
  <c r="T19" i="6"/>
  <c r="AV16" i="6" s="1"/>
  <c r="S19" i="6"/>
  <c r="AU16" i="6" s="1"/>
  <c r="R19" i="6"/>
  <c r="AT16" i="6" s="1"/>
  <c r="Q19" i="6"/>
  <c r="AS16" i="6" s="1"/>
  <c r="P19" i="6"/>
  <c r="AR16" i="6" s="1"/>
  <c r="O19" i="6"/>
  <c r="AQ16" i="6" s="1"/>
  <c r="N19" i="6"/>
  <c r="AP16" i="6" s="1"/>
  <c r="M19" i="6"/>
  <c r="AO16" i="6" s="1"/>
  <c r="L19" i="6"/>
  <c r="AN16" i="6" s="1"/>
  <c r="K19" i="6"/>
  <c r="AM16" i="6" s="1"/>
  <c r="J19" i="6"/>
  <c r="AL16" i="6" s="1"/>
  <c r="I19" i="6"/>
  <c r="AK16" i="6" s="1"/>
  <c r="H19" i="6"/>
  <c r="AJ16" i="6" s="1"/>
  <c r="G19" i="6"/>
  <c r="AI16" i="6" s="1"/>
  <c r="F19" i="6"/>
  <c r="AH16" i="6" s="1"/>
  <c r="E19" i="6"/>
  <c r="AG16" i="6" s="1"/>
  <c r="D19" i="6"/>
  <c r="AF16" i="6" s="1"/>
  <c r="C19" i="6"/>
  <c r="AE16" i="6" s="1"/>
  <c r="AB15" i="6"/>
  <c r="BD11" i="6" s="1"/>
  <c r="AA15" i="6"/>
  <c r="BC11" i="6" s="1"/>
  <c r="Z15" i="6"/>
  <c r="Y15" i="6"/>
  <c r="BA11" i="6" s="1"/>
  <c r="X15" i="6"/>
  <c r="AZ11" i="6" s="1"/>
  <c r="W15" i="6"/>
  <c r="AY11" i="6" s="1"/>
  <c r="V15" i="6"/>
  <c r="U15" i="6"/>
  <c r="AW11" i="6" s="1"/>
  <c r="T15" i="6"/>
  <c r="AV11" i="6" s="1"/>
  <c r="S15" i="6"/>
  <c r="AU11" i="6" s="1"/>
  <c r="R15" i="6"/>
  <c r="Q15" i="6"/>
  <c r="AS11" i="6" s="1"/>
  <c r="P15" i="6"/>
  <c r="AR11" i="6" s="1"/>
  <c r="O15" i="6"/>
  <c r="AQ11" i="6" s="1"/>
  <c r="N15" i="6"/>
  <c r="M15" i="6"/>
  <c r="AO11" i="6" s="1"/>
  <c r="L15" i="6"/>
  <c r="AN11" i="6" s="1"/>
  <c r="K15" i="6"/>
  <c r="AM11" i="6" s="1"/>
  <c r="J15" i="6"/>
  <c r="I15" i="6"/>
  <c r="AK11" i="6" s="1"/>
  <c r="H15" i="6"/>
  <c r="AJ11" i="6" s="1"/>
  <c r="G15" i="6"/>
  <c r="AI11" i="6" s="1"/>
  <c r="F15" i="6"/>
  <c r="E15" i="6"/>
  <c r="AG11" i="6" s="1"/>
  <c r="D15" i="6"/>
  <c r="AF11" i="6" s="1"/>
  <c r="C15" i="6"/>
  <c r="AE11" i="6" s="1"/>
  <c r="AB10" i="6"/>
  <c r="BD5" i="6" s="1"/>
  <c r="AA10" i="6"/>
  <c r="Z10" i="6"/>
  <c r="BB5" i="6" s="1"/>
  <c r="Y10" i="6"/>
  <c r="BA5" i="6" s="1"/>
  <c r="X10" i="6"/>
  <c r="AZ5" i="6" s="1"/>
  <c r="W10" i="6"/>
  <c r="V10" i="6"/>
  <c r="AX5" i="6" s="1"/>
  <c r="U10" i="6"/>
  <c r="AW5" i="6" s="1"/>
  <c r="T10" i="6"/>
  <c r="AV5" i="6" s="1"/>
  <c r="S10" i="6"/>
  <c r="R10" i="6"/>
  <c r="AT5" i="6" s="1"/>
  <c r="Q10" i="6"/>
  <c r="AS5" i="6" s="1"/>
  <c r="P10" i="6"/>
  <c r="AR5" i="6" s="1"/>
  <c r="O10" i="6"/>
  <c r="N10" i="6"/>
  <c r="AP5" i="6" s="1"/>
  <c r="M10" i="6"/>
  <c r="AO5" i="6" s="1"/>
  <c r="L10" i="6"/>
  <c r="AN5" i="6" s="1"/>
  <c r="K10" i="6"/>
  <c r="J10" i="6"/>
  <c r="AL5" i="6" s="1"/>
  <c r="I10" i="6"/>
  <c r="AK5" i="6" s="1"/>
  <c r="H10" i="6"/>
  <c r="AJ5" i="6" s="1"/>
  <c r="G10" i="6"/>
  <c r="F10" i="6"/>
  <c r="AH5" i="6" s="1"/>
  <c r="E10" i="6"/>
  <c r="AG5" i="6" s="1"/>
  <c r="D10" i="6"/>
  <c r="AF5" i="6" s="1"/>
  <c r="C10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C5" i="6"/>
  <c r="C5" i="4"/>
  <c r="C6" i="4"/>
  <c r="C7" i="4"/>
  <c r="C8" i="4"/>
  <c r="C9" i="4"/>
  <c r="C4" i="4"/>
  <c r="D9" i="4"/>
  <c r="E79" i="2" l="1"/>
  <c r="R73" i="2"/>
  <c r="U79" i="2"/>
  <c r="N84" i="2"/>
  <c r="V84" i="2"/>
  <c r="V73" i="2"/>
  <c r="J84" i="2"/>
  <c r="Q61" i="2"/>
  <c r="Q85" i="2" s="1"/>
  <c r="Q62" i="2"/>
  <c r="Q86" i="2" s="1"/>
  <c r="Q63" i="2"/>
  <c r="Q87" i="2" s="1"/>
  <c r="K58" i="2"/>
  <c r="K82" i="2" s="1"/>
  <c r="K59" i="2"/>
  <c r="K83" i="2" s="1"/>
  <c r="K57" i="2"/>
  <c r="K81" i="2" s="1"/>
  <c r="K56" i="2"/>
  <c r="K80" i="2" s="1"/>
  <c r="K52" i="2"/>
  <c r="K76" i="2" s="1"/>
  <c r="K53" i="2"/>
  <c r="K77" i="2" s="1"/>
  <c r="K51" i="2"/>
  <c r="K75" i="2" s="1"/>
  <c r="K50" i="2"/>
  <c r="K74" i="2" s="1"/>
  <c r="K54" i="2"/>
  <c r="K78" i="2" s="1"/>
  <c r="AA52" i="2"/>
  <c r="AA76" i="2" s="1"/>
  <c r="AA51" i="2"/>
  <c r="AA75" i="2" s="1"/>
  <c r="AA53" i="2"/>
  <c r="AA77" i="2" s="1"/>
  <c r="AA50" i="2"/>
  <c r="AA74" i="2" s="1"/>
  <c r="AA54" i="2"/>
  <c r="AA78" i="2" s="1"/>
  <c r="G61" i="2"/>
  <c r="G85" i="2" s="1"/>
  <c r="G62" i="2"/>
  <c r="G86" i="2" s="1"/>
  <c r="G63" i="2"/>
  <c r="G87" i="2" s="1"/>
  <c r="N59" i="2"/>
  <c r="N83" i="2" s="1"/>
  <c r="N56" i="2"/>
  <c r="N80" i="2" s="1"/>
  <c r="N58" i="2"/>
  <c r="N82" i="2" s="1"/>
  <c r="N57" i="2"/>
  <c r="N81" i="2" s="1"/>
  <c r="K61" i="2"/>
  <c r="K85" i="2" s="1"/>
  <c r="K62" i="2"/>
  <c r="K86" i="2" s="1"/>
  <c r="K63" i="2"/>
  <c r="K87" i="2" s="1"/>
  <c r="Y73" i="2"/>
  <c r="X57" i="2"/>
  <c r="X81" i="2" s="1"/>
  <c r="X56" i="2"/>
  <c r="X80" i="2" s="1"/>
  <c r="X58" i="2"/>
  <c r="X82" i="2" s="1"/>
  <c r="X59" i="2"/>
  <c r="X83" i="2" s="1"/>
  <c r="H62" i="2"/>
  <c r="H86" i="2" s="1"/>
  <c r="H63" i="2"/>
  <c r="H87" i="2" s="1"/>
  <c r="H61" i="2"/>
  <c r="H85" i="2" s="1"/>
  <c r="C73" i="2"/>
  <c r="M61" i="2"/>
  <c r="M85" i="2" s="1"/>
  <c r="M62" i="2"/>
  <c r="M86" i="2" s="1"/>
  <c r="M63" i="2"/>
  <c r="M87" i="2" s="1"/>
  <c r="W58" i="2"/>
  <c r="W82" i="2" s="1"/>
  <c r="W59" i="2"/>
  <c r="W83" i="2" s="1"/>
  <c r="W57" i="2"/>
  <c r="W81" i="2" s="1"/>
  <c r="W56" i="2"/>
  <c r="W80" i="2" s="1"/>
  <c r="G58" i="2"/>
  <c r="G82" i="2" s="1"/>
  <c r="G57" i="2"/>
  <c r="G81" i="2" s="1"/>
  <c r="G59" i="2"/>
  <c r="G83" i="2" s="1"/>
  <c r="G56" i="2"/>
  <c r="G80" i="2" s="1"/>
  <c r="O52" i="2"/>
  <c r="O76" i="2" s="1"/>
  <c r="O51" i="2"/>
  <c r="O75" i="2" s="1"/>
  <c r="O53" i="2"/>
  <c r="O77" i="2" s="1"/>
  <c r="O50" i="2"/>
  <c r="O74" i="2" s="1"/>
  <c r="O54" i="2"/>
  <c r="O78" i="2" s="1"/>
  <c r="AA61" i="2"/>
  <c r="AA85" i="2" s="1"/>
  <c r="AA62" i="2"/>
  <c r="AA86" i="2" s="1"/>
  <c r="AA63" i="2"/>
  <c r="AA87" i="2" s="1"/>
  <c r="Z59" i="2"/>
  <c r="Z83" i="2" s="1"/>
  <c r="Z56" i="2"/>
  <c r="Z80" i="2" s="1"/>
  <c r="Z58" i="2"/>
  <c r="Z82" i="2" s="1"/>
  <c r="Z57" i="2"/>
  <c r="Z81" i="2" s="1"/>
  <c r="J59" i="2"/>
  <c r="J83" i="2" s="1"/>
  <c r="J58" i="2"/>
  <c r="J82" i="2" s="1"/>
  <c r="J56" i="2"/>
  <c r="J80" i="2" s="1"/>
  <c r="J57" i="2"/>
  <c r="J81" i="2" s="1"/>
  <c r="Z84" i="2"/>
  <c r="Q73" i="2"/>
  <c r="T57" i="2"/>
  <c r="T81" i="2" s="1"/>
  <c r="T58" i="2"/>
  <c r="T82" i="2" s="1"/>
  <c r="T56" i="2"/>
  <c r="T80" i="2" s="1"/>
  <c r="T59" i="2"/>
  <c r="T83" i="2" s="1"/>
  <c r="J73" i="2"/>
  <c r="L57" i="2"/>
  <c r="L81" i="2" s="1"/>
  <c r="L58" i="2"/>
  <c r="L82" i="2" s="1"/>
  <c r="L56" i="2"/>
  <c r="L80" i="2" s="1"/>
  <c r="L59" i="2"/>
  <c r="L83" i="2" s="1"/>
  <c r="AB79" i="2"/>
  <c r="Y61" i="2"/>
  <c r="Y85" i="2" s="1"/>
  <c r="Y62" i="2"/>
  <c r="Y86" i="2" s="1"/>
  <c r="Y63" i="2"/>
  <c r="Y87" i="2" s="1"/>
  <c r="I61" i="2"/>
  <c r="I85" i="2" s="1"/>
  <c r="I62" i="2"/>
  <c r="I86" i="2" s="1"/>
  <c r="I63" i="2"/>
  <c r="I87" i="2" s="1"/>
  <c r="S58" i="2"/>
  <c r="S82" i="2" s="1"/>
  <c r="S57" i="2"/>
  <c r="S81" i="2" s="1"/>
  <c r="S59" i="2"/>
  <c r="S83" i="2" s="1"/>
  <c r="S56" i="2"/>
  <c r="S80" i="2" s="1"/>
  <c r="C58" i="2"/>
  <c r="C82" i="2" s="1"/>
  <c r="C57" i="2"/>
  <c r="C81" i="2" s="1"/>
  <c r="C59" i="2"/>
  <c r="C83" i="2" s="1"/>
  <c r="C56" i="2"/>
  <c r="C80" i="2" s="1"/>
  <c r="S52" i="2"/>
  <c r="S76" i="2" s="1"/>
  <c r="S51" i="2"/>
  <c r="S75" i="2" s="1"/>
  <c r="S53" i="2"/>
  <c r="S77" i="2" s="1"/>
  <c r="S50" i="2"/>
  <c r="S74" i="2" s="1"/>
  <c r="S54" i="2"/>
  <c r="S78" i="2" s="1"/>
  <c r="S61" i="2"/>
  <c r="S85" i="2" s="1"/>
  <c r="S62" i="2"/>
  <c r="S86" i="2" s="1"/>
  <c r="S63" i="2"/>
  <c r="S87" i="2" s="1"/>
  <c r="V59" i="2"/>
  <c r="V83" i="2" s="1"/>
  <c r="V58" i="2"/>
  <c r="V82" i="2" s="1"/>
  <c r="V56" i="2"/>
  <c r="V80" i="2" s="1"/>
  <c r="V57" i="2"/>
  <c r="V81" i="2" s="1"/>
  <c r="F59" i="2"/>
  <c r="F83" i="2" s="1"/>
  <c r="F56" i="2"/>
  <c r="F80" i="2" s="1"/>
  <c r="F58" i="2"/>
  <c r="F82" i="2" s="1"/>
  <c r="F57" i="2"/>
  <c r="F81" i="2" s="1"/>
  <c r="N73" i="2"/>
  <c r="I73" i="2"/>
  <c r="D57" i="2"/>
  <c r="D81" i="2" s="1"/>
  <c r="D56" i="2"/>
  <c r="D80" i="2" s="1"/>
  <c r="D58" i="2"/>
  <c r="D82" i="2" s="1"/>
  <c r="D59" i="2"/>
  <c r="D83" i="2" s="1"/>
  <c r="L51" i="2"/>
  <c r="L75" i="2" s="1"/>
  <c r="L50" i="2"/>
  <c r="L74" i="2" s="1"/>
  <c r="L54" i="2"/>
  <c r="L78" i="2" s="1"/>
  <c r="L52" i="2"/>
  <c r="L76" i="2" s="1"/>
  <c r="L53" i="2"/>
  <c r="L77" i="2" s="1"/>
  <c r="T63" i="2"/>
  <c r="T87" i="2" s="1"/>
  <c r="T61" i="2"/>
  <c r="T85" i="2" s="1"/>
  <c r="T62" i="2"/>
  <c r="T86" i="2" s="1"/>
  <c r="H57" i="2"/>
  <c r="H81" i="2" s="1"/>
  <c r="H58" i="2"/>
  <c r="H82" i="2" s="1"/>
  <c r="H56" i="2"/>
  <c r="H80" i="2" s="1"/>
  <c r="H59" i="2"/>
  <c r="H83" i="2" s="1"/>
  <c r="Z73" i="2"/>
  <c r="U73" i="2"/>
  <c r="P51" i="2"/>
  <c r="P75" i="2" s="1"/>
  <c r="P50" i="2"/>
  <c r="P74" i="2" s="1"/>
  <c r="P52" i="2"/>
  <c r="P76" i="2" s="1"/>
  <c r="P54" i="2"/>
  <c r="P78" i="2" s="1"/>
  <c r="P53" i="2"/>
  <c r="P77" i="2" s="1"/>
  <c r="X62" i="2"/>
  <c r="X86" i="2" s="1"/>
  <c r="X63" i="2"/>
  <c r="X87" i="2" s="1"/>
  <c r="X61" i="2"/>
  <c r="X85" i="2" s="1"/>
  <c r="AA58" i="2"/>
  <c r="AA82" i="2" s="1"/>
  <c r="AA57" i="2"/>
  <c r="AA81" i="2" s="1"/>
  <c r="AA59" i="2"/>
  <c r="AA83" i="2" s="1"/>
  <c r="AA56" i="2"/>
  <c r="AA80" i="2" s="1"/>
  <c r="D62" i="2"/>
  <c r="D86" i="2" s="1"/>
  <c r="D63" i="2"/>
  <c r="D87" i="2" s="1"/>
  <c r="D61" i="2"/>
  <c r="D85" i="2" s="1"/>
  <c r="AB51" i="2"/>
  <c r="AB75" i="2" s="1"/>
  <c r="AB50" i="2"/>
  <c r="AB74" i="2" s="1"/>
  <c r="AB52" i="2"/>
  <c r="AB76" i="2" s="1"/>
  <c r="AB53" i="2"/>
  <c r="AB77" i="2" s="1"/>
  <c r="AB54" i="2"/>
  <c r="AB78" i="2" s="1"/>
  <c r="E73" i="2"/>
  <c r="C84" i="2"/>
  <c r="T51" i="2"/>
  <c r="T75" i="2" s="1"/>
  <c r="T50" i="2"/>
  <c r="T74" i="2" s="1"/>
  <c r="T52" i="2"/>
  <c r="T76" i="2" s="1"/>
  <c r="T53" i="2"/>
  <c r="T77" i="2" s="1"/>
  <c r="T54" i="2"/>
  <c r="T78" i="2" s="1"/>
  <c r="AB63" i="2"/>
  <c r="AB87" i="2" s="1"/>
  <c r="AB61" i="2"/>
  <c r="AB85" i="2" s="1"/>
  <c r="AB62" i="2"/>
  <c r="AB86" i="2" s="1"/>
  <c r="P57" i="2"/>
  <c r="P81" i="2" s="1"/>
  <c r="P56" i="2"/>
  <c r="P80" i="2" s="1"/>
  <c r="P58" i="2"/>
  <c r="P82" i="2" s="1"/>
  <c r="P59" i="2"/>
  <c r="P83" i="2" s="1"/>
  <c r="X51" i="2"/>
  <c r="X75" i="2" s="1"/>
  <c r="X52" i="2"/>
  <c r="X76" i="2" s="1"/>
  <c r="X50" i="2"/>
  <c r="X74" i="2" s="1"/>
  <c r="X54" i="2"/>
  <c r="X78" i="2" s="1"/>
  <c r="X53" i="2"/>
  <c r="X77" i="2" s="1"/>
  <c r="U61" i="2"/>
  <c r="U85" i="2" s="1"/>
  <c r="U62" i="2"/>
  <c r="U86" i="2" s="1"/>
  <c r="U63" i="2"/>
  <c r="U87" i="2" s="1"/>
  <c r="E61" i="2"/>
  <c r="E85" i="2" s="1"/>
  <c r="E62" i="2"/>
  <c r="E86" i="2" s="1"/>
  <c r="E63" i="2"/>
  <c r="E87" i="2" s="1"/>
  <c r="O58" i="2"/>
  <c r="O82" i="2" s="1"/>
  <c r="O57" i="2"/>
  <c r="O81" i="2" s="1"/>
  <c r="O59" i="2"/>
  <c r="O83" i="2" s="1"/>
  <c r="O56" i="2"/>
  <c r="O80" i="2" s="1"/>
  <c r="G52" i="2"/>
  <c r="G76" i="2" s="1"/>
  <c r="G51" i="2"/>
  <c r="G75" i="2" s="1"/>
  <c r="G53" i="2"/>
  <c r="G77" i="2" s="1"/>
  <c r="G50" i="2"/>
  <c r="G74" i="2" s="1"/>
  <c r="G54" i="2"/>
  <c r="G78" i="2" s="1"/>
  <c r="W52" i="2"/>
  <c r="W76" i="2" s="1"/>
  <c r="W53" i="2"/>
  <c r="W77" i="2" s="1"/>
  <c r="W51" i="2"/>
  <c r="W75" i="2" s="1"/>
  <c r="W50" i="2"/>
  <c r="W74" i="2" s="1"/>
  <c r="W54" i="2"/>
  <c r="W78" i="2" s="1"/>
  <c r="O61" i="2"/>
  <c r="O85" i="2" s="1"/>
  <c r="O62" i="2"/>
  <c r="O86" i="2" s="1"/>
  <c r="O63" i="2"/>
  <c r="O87" i="2" s="1"/>
  <c r="R59" i="2"/>
  <c r="R83" i="2" s="1"/>
  <c r="R58" i="2"/>
  <c r="R82" i="2" s="1"/>
  <c r="R56" i="2"/>
  <c r="R80" i="2" s="1"/>
  <c r="R57" i="2"/>
  <c r="R81" i="2" s="1"/>
  <c r="W61" i="2"/>
  <c r="W85" i="2" s="1"/>
  <c r="W62" i="2"/>
  <c r="W86" i="2" s="1"/>
  <c r="W63" i="2"/>
  <c r="W87" i="2" s="1"/>
  <c r="F73" i="2"/>
  <c r="D51" i="2"/>
  <c r="D75" i="2" s="1"/>
  <c r="D50" i="2"/>
  <c r="D74" i="2" s="1"/>
  <c r="D54" i="2"/>
  <c r="D78" i="2" s="1"/>
  <c r="D52" i="2"/>
  <c r="D76" i="2" s="1"/>
  <c r="D53" i="2"/>
  <c r="D77" i="2" s="1"/>
  <c r="L62" i="2"/>
  <c r="L86" i="2" s="1"/>
  <c r="L61" i="2"/>
  <c r="L85" i="2" s="1"/>
  <c r="L63" i="2"/>
  <c r="L87" i="2" s="1"/>
  <c r="F84" i="2"/>
  <c r="R84" i="2"/>
  <c r="M73" i="2"/>
  <c r="H51" i="2"/>
  <c r="H75" i="2" s="1"/>
  <c r="H52" i="2"/>
  <c r="H76" i="2" s="1"/>
  <c r="H50" i="2"/>
  <c r="H74" i="2" s="1"/>
  <c r="H54" i="2"/>
  <c r="H78" i="2" s="1"/>
  <c r="H53" i="2"/>
  <c r="H77" i="2" s="1"/>
  <c r="P61" i="2"/>
  <c r="P85" i="2" s="1"/>
  <c r="P62" i="2"/>
  <c r="P86" i="2" s="1"/>
  <c r="P63" i="2"/>
  <c r="P87" i="2" s="1"/>
  <c r="AG93" i="6"/>
  <c r="BB93" i="6"/>
  <c r="AX93" i="6"/>
  <c r="AT93" i="6"/>
  <c r="AP93" i="6"/>
  <c r="AL93" i="6"/>
  <c r="AH93" i="6"/>
  <c r="AN93" i="6"/>
  <c r="AJ93" i="6"/>
  <c r="M115" i="6"/>
  <c r="AO93" i="6" s="1"/>
  <c r="U115" i="6"/>
  <c r="AW93" i="6" s="1"/>
  <c r="AE63" i="6"/>
  <c r="G115" i="6"/>
  <c r="AI93" i="6" s="1"/>
  <c r="O115" i="6"/>
  <c r="AQ93" i="6" s="1"/>
  <c r="S115" i="6"/>
  <c r="AU93" i="6" s="1"/>
  <c r="W115" i="6"/>
  <c r="AY93" i="6" s="1"/>
  <c r="I115" i="6"/>
  <c r="AK93" i="6" s="1"/>
  <c r="Q115" i="6"/>
  <c r="AS93" i="6" s="1"/>
  <c r="Y115" i="6"/>
  <c r="BA93" i="6" s="1"/>
  <c r="D115" i="6"/>
  <c r="AF93" i="6" s="1"/>
  <c r="P115" i="6"/>
  <c r="AR93" i="6" s="1"/>
  <c r="T115" i="6"/>
  <c r="AV93" i="6" s="1"/>
  <c r="X115" i="6"/>
  <c r="AZ93" i="6" s="1"/>
  <c r="C115" i="6"/>
  <c r="AE93" i="6" s="1"/>
  <c r="K115" i="6"/>
  <c r="AM93" i="6" s="1"/>
  <c r="AA115" i="6"/>
  <c r="BC93" i="6" s="1"/>
  <c r="AB115" i="6"/>
  <c r="BD93" i="6" s="1"/>
  <c r="BB63" i="6"/>
  <c r="AX63" i="6"/>
  <c r="AT63" i="6"/>
  <c r="AP63" i="6"/>
  <c r="AL63" i="6"/>
  <c r="AH63" i="6"/>
  <c r="BA63" i="6"/>
  <c r="AW63" i="6"/>
  <c r="AS63" i="6"/>
  <c r="AO63" i="6"/>
  <c r="AK63" i="6"/>
  <c r="AG63" i="6"/>
  <c r="BD63" i="6"/>
  <c r="AZ63" i="6"/>
  <c r="AV63" i="6"/>
  <c r="AR63" i="6"/>
  <c r="AN63" i="6"/>
  <c r="AJ63" i="6"/>
  <c r="AF63" i="6"/>
  <c r="AE4" i="6"/>
  <c r="BC4" i="6"/>
  <c r="AY4" i="6"/>
  <c r="AU4" i="6"/>
  <c r="AQ4" i="6"/>
  <c r="AI4" i="6"/>
  <c r="AM4" i="6"/>
  <c r="BA4" i="6"/>
  <c r="AW4" i="6"/>
  <c r="AS4" i="6"/>
  <c r="AO4" i="6"/>
  <c r="AK4" i="6"/>
  <c r="AG4" i="6"/>
  <c r="BD4" i="6"/>
  <c r="AZ4" i="6"/>
  <c r="AV4" i="6"/>
  <c r="AR4" i="6"/>
  <c r="AN4" i="6"/>
  <c r="AJ4" i="6"/>
  <c r="AF4" i="6"/>
  <c r="BB4" i="6"/>
  <c r="AX4" i="6"/>
  <c r="AT4" i="6"/>
  <c r="AP4" i="6"/>
  <c r="AL4" i="6"/>
  <c r="AH4" i="6"/>
  <c r="D10" i="4"/>
  <c r="G73" i="2" l="1"/>
  <c r="AB84" i="2"/>
  <c r="AB73" i="2"/>
  <c r="T84" i="2"/>
  <c r="J79" i="2"/>
  <c r="J70" i="2" s="1"/>
  <c r="J2" i="2" s="1"/>
  <c r="L84" i="2"/>
  <c r="R79" i="2"/>
  <c r="R70" i="2" s="1"/>
  <c r="R2" i="2" s="1"/>
  <c r="O79" i="2"/>
  <c r="X73" i="2"/>
  <c r="H79" i="2"/>
  <c r="X84" i="2"/>
  <c r="AA73" i="2"/>
  <c r="D73" i="2"/>
  <c r="P79" i="2"/>
  <c r="T73" i="2"/>
  <c r="AA79" i="2"/>
  <c r="L73" i="2"/>
  <c r="S73" i="2"/>
  <c r="S79" i="2"/>
  <c r="L79" i="2"/>
  <c r="AA84" i="2"/>
  <c r="M84" i="2"/>
  <c r="M70" i="2" s="1"/>
  <c r="M2" i="2" s="1"/>
  <c r="X79" i="2"/>
  <c r="K79" i="2"/>
  <c r="P84" i="2"/>
  <c r="E84" i="2"/>
  <c r="E70" i="2" s="1"/>
  <c r="E2" i="2" s="1"/>
  <c r="D84" i="2"/>
  <c r="V79" i="2"/>
  <c r="V70" i="2" s="1"/>
  <c r="V2" i="2" s="1"/>
  <c r="Y84" i="2"/>
  <c r="Y70" i="2" s="1"/>
  <c r="Y2" i="2" s="1"/>
  <c r="T79" i="2"/>
  <c r="N79" i="2"/>
  <c r="N70" i="2" s="1"/>
  <c r="N2" i="2" s="1"/>
  <c r="G84" i="2"/>
  <c r="H73" i="2"/>
  <c r="O84" i="2"/>
  <c r="U84" i="2"/>
  <c r="U70" i="2" s="1"/>
  <c r="U2" i="2" s="1"/>
  <c r="D79" i="2"/>
  <c r="C79" i="2"/>
  <c r="C70" i="2" s="1"/>
  <c r="C2" i="2" s="1"/>
  <c r="Z79" i="2"/>
  <c r="Z70" i="2" s="1"/>
  <c r="Z2" i="2" s="1"/>
  <c r="K73" i="2"/>
  <c r="W84" i="2"/>
  <c r="W73" i="2"/>
  <c r="P73" i="2"/>
  <c r="F79" i="2"/>
  <c r="F70" i="2" s="1"/>
  <c r="F2" i="2" s="1"/>
  <c r="S84" i="2"/>
  <c r="I84" i="2"/>
  <c r="I70" i="2" s="1"/>
  <c r="I2" i="2" s="1"/>
  <c r="O73" i="2"/>
  <c r="G79" i="2"/>
  <c r="W79" i="2"/>
  <c r="H84" i="2"/>
  <c r="K84" i="2"/>
  <c r="Q84" i="2"/>
  <c r="Q70" i="2" s="1"/>
  <c r="Q2" i="2" s="1"/>
  <c r="L70" i="2" l="1"/>
  <c r="L2" i="2" s="1"/>
  <c r="AB70" i="2"/>
  <c r="AB2" i="2" s="1"/>
  <c r="H70" i="2"/>
  <c r="H2" i="2" s="1"/>
  <c r="X70" i="2"/>
  <c r="X2" i="2" s="1"/>
  <c r="AA70" i="2"/>
  <c r="AA2" i="2" s="1"/>
  <c r="G70" i="2"/>
  <c r="G2" i="2" s="1"/>
  <c r="P70" i="2"/>
  <c r="P2" i="2" s="1"/>
  <c r="D70" i="2"/>
  <c r="D2" i="2" s="1"/>
  <c r="O70" i="2"/>
  <c r="O2" i="2" s="1"/>
  <c r="K70" i="2"/>
  <c r="T70" i="2"/>
  <c r="T2" i="2" s="1"/>
  <c r="W70" i="2"/>
  <c r="W2" i="2" s="1"/>
  <c r="S70" i="2"/>
  <c r="S2" i="2" s="1"/>
  <c r="B70" i="2" l="1"/>
  <c r="B2" i="2" s="1"/>
  <c r="K2" i="2"/>
</calcChain>
</file>

<file path=xl/sharedStrings.xml><?xml version="1.0" encoding="utf-8"?>
<sst xmlns="http://schemas.openxmlformats.org/spreadsheetml/2006/main" count="3631" uniqueCount="166">
  <si>
    <t>Region</t>
  </si>
  <si>
    <t>Segment</t>
  </si>
  <si>
    <t>North America</t>
  </si>
  <si>
    <t>Canada</t>
  </si>
  <si>
    <t>Latin America</t>
  </si>
  <si>
    <t>Mexico</t>
  </si>
  <si>
    <t>Rest of Latin America</t>
  </si>
  <si>
    <t>France</t>
  </si>
  <si>
    <t>Italy</t>
  </si>
  <si>
    <t>China</t>
  </si>
  <si>
    <t>Japan</t>
  </si>
  <si>
    <t>India</t>
  </si>
  <si>
    <t>South Africa</t>
  </si>
  <si>
    <t>Market Share</t>
  </si>
  <si>
    <t>CAGR</t>
  </si>
  <si>
    <t>U.S.</t>
  </si>
  <si>
    <t>Russia</t>
  </si>
  <si>
    <t>Rest of Europe</t>
  </si>
  <si>
    <t>Europe</t>
  </si>
  <si>
    <t>Asia Pacific</t>
  </si>
  <si>
    <t>Argentina</t>
  </si>
  <si>
    <t>CMI_Trend_25</t>
  </si>
  <si>
    <t>CMI_Trend_38</t>
  </si>
  <si>
    <t>South Korea</t>
  </si>
  <si>
    <t>ASEAN</t>
  </si>
  <si>
    <t>Global</t>
  </si>
  <si>
    <t>24 Y-o-Y</t>
  </si>
  <si>
    <t>Brazil</t>
  </si>
  <si>
    <t>CMI_Trend_46</t>
  </si>
  <si>
    <t>Spain</t>
  </si>
  <si>
    <t>GCC</t>
  </si>
  <si>
    <t>U.K.</t>
  </si>
  <si>
    <t>Germany</t>
  </si>
  <si>
    <t>CMI_Trend_56</t>
  </si>
  <si>
    <t>Australia</t>
  </si>
  <si>
    <t>Rest of Asia Pacific</t>
  </si>
  <si>
    <t>USD Mn</t>
  </si>
  <si>
    <t>CMI_Trend_60</t>
  </si>
  <si>
    <t>CMI_Trend_20</t>
  </si>
  <si>
    <t>CMI_Trend_52</t>
  </si>
  <si>
    <t>Share</t>
  </si>
  <si>
    <t>Value</t>
  </si>
  <si>
    <t>Volume</t>
  </si>
  <si>
    <t>Regions</t>
  </si>
  <si>
    <t>By Application</t>
  </si>
  <si>
    <t>By End User</t>
  </si>
  <si>
    <t>Th Unit</t>
  </si>
  <si>
    <t>Middle East</t>
  </si>
  <si>
    <t>Africa</t>
  </si>
  <si>
    <t>Global High Energy Laser Market</t>
  </si>
  <si>
    <t>Israel</t>
  </si>
  <si>
    <t xml:space="preserve">Middle East </t>
  </si>
  <si>
    <t>North Africa</t>
  </si>
  <si>
    <t>Central Africa</t>
  </si>
  <si>
    <t>Rest of Middle East</t>
  </si>
  <si>
    <t>By Laser Type</t>
  </si>
  <si>
    <t>Solid-State Lasers</t>
  </si>
  <si>
    <t>Nd:YAG</t>
  </si>
  <si>
    <t>Yb:YAG</t>
  </si>
  <si>
    <t>Tm:YAG</t>
  </si>
  <si>
    <t>Er:YAG</t>
  </si>
  <si>
    <t>Others (Ce:YAG, Ho:YAG, etc.)</t>
  </si>
  <si>
    <t>Fiber Lasers</t>
  </si>
  <si>
    <t>Continuous Wave Fiber Lasers</t>
  </si>
  <si>
    <t>Pulsed Fiber Lasers</t>
  </si>
  <si>
    <t>Raman Fiber Lasers</t>
  </si>
  <si>
    <t>SBC Fiber Arrays</t>
  </si>
  <si>
    <t>Gas Lasers</t>
  </si>
  <si>
    <t>Excimer Lasers</t>
  </si>
  <si>
    <t>Semiconductor Lasers</t>
  </si>
  <si>
    <t>By Beam Architecture</t>
  </si>
  <si>
    <t>Rod Geometry</t>
  </si>
  <si>
    <t>Disk / Thin-Disk</t>
  </si>
  <si>
    <t>Slab</t>
  </si>
  <si>
    <t>Single-Mode</t>
  </si>
  <si>
    <t>Multi-Mode</t>
  </si>
  <si>
    <t>Beam Combined Arrays</t>
  </si>
  <si>
    <t>By Power Output</t>
  </si>
  <si>
    <t>Below 1 kW</t>
  </si>
  <si>
    <t>1 kW to 20 kW</t>
  </si>
  <si>
    <t>21 kW to 100 kW</t>
  </si>
  <si>
    <t>Above 100 kW</t>
  </si>
  <si>
    <t>By Mode of Operation</t>
  </si>
  <si>
    <t>Continuous Wave (CW)</t>
  </si>
  <si>
    <t>Pulsed</t>
  </si>
  <si>
    <t>Ultrashort Pulse</t>
  </si>
  <si>
    <t>By Mobility / Deployment Model</t>
  </si>
  <si>
    <t>Fixed / Stationary</t>
  </si>
  <si>
    <t>Mobile</t>
  </si>
  <si>
    <t>By Component</t>
  </si>
  <si>
    <t>Raw &amp; Active Materials</t>
  </si>
  <si>
    <t>YAG Crystals (Pure, Nd, Yb, Tm, Er)</t>
  </si>
  <si>
    <t>Specialty Laser Glasses</t>
  </si>
  <si>
    <t>Fiber Gain Media</t>
  </si>
  <si>
    <t>Other Laser Crystals</t>
  </si>
  <si>
    <t>Optical Materials &amp; Components</t>
  </si>
  <si>
    <t>Sapphire Crystals</t>
  </si>
  <si>
    <t>Infrared Windows &amp; Optical Substrates</t>
  </si>
  <si>
    <t>Large-Aperture Optics</t>
  </si>
  <si>
    <t>Pump Sources</t>
  </si>
  <si>
    <t>Laser Diodes &amp; Diode Arrays</t>
  </si>
  <si>
    <t>Pump Modules</t>
  </si>
  <si>
    <t>Beam Control &amp; Delivery Subsystems</t>
  </si>
  <si>
    <t>Thermal Management Subsystems</t>
  </si>
  <si>
    <t xml:space="preserve">Others (Power &amp; Electronics Subsystems, etc.) </t>
  </si>
  <si>
    <t>Defense &amp; Security</t>
  </si>
  <si>
    <t>Counter-UAS</t>
  </si>
  <si>
    <t>Counter-RAM</t>
  </si>
  <si>
    <t>Laser Guidance Systems</t>
  </si>
  <si>
    <t>Defensive Countermeasures &amp; DIRCM</t>
  </si>
  <si>
    <t>Industrial Manufacturing</t>
  </si>
  <si>
    <t>Cutting</t>
  </si>
  <si>
    <t>Welding</t>
  </si>
  <si>
    <t>Drilling</t>
  </si>
  <si>
    <t>Surface Treatment &amp; Hardening</t>
  </si>
  <si>
    <t>Laser Cladding / DED</t>
  </si>
  <si>
    <t>Marking &amp; Engraving</t>
  </si>
  <si>
    <t>Microprocessing &amp; Precision Machining</t>
  </si>
  <si>
    <t>Quality Control &amp; Inspection</t>
  </si>
  <si>
    <t>Medical</t>
  </si>
  <si>
    <t>Surgical Lasers</t>
  </si>
  <si>
    <t>Dental Surgery Lasers</t>
  </si>
  <si>
    <t>Aesthetic Treatment Lasers</t>
  </si>
  <si>
    <t>Diagnostic Imaging</t>
  </si>
  <si>
    <t>Sensing &amp; Navigation</t>
  </si>
  <si>
    <t>LiDAR &amp; 3D Scanning</t>
  </si>
  <si>
    <t>Doppler Vibrometry</t>
  </si>
  <si>
    <t>Ring Laser Gyroscopes</t>
  </si>
  <si>
    <t>Laser Altimeters</t>
  </si>
  <si>
    <t>Scientific &amp; Research</t>
  </si>
  <si>
    <t>Others (Telecom, FSO, etc.)</t>
  </si>
  <si>
    <t>Defense &amp; Government</t>
  </si>
  <si>
    <t>Armed Forces</t>
  </si>
  <si>
    <t>Homeland Security &amp; Border Defense</t>
  </si>
  <si>
    <t>Defense Labs &amp; R&amp;D</t>
  </si>
  <si>
    <t>Defense Contractors &amp; Integrators</t>
  </si>
  <si>
    <t>Automotive &amp; EV</t>
  </si>
  <si>
    <t>Heavy Equipment &amp; Metal Fabrication</t>
  </si>
  <si>
    <t>Electronics &amp; Semiconductor Manufacturing</t>
  </si>
  <si>
    <t>Hospitals &amp; Surgical Centers</t>
  </si>
  <si>
    <t>Specialty Clinics</t>
  </si>
  <si>
    <t>Medical Device Manufacturers</t>
  </si>
  <si>
    <t>Aerospace</t>
  </si>
  <si>
    <t>Commercial Aircraft</t>
  </si>
  <si>
    <t>Space Launch &amp; Satellite</t>
  </si>
  <si>
    <t>Propulsion &amp; Testing</t>
  </si>
  <si>
    <t>Energy</t>
  </si>
  <si>
    <t>Nuclear Fusion Programs</t>
  </si>
  <si>
    <t>Oil &amp; Gas Inspection &amp; Processing</t>
  </si>
  <si>
    <t>Research Institutions</t>
  </si>
  <si>
    <t>Others (Telecom &amp; Photonics, etc.)</t>
  </si>
  <si>
    <t>Chemical High-Energy Lasers</t>
  </si>
  <si>
    <t>Industrial Gas Lasers (CO₂ etc.)</t>
  </si>
  <si>
    <t>Market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</si>
  <si>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</si>
  <si>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</si>
  <si>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</si>
  <si>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</si>
  <si>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</si>
  <si>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</si>
  <si>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</si>
  <si>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</si>
  <si>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</si>
  <si>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Other Laser Types</t>
  </si>
  <si>
    <t>Other Sensing &amp; Navigations</t>
  </si>
  <si>
    <t>Other Defense &amp; Security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</si>
</sst>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0.0"/>
    <numFmt numFmtId="168" formatCode="_ * #,##0_ ;_ * \-#,##0_ ;_ * &quot;-&quot;??_ ;_ @_ "/>
    <numFmt numFmtId="169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 vertic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0" fontId="0" fillId="0" borderId="0" xfId="0" applyNumberFormat="1"/>
    <xf numFmtId="165" fontId="0" fillId="0" borderId="0" xfId="0" applyNumberFormat="1"/>
    <xf numFmtId="166" fontId="2" fillId="0" borderId="1" xfId="1" applyNumberFormat="1" applyFon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/>
    </xf>
    <xf numFmtId="168" fontId="0" fillId="0" borderId="0" xfId="0" applyNumberFormat="1"/>
    <xf numFmtId="168" fontId="0" fillId="0" borderId="0" xfId="1" applyNumberFormat="1" applyFont="1" applyBorder="1" applyAlignment="1">
      <alignment horizontal="center"/>
    </xf>
    <xf numFmtId="169" fontId="0" fillId="0" borderId="0" xfId="0" applyNumberFormat="1"/>
    <xf numFmtId="165" fontId="0" fillId="0" borderId="1" xfId="0" applyNumberFormat="1" applyBorder="1"/>
    <xf numFmtId="0" fontId="0" fillId="4" borderId="0" xfId="0" applyFill="1"/>
    <xf numFmtId="165" fontId="0" fillId="4" borderId="0" xfId="2" applyNumberFormat="1" applyFont="1" applyFill="1"/>
    <xf numFmtId="165" fontId="0" fillId="4" borderId="0" xfId="2" applyNumberFormat="1" applyFont="1" applyFill="1" applyAlignment="1">
      <alignment horizontal="center" vertical="center"/>
    </xf>
    <xf numFmtId="165" fontId="0" fillId="4" borderId="0" xfId="2" applyNumberFormat="1" applyFont="1" applyFill="1" applyAlignment="1">
      <alignment horizontal="center"/>
    </xf>
    <xf numFmtId="0" fontId="5" fillId="0" borderId="0" xfId="0" applyFont="1"/>
    <xf numFmtId="165" fontId="0" fillId="4" borderId="0" xfId="0" applyNumberFormat="1" applyFill="1"/>
    <xf numFmtId="3" fontId="0" fillId="0" borderId="0" xfId="0" applyNumberFormat="1"/>
    <xf numFmtId="0" fontId="6" fillId="4" borderId="0" xfId="0" applyFont="1" applyFill="1"/>
    <xf numFmtId="3" fontId="6" fillId="4" borderId="0" xfId="0" applyNumberFormat="1" applyFont="1" applyFill="1"/>
    <xf numFmtId="165" fontId="6" fillId="4" borderId="0" xfId="0" applyNumberFormat="1" applyFont="1" applyFill="1" applyAlignment="1">
      <alignment horizontal="center"/>
    </xf>
    <xf numFmtId="3" fontId="0" fillId="4" borderId="0" xfId="0" applyNumberFormat="1" applyFill="1"/>
    <xf numFmtId="165" fontId="0" fillId="4" borderId="0" xfId="0" applyNumberFormat="1" applyFill="1" applyAlignment="1">
      <alignment horizontal="center"/>
    </xf>
    <xf numFmtId="165" fontId="2" fillId="0" borderId="1" xfId="2" applyNumberFormat="1" applyFont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2" fontId="0" fillId="0" borderId="0" xfId="0" applyNumberFormat="1"/>
    <xf numFmtId="1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5" borderId="0" xfId="0" applyFill="1" applyAlignment="1">
      <alignment horizontal="left" inden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878F-433C-4FD6-9A1F-0DD87911C80D}">
  <dimension ref="A1:CF151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4.5" x14ac:dyDescent="0.35"/>
  <cols>
    <col min="31" max="56" width="8.7265625" style="11"/>
  </cols>
  <sheetData>
    <row r="1" spans="1:84" x14ac:dyDescent="0.35">
      <c r="B1" t="s">
        <v>153</v>
      </c>
      <c r="C1" t="s">
        <v>49</v>
      </c>
      <c r="AE1" s="11">
        <f>VLOOKUP(AE3,$B$120:$D$151,3,0)</f>
        <v>0.120736</v>
      </c>
      <c r="AF1" s="11">
        <f t="shared" ref="AF1:BD1" si="0">VLOOKUP(AF3,$B$120:$D$151,3,0)</f>
        <v>0.10673599999999998</v>
      </c>
      <c r="AG1" s="11">
        <f t="shared" si="0"/>
        <v>0.12416181507716476</v>
      </c>
      <c r="AH1" s="11">
        <f t="shared" si="0"/>
        <v>0.10898555105335037</v>
      </c>
      <c r="AI1" s="11">
        <f t="shared" si="0"/>
        <v>9.6482248132077009E-2</v>
      </c>
      <c r="AJ1" s="11">
        <f t="shared" si="0"/>
        <v>0.11689586075896066</v>
      </c>
      <c r="AK1" s="11">
        <f t="shared" si="0"/>
        <v>8.8281078907236757E-2</v>
      </c>
      <c r="AL1" s="11">
        <f t="shared" si="0"/>
        <v>8.0810922543196675E-2</v>
      </c>
      <c r="AM1" s="11">
        <f t="shared" si="0"/>
        <v>0.10216278090065987</v>
      </c>
      <c r="AN1" s="11">
        <f t="shared" si="0"/>
        <v>0.15093915780217626</v>
      </c>
      <c r="AO1" s="11">
        <f t="shared" si="0"/>
        <v>0.15795415780217625</v>
      </c>
      <c r="AP1" s="11">
        <f t="shared" si="0"/>
        <v>0.11593915780217627</v>
      </c>
      <c r="AQ1" s="11">
        <f t="shared" si="0"/>
        <v>0.13193915780217627</v>
      </c>
      <c r="AR1" s="11">
        <f t="shared" si="0"/>
        <v>0.13993915780217628</v>
      </c>
      <c r="AS1" s="11">
        <f t="shared" si="0"/>
        <v>0.10893915780217626</v>
      </c>
      <c r="AT1" s="11">
        <f t="shared" si="0"/>
        <v>0.12355497978041369</v>
      </c>
      <c r="AU1" s="11">
        <f t="shared" si="0"/>
        <v>9.8378367543335551E-2</v>
      </c>
      <c r="AV1" s="11">
        <f t="shared" si="0"/>
        <v>8.2983657513340567E-2</v>
      </c>
      <c r="AW1" s="11">
        <f t="shared" si="0"/>
        <v>0.10648886754333556</v>
      </c>
      <c r="AX1" s="11">
        <f t="shared" si="0"/>
        <v>9.1457575464127638E-2</v>
      </c>
      <c r="AY1" s="11">
        <f t="shared" si="0"/>
        <v>0.12494447718765922</v>
      </c>
      <c r="AZ1" s="11">
        <f t="shared" si="0"/>
        <v>0.1329815223723666</v>
      </c>
      <c r="BA1" s="11">
        <f t="shared" si="0"/>
        <v>0.11411133759609027</v>
      </c>
      <c r="BB1" s="11">
        <f t="shared" si="0"/>
        <v>0.10100149658064456</v>
      </c>
      <c r="BC1" s="11">
        <f t="shared" si="0"/>
        <v>9.400149658064455E-2</v>
      </c>
      <c r="BD1" s="11">
        <f t="shared" si="0"/>
        <v>8.6528747239615192E-2</v>
      </c>
    </row>
    <row r="2" spans="1:84" x14ac:dyDescent="0.35">
      <c r="D2" s="12">
        <v>1E-3</v>
      </c>
    </row>
    <row r="3" spans="1:84" x14ac:dyDescent="0.35">
      <c r="C3" s="10" t="s">
        <v>15</v>
      </c>
      <c r="D3" s="10" t="s">
        <v>3</v>
      </c>
      <c r="E3" s="10" t="s">
        <v>31</v>
      </c>
      <c r="F3" s="10" t="s">
        <v>32</v>
      </c>
      <c r="G3" s="10" t="s">
        <v>8</v>
      </c>
      <c r="H3" s="10" t="s">
        <v>7</v>
      </c>
      <c r="I3" s="10" t="s">
        <v>29</v>
      </c>
      <c r="J3" s="10" t="s">
        <v>16</v>
      </c>
      <c r="K3" s="14" t="s">
        <v>17</v>
      </c>
      <c r="L3" s="10" t="s">
        <v>9</v>
      </c>
      <c r="M3" s="10" t="s">
        <v>11</v>
      </c>
      <c r="N3" s="10" t="s">
        <v>10</v>
      </c>
      <c r="O3" s="10" t="s">
        <v>23</v>
      </c>
      <c r="P3" s="10" t="s">
        <v>24</v>
      </c>
      <c r="Q3" s="10" t="s">
        <v>34</v>
      </c>
      <c r="R3" s="10" t="s">
        <v>35</v>
      </c>
      <c r="S3" s="10" t="s">
        <v>27</v>
      </c>
      <c r="T3" s="10" t="s">
        <v>20</v>
      </c>
      <c r="U3" s="10" t="s">
        <v>5</v>
      </c>
      <c r="V3" s="10" t="s">
        <v>6</v>
      </c>
      <c r="W3" s="10" t="s">
        <v>30</v>
      </c>
      <c r="X3" s="10" t="s">
        <v>50</v>
      </c>
      <c r="Y3" s="10" t="s">
        <v>54</v>
      </c>
      <c r="Z3" s="10" t="s">
        <v>12</v>
      </c>
      <c r="AA3" s="10" t="s">
        <v>52</v>
      </c>
      <c r="AB3" s="10" t="s">
        <v>53</v>
      </c>
      <c r="AE3" s="39" t="s">
        <v>15</v>
      </c>
      <c r="AF3" s="39" t="s">
        <v>3</v>
      </c>
      <c r="AG3" s="39" t="s">
        <v>31</v>
      </c>
      <c r="AH3" s="39" t="s">
        <v>32</v>
      </c>
      <c r="AI3" s="39" t="s">
        <v>8</v>
      </c>
      <c r="AJ3" s="39" t="s">
        <v>7</v>
      </c>
      <c r="AK3" s="39" t="s">
        <v>29</v>
      </c>
      <c r="AL3" s="39" t="s">
        <v>16</v>
      </c>
      <c r="AM3" s="39" t="s">
        <v>17</v>
      </c>
      <c r="AN3" s="39" t="s">
        <v>9</v>
      </c>
      <c r="AO3" s="39" t="s">
        <v>11</v>
      </c>
      <c r="AP3" s="39" t="s">
        <v>10</v>
      </c>
      <c r="AQ3" s="39" t="s">
        <v>23</v>
      </c>
      <c r="AR3" s="39" t="s">
        <v>24</v>
      </c>
      <c r="AS3" s="39" t="s">
        <v>34</v>
      </c>
      <c r="AT3" s="39" t="s">
        <v>35</v>
      </c>
      <c r="AU3" s="39" t="s">
        <v>27</v>
      </c>
      <c r="AV3" s="39" t="s">
        <v>20</v>
      </c>
      <c r="AW3" s="39" t="s">
        <v>5</v>
      </c>
      <c r="AX3" s="39" t="s">
        <v>6</v>
      </c>
      <c r="AY3" s="39" t="s">
        <v>30</v>
      </c>
      <c r="AZ3" s="39" t="s">
        <v>50</v>
      </c>
      <c r="BA3" s="39" t="s">
        <v>54</v>
      </c>
      <c r="BB3" s="39" t="s">
        <v>12</v>
      </c>
      <c r="BC3" s="39" t="s">
        <v>52</v>
      </c>
      <c r="BD3" s="39" t="s">
        <v>53</v>
      </c>
      <c r="BG3" s="39" t="s">
        <v>15</v>
      </c>
      <c r="BH3" s="39" t="s">
        <v>3</v>
      </c>
      <c r="BI3" s="39" t="s">
        <v>31</v>
      </c>
      <c r="BJ3" s="39" t="s">
        <v>32</v>
      </c>
      <c r="BK3" s="39" t="s">
        <v>8</v>
      </c>
      <c r="BL3" s="39" t="s">
        <v>7</v>
      </c>
      <c r="BM3" s="39" t="s">
        <v>29</v>
      </c>
      <c r="BN3" s="39" t="s">
        <v>16</v>
      </c>
      <c r="BO3" s="39" t="s">
        <v>17</v>
      </c>
      <c r="BP3" s="39" t="s">
        <v>9</v>
      </c>
      <c r="BQ3" s="39" t="s">
        <v>11</v>
      </c>
      <c r="BR3" s="39" t="s">
        <v>10</v>
      </c>
      <c r="BS3" s="39" t="s">
        <v>23</v>
      </c>
      <c r="BT3" s="39" t="s">
        <v>24</v>
      </c>
      <c r="BU3" s="39" t="s">
        <v>34</v>
      </c>
      <c r="BV3" s="39" t="s">
        <v>35</v>
      </c>
      <c r="BW3" s="39" t="s">
        <v>27</v>
      </c>
      <c r="BX3" s="39" t="s">
        <v>20</v>
      </c>
      <c r="BY3" s="39" t="s">
        <v>5</v>
      </c>
      <c r="BZ3" s="39" t="s">
        <v>6</v>
      </c>
      <c r="CA3" s="39" t="s">
        <v>30</v>
      </c>
      <c r="CB3" s="39" t="s">
        <v>50</v>
      </c>
      <c r="CC3" s="39" t="s">
        <v>54</v>
      </c>
      <c r="CD3" s="39" t="s">
        <v>12</v>
      </c>
      <c r="CE3" s="39" t="s">
        <v>52</v>
      </c>
      <c r="CF3" s="39" t="s">
        <v>53</v>
      </c>
    </row>
    <row r="4" spans="1:84" ht="15.5" x14ac:dyDescent="0.35">
      <c r="B4" s="31" t="s">
        <v>55</v>
      </c>
      <c r="AC4" s="20"/>
      <c r="AD4" s="31" t="s">
        <v>55</v>
      </c>
      <c r="AE4" s="11">
        <f>AE5*C5+AE11*C11+AE16*C16+AE20*C20+AE21*C21</f>
        <v>0.120736</v>
      </c>
      <c r="AF4" s="11">
        <f t="shared" ref="AF4:BD4" si="1">AF5*D5+AF11*D11+AF16*D16+AF20*D20+AF21*D21</f>
        <v>0.10673599999999996</v>
      </c>
      <c r="AG4" s="11">
        <f t="shared" si="1"/>
        <v>0.12416181507716477</v>
      </c>
      <c r="AH4" s="11">
        <f t="shared" si="1"/>
        <v>0.10898555105335038</v>
      </c>
      <c r="AI4" s="11">
        <f t="shared" si="1"/>
        <v>9.6482248132076995E-2</v>
      </c>
      <c r="AJ4" s="11">
        <f t="shared" si="1"/>
        <v>0.11689586075896066</v>
      </c>
      <c r="AK4" s="11">
        <f t="shared" si="1"/>
        <v>8.8281078907236785E-2</v>
      </c>
      <c r="AL4" s="11">
        <f t="shared" si="1"/>
        <v>8.0810922543196675E-2</v>
      </c>
      <c r="AM4" s="11">
        <f t="shared" si="1"/>
        <v>0.10216278090065986</v>
      </c>
      <c r="AN4" s="11">
        <f t="shared" si="1"/>
        <v>0.15093915780217623</v>
      </c>
      <c r="AO4" s="11">
        <f t="shared" si="1"/>
        <v>0.15795415780217628</v>
      </c>
      <c r="AP4" s="11">
        <f t="shared" si="1"/>
        <v>0.11593915780217627</v>
      </c>
      <c r="AQ4" s="11">
        <f t="shared" si="1"/>
        <v>0.13193915780217627</v>
      </c>
      <c r="AR4" s="11">
        <f t="shared" si="1"/>
        <v>0.13993915780217628</v>
      </c>
      <c r="AS4" s="11">
        <f t="shared" si="1"/>
        <v>0.10893915780217626</v>
      </c>
      <c r="AT4" s="11">
        <f t="shared" si="1"/>
        <v>0.1235549797804137</v>
      </c>
      <c r="AU4" s="11">
        <f t="shared" si="1"/>
        <v>9.8378367543335538E-2</v>
      </c>
      <c r="AV4" s="11">
        <f t="shared" si="1"/>
        <v>8.2983657513340581E-2</v>
      </c>
      <c r="AW4" s="11">
        <f t="shared" si="1"/>
        <v>0.10648886754333554</v>
      </c>
      <c r="AX4" s="11">
        <f t="shared" si="1"/>
        <v>9.1457575464127652E-2</v>
      </c>
      <c r="AY4" s="11">
        <f t="shared" si="1"/>
        <v>0.12494447718765922</v>
      </c>
      <c r="AZ4" s="11">
        <f t="shared" si="1"/>
        <v>0.1329815223723666</v>
      </c>
      <c r="BA4" s="11">
        <f t="shared" si="1"/>
        <v>0.11411133759609028</v>
      </c>
      <c r="BB4" s="11">
        <f t="shared" si="1"/>
        <v>0.10100149658064456</v>
      </c>
      <c r="BC4" s="11">
        <f t="shared" si="1"/>
        <v>9.400149658064455E-2</v>
      </c>
      <c r="BD4" s="11">
        <f t="shared" si="1"/>
        <v>8.6528747239615192E-2</v>
      </c>
      <c r="BF4" s="31" t="s">
        <v>55</v>
      </c>
    </row>
    <row r="5" spans="1:84" x14ac:dyDescent="0.35">
      <c r="B5" t="s">
        <v>56</v>
      </c>
      <c r="C5" s="12">
        <f>1-C11-C16-C20-C21</f>
        <v>0.26709999999999989</v>
      </c>
      <c r="D5" s="12">
        <f t="shared" ref="D5:AB5" si="2">1-D11-D16-D20-D21</f>
        <v>0.22439999999999996</v>
      </c>
      <c r="E5" s="12">
        <f t="shared" si="2"/>
        <v>0.20769999999999983</v>
      </c>
      <c r="F5" s="12">
        <f t="shared" si="2"/>
        <v>0.23579999999999995</v>
      </c>
      <c r="G5" s="12">
        <f t="shared" si="2"/>
        <v>0.29489999999999988</v>
      </c>
      <c r="H5" s="12">
        <f t="shared" si="2"/>
        <v>0.26599999999999996</v>
      </c>
      <c r="I5" s="12">
        <f t="shared" si="2"/>
        <v>0.26579999999999987</v>
      </c>
      <c r="J5" s="12">
        <f t="shared" si="2"/>
        <v>0.2593999999999998</v>
      </c>
      <c r="K5" s="12">
        <f t="shared" si="2"/>
        <v>0.25519999999999987</v>
      </c>
      <c r="L5" s="12">
        <f t="shared" si="2"/>
        <v>0.24919999999999987</v>
      </c>
      <c r="M5" s="12">
        <f t="shared" si="2"/>
        <v>0.25359999999999994</v>
      </c>
      <c r="N5" s="12">
        <f t="shared" si="2"/>
        <v>0.2846999999999999</v>
      </c>
      <c r="O5" s="12">
        <f t="shared" si="2"/>
        <v>0.23229999999999995</v>
      </c>
      <c r="P5" s="12">
        <f t="shared" si="2"/>
        <v>0.2636</v>
      </c>
      <c r="Q5" s="12">
        <f t="shared" si="2"/>
        <v>0.24399999999999988</v>
      </c>
      <c r="R5" s="12">
        <f t="shared" si="2"/>
        <v>0.24329999999999991</v>
      </c>
      <c r="S5" s="12">
        <f t="shared" si="2"/>
        <v>0.24449999999999986</v>
      </c>
      <c r="T5" s="12">
        <f t="shared" si="2"/>
        <v>0.28489999999999982</v>
      </c>
      <c r="U5" s="12">
        <f t="shared" si="2"/>
        <v>0.27979999999999994</v>
      </c>
      <c r="V5" s="12">
        <f t="shared" si="2"/>
        <v>0.24199999999999991</v>
      </c>
      <c r="W5" s="12">
        <f t="shared" si="2"/>
        <v>0.25369999999999993</v>
      </c>
      <c r="X5" s="12">
        <f t="shared" si="2"/>
        <v>0.24629999999999985</v>
      </c>
      <c r="Y5" s="12">
        <f t="shared" si="2"/>
        <v>0.28979999999999984</v>
      </c>
      <c r="Z5" s="12">
        <f t="shared" si="2"/>
        <v>0.27810000000000001</v>
      </c>
      <c r="AA5" s="12">
        <f t="shared" si="2"/>
        <v>0.24269999999999989</v>
      </c>
      <c r="AB5" s="12">
        <f t="shared" si="2"/>
        <v>0.25029999999999986</v>
      </c>
      <c r="AC5" s="20"/>
      <c r="AD5" t="s">
        <v>56</v>
      </c>
      <c r="AE5" s="20">
        <f>SUMPRODUCT(AE6:AE10,C6:C10)</f>
        <v>0.1120884</v>
      </c>
      <c r="AF5" s="20">
        <f t="shared" ref="AF5:BD5" si="3">SUMPRODUCT(AF6:AF10,D6:D10)</f>
        <v>9.8416933140136276E-2</v>
      </c>
      <c r="AG5" s="20">
        <f t="shared" si="3"/>
        <v>0.11556090177417461</v>
      </c>
      <c r="AH5" s="20">
        <f t="shared" si="3"/>
        <v>0.10065615421559548</v>
      </c>
      <c r="AI5" s="20">
        <f t="shared" si="3"/>
        <v>8.755458880576357E-2</v>
      </c>
      <c r="AJ5" s="20">
        <f t="shared" si="3"/>
        <v>0.1081370683892741</v>
      </c>
      <c r="AK5" s="20">
        <f t="shared" si="3"/>
        <v>8.0785267547124645E-2</v>
      </c>
      <c r="AL5" s="20">
        <f t="shared" si="3"/>
        <v>7.194525268600846E-2</v>
      </c>
      <c r="AM5" s="20">
        <f t="shared" si="3"/>
        <v>9.3906899873381383E-2</v>
      </c>
      <c r="AN5" s="20">
        <f t="shared" si="3"/>
        <v>0.14214028633484399</v>
      </c>
      <c r="AO5" s="20">
        <f t="shared" si="3"/>
        <v>0.14966766612816185</v>
      </c>
      <c r="AP5" s="20">
        <f t="shared" si="3"/>
        <v>0.10770876127279927</v>
      </c>
      <c r="AQ5" s="20">
        <f t="shared" si="3"/>
        <v>0.12428534058445762</v>
      </c>
      <c r="AR5" s="20">
        <f t="shared" si="3"/>
        <v>0.13192963356869447</v>
      </c>
      <c r="AS5" s="20">
        <f t="shared" si="3"/>
        <v>0.10010159656816758</v>
      </c>
      <c r="AT5" s="20">
        <f t="shared" si="3"/>
        <v>0.1145137665450566</v>
      </c>
      <c r="AU5" s="20">
        <f t="shared" si="3"/>
        <v>8.999678026805083E-2</v>
      </c>
      <c r="AV5" s="20">
        <f t="shared" si="3"/>
        <v>7.5070296184069338E-2</v>
      </c>
      <c r="AW5" s="20">
        <f t="shared" si="3"/>
        <v>9.8674808115537319E-2</v>
      </c>
      <c r="AX5" s="20">
        <f t="shared" si="3"/>
        <v>8.306122802057482E-2</v>
      </c>
      <c r="AY5" s="20">
        <f t="shared" si="3"/>
        <v>0.11713255877841207</v>
      </c>
      <c r="AZ5" s="20">
        <f t="shared" si="3"/>
        <v>0.12416014891911989</v>
      </c>
      <c r="BA5" s="20">
        <f t="shared" si="3"/>
        <v>0.10579385405553013</v>
      </c>
      <c r="BB5" s="20">
        <f t="shared" si="3"/>
        <v>9.3118861006376979E-2</v>
      </c>
      <c r="BC5" s="20">
        <f t="shared" si="3"/>
        <v>8.5509679693525617E-2</v>
      </c>
      <c r="BD5" s="20">
        <f t="shared" si="3"/>
        <v>7.8306229880809791E-2</v>
      </c>
      <c r="BF5" t="s">
        <v>56</v>
      </c>
      <c r="BG5" t="s">
        <v>39</v>
      </c>
      <c r="BH5" t="s">
        <v>22</v>
      </c>
      <c r="BI5" t="s">
        <v>21</v>
      </c>
      <c r="BJ5" t="s">
        <v>38</v>
      </c>
      <c r="BK5" t="s">
        <v>37</v>
      </c>
      <c r="BL5" t="s">
        <v>22</v>
      </c>
      <c r="BM5" t="s">
        <v>28</v>
      </c>
      <c r="BN5" t="s">
        <v>21</v>
      </c>
      <c r="BO5" t="s">
        <v>37</v>
      </c>
      <c r="BP5" t="s">
        <v>22</v>
      </c>
      <c r="BQ5" t="s">
        <v>28</v>
      </c>
      <c r="BR5" t="s">
        <v>22</v>
      </c>
      <c r="BS5" t="s">
        <v>39</v>
      </c>
      <c r="BT5" t="s">
        <v>28</v>
      </c>
      <c r="BU5" t="s">
        <v>21</v>
      </c>
      <c r="BV5" t="s">
        <v>33</v>
      </c>
      <c r="BW5" t="s">
        <v>38</v>
      </c>
      <c r="BX5" t="s">
        <v>39</v>
      </c>
      <c r="BY5" t="s">
        <v>39</v>
      </c>
      <c r="BZ5" t="s">
        <v>22</v>
      </c>
      <c r="CA5" t="s">
        <v>39</v>
      </c>
      <c r="CB5" t="s">
        <v>21</v>
      </c>
      <c r="CC5" t="s">
        <v>38</v>
      </c>
      <c r="CD5" t="s">
        <v>21</v>
      </c>
      <c r="CE5" t="s">
        <v>22</v>
      </c>
      <c r="CF5" t="s">
        <v>38</v>
      </c>
    </row>
    <row r="6" spans="1:84" s="27" customFormat="1" x14ac:dyDescent="0.35">
      <c r="A6"/>
      <c r="B6" s="54" t="s">
        <v>57</v>
      </c>
      <c r="C6" s="40">
        <v>0.3785</v>
      </c>
      <c r="D6" s="40">
        <v>0.38550000000000001</v>
      </c>
      <c r="E6" s="40">
        <v>0.3841</v>
      </c>
      <c r="F6" s="40">
        <v>0.3881</v>
      </c>
      <c r="G6" s="40">
        <v>0.40590000000000004</v>
      </c>
      <c r="H6" s="40">
        <v>0.39500000000000002</v>
      </c>
      <c r="I6" s="40">
        <v>0.39560000000000001</v>
      </c>
      <c r="J6" s="40">
        <v>0.39800000000000002</v>
      </c>
      <c r="K6" s="40">
        <v>0.3856</v>
      </c>
      <c r="L6" s="40">
        <v>0.38490000000000002</v>
      </c>
      <c r="M6" s="40">
        <v>0.38500000000000001</v>
      </c>
      <c r="N6" s="40">
        <v>0.37920000000000004</v>
      </c>
      <c r="O6" s="40">
        <v>0.40490000000000004</v>
      </c>
      <c r="P6" s="40">
        <v>0.37740000000000001</v>
      </c>
      <c r="Q6" s="40">
        <v>0.37959999999999999</v>
      </c>
      <c r="R6" s="40">
        <v>0.3805</v>
      </c>
      <c r="S6" s="40">
        <v>0.39090000000000003</v>
      </c>
      <c r="T6" s="40">
        <v>0.37880000000000003</v>
      </c>
      <c r="U6" s="40">
        <v>0.39100000000000001</v>
      </c>
      <c r="V6" s="40">
        <v>0.39740000000000003</v>
      </c>
      <c r="W6" s="40">
        <v>0.40400000000000003</v>
      </c>
      <c r="X6" s="40">
        <v>0.39730000000000004</v>
      </c>
      <c r="Y6" s="40">
        <v>0.38130000000000003</v>
      </c>
      <c r="Z6" s="40">
        <v>0.39740000000000003</v>
      </c>
      <c r="AA6" s="40">
        <v>0.40529999999999999</v>
      </c>
      <c r="AB6" s="40">
        <v>0.39730000000000004</v>
      </c>
      <c r="AD6" s="54" t="s">
        <v>57</v>
      </c>
      <c r="AE6" s="32">
        <v>9.9480530552156957E-2</v>
      </c>
      <c r="AF6" s="32">
        <v>8.5697051456428974E-2</v>
      </c>
      <c r="AG6" s="32">
        <v>0.10308767528100804</v>
      </c>
      <c r="AH6" s="32">
        <v>8.8370574924458642E-2</v>
      </c>
      <c r="AI6" s="32">
        <v>7.5624769402330441E-2</v>
      </c>
      <c r="AJ6" s="32">
        <v>9.6155453287053091E-2</v>
      </c>
      <c r="AK6" s="32">
        <v>6.8148962427955165E-2</v>
      </c>
      <c r="AL6" s="32">
        <v>5.997963474665613E-2</v>
      </c>
      <c r="AM6" s="32">
        <v>8.1271567653355858E-2</v>
      </c>
      <c r="AN6" s="32">
        <v>0.12974774208323464</v>
      </c>
      <c r="AO6" s="32">
        <v>0.13727009435450743</v>
      </c>
      <c r="AP6" s="32">
        <v>9.5149165317724299E-2</v>
      </c>
      <c r="AQ6" s="32">
        <v>0.11203663187351527</v>
      </c>
      <c r="AR6" s="32">
        <v>0.11960198434556869</v>
      </c>
      <c r="AS6" s="32">
        <v>8.7495256847849256E-2</v>
      </c>
      <c r="AT6" s="32">
        <v>0.10224243474140161</v>
      </c>
      <c r="AU6" s="32">
        <v>7.7810167359300741E-2</v>
      </c>
      <c r="AV6" s="32">
        <v>6.2200937195282704E-2</v>
      </c>
      <c r="AW6" s="32">
        <v>8.6280115629369131E-2</v>
      </c>
      <c r="AX6" s="32">
        <v>7.0858388260796185E-2</v>
      </c>
      <c r="AY6" s="32">
        <v>0.10478430019650384</v>
      </c>
      <c r="AZ6" s="32">
        <v>0.11216486647306363</v>
      </c>
      <c r="BA6" s="32">
        <v>9.3280183580596351E-2</v>
      </c>
      <c r="BB6" s="32">
        <v>8.0923789722085068E-2</v>
      </c>
      <c r="BC6" s="32">
        <v>7.3535445776012606E-2</v>
      </c>
      <c r="BD6" s="32">
        <v>6.6024133620649031E-2</v>
      </c>
      <c r="BF6" s="54" t="s">
        <v>57</v>
      </c>
      <c r="BG6" s="27" t="s">
        <v>37</v>
      </c>
      <c r="BH6" s="27" t="s">
        <v>33</v>
      </c>
      <c r="BI6" s="27" t="s">
        <v>28</v>
      </c>
      <c r="BJ6" s="27" t="s">
        <v>21</v>
      </c>
      <c r="BK6" s="27" t="s">
        <v>22</v>
      </c>
      <c r="BL6" s="27" t="s">
        <v>33</v>
      </c>
      <c r="BM6" s="27" t="s">
        <v>28</v>
      </c>
      <c r="BN6" s="27" t="s">
        <v>39</v>
      </c>
      <c r="BO6" s="27" t="s">
        <v>28</v>
      </c>
      <c r="BP6" s="27" t="s">
        <v>21</v>
      </c>
      <c r="BQ6" s="27" t="s">
        <v>38</v>
      </c>
      <c r="BR6" s="27" t="s">
        <v>33</v>
      </c>
      <c r="BS6" s="27" t="s">
        <v>37</v>
      </c>
      <c r="BT6" s="27" t="s">
        <v>37</v>
      </c>
      <c r="BU6" s="27" t="s">
        <v>22</v>
      </c>
      <c r="BV6" s="27" t="s">
        <v>38</v>
      </c>
      <c r="BW6" s="27" t="s">
        <v>21</v>
      </c>
      <c r="BX6" s="27" t="s">
        <v>28</v>
      </c>
      <c r="BY6" s="27" t="s">
        <v>28</v>
      </c>
      <c r="BZ6" s="27" t="s">
        <v>33</v>
      </c>
      <c r="CA6" s="27" t="s">
        <v>21</v>
      </c>
      <c r="CB6" s="27" t="s">
        <v>22</v>
      </c>
      <c r="CC6" s="27" t="s">
        <v>37</v>
      </c>
      <c r="CD6" s="27" t="s">
        <v>22</v>
      </c>
      <c r="CE6" s="27" t="s">
        <v>38</v>
      </c>
      <c r="CF6" s="27" t="s">
        <v>39</v>
      </c>
    </row>
    <row r="7" spans="1:84" s="27" customFormat="1" x14ac:dyDescent="0.35">
      <c r="A7"/>
      <c r="B7" s="54" t="s">
        <v>58</v>
      </c>
      <c r="C7" s="40">
        <v>0.24109999999999998</v>
      </c>
      <c r="D7" s="40">
        <v>0.24939999999999998</v>
      </c>
      <c r="E7" s="40">
        <v>0.2407</v>
      </c>
      <c r="F7" s="40">
        <v>0.2303</v>
      </c>
      <c r="G7" s="40">
        <v>0.23069999999999999</v>
      </c>
      <c r="H7" s="40">
        <v>0.22849999999999998</v>
      </c>
      <c r="I7" s="40">
        <v>0.255</v>
      </c>
      <c r="J7" s="40">
        <v>0.22969999999999999</v>
      </c>
      <c r="K7" s="40">
        <v>0.25409999999999999</v>
      </c>
      <c r="L7" s="40">
        <v>0.2336</v>
      </c>
      <c r="M7" s="40">
        <v>0.23269999999999999</v>
      </c>
      <c r="N7" s="40">
        <v>0.24709999999999999</v>
      </c>
      <c r="O7" s="40">
        <v>0.23429999999999998</v>
      </c>
      <c r="P7" s="40">
        <v>0.22399999999999998</v>
      </c>
      <c r="Q7" s="40">
        <v>0.245</v>
      </c>
      <c r="R7" s="40">
        <v>0.2266</v>
      </c>
      <c r="S7" s="40">
        <v>0.23199999999999998</v>
      </c>
      <c r="T7" s="40">
        <v>0.25569999999999998</v>
      </c>
      <c r="U7" s="40">
        <v>0.23809999999999998</v>
      </c>
      <c r="V7" s="40">
        <v>0.22999999999999998</v>
      </c>
      <c r="W7" s="40">
        <v>0.2581</v>
      </c>
      <c r="X7" s="40">
        <v>0.22749999999999998</v>
      </c>
      <c r="Y7" s="40">
        <v>0.2412</v>
      </c>
      <c r="Z7" s="40">
        <v>0.2311</v>
      </c>
      <c r="AA7" s="40">
        <v>0.22559999999999999</v>
      </c>
      <c r="AB7" s="40">
        <v>0.24390000000000001</v>
      </c>
      <c r="AD7" s="54" t="s">
        <v>58</v>
      </c>
      <c r="AE7" s="32">
        <v>0.12975665679284099</v>
      </c>
      <c r="AF7" s="32">
        <v>0.115973177697113</v>
      </c>
      <c r="AG7" s="32">
        <v>0.13336380152169208</v>
      </c>
      <c r="AH7" s="32">
        <v>0.11864670116514267</v>
      </c>
      <c r="AI7" s="32">
        <v>0.10590089564301447</v>
      </c>
      <c r="AJ7" s="32">
        <v>0.12643157952773712</v>
      </c>
      <c r="AK7" s="32">
        <v>9.8425088668639193E-2</v>
      </c>
      <c r="AL7" s="32">
        <v>9.0255760987340158E-2</v>
      </c>
      <c r="AM7" s="32">
        <v>0.11154769389403989</v>
      </c>
      <c r="AN7" s="32">
        <v>0.16002386832391868</v>
      </c>
      <c r="AO7" s="32">
        <v>0.16754622059519145</v>
      </c>
      <c r="AP7" s="32">
        <v>0.12542529155840831</v>
      </c>
      <c r="AQ7" s="32">
        <v>0.1423127581141993</v>
      </c>
      <c r="AR7" s="32">
        <v>0.14987811058625272</v>
      </c>
      <c r="AS7" s="32">
        <v>0.11777138308853329</v>
      </c>
      <c r="AT7" s="32">
        <v>0.13251856098208564</v>
      </c>
      <c r="AU7" s="32">
        <v>0.10808629359998477</v>
      </c>
      <c r="AV7" s="32">
        <v>9.2477063435966733E-2</v>
      </c>
      <c r="AW7" s="32">
        <v>0.11655624187005316</v>
      </c>
      <c r="AX7" s="32">
        <v>0.10113451450148021</v>
      </c>
      <c r="AY7" s="32">
        <v>0.13506042643718785</v>
      </c>
      <c r="AZ7" s="32">
        <v>0.14244099271374766</v>
      </c>
      <c r="BA7" s="32">
        <v>0.12355630982128038</v>
      </c>
      <c r="BB7" s="32">
        <v>0.1111999159627691</v>
      </c>
      <c r="BC7" s="32">
        <v>0.10381157201669663</v>
      </c>
      <c r="BD7" s="32">
        <v>9.630025986133306E-2</v>
      </c>
      <c r="BF7" s="54" t="s">
        <v>58</v>
      </c>
      <c r="BG7" s="27" t="s">
        <v>28</v>
      </c>
      <c r="BH7" s="27" t="s">
        <v>37</v>
      </c>
      <c r="BI7" s="27" t="s">
        <v>37</v>
      </c>
      <c r="BJ7" s="27" t="s">
        <v>39</v>
      </c>
      <c r="BK7" s="27" t="s">
        <v>28</v>
      </c>
      <c r="BL7" s="27" t="s">
        <v>28</v>
      </c>
      <c r="BM7" s="27" t="s">
        <v>38</v>
      </c>
      <c r="BN7" s="27" t="s">
        <v>37</v>
      </c>
      <c r="BO7" s="27" t="s">
        <v>33</v>
      </c>
      <c r="BP7" s="27" t="s">
        <v>39</v>
      </c>
      <c r="BQ7" s="27" t="s">
        <v>28</v>
      </c>
      <c r="BR7" s="27" t="s">
        <v>38</v>
      </c>
      <c r="BS7" s="27" t="s">
        <v>33</v>
      </c>
      <c r="BT7" s="27" t="s">
        <v>37</v>
      </c>
      <c r="BU7" s="27" t="s">
        <v>37</v>
      </c>
      <c r="BV7" s="27" t="s">
        <v>37</v>
      </c>
      <c r="BW7" s="27" t="s">
        <v>38</v>
      </c>
      <c r="BX7" s="27" t="s">
        <v>21</v>
      </c>
      <c r="BY7" s="27" t="s">
        <v>37</v>
      </c>
      <c r="BZ7" s="27" t="s">
        <v>37</v>
      </c>
      <c r="CA7" s="27" t="s">
        <v>33</v>
      </c>
      <c r="CB7" s="27" t="s">
        <v>39</v>
      </c>
      <c r="CC7" s="27" t="s">
        <v>28</v>
      </c>
      <c r="CD7" s="27" t="s">
        <v>33</v>
      </c>
      <c r="CE7" s="27" t="s">
        <v>21</v>
      </c>
      <c r="CF7" s="27" t="s">
        <v>37</v>
      </c>
    </row>
    <row r="8" spans="1:84" s="27" customFormat="1" x14ac:dyDescent="0.35">
      <c r="A8"/>
      <c r="B8" s="54" t="s">
        <v>59</v>
      </c>
      <c r="C8" s="40">
        <v>8.9499999999999996E-2</v>
      </c>
      <c r="D8" s="40">
        <v>0.10439999999999999</v>
      </c>
      <c r="E8" s="40">
        <v>9.1700000000000004E-2</v>
      </c>
      <c r="F8" s="40">
        <v>8.6199999999999999E-2</v>
      </c>
      <c r="G8" s="40">
        <v>8.8200000000000001E-2</v>
      </c>
      <c r="H8" s="40">
        <v>8.0299999999999996E-2</v>
      </c>
      <c r="I8" s="40">
        <v>9.1399999999999995E-2</v>
      </c>
      <c r="J8" s="40">
        <v>8.1500000000000003E-2</v>
      </c>
      <c r="K8" s="40">
        <v>8.6400000000000005E-2</v>
      </c>
      <c r="L8" s="40">
        <v>9.01E-2</v>
      </c>
      <c r="M8" s="40">
        <v>0.10189999999999999</v>
      </c>
      <c r="N8" s="40">
        <v>8.8200000000000001E-2</v>
      </c>
      <c r="O8" s="40">
        <v>0.1042</v>
      </c>
      <c r="P8" s="40">
        <v>9.5600000000000004E-2</v>
      </c>
      <c r="Q8" s="40">
        <v>8.5699999999999998E-2</v>
      </c>
      <c r="R8" s="40">
        <v>0.08</v>
      </c>
      <c r="S8" s="40">
        <v>9.2600000000000002E-2</v>
      </c>
      <c r="T8" s="40">
        <v>0.1013</v>
      </c>
      <c r="U8" s="40">
        <v>0.1033</v>
      </c>
      <c r="V8" s="40">
        <v>9.6899999999999986E-2</v>
      </c>
      <c r="W8" s="40">
        <v>8.1299999999999997E-2</v>
      </c>
      <c r="X8" s="40">
        <v>8.48E-2</v>
      </c>
      <c r="Y8" s="40">
        <v>8.9900000000000008E-2</v>
      </c>
      <c r="Z8" s="40">
        <v>9.1999999999999998E-2</v>
      </c>
      <c r="AA8" s="40">
        <v>9.9199999999999997E-2</v>
      </c>
      <c r="AB8" s="40">
        <v>8.8800000000000004E-2</v>
      </c>
      <c r="AD8" s="54" t="s">
        <v>59</v>
      </c>
      <c r="AE8" s="32">
        <v>0.12159585679284098</v>
      </c>
      <c r="AF8" s="32">
        <v>0.10781237769711299</v>
      </c>
      <c r="AG8" s="32">
        <v>0.12520300152169206</v>
      </c>
      <c r="AH8" s="32">
        <v>0.11048590116514266</v>
      </c>
      <c r="AI8" s="32">
        <v>9.774009564301446E-2</v>
      </c>
      <c r="AJ8" s="32">
        <v>0.11827077952773711</v>
      </c>
      <c r="AK8" s="32">
        <v>9.0264288668639184E-2</v>
      </c>
      <c r="AL8" s="32">
        <v>8.2094960987340149E-2</v>
      </c>
      <c r="AM8" s="32">
        <v>0.10338689389403988</v>
      </c>
      <c r="AN8" s="32">
        <v>0.15186306832391866</v>
      </c>
      <c r="AO8" s="32">
        <v>0.15938542059519145</v>
      </c>
      <c r="AP8" s="32">
        <v>0.11726449155840832</v>
      </c>
      <c r="AQ8" s="32">
        <v>0.13415195811419928</v>
      </c>
      <c r="AR8" s="32">
        <v>0.1417173105862527</v>
      </c>
      <c r="AS8" s="32">
        <v>0.10961058308853328</v>
      </c>
      <c r="AT8" s="32">
        <v>0.12435776098208563</v>
      </c>
      <c r="AU8" s="32">
        <v>9.992549359998476E-2</v>
      </c>
      <c r="AV8" s="32">
        <v>8.4316263435966723E-2</v>
      </c>
      <c r="AW8" s="32">
        <v>0.10839544187005315</v>
      </c>
      <c r="AX8" s="32">
        <v>9.2973714501480204E-2</v>
      </c>
      <c r="AY8" s="32">
        <v>0.12689962643718786</v>
      </c>
      <c r="AZ8" s="32">
        <v>0.13428019271374764</v>
      </c>
      <c r="BA8" s="32">
        <v>0.11539550982128037</v>
      </c>
      <c r="BB8" s="32">
        <v>0.10303911596276909</v>
      </c>
      <c r="BC8" s="32">
        <v>9.5650772016696625E-2</v>
      </c>
      <c r="BD8" s="32">
        <v>8.813945986133305E-2</v>
      </c>
      <c r="BF8" s="54" t="s">
        <v>59</v>
      </c>
      <c r="BG8" s="27" t="s">
        <v>28</v>
      </c>
      <c r="BH8" s="27" t="s">
        <v>28</v>
      </c>
      <c r="BI8" s="27" t="s">
        <v>38</v>
      </c>
      <c r="BJ8" s="27" t="s">
        <v>22</v>
      </c>
      <c r="BK8" s="27" t="s">
        <v>38</v>
      </c>
      <c r="BL8" s="27" t="s">
        <v>38</v>
      </c>
      <c r="BM8" s="27" t="s">
        <v>21</v>
      </c>
      <c r="BN8" s="27" t="s">
        <v>28</v>
      </c>
      <c r="BO8" s="27" t="s">
        <v>38</v>
      </c>
      <c r="BP8" s="27" t="s">
        <v>37</v>
      </c>
      <c r="BQ8" s="27" t="s">
        <v>33</v>
      </c>
      <c r="BR8" s="27" t="s">
        <v>28</v>
      </c>
      <c r="BS8" s="27" t="s">
        <v>38</v>
      </c>
      <c r="BT8" s="27" t="s">
        <v>21</v>
      </c>
      <c r="BU8" s="27" t="s">
        <v>38</v>
      </c>
      <c r="BV8" s="27" t="s">
        <v>28</v>
      </c>
      <c r="BW8" s="27" t="s">
        <v>33</v>
      </c>
      <c r="BX8" s="27" t="s">
        <v>28</v>
      </c>
      <c r="BY8" s="27" t="s">
        <v>21</v>
      </c>
      <c r="BZ8" s="27" t="s">
        <v>21</v>
      </c>
      <c r="CA8" s="27" t="s">
        <v>39</v>
      </c>
      <c r="CB8" s="27" t="s">
        <v>38</v>
      </c>
      <c r="CC8" s="27" t="s">
        <v>33</v>
      </c>
      <c r="CD8" s="27" t="s">
        <v>33</v>
      </c>
      <c r="CE8" s="27" t="s">
        <v>22</v>
      </c>
      <c r="CF8" s="27" t="s">
        <v>33</v>
      </c>
    </row>
    <row r="9" spans="1:84" s="27" customFormat="1" x14ac:dyDescent="0.35">
      <c r="A9"/>
      <c r="B9" s="54" t="s">
        <v>60</v>
      </c>
      <c r="C9" s="40">
        <v>9.8500000000000004E-2</v>
      </c>
      <c r="D9" s="40">
        <v>0.10579999999999999</v>
      </c>
      <c r="E9" s="40">
        <v>0.10829999999999999</v>
      </c>
      <c r="F9" s="40">
        <v>9.6299999999999997E-2</v>
      </c>
      <c r="G9" s="40">
        <v>0.1152</v>
      </c>
      <c r="H9" s="40">
        <v>0.1148</v>
      </c>
      <c r="I9" s="40">
        <v>9.5600000000000004E-2</v>
      </c>
      <c r="J9" s="40">
        <v>0.1154</v>
      </c>
      <c r="K9" s="40">
        <v>0.1074</v>
      </c>
      <c r="L9" s="40">
        <v>9.9700000000000011E-2</v>
      </c>
      <c r="M9" s="40">
        <v>0.11059999999999999</v>
      </c>
      <c r="N9" s="40">
        <v>0.11649999999999999</v>
      </c>
      <c r="O9" s="40">
        <v>9.9099999999999994E-2</v>
      </c>
      <c r="P9" s="40">
        <v>0.10769999999999999</v>
      </c>
      <c r="Q9" s="40">
        <v>0.1012</v>
      </c>
      <c r="R9" s="40">
        <v>9.7299999999999998E-2</v>
      </c>
      <c r="S9" s="40">
        <v>0.11639999999999999</v>
      </c>
      <c r="T9" s="40">
        <v>0.10880000000000001</v>
      </c>
      <c r="U9" s="40">
        <v>0.11349999999999999</v>
      </c>
      <c r="V9" s="40">
        <v>0.1017</v>
      </c>
      <c r="W9" s="40">
        <v>0.1154</v>
      </c>
      <c r="X9" s="40">
        <v>0.1113</v>
      </c>
      <c r="Y9" s="40">
        <v>0.1071</v>
      </c>
      <c r="Z9" s="40">
        <v>9.9599999999999994E-2</v>
      </c>
      <c r="AA9" s="40">
        <v>0.11109999999999999</v>
      </c>
      <c r="AB9" s="40">
        <v>0.11359999999999999</v>
      </c>
      <c r="AD9" s="54" t="s">
        <v>60</v>
      </c>
      <c r="AE9" s="32">
        <v>0.10627494988175382</v>
      </c>
      <c r="AF9" s="32">
        <v>9.2491470786025834E-2</v>
      </c>
      <c r="AG9" s="32">
        <v>0.1098820946106049</v>
      </c>
      <c r="AH9" s="32">
        <v>9.5164994254055502E-2</v>
      </c>
      <c r="AI9" s="32">
        <v>8.2419188731927301E-2</v>
      </c>
      <c r="AJ9" s="32">
        <v>0.10294987261664995</v>
      </c>
      <c r="AK9" s="32">
        <v>7.4943381757552024E-2</v>
      </c>
      <c r="AL9" s="32">
        <v>6.6774054076252989E-2</v>
      </c>
      <c r="AM9" s="32">
        <v>8.8065986982952718E-2</v>
      </c>
      <c r="AN9" s="32">
        <v>0.13654216141283151</v>
      </c>
      <c r="AO9" s="32">
        <v>0.14406451368410428</v>
      </c>
      <c r="AP9" s="32">
        <v>0.10194358464732116</v>
      </c>
      <c r="AQ9" s="32">
        <v>0.11883105120311213</v>
      </c>
      <c r="AR9" s="32">
        <v>0.12639640367516555</v>
      </c>
      <c r="AS9" s="32">
        <v>9.4289676177446116E-2</v>
      </c>
      <c r="AT9" s="32">
        <v>0.10903685407099847</v>
      </c>
      <c r="AU9" s="32">
        <v>8.4604586688897601E-2</v>
      </c>
      <c r="AV9" s="32">
        <v>6.8995356524879564E-2</v>
      </c>
      <c r="AW9" s="32">
        <v>9.307453495896599E-2</v>
      </c>
      <c r="AX9" s="32">
        <v>7.7652807590393044E-2</v>
      </c>
      <c r="AY9" s="32">
        <v>0.1115787195261007</v>
      </c>
      <c r="AZ9" s="32">
        <v>0.11895928580266049</v>
      </c>
      <c r="BA9" s="32">
        <v>0.10007460291019321</v>
      </c>
      <c r="BB9" s="32">
        <v>8.7718209051681928E-2</v>
      </c>
      <c r="BC9" s="32">
        <v>8.0329865105609466E-2</v>
      </c>
      <c r="BD9" s="32">
        <v>7.2818552950245891E-2</v>
      </c>
      <c r="BF9" s="54" t="s">
        <v>60</v>
      </c>
      <c r="BG9" s="27" t="s">
        <v>28</v>
      </c>
      <c r="BH9" s="27" t="s">
        <v>38</v>
      </c>
      <c r="BI9" s="27" t="s">
        <v>22</v>
      </c>
      <c r="BJ9" s="27" t="s">
        <v>39</v>
      </c>
      <c r="BK9" s="27" t="s">
        <v>28</v>
      </c>
      <c r="BL9" s="27" t="s">
        <v>38</v>
      </c>
      <c r="BM9" s="27" t="s">
        <v>39</v>
      </c>
      <c r="BN9" s="27" t="s">
        <v>22</v>
      </c>
      <c r="BO9" s="27" t="s">
        <v>33</v>
      </c>
      <c r="BP9" s="27" t="s">
        <v>33</v>
      </c>
      <c r="BQ9" s="27" t="s">
        <v>37</v>
      </c>
      <c r="BR9" s="27" t="s">
        <v>37</v>
      </c>
      <c r="BS9" s="27" t="s">
        <v>39</v>
      </c>
      <c r="BT9" s="27" t="s">
        <v>21</v>
      </c>
      <c r="BU9" s="27" t="s">
        <v>22</v>
      </c>
      <c r="BV9" s="27" t="s">
        <v>39</v>
      </c>
      <c r="BW9" s="27" t="s">
        <v>28</v>
      </c>
      <c r="BX9" s="27" t="s">
        <v>22</v>
      </c>
      <c r="BY9" s="27" t="s">
        <v>37</v>
      </c>
      <c r="BZ9" s="27" t="s">
        <v>33</v>
      </c>
      <c r="CA9" s="27" t="s">
        <v>33</v>
      </c>
      <c r="CB9" s="27" t="s">
        <v>39</v>
      </c>
      <c r="CC9" s="27" t="s">
        <v>21</v>
      </c>
      <c r="CD9" s="27" t="s">
        <v>33</v>
      </c>
      <c r="CE9" s="27" t="s">
        <v>21</v>
      </c>
      <c r="CF9" s="27" t="s">
        <v>21</v>
      </c>
    </row>
    <row r="10" spans="1:84" s="27" customFormat="1" x14ac:dyDescent="0.35">
      <c r="A10"/>
      <c r="B10" s="54" t="s">
        <v>61</v>
      </c>
      <c r="C10" s="32">
        <f t="shared" ref="C10:AB10" si="4">1-SUM(C6:C9)</f>
        <v>0.19240000000000002</v>
      </c>
      <c r="D10" s="32">
        <f t="shared" si="4"/>
        <v>0.15489999999999993</v>
      </c>
      <c r="E10" s="32">
        <f t="shared" si="4"/>
        <v>0.17520000000000002</v>
      </c>
      <c r="F10" s="32">
        <f t="shared" si="4"/>
        <v>0.19909999999999983</v>
      </c>
      <c r="G10" s="32">
        <f t="shared" si="4"/>
        <v>0.15999999999999992</v>
      </c>
      <c r="H10" s="32">
        <f t="shared" si="4"/>
        <v>0.18140000000000001</v>
      </c>
      <c r="I10" s="32">
        <f t="shared" si="4"/>
        <v>0.16239999999999988</v>
      </c>
      <c r="J10" s="32">
        <f t="shared" si="4"/>
        <v>0.1754</v>
      </c>
      <c r="K10" s="32">
        <f t="shared" si="4"/>
        <v>0.16650000000000009</v>
      </c>
      <c r="L10" s="32">
        <f t="shared" si="4"/>
        <v>0.19169999999999998</v>
      </c>
      <c r="M10" s="32">
        <f t="shared" si="4"/>
        <v>0.16979999999999995</v>
      </c>
      <c r="N10" s="32">
        <f t="shared" si="4"/>
        <v>0.16899999999999982</v>
      </c>
      <c r="O10" s="32">
        <f t="shared" si="4"/>
        <v>0.15750000000000008</v>
      </c>
      <c r="P10" s="32">
        <f t="shared" si="4"/>
        <v>0.19530000000000003</v>
      </c>
      <c r="Q10" s="32">
        <f t="shared" si="4"/>
        <v>0.1885</v>
      </c>
      <c r="R10" s="32">
        <f t="shared" si="4"/>
        <v>0.21560000000000001</v>
      </c>
      <c r="S10" s="32">
        <f t="shared" si="4"/>
        <v>0.16810000000000003</v>
      </c>
      <c r="T10" s="32">
        <f t="shared" si="4"/>
        <v>0.15539999999999998</v>
      </c>
      <c r="U10" s="32">
        <f t="shared" si="4"/>
        <v>0.15410000000000013</v>
      </c>
      <c r="V10" s="32">
        <f t="shared" si="4"/>
        <v>0.17400000000000004</v>
      </c>
      <c r="W10" s="32">
        <f t="shared" si="4"/>
        <v>0.14119999999999999</v>
      </c>
      <c r="X10" s="32">
        <f t="shared" si="4"/>
        <v>0.17910000000000004</v>
      </c>
      <c r="Y10" s="32">
        <f t="shared" si="4"/>
        <v>0.18049999999999999</v>
      </c>
      <c r="Z10" s="32">
        <f t="shared" si="4"/>
        <v>0.17989999999999995</v>
      </c>
      <c r="AA10" s="32">
        <f t="shared" si="4"/>
        <v>0.15880000000000005</v>
      </c>
      <c r="AB10" s="32">
        <f t="shared" si="4"/>
        <v>0.15639999999999998</v>
      </c>
      <c r="AC10" s="32"/>
      <c r="AD10" s="54" t="s">
        <v>61</v>
      </c>
      <c r="AE10" s="32">
        <v>0.11330445679284097</v>
      </c>
      <c r="AF10" s="32">
        <v>9.9520977697112989E-2</v>
      </c>
      <c r="AG10" s="32">
        <v>0.11691160152169205</v>
      </c>
      <c r="AH10" s="32">
        <v>0.10219450116514266</v>
      </c>
      <c r="AI10" s="32">
        <v>8.9448695643014456E-2</v>
      </c>
      <c r="AJ10" s="32">
        <v>0.10997937952773711</v>
      </c>
      <c r="AK10" s="32">
        <v>8.1972888668639179E-2</v>
      </c>
      <c r="AL10" s="32">
        <v>7.3803560987340144E-2</v>
      </c>
      <c r="AM10" s="32">
        <v>9.5095493894039873E-2</v>
      </c>
      <c r="AN10" s="32">
        <v>0.14357166832391866</v>
      </c>
      <c r="AO10" s="32">
        <v>0.15109402059519145</v>
      </c>
      <c r="AP10" s="32">
        <v>0.10897309155840831</v>
      </c>
      <c r="AQ10" s="32">
        <v>0.12586055811419927</v>
      </c>
      <c r="AR10" s="32">
        <v>0.13342591058625269</v>
      </c>
      <c r="AS10" s="32">
        <v>0.10131918308853327</v>
      </c>
      <c r="AT10" s="32">
        <v>0.11606636098208563</v>
      </c>
      <c r="AU10" s="32">
        <v>9.1634093599984756E-2</v>
      </c>
      <c r="AV10" s="32">
        <v>7.6024863435966719E-2</v>
      </c>
      <c r="AW10" s="32">
        <v>0.10010404187005315</v>
      </c>
      <c r="AX10" s="32">
        <v>8.4682314501480199E-2</v>
      </c>
      <c r="AY10" s="32">
        <v>0.11860822643718785</v>
      </c>
      <c r="AZ10" s="32">
        <v>0.12598879271374763</v>
      </c>
      <c r="BA10" s="32">
        <v>0.10710410982128037</v>
      </c>
      <c r="BB10" s="32">
        <v>9.4747715962769083E-2</v>
      </c>
      <c r="BC10" s="32">
        <v>8.7359372016696621E-2</v>
      </c>
      <c r="BD10" s="32">
        <v>7.9848059861333046E-2</v>
      </c>
      <c r="BF10" s="54" t="s">
        <v>61</v>
      </c>
      <c r="BG10" s="27" t="s">
        <v>33</v>
      </c>
      <c r="BH10" s="27" t="s">
        <v>39</v>
      </c>
      <c r="BI10" s="27" t="s">
        <v>21</v>
      </c>
      <c r="BJ10" s="27" t="s">
        <v>39</v>
      </c>
      <c r="BK10" s="27" t="s">
        <v>28</v>
      </c>
      <c r="BL10" s="27" t="s">
        <v>22</v>
      </c>
      <c r="BM10" s="27" t="s">
        <v>21</v>
      </c>
      <c r="BN10" s="27" t="s">
        <v>38</v>
      </c>
      <c r="BO10" s="27" t="s">
        <v>22</v>
      </c>
      <c r="BP10" s="27" t="s">
        <v>33</v>
      </c>
      <c r="BQ10" s="27" t="s">
        <v>28</v>
      </c>
      <c r="BR10" s="27" t="s">
        <v>22</v>
      </c>
      <c r="BS10" s="27" t="s">
        <v>37</v>
      </c>
      <c r="BT10" s="27" t="s">
        <v>39</v>
      </c>
      <c r="BU10" s="27" t="s">
        <v>21</v>
      </c>
      <c r="BV10" s="27" t="s">
        <v>37</v>
      </c>
      <c r="BW10" s="27" t="s">
        <v>38</v>
      </c>
      <c r="BX10" s="27" t="s">
        <v>28</v>
      </c>
      <c r="BY10" s="27" t="s">
        <v>38</v>
      </c>
      <c r="BZ10" s="27" t="s">
        <v>33</v>
      </c>
      <c r="CA10" s="27" t="s">
        <v>28</v>
      </c>
      <c r="CB10" s="27" t="s">
        <v>38</v>
      </c>
      <c r="CC10" s="27" t="s">
        <v>38</v>
      </c>
      <c r="CD10" s="27" t="s">
        <v>38</v>
      </c>
      <c r="CE10" s="27" t="s">
        <v>37</v>
      </c>
      <c r="CF10" s="27" t="s">
        <v>39</v>
      </c>
    </row>
    <row r="11" spans="1:84" x14ac:dyDescent="0.35">
      <c r="B11" t="s">
        <v>62</v>
      </c>
      <c r="C11" s="12">
        <v>0.3599</v>
      </c>
      <c r="D11" s="12">
        <v>0.36529999999999996</v>
      </c>
      <c r="E11" s="12">
        <v>0.36459999999999998</v>
      </c>
      <c r="F11" s="12">
        <v>0.35339999999999999</v>
      </c>
      <c r="G11" s="12">
        <v>0.34719999999999995</v>
      </c>
      <c r="H11" s="12">
        <v>0.34919999999999995</v>
      </c>
      <c r="I11" s="12">
        <v>0.33889999999999998</v>
      </c>
      <c r="J11" s="12">
        <v>0.3503</v>
      </c>
      <c r="K11" s="12">
        <v>0.34499999999999997</v>
      </c>
      <c r="L11" s="12">
        <v>0.35459999999999997</v>
      </c>
      <c r="M11" s="12">
        <v>0.36549999999999999</v>
      </c>
      <c r="N11" s="12">
        <v>0.33139999999999997</v>
      </c>
      <c r="O11" s="12">
        <v>0.34559999999999996</v>
      </c>
      <c r="P11" s="12">
        <v>0.3352</v>
      </c>
      <c r="Q11" s="12">
        <v>0.36519999999999997</v>
      </c>
      <c r="R11" s="12">
        <v>0.36359999999999998</v>
      </c>
      <c r="S11" s="12">
        <v>0.33459999999999995</v>
      </c>
      <c r="T11" s="12">
        <v>0.34229999999999999</v>
      </c>
      <c r="U11" s="12">
        <v>0.3352</v>
      </c>
      <c r="V11" s="12">
        <v>0.34499999999999997</v>
      </c>
      <c r="W11" s="12">
        <v>0.34759999999999996</v>
      </c>
      <c r="X11" s="12">
        <v>0.35799999999999998</v>
      </c>
      <c r="Y11" s="12">
        <v>0.3397</v>
      </c>
      <c r="Z11" s="12">
        <v>0.33739999999999998</v>
      </c>
      <c r="AA11" s="12">
        <v>0.3448</v>
      </c>
      <c r="AB11" s="12">
        <v>0.35659999999999997</v>
      </c>
      <c r="AC11" s="20"/>
      <c r="AD11" t="s">
        <v>62</v>
      </c>
      <c r="AE11" s="20">
        <f>SUMPRODUCT(AE12:AE15,C12:C15)</f>
        <v>0.1380884</v>
      </c>
      <c r="AF11" s="20">
        <f t="shared" ref="AF11:BD11" si="5">SUMPRODUCT(AF12:AF15,D12:D15)</f>
        <v>0.12341442090427203</v>
      </c>
      <c r="AG11" s="20">
        <f t="shared" si="5"/>
        <v>0.14103614472885109</v>
      </c>
      <c r="AH11" s="20">
        <f t="shared" si="5"/>
        <v>0.12719744437230171</v>
      </c>
      <c r="AI11" s="20">
        <f t="shared" si="5"/>
        <v>0.11373753885017351</v>
      </c>
      <c r="AJ11" s="20">
        <f t="shared" si="5"/>
        <v>0.13366572273489616</v>
      </c>
      <c r="AK11" s="20">
        <f t="shared" si="5"/>
        <v>0.10619553187579822</v>
      </c>
      <c r="AL11" s="20">
        <f t="shared" si="5"/>
        <v>9.8591304194499185E-2</v>
      </c>
      <c r="AM11" s="20">
        <f t="shared" si="5"/>
        <v>0.11830593710119894</v>
      </c>
      <c r="AN11" s="20">
        <f t="shared" si="5"/>
        <v>0.16771121153107771</v>
      </c>
      <c r="AO11" s="20">
        <f t="shared" si="5"/>
        <v>0.1742018638023505</v>
      </c>
      <c r="AP11" s="20">
        <f t="shared" si="5"/>
        <v>0.13243773476556739</v>
      </c>
      <c r="AQ11" s="20">
        <f t="shared" si="5"/>
        <v>0.14911090132135832</v>
      </c>
      <c r="AR11" s="20">
        <f t="shared" si="5"/>
        <v>0.15706425379341174</v>
      </c>
      <c r="AS11" s="20">
        <f t="shared" si="5"/>
        <v>0.12531182629569229</v>
      </c>
      <c r="AT11" s="20">
        <f t="shared" si="5"/>
        <v>0.13990070418924466</v>
      </c>
      <c r="AU11" s="20">
        <f t="shared" si="5"/>
        <v>0.11662583680714381</v>
      </c>
      <c r="AV11" s="20">
        <f t="shared" si="5"/>
        <v>0.10072300664312576</v>
      </c>
      <c r="AW11" s="20">
        <f t="shared" si="5"/>
        <v>0.1238208850772122</v>
      </c>
      <c r="AX11" s="20">
        <f t="shared" si="5"/>
        <v>0.10860575770863926</v>
      </c>
      <c r="AY11" s="20">
        <f t="shared" si="5"/>
        <v>0.14195586964434689</v>
      </c>
      <c r="AZ11" s="20">
        <f t="shared" si="5"/>
        <v>0.14956933592090668</v>
      </c>
      <c r="BA11" s="20">
        <f t="shared" si="5"/>
        <v>0.1309991530284394</v>
      </c>
      <c r="BB11" s="20">
        <f t="shared" si="5"/>
        <v>0.11832235916992814</v>
      </c>
      <c r="BC11" s="20">
        <f t="shared" si="5"/>
        <v>0.11129651522385567</v>
      </c>
      <c r="BD11" s="20">
        <f t="shared" si="5"/>
        <v>0.10381880306849209</v>
      </c>
      <c r="BF11" t="s">
        <v>62</v>
      </c>
      <c r="BG11" t="s">
        <v>28</v>
      </c>
      <c r="BH11" t="s">
        <v>38</v>
      </c>
      <c r="BI11" t="s">
        <v>21</v>
      </c>
      <c r="BJ11" t="s">
        <v>28</v>
      </c>
      <c r="BK11" t="s">
        <v>37</v>
      </c>
      <c r="BL11" t="s">
        <v>22</v>
      </c>
      <c r="BM11" t="s">
        <v>37</v>
      </c>
      <c r="BN11" t="s">
        <v>22</v>
      </c>
      <c r="BO11" t="s">
        <v>38</v>
      </c>
      <c r="BP11" t="s">
        <v>37</v>
      </c>
      <c r="BQ11" t="s">
        <v>38</v>
      </c>
      <c r="BR11" t="s">
        <v>38</v>
      </c>
      <c r="BS11" t="s">
        <v>33</v>
      </c>
      <c r="BT11" t="s">
        <v>37</v>
      </c>
      <c r="BU11" t="s">
        <v>21</v>
      </c>
      <c r="BV11" t="s">
        <v>39</v>
      </c>
      <c r="BW11" t="s">
        <v>33</v>
      </c>
      <c r="BX11" t="s">
        <v>21</v>
      </c>
      <c r="BY11" t="s">
        <v>22</v>
      </c>
      <c r="BZ11" t="s">
        <v>39</v>
      </c>
      <c r="CA11" t="s">
        <v>33</v>
      </c>
      <c r="CB11" t="s">
        <v>22</v>
      </c>
      <c r="CC11" t="s">
        <v>39</v>
      </c>
      <c r="CD11" t="s">
        <v>28</v>
      </c>
      <c r="CE11" t="s">
        <v>28</v>
      </c>
      <c r="CF11" t="s">
        <v>33</v>
      </c>
    </row>
    <row r="12" spans="1:84" s="27" customFormat="1" x14ac:dyDescent="0.35">
      <c r="A12"/>
      <c r="B12" s="54" t="s">
        <v>63</v>
      </c>
      <c r="C12" s="40">
        <v>0.47689999999999999</v>
      </c>
      <c r="D12" s="40">
        <v>0.46909999999999996</v>
      </c>
      <c r="E12" s="40">
        <v>0.49179999999999996</v>
      </c>
      <c r="F12" s="40">
        <v>0.4713</v>
      </c>
      <c r="G12" s="40">
        <v>0.46859999999999996</v>
      </c>
      <c r="H12" s="40">
        <v>0.47749999999999998</v>
      </c>
      <c r="I12" s="40">
        <v>0.4844</v>
      </c>
      <c r="J12" s="40">
        <v>0.4652</v>
      </c>
      <c r="K12" s="40">
        <v>0.48519999999999996</v>
      </c>
      <c r="L12" s="40">
        <v>0.4672</v>
      </c>
      <c r="M12" s="40">
        <v>0.48699999999999999</v>
      </c>
      <c r="N12" s="40">
        <v>0.49619999999999997</v>
      </c>
      <c r="O12" s="40">
        <v>0.4899</v>
      </c>
      <c r="P12" s="40">
        <v>0.46920000000000001</v>
      </c>
      <c r="Q12" s="40">
        <v>0.47859999999999997</v>
      </c>
      <c r="R12" s="40">
        <v>0.49049999999999999</v>
      </c>
      <c r="S12" s="40">
        <v>0.4723</v>
      </c>
      <c r="T12" s="40">
        <v>0.47149999999999997</v>
      </c>
      <c r="U12" s="40">
        <v>0.46909999999999996</v>
      </c>
      <c r="V12" s="40">
        <v>0.49759999999999999</v>
      </c>
      <c r="W12" s="40">
        <v>0.49049999999999999</v>
      </c>
      <c r="X12" s="40">
        <v>0.4672</v>
      </c>
      <c r="Y12" s="40">
        <v>0.4798</v>
      </c>
      <c r="Z12" s="40">
        <v>0.48659999999999998</v>
      </c>
      <c r="AA12" s="40">
        <v>0.48949999999999999</v>
      </c>
      <c r="AB12" s="40">
        <v>0.47449999999999998</v>
      </c>
      <c r="AD12" s="54" t="s">
        <v>63</v>
      </c>
      <c r="AE12" s="32">
        <v>0.12488080000000001</v>
      </c>
      <c r="AF12" s="32">
        <v>0.11109732090427203</v>
      </c>
      <c r="AG12" s="32">
        <v>0.12848794472885111</v>
      </c>
      <c r="AH12" s="32">
        <v>0.1137708443723017</v>
      </c>
      <c r="AI12" s="32">
        <v>0.1010250388501735</v>
      </c>
      <c r="AJ12" s="32">
        <v>0.12155572273489615</v>
      </c>
      <c r="AK12" s="32">
        <v>9.3549231875798222E-2</v>
      </c>
      <c r="AL12" s="32">
        <v>8.5379904194499187E-2</v>
      </c>
      <c r="AM12" s="32">
        <v>0.10667183710119892</v>
      </c>
      <c r="AN12" s="32">
        <v>0.15514801153107771</v>
      </c>
      <c r="AO12" s="32">
        <v>0.16267036380235048</v>
      </c>
      <c r="AP12" s="32">
        <v>0.12054943476556736</v>
      </c>
      <c r="AQ12" s="32">
        <v>0.13743690132135833</v>
      </c>
      <c r="AR12" s="32">
        <v>0.14500225379341175</v>
      </c>
      <c r="AS12" s="32">
        <v>0.11289552629569231</v>
      </c>
      <c r="AT12" s="32">
        <v>0.12764270418924467</v>
      </c>
      <c r="AU12" s="32">
        <v>0.1032104368071438</v>
      </c>
      <c r="AV12" s="32">
        <v>8.7601206643125762E-2</v>
      </c>
      <c r="AW12" s="32">
        <v>0.11168038507721219</v>
      </c>
      <c r="AX12" s="32">
        <v>9.6258657708639242E-2</v>
      </c>
      <c r="AY12" s="32">
        <v>0.13018456964434688</v>
      </c>
      <c r="AZ12" s="32">
        <v>0.13756513592090669</v>
      </c>
      <c r="BA12" s="32">
        <v>0.11868045302843941</v>
      </c>
      <c r="BB12" s="32">
        <v>0.10632405916992813</v>
      </c>
      <c r="BC12" s="32">
        <v>9.8935715223855664E-2</v>
      </c>
      <c r="BD12" s="32">
        <v>9.1424403068492088E-2</v>
      </c>
      <c r="BF12" s="54" t="s">
        <v>63</v>
      </c>
      <c r="BG12" s="27" t="s">
        <v>28</v>
      </c>
      <c r="BH12" s="27" t="s">
        <v>21</v>
      </c>
      <c r="BI12" s="27" t="s">
        <v>21</v>
      </c>
      <c r="BJ12" s="27" t="s">
        <v>37</v>
      </c>
      <c r="BK12" s="27" t="s">
        <v>22</v>
      </c>
      <c r="BL12" s="27" t="s">
        <v>22</v>
      </c>
      <c r="BM12" s="27" t="s">
        <v>21</v>
      </c>
      <c r="BN12" s="27" t="s">
        <v>28</v>
      </c>
      <c r="BO12" s="27" t="s">
        <v>21</v>
      </c>
      <c r="BP12" s="27" t="s">
        <v>21</v>
      </c>
      <c r="BQ12" s="27" t="s">
        <v>38</v>
      </c>
      <c r="BR12" s="27" t="s">
        <v>38</v>
      </c>
      <c r="BS12" s="27" t="s">
        <v>21</v>
      </c>
      <c r="BT12" s="27" t="s">
        <v>28</v>
      </c>
      <c r="BU12" s="27" t="s">
        <v>28</v>
      </c>
      <c r="BV12" s="27" t="s">
        <v>39</v>
      </c>
      <c r="BW12" s="27" t="s">
        <v>28</v>
      </c>
      <c r="BX12" s="27" t="s">
        <v>28</v>
      </c>
      <c r="BY12" s="27" t="s">
        <v>37</v>
      </c>
      <c r="BZ12" s="27" t="s">
        <v>38</v>
      </c>
      <c r="CA12" s="27" t="s">
        <v>33</v>
      </c>
      <c r="CB12" s="27" t="s">
        <v>22</v>
      </c>
      <c r="CC12" s="27" t="s">
        <v>21</v>
      </c>
      <c r="CD12" s="27" t="s">
        <v>21</v>
      </c>
      <c r="CE12" s="27" t="s">
        <v>28</v>
      </c>
      <c r="CF12" s="27" t="s">
        <v>28</v>
      </c>
    </row>
    <row r="13" spans="1:84" s="27" customFormat="1" x14ac:dyDescent="0.35">
      <c r="A13"/>
      <c r="B13" s="54" t="s">
        <v>64</v>
      </c>
      <c r="C13" s="40">
        <v>0.2331</v>
      </c>
      <c r="D13" s="40">
        <v>0.25919999999999999</v>
      </c>
      <c r="E13" s="40">
        <v>0.2354</v>
      </c>
      <c r="F13" s="40">
        <v>0.22889999999999999</v>
      </c>
      <c r="G13" s="40">
        <v>0.24809999999999999</v>
      </c>
      <c r="H13" s="40">
        <v>0.23569999999999999</v>
      </c>
      <c r="I13" s="40">
        <v>0.23799999999999999</v>
      </c>
      <c r="J13" s="40">
        <v>0.24409999999999998</v>
      </c>
      <c r="K13" s="40">
        <v>0.24839999999999998</v>
      </c>
      <c r="L13" s="40">
        <v>0.23449999999999999</v>
      </c>
      <c r="M13" s="40">
        <v>0.2492</v>
      </c>
      <c r="N13" s="40">
        <v>0.25069999999999998</v>
      </c>
      <c r="O13" s="40">
        <v>0.24789999999999998</v>
      </c>
      <c r="P13" s="40">
        <v>0.24859999999999999</v>
      </c>
      <c r="Q13" s="40">
        <v>0.24759999999999999</v>
      </c>
      <c r="R13" s="40">
        <v>0.22639999999999999</v>
      </c>
      <c r="S13" s="40">
        <v>0.23419999999999999</v>
      </c>
      <c r="T13" s="40">
        <v>0.24459999999999998</v>
      </c>
      <c r="U13" s="40">
        <v>0.24359999999999998</v>
      </c>
      <c r="V13" s="40">
        <v>0.22549999999999998</v>
      </c>
      <c r="W13" s="40">
        <v>0.23809999999999998</v>
      </c>
      <c r="X13" s="40">
        <v>0.25429999999999997</v>
      </c>
      <c r="Y13" s="40">
        <v>0.2334</v>
      </c>
      <c r="Z13" s="40">
        <v>0.24409999999999998</v>
      </c>
      <c r="AA13" s="40">
        <v>0.24029999999999999</v>
      </c>
      <c r="AB13" s="40">
        <v>0.2261</v>
      </c>
      <c r="AD13" s="54" t="s">
        <v>64</v>
      </c>
      <c r="AE13" s="32">
        <v>0.1428808</v>
      </c>
      <c r="AF13" s="32">
        <v>0.12909732090427201</v>
      </c>
      <c r="AG13" s="32">
        <v>0.14648794472885107</v>
      </c>
      <c r="AH13" s="32">
        <v>0.13177084437230169</v>
      </c>
      <c r="AI13" s="32">
        <v>0.11902503885017349</v>
      </c>
      <c r="AJ13" s="32">
        <v>0.13955572273489614</v>
      </c>
      <c r="AK13" s="32">
        <v>0.11154923187579821</v>
      </c>
      <c r="AL13" s="32">
        <v>0.10337990419449918</v>
      </c>
      <c r="AM13" s="32">
        <v>0.1246718371011989</v>
      </c>
      <c r="AN13" s="32">
        <v>0.1731480115310777</v>
      </c>
      <c r="AO13" s="32">
        <v>0.18067036380235046</v>
      </c>
      <c r="AP13" s="32">
        <v>0.13854943476556736</v>
      </c>
      <c r="AQ13" s="32">
        <v>0.15543690132135832</v>
      </c>
      <c r="AR13" s="32">
        <v>0.16300225379341174</v>
      </c>
      <c r="AS13" s="32">
        <v>0.13089552629569229</v>
      </c>
      <c r="AT13" s="32">
        <v>0.14564270418924466</v>
      </c>
      <c r="AU13" s="32">
        <v>0.12121043680714379</v>
      </c>
      <c r="AV13" s="32">
        <v>0.10560120664312575</v>
      </c>
      <c r="AW13" s="32">
        <v>0.12968038507721219</v>
      </c>
      <c r="AX13" s="32">
        <v>0.11425865770863923</v>
      </c>
      <c r="AY13" s="32">
        <v>0.1481845696443469</v>
      </c>
      <c r="AZ13" s="32">
        <v>0.15556513592090668</v>
      </c>
      <c r="BA13" s="32">
        <v>0.1366804530284394</v>
      </c>
      <c r="BB13" s="32">
        <v>0.12432405916992811</v>
      </c>
      <c r="BC13" s="32">
        <v>0.11693571522385565</v>
      </c>
      <c r="BD13" s="32">
        <v>0.10942440306849208</v>
      </c>
      <c r="BF13" s="54" t="s">
        <v>64</v>
      </c>
      <c r="BG13" s="27" t="s">
        <v>33</v>
      </c>
      <c r="BH13" s="27" t="s">
        <v>28</v>
      </c>
      <c r="BI13" s="27" t="s">
        <v>22</v>
      </c>
      <c r="BJ13" s="27" t="s">
        <v>33</v>
      </c>
      <c r="BK13" s="27" t="s">
        <v>28</v>
      </c>
      <c r="BL13" s="27" t="s">
        <v>38</v>
      </c>
      <c r="BM13" s="27" t="s">
        <v>21</v>
      </c>
      <c r="BN13" s="27" t="s">
        <v>37</v>
      </c>
      <c r="BO13" s="27" t="s">
        <v>33</v>
      </c>
      <c r="BP13" s="27" t="s">
        <v>21</v>
      </c>
      <c r="BQ13" s="27" t="s">
        <v>39</v>
      </c>
      <c r="BR13" s="27" t="s">
        <v>39</v>
      </c>
      <c r="BS13" s="27" t="s">
        <v>22</v>
      </c>
      <c r="BT13" s="27" t="s">
        <v>38</v>
      </c>
      <c r="BU13" s="27" t="s">
        <v>21</v>
      </c>
      <c r="BV13" s="27" t="s">
        <v>37</v>
      </c>
      <c r="BW13" s="27" t="s">
        <v>38</v>
      </c>
      <c r="BX13" s="27" t="s">
        <v>33</v>
      </c>
      <c r="BY13" s="27" t="s">
        <v>33</v>
      </c>
      <c r="BZ13" s="27" t="s">
        <v>38</v>
      </c>
      <c r="CA13" s="27" t="s">
        <v>33</v>
      </c>
      <c r="CB13" s="27" t="s">
        <v>39</v>
      </c>
      <c r="CC13" s="27" t="s">
        <v>33</v>
      </c>
      <c r="CD13" s="27" t="s">
        <v>37</v>
      </c>
      <c r="CE13" s="27" t="s">
        <v>33</v>
      </c>
      <c r="CF13" s="27" t="s">
        <v>33</v>
      </c>
    </row>
    <row r="14" spans="1:84" s="27" customFormat="1" x14ac:dyDescent="0.35">
      <c r="A14"/>
      <c r="B14" s="54" t="s">
        <v>65</v>
      </c>
      <c r="C14" s="40">
        <v>6.6199999999999995E-2</v>
      </c>
      <c r="D14" s="40">
        <v>7.4999999999999997E-2</v>
      </c>
      <c r="E14" s="40">
        <v>6.5000000000000002E-2</v>
      </c>
      <c r="F14" s="40">
        <v>6.8600000000000008E-2</v>
      </c>
      <c r="G14" s="40">
        <v>7.3799999999999991E-2</v>
      </c>
      <c r="H14" s="40">
        <v>8.2599999999999993E-2</v>
      </c>
      <c r="I14" s="40">
        <v>6.7699999999999996E-2</v>
      </c>
      <c r="J14" s="40">
        <v>6.989999999999999E-2</v>
      </c>
      <c r="K14" s="40">
        <v>7.909999999999999E-2</v>
      </c>
      <c r="L14" s="40">
        <v>8.3299999999999999E-2</v>
      </c>
      <c r="M14" s="40">
        <v>7.9100000000000004E-2</v>
      </c>
      <c r="N14" s="40">
        <v>6.5799999999999997E-2</v>
      </c>
      <c r="O14" s="40">
        <v>7.5200000000000003E-2</v>
      </c>
      <c r="P14" s="40">
        <v>8.3799999999999999E-2</v>
      </c>
      <c r="Q14" s="40">
        <v>7.1499999999999994E-2</v>
      </c>
      <c r="R14" s="40">
        <v>7.4700000000000003E-2</v>
      </c>
      <c r="S14" s="40">
        <v>6.5699999999999995E-2</v>
      </c>
      <c r="T14" s="40">
        <v>6.6500000000000004E-2</v>
      </c>
      <c r="U14" s="40">
        <v>8.4799999999999986E-2</v>
      </c>
      <c r="V14" s="40">
        <v>6.8400000000000002E-2</v>
      </c>
      <c r="W14" s="40">
        <v>7.7499999999999999E-2</v>
      </c>
      <c r="X14" s="40">
        <v>8.3699999999999997E-2</v>
      </c>
      <c r="Y14" s="40">
        <v>7.8499999999999986E-2</v>
      </c>
      <c r="Z14" s="40">
        <v>7.3999999999999982E-2</v>
      </c>
      <c r="AA14" s="40">
        <v>6.7600000000000007E-2</v>
      </c>
      <c r="AB14" s="40">
        <v>8.4399999999999989E-2</v>
      </c>
      <c r="AD14" s="54" t="s">
        <v>65</v>
      </c>
      <c r="AE14" s="32">
        <v>0.10888080000000001</v>
      </c>
      <c r="AF14" s="32">
        <v>9.5097320904272031E-2</v>
      </c>
      <c r="AG14" s="32">
        <v>0.1124879447288511</v>
      </c>
      <c r="AH14" s="32">
        <v>9.7770844372301699E-2</v>
      </c>
      <c r="AI14" s="32">
        <v>8.5025038850173498E-2</v>
      </c>
      <c r="AJ14" s="32">
        <v>0.10555572273489615</v>
      </c>
      <c r="AK14" s="32">
        <v>7.7549231875798222E-2</v>
      </c>
      <c r="AL14" s="32">
        <v>6.9379904194499187E-2</v>
      </c>
      <c r="AM14" s="32">
        <v>9.0671837101198915E-2</v>
      </c>
      <c r="AN14" s="32">
        <v>0.1391480115310777</v>
      </c>
      <c r="AO14" s="32">
        <v>0.14667036380235049</v>
      </c>
      <c r="AP14" s="32">
        <v>0.10454943476556736</v>
      </c>
      <c r="AQ14" s="32">
        <v>0.12143690132135833</v>
      </c>
      <c r="AR14" s="32">
        <v>0.12900225379341174</v>
      </c>
      <c r="AS14" s="32">
        <v>9.6895526295692314E-2</v>
      </c>
      <c r="AT14" s="32">
        <v>0.11164270418924467</v>
      </c>
      <c r="AU14" s="32">
        <v>8.7210436807143799E-2</v>
      </c>
      <c r="AV14" s="32">
        <v>7.1601206643125762E-2</v>
      </c>
      <c r="AW14" s="32">
        <v>9.5680385077212188E-2</v>
      </c>
      <c r="AX14" s="32">
        <v>8.0258657708639242E-2</v>
      </c>
      <c r="AY14" s="32">
        <v>0.11418456964434689</v>
      </c>
      <c r="AZ14" s="32">
        <v>0.12156513592090669</v>
      </c>
      <c r="BA14" s="32">
        <v>0.10268045302843941</v>
      </c>
      <c r="BB14" s="32">
        <v>9.0324059169928125E-2</v>
      </c>
      <c r="BC14" s="32">
        <v>8.2935715223855663E-2</v>
      </c>
      <c r="BD14" s="32">
        <v>7.5424403068492088E-2</v>
      </c>
      <c r="BF14" s="54" t="s">
        <v>65</v>
      </c>
      <c r="BG14" s="27" t="s">
        <v>21</v>
      </c>
      <c r="BH14" s="27" t="s">
        <v>39</v>
      </c>
      <c r="BI14" s="27" t="s">
        <v>22</v>
      </c>
      <c r="BJ14" s="27" t="s">
        <v>38</v>
      </c>
      <c r="BK14" s="27" t="s">
        <v>21</v>
      </c>
      <c r="BL14" s="27" t="s">
        <v>37</v>
      </c>
      <c r="BM14" s="27" t="s">
        <v>28</v>
      </c>
      <c r="BN14" s="27" t="s">
        <v>22</v>
      </c>
      <c r="BO14" s="27" t="s">
        <v>28</v>
      </c>
      <c r="BP14" s="27" t="s">
        <v>33</v>
      </c>
      <c r="BQ14" s="27" t="s">
        <v>33</v>
      </c>
      <c r="BR14" s="27" t="s">
        <v>22</v>
      </c>
      <c r="BS14" s="27" t="s">
        <v>37</v>
      </c>
      <c r="BT14" s="27" t="s">
        <v>33</v>
      </c>
      <c r="BU14" s="27" t="s">
        <v>33</v>
      </c>
      <c r="BV14" s="27" t="s">
        <v>38</v>
      </c>
      <c r="BW14" s="27" t="s">
        <v>21</v>
      </c>
      <c r="BX14" s="27" t="s">
        <v>38</v>
      </c>
      <c r="BY14" s="27" t="s">
        <v>21</v>
      </c>
      <c r="BZ14" s="27" t="s">
        <v>39</v>
      </c>
      <c r="CA14" s="27" t="s">
        <v>33</v>
      </c>
      <c r="CB14" s="27" t="s">
        <v>33</v>
      </c>
      <c r="CC14" s="27" t="s">
        <v>33</v>
      </c>
      <c r="CD14" s="27" t="s">
        <v>21</v>
      </c>
      <c r="CE14" s="27" t="s">
        <v>37</v>
      </c>
      <c r="CF14" s="27" t="s">
        <v>21</v>
      </c>
    </row>
    <row r="15" spans="1:84" s="27" customFormat="1" x14ac:dyDescent="0.35">
      <c r="A15"/>
      <c r="B15" s="54" t="s">
        <v>66</v>
      </c>
      <c r="C15" s="32">
        <f t="shared" ref="C15:AB15" si="6">1-SUM(C12:C14)</f>
        <v>0.2238</v>
      </c>
      <c r="D15" s="32">
        <f t="shared" si="6"/>
        <v>0.1967000000000001</v>
      </c>
      <c r="E15" s="32">
        <f t="shared" si="6"/>
        <v>0.20779999999999998</v>
      </c>
      <c r="F15" s="32">
        <f t="shared" si="6"/>
        <v>0.23120000000000007</v>
      </c>
      <c r="G15" s="32">
        <f t="shared" si="6"/>
        <v>0.20950000000000013</v>
      </c>
      <c r="H15" s="32">
        <f t="shared" si="6"/>
        <v>0.20420000000000005</v>
      </c>
      <c r="I15" s="32">
        <f t="shared" si="6"/>
        <v>0.20990000000000009</v>
      </c>
      <c r="J15" s="32">
        <f t="shared" si="6"/>
        <v>0.2208</v>
      </c>
      <c r="K15" s="32">
        <f t="shared" si="6"/>
        <v>0.18730000000000013</v>
      </c>
      <c r="L15" s="32">
        <f t="shared" si="6"/>
        <v>0.21499999999999997</v>
      </c>
      <c r="M15" s="32">
        <f t="shared" si="6"/>
        <v>0.18470000000000009</v>
      </c>
      <c r="N15" s="32">
        <f t="shared" si="6"/>
        <v>0.18730000000000013</v>
      </c>
      <c r="O15" s="32">
        <f t="shared" si="6"/>
        <v>0.18699999999999994</v>
      </c>
      <c r="P15" s="32">
        <f t="shared" si="6"/>
        <v>0.19840000000000002</v>
      </c>
      <c r="Q15" s="32">
        <f t="shared" si="6"/>
        <v>0.20230000000000004</v>
      </c>
      <c r="R15" s="32">
        <f t="shared" si="6"/>
        <v>0.20840000000000003</v>
      </c>
      <c r="S15" s="32">
        <f t="shared" si="6"/>
        <v>0.2278</v>
      </c>
      <c r="T15" s="32">
        <f t="shared" si="6"/>
        <v>0.21740000000000004</v>
      </c>
      <c r="U15" s="32">
        <f t="shared" si="6"/>
        <v>0.20250000000000012</v>
      </c>
      <c r="V15" s="32">
        <f t="shared" si="6"/>
        <v>0.20850000000000002</v>
      </c>
      <c r="W15" s="32">
        <f t="shared" si="6"/>
        <v>0.19390000000000007</v>
      </c>
      <c r="X15" s="32">
        <f t="shared" si="6"/>
        <v>0.19479999999999997</v>
      </c>
      <c r="Y15" s="32">
        <f t="shared" si="6"/>
        <v>0.20829999999999993</v>
      </c>
      <c r="Z15" s="32">
        <f t="shared" si="6"/>
        <v>0.19530000000000014</v>
      </c>
      <c r="AA15" s="32">
        <f t="shared" si="6"/>
        <v>0.2026</v>
      </c>
      <c r="AB15" s="32">
        <f t="shared" si="6"/>
        <v>0.21499999999999997</v>
      </c>
      <c r="AC15" s="32"/>
      <c r="AD15" s="54" t="s">
        <v>66</v>
      </c>
      <c r="AE15" s="32">
        <v>0.16988080000000003</v>
      </c>
      <c r="AF15" s="32">
        <v>0.15609732090427203</v>
      </c>
      <c r="AG15" s="32">
        <v>0.1734879447288511</v>
      </c>
      <c r="AH15" s="32">
        <v>0.15877084437230171</v>
      </c>
      <c r="AI15" s="32">
        <v>0.14602503885017351</v>
      </c>
      <c r="AJ15" s="32">
        <v>0.16655572273489616</v>
      </c>
      <c r="AK15" s="32">
        <v>0.13854923187579823</v>
      </c>
      <c r="AL15" s="32">
        <v>0.13037990419449919</v>
      </c>
      <c r="AM15" s="32">
        <v>0.15167183710119891</v>
      </c>
      <c r="AN15" s="32">
        <v>0.20014801153107772</v>
      </c>
      <c r="AO15" s="32">
        <v>0.20767036380235049</v>
      </c>
      <c r="AP15" s="32">
        <v>0.16554943476556738</v>
      </c>
      <c r="AQ15" s="32">
        <v>0.18243690132135834</v>
      </c>
      <c r="AR15" s="32">
        <v>0.19000225379341176</v>
      </c>
      <c r="AS15" s="32">
        <v>0.15789552629569231</v>
      </c>
      <c r="AT15" s="32">
        <v>0.17264270418924468</v>
      </c>
      <c r="AU15" s="32">
        <v>0.1482104368071438</v>
      </c>
      <c r="AV15" s="32">
        <v>0.13260120664312577</v>
      </c>
      <c r="AW15" s="32">
        <v>0.15668038507721221</v>
      </c>
      <c r="AX15" s="32">
        <v>0.14125865770863927</v>
      </c>
      <c r="AY15" s="32">
        <v>0.17518456964434692</v>
      </c>
      <c r="AZ15" s="32">
        <v>0.1825651359209067</v>
      </c>
      <c r="BA15" s="32">
        <v>0.16368045302843942</v>
      </c>
      <c r="BB15" s="32">
        <v>0.15132405916992814</v>
      </c>
      <c r="BC15" s="32">
        <v>0.14393571522385568</v>
      </c>
      <c r="BD15" s="32">
        <v>0.1364244030684921</v>
      </c>
      <c r="BF15" s="54" t="s">
        <v>66</v>
      </c>
      <c r="BG15" s="27" t="s">
        <v>33</v>
      </c>
      <c r="BH15" s="27" t="s">
        <v>22</v>
      </c>
      <c r="BI15" s="27" t="s">
        <v>33</v>
      </c>
      <c r="BJ15" s="27" t="s">
        <v>33</v>
      </c>
      <c r="BK15" s="27" t="s">
        <v>22</v>
      </c>
      <c r="BL15" s="27" t="s">
        <v>21</v>
      </c>
      <c r="BM15" s="27" t="s">
        <v>21</v>
      </c>
      <c r="BN15" s="27" t="s">
        <v>21</v>
      </c>
      <c r="BO15" s="27" t="s">
        <v>39</v>
      </c>
      <c r="BP15" s="27" t="s">
        <v>21</v>
      </c>
      <c r="BQ15" s="27" t="s">
        <v>39</v>
      </c>
      <c r="BR15" s="27" t="s">
        <v>33</v>
      </c>
      <c r="BS15" s="27" t="s">
        <v>37</v>
      </c>
      <c r="BT15" s="27" t="s">
        <v>33</v>
      </c>
      <c r="BU15" s="27" t="s">
        <v>37</v>
      </c>
      <c r="BV15" s="27" t="s">
        <v>21</v>
      </c>
      <c r="BW15" s="27" t="s">
        <v>33</v>
      </c>
      <c r="BX15" s="27" t="s">
        <v>33</v>
      </c>
      <c r="BY15" s="27" t="s">
        <v>21</v>
      </c>
      <c r="BZ15" s="27" t="s">
        <v>21</v>
      </c>
      <c r="CA15" s="27" t="s">
        <v>38</v>
      </c>
      <c r="CB15" s="27" t="s">
        <v>37</v>
      </c>
      <c r="CC15" s="27" t="s">
        <v>39</v>
      </c>
      <c r="CD15" s="27" t="s">
        <v>33</v>
      </c>
      <c r="CE15" s="27" t="s">
        <v>39</v>
      </c>
      <c r="CF15" s="27" t="s">
        <v>38</v>
      </c>
    </row>
    <row r="16" spans="1:84" x14ac:dyDescent="0.35">
      <c r="B16" t="s">
        <v>67</v>
      </c>
      <c r="C16" s="12">
        <v>7.9700000000000007E-2</v>
      </c>
      <c r="D16" s="12">
        <v>9.06E-2</v>
      </c>
      <c r="E16" s="12">
        <v>8.77E-2</v>
      </c>
      <c r="F16" s="12">
        <v>9.1499999999999998E-2</v>
      </c>
      <c r="G16" s="12">
        <v>7.0400000000000004E-2</v>
      </c>
      <c r="H16" s="12">
        <v>7.2800000000000004E-2</v>
      </c>
      <c r="I16" s="12">
        <v>9.0499999999999997E-2</v>
      </c>
      <c r="J16" s="12">
        <v>7.110000000000001E-2</v>
      </c>
      <c r="K16" s="12">
        <v>7.5200000000000003E-2</v>
      </c>
      <c r="L16" s="12">
        <v>8.1500000000000003E-2</v>
      </c>
      <c r="M16" s="12">
        <v>7.740000000000001E-2</v>
      </c>
      <c r="N16" s="12">
        <v>7.2400000000000006E-2</v>
      </c>
      <c r="O16" s="12">
        <v>8.8400000000000006E-2</v>
      </c>
      <c r="P16" s="12">
        <v>7.0900000000000005E-2</v>
      </c>
      <c r="Q16" s="12">
        <v>7.8399999999999997E-2</v>
      </c>
      <c r="R16" s="12">
        <v>7.1199999999999999E-2</v>
      </c>
      <c r="S16" s="12">
        <v>8.2699999999999996E-2</v>
      </c>
      <c r="T16" s="12">
        <v>7.5600000000000001E-2</v>
      </c>
      <c r="U16" s="12">
        <v>7.3800000000000004E-2</v>
      </c>
      <c r="V16" s="12">
        <v>8.8800000000000004E-2</v>
      </c>
      <c r="W16" s="12">
        <v>8.6500000000000007E-2</v>
      </c>
      <c r="X16" s="12">
        <v>7.8100000000000017E-2</v>
      </c>
      <c r="Y16" s="12">
        <v>7.2300000000000003E-2</v>
      </c>
      <c r="Z16" s="12">
        <v>8.4000000000000005E-2</v>
      </c>
      <c r="AA16" s="12">
        <v>8.9899999999999994E-2</v>
      </c>
      <c r="AB16" s="12">
        <v>8.3199999999999996E-2</v>
      </c>
      <c r="AC16" s="20"/>
      <c r="AD16" t="s">
        <v>67</v>
      </c>
      <c r="AE16" s="20">
        <f>SUMPRODUCT(AE17:AE19,C17:C19)</f>
        <v>7.6088399999999973E-2</v>
      </c>
      <c r="AF16" s="20">
        <f t="shared" ref="AF16:BD16" si="7">SUMPRODUCT(AF17:AF19,D17:D19)</f>
        <v>6.3576920904272E-2</v>
      </c>
      <c r="AG16" s="20">
        <f t="shared" si="7"/>
        <v>8.0316444728851064E-2</v>
      </c>
      <c r="AH16" s="20">
        <f t="shared" si="7"/>
        <v>6.6299844372301658E-2</v>
      </c>
      <c r="AI16" s="20">
        <f t="shared" si="7"/>
        <v>5.3537538850173469E-2</v>
      </c>
      <c r="AJ16" s="20">
        <f t="shared" si="7"/>
        <v>7.3312822734896116E-2</v>
      </c>
      <c r="AK16" s="20">
        <f t="shared" si="7"/>
        <v>4.5679631875798189E-2</v>
      </c>
      <c r="AL16" s="20">
        <f t="shared" si="7"/>
        <v>3.6735004194499155E-2</v>
      </c>
      <c r="AM16" s="20">
        <f t="shared" si="7"/>
        <v>5.8155937101198887E-2</v>
      </c>
      <c r="AN16" s="20">
        <f t="shared" si="7"/>
        <v>0.10679131153107768</v>
      </c>
      <c r="AO16" s="20">
        <f t="shared" si="7"/>
        <v>0.11404256380235045</v>
      </c>
      <c r="AP16" s="20">
        <f t="shared" si="7"/>
        <v>7.334933476556732E-2</v>
      </c>
      <c r="AQ16" s="20">
        <f t="shared" si="7"/>
        <v>8.865470132135829E-2</v>
      </c>
      <c r="AR16" s="20">
        <f t="shared" si="7"/>
        <v>9.6500053793411728E-2</v>
      </c>
      <c r="AS16" s="20">
        <f t="shared" si="7"/>
        <v>6.4750926295692277E-2</v>
      </c>
      <c r="AT16" s="20">
        <f t="shared" si="7"/>
        <v>7.9345104189244633E-2</v>
      </c>
      <c r="AU16" s="20">
        <f t="shared" si="7"/>
        <v>5.5368436807143762E-2</v>
      </c>
      <c r="AV16" s="20">
        <f t="shared" si="7"/>
        <v>3.9670206643125719E-2</v>
      </c>
      <c r="AW16" s="20">
        <f t="shared" si="7"/>
        <v>6.4026485077212161E-2</v>
      </c>
      <c r="AX16" s="20">
        <f t="shared" si="7"/>
        <v>4.8682557708639204E-2</v>
      </c>
      <c r="AY16" s="20">
        <f t="shared" si="7"/>
        <v>8.2395969644346853E-2</v>
      </c>
      <c r="AZ16" s="20">
        <f t="shared" si="7"/>
        <v>8.9857035920906658E-2</v>
      </c>
      <c r="BA16" s="20">
        <f t="shared" si="7"/>
        <v>7.0609253028439373E-2</v>
      </c>
      <c r="BB16" s="20">
        <f t="shared" si="7"/>
        <v>5.8763259169928091E-2</v>
      </c>
      <c r="BC16" s="20">
        <f t="shared" si="7"/>
        <v>5.0669915223855624E-2</v>
      </c>
      <c r="BD16" s="20">
        <f t="shared" si="7"/>
        <v>4.2589603068492049E-2</v>
      </c>
      <c r="BF16" t="s">
        <v>67</v>
      </c>
      <c r="BG16" t="s">
        <v>37</v>
      </c>
      <c r="BH16" t="s">
        <v>28</v>
      </c>
      <c r="BI16" t="s">
        <v>21</v>
      </c>
      <c r="BJ16" t="s">
        <v>21</v>
      </c>
      <c r="BK16" t="s">
        <v>22</v>
      </c>
      <c r="BL16" t="s">
        <v>21</v>
      </c>
      <c r="BM16" t="s">
        <v>33</v>
      </c>
      <c r="BN16" t="s">
        <v>39</v>
      </c>
      <c r="BO16" t="s">
        <v>22</v>
      </c>
      <c r="BP16" t="s">
        <v>37</v>
      </c>
      <c r="BQ16" t="s">
        <v>28</v>
      </c>
      <c r="BR16" t="s">
        <v>39</v>
      </c>
      <c r="BS16" t="s">
        <v>39</v>
      </c>
      <c r="BT16" t="s">
        <v>37</v>
      </c>
      <c r="BU16" t="s">
        <v>39</v>
      </c>
      <c r="BV16" t="s">
        <v>22</v>
      </c>
      <c r="BW16" t="s">
        <v>33</v>
      </c>
      <c r="BX16" t="s">
        <v>22</v>
      </c>
      <c r="BY16" t="s">
        <v>39</v>
      </c>
      <c r="BZ16" t="s">
        <v>28</v>
      </c>
      <c r="CA16" t="s">
        <v>37</v>
      </c>
      <c r="CB16" t="s">
        <v>22</v>
      </c>
      <c r="CC16" t="s">
        <v>37</v>
      </c>
      <c r="CD16" t="s">
        <v>21</v>
      </c>
      <c r="CE16" t="s">
        <v>37</v>
      </c>
      <c r="CF16" t="s">
        <v>38</v>
      </c>
    </row>
    <row r="17" spans="1:84" s="27" customFormat="1" x14ac:dyDescent="0.35">
      <c r="A17"/>
      <c r="B17" s="54" t="s">
        <v>151</v>
      </c>
      <c r="C17" s="40">
        <v>0.44820000000000004</v>
      </c>
      <c r="D17" s="40">
        <v>0.46529999999999999</v>
      </c>
      <c r="E17" s="40">
        <v>0.46970000000000001</v>
      </c>
      <c r="F17" s="40">
        <v>0.46010000000000001</v>
      </c>
      <c r="G17" s="40">
        <v>0.47150000000000003</v>
      </c>
      <c r="H17" s="40">
        <v>0.45890000000000003</v>
      </c>
      <c r="I17" s="40">
        <v>0.44640000000000002</v>
      </c>
      <c r="J17" s="40">
        <v>0.44450000000000001</v>
      </c>
      <c r="K17" s="40">
        <v>0.4511</v>
      </c>
      <c r="L17" s="40">
        <v>0.45130000000000003</v>
      </c>
      <c r="M17" s="40">
        <v>0.4385</v>
      </c>
      <c r="N17" s="40">
        <v>0.46460000000000001</v>
      </c>
      <c r="O17" s="40">
        <v>0.44640000000000002</v>
      </c>
      <c r="P17" s="40">
        <v>0.44830000000000003</v>
      </c>
      <c r="Q17" s="40">
        <v>0.46870000000000001</v>
      </c>
      <c r="R17" s="40">
        <v>0.44500000000000001</v>
      </c>
      <c r="S17" s="40">
        <v>0.44130000000000003</v>
      </c>
      <c r="T17" s="40">
        <v>0.44500000000000001</v>
      </c>
      <c r="U17" s="40">
        <v>0.46500000000000002</v>
      </c>
      <c r="V17" s="40">
        <v>0.46450000000000002</v>
      </c>
      <c r="W17" s="40">
        <v>0.45</v>
      </c>
      <c r="X17" s="40">
        <v>0.4582</v>
      </c>
      <c r="Y17" s="40">
        <v>0.45330000000000004</v>
      </c>
      <c r="Z17" s="40">
        <v>0.44620000000000004</v>
      </c>
      <c r="AA17" s="40">
        <v>0.43870000000000003</v>
      </c>
      <c r="AB17" s="40">
        <v>0.44359999999999999</v>
      </c>
      <c r="AD17" s="54" t="s">
        <v>151</v>
      </c>
      <c r="AE17" s="32">
        <v>7.5525999999999982E-2</v>
      </c>
      <c r="AF17" s="32">
        <v>6.1742520904272E-2</v>
      </c>
      <c r="AG17" s="32">
        <v>7.9133144728851065E-2</v>
      </c>
      <c r="AH17" s="32">
        <v>6.4416044372301667E-2</v>
      </c>
      <c r="AI17" s="32">
        <v>5.1670238850173467E-2</v>
      </c>
      <c r="AJ17" s="32">
        <v>7.2200922734896117E-2</v>
      </c>
      <c r="AK17" s="32">
        <v>4.419443187579819E-2</v>
      </c>
      <c r="AL17" s="32">
        <v>3.6025104194499155E-2</v>
      </c>
      <c r="AM17" s="32">
        <v>5.7317037101198884E-2</v>
      </c>
      <c r="AN17" s="32">
        <v>0.10579321153107768</v>
      </c>
      <c r="AO17" s="32">
        <v>0.11331556380235044</v>
      </c>
      <c r="AP17" s="32">
        <v>7.1194634765567325E-2</v>
      </c>
      <c r="AQ17" s="32">
        <v>8.8082101321358297E-2</v>
      </c>
      <c r="AR17" s="32">
        <v>9.5647453793411719E-2</v>
      </c>
      <c r="AS17" s="32">
        <v>6.3540726295692282E-2</v>
      </c>
      <c r="AT17" s="32">
        <v>7.8287904189244639E-2</v>
      </c>
      <c r="AU17" s="32">
        <v>5.3855636807143767E-2</v>
      </c>
      <c r="AV17" s="32">
        <v>3.824640664312573E-2</v>
      </c>
      <c r="AW17" s="32">
        <v>6.2325585077212156E-2</v>
      </c>
      <c r="AX17" s="32">
        <v>4.690385770863921E-2</v>
      </c>
      <c r="AY17" s="32">
        <v>8.0829769644346863E-2</v>
      </c>
      <c r="AZ17" s="32">
        <v>8.8210335920906657E-2</v>
      </c>
      <c r="BA17" s="32">
        <v>6.9325653028439377E-2</v>
      </c>
      <c r="BB17" s="32">
        <v>5.6969259169928094E-2</v>
      </c>
      <c r="BC17" s="32">
        <v>4.9580915223855632E-2</v>
      </c>
      <c r="BD17" s="32">
        <v>4.2069603068492056E-2</v>
      </c>
      <c r="BF17" s="54" t="s">
        <v>151</v>
      </c>
      <c r="BG17" s="27" t="s">
        <v>21</v>
      </c>
      <c r="BH17" s="27" t="s">
        <v>37</v>
      </c>
      <c r="BI17" s="27" t="s">
        <v>37</v>
      </c>
      <c r="BJ17" s="27" t="s">
        <v>22</v>
      </c>
      <c r="BK17" s="27" t="s">
        <v>28</v>
      </c>
      <c r="BL17" s="27" t="s">
        <v>28</v>
      </c>
      <c r="BM17" s="27" t="s">
        <v>33</v>
      </c>
      <c r="BN17" s="27" t="s">
        <v>21</v>
      </c>
      <c r="BO17" s="27" t="s">
        <v>21</v>
      </c>
      <c r="BP17" s="27" t="s">
        <v>28</v>
      </c>
      <c r="BQ17" s="27" t="s">
        <v>28</v>
      </c>
      <c r="BR17" s="27" t="s">
        <v>33</v>
      </c>
      <c r="BS17" s="27" t="s">
        <v>22</v>
      </c>
      <c r="BT17" s="27" t="s">
        <v>39</v>
      </c>
      <c r="BU17" s="27" t="s">
        <v>28</v>
      </c>
      <c r="BV17" s="27" t="s">
        <v>38</v>
      </c>
      <c r="BW17" s="27" t="s">
        <v>21</v>
      </c>
      <c r="BX17" s="27" t="s">
        <v>37</v>
      </c>
      <c r="BY17" s="27" t="s">
        <v>39</v>
      </c>
      <c r="BZ17" s="27" t="s">
        <v>39</v>
      </c>
      <c r="CA17" s="27" t="s">
        <v>33</v>
      </c>
      <c r="CB17" s="27" t="s">
        <v>22</v>
      </c>
      <c r="CC17" s="27" t="s">
        <v>38</v>
      </c>
      <c r="CD17" s="27" t="s">
        <v>33</v>
      </c>
      <c r="CE17" s="27" t="s">
        <v>39</v>
      </c>
      <c r="CF17" s="27" t="s">
        <v>38</v>
      </c>
    </row>
    <row r="18" spans="1:84" s="27" customFormat="1" x14ac:dyDescent="0.35">
      <c r="A18"/>
      <c r="B18" s="54" t="s">
        <v>68</v>
      </c>
      <c r="C18" s="40">
        <v>0.24080000000000001</v>
      </c>
      <c r="D18" s="40">
        <v>0.26640000000000003</v>
      </c>
      <c r="E18" s="40">
        <v>0.24790000000000001</v>
      </c>
      <c r="F18" s="40">
        <v>0.26979999999999998</v>
      </c>
      <c r="G18" s="40">
        <v>0.26469999999999999</v>
      </c>
      <c r="H18" s="40">
        <v>0.2505</v>
      </c>
      <c r="I18" s="40">
        <v>0.26519999999999999</v>
      </c>
      <c r="J18" s="40">
        <v>0.24610000000000001</v>
      </c>
      <c r="K18" s="40">
        <v>0.2467</v>
      </c>
      <c r="L18" s="40">
        <v>0.25070000000000003</v>
      </c>
      <c r="M18" s="40">
        <v>0.249</v>
      </c>
      <c r="N18" s="40">
        <v>0.27490000000000003</v>
      </c>
      <c r="O18" s="40">
        <v>0.24180000000000001</v>
      </c>
      <c r="P18" s="40">
        <v>0.2482</v>
      </c>
      <c r="Q18" s="40">
        <v>0.249</v>
      </c>
      <c r="R18" s="40">
        <v>0.25480000000000003</v>
      </c>
      <c r="S18" s="40">
        <v>0.26800000000000002</v>
      </c>
      <c r="T18" s="40">
        <v>0.26419999999999999</v>
      </c>
      <c r="U18" s="40">
        <v>0.2631</v>
      </c>
      <c r="V18" s="40">
        <v>0.26529999999999998</v>
      </c>
      <c r="W18" s="40">
        <v>0.26579999999999998</v>
      </c>
      <c r="X18" s="40">
        <v>0.26450000000000001</v>
      </c>
      <c r="Y18" s="40">
        <v>0.25719999999999998</v>
      </c>
      <c r="Z18" s="40">
        <v>0.2732</v>
      </c>
      <c r="AA18" s="40">
        <v>0.25819999999999999</v>
      </c>
      <c r="AB18" s="40">
        <v>0.24160000000000001</v>
      </c>
      <c r="AD18" s="54" t="s">
        <v>68</v>
      </c>
      <c r="AE18" s="32">
        <v>9.8525999999999975E-2</v>
      </c>
      <c r="AF18" s="32">
        <v>8.4742520904271992E-2</v>
      </c>
      <c r="AG18" s="32">
        <v>0.10213314472885106</v>
      </c>
      <c r="AH18" s="32">
        <v>8.741604437230166E-2</v>
      </c>
      <c r="AI18" s="32">
        <v>7.4670238850173459E-2</v>
      </c>
      <c r="AJ18" s="32">
        <v>9.520092273489611E-2</v>
      </c>
      <c r="AK18" s="32">
        <v>6.7194431875798183E-2</v>
      </c>
      <c r="AL18" s="32">
        <v>5.9025104194499148E-2</v>
      </c>
      <c r="AM18" s="32">
        <v>8.0317037101198877E-2</v>
      </c>
      <c r="AN18" s="32">
        <v>0.12879321153107767</v>
      </c>
      <c r="AO18" s="32">
        <v>0.13631556380235044</v>
      </c>
      <c r="AP18" s="32">
        <v>9.4194634765567317E-2</v>
      </c>
      <c r="AQ18" s="32">
        <v>0.11108210132135829</v>
      </c>
      <c r="AR18" s="32">
        <v>0.11864745379341171</v>
      </c>
      <c r="AS18" s="32">
        <v>8.6540726295692275E-2</v>
      </c>
      <c r="AT18" s="32">
        <v>0.10128790418924463</v>
      </c>
      <c r="AU18" s="32">
        <v>7.685563680714376E-2</v>
      </c>
      <c r="AV18" s="32">
        <v>6.1246406643125723E-2</v>
      </c>
      <c r="AW18" s="32">
        <v>8.5325585077212149E-2</v>
      </c>
      <c r="AX18" s="32">
        <v>6.9903857708639203E-2</v>
      </c>
      <c r="AY18" s="32">
        <v>0.10382976964434686</v>
      </c>
      <c r="AZ18" s="32">
        <v>0.11121033592090665</v>
      </c>
      <c r="BA18" s="32">
        <v>9.2325653028439369E-2</v>
      </c>
      <c r="BB18" s="32">
        <v>7.9969259169928086E-2</v>
      </c>
      <c r="BC18" s="32">
        <v>7.2580915223855624E-2</v>
      </c>
      <c r="BD18" s="32">
        <v>6.5069603068492049E-2</v>
      </c>
      <c r="BF18" s="54" t="s">
        <v>68</v>
      </c>
      <c r="BG18" s="27" t="s">
        <v>28</v>
      </c>
      <c r="BH18" s="27" t="s">
        <v>28</v>
      </c>
      <c r="BI18" s="27" t="s">
        <v>39</v>
      </c>
      <c r="BJ18" s="27" t="s">
        <v>39</v>
      </c>
      <c r="BK18" s="27" t="s">
        <v>21</v>
      </c>
      <c r="BL18" s="27" t="s">
        <v>38</v>
      </c>
      <c r="BM18" s="27" t="s">
        <v>38</v>
      </c>
      <c r="BN18" s="27" t="s">
        <v>39</v>
      </c>
      <c r="BO18" s="27" t="s">
        <v>39</v>
      </c>
      <c r="BP18" s="27" t="s">
        <v>33</v>
      </c>
      <c r="BQ18" s="27" t="s">
        <v>22</v>
      </c>
      <c r="BR18" s="27" t="s">
        <v>28</v>
      </c>
      <c r="BS18" s="27" t="s">
        <v>37</v>
      </c>
      <c r="BT18" s="27" t="s">
        <v>39</v>
      </c>
      <c r="BU18" s="27" t="s">
        <v>39</v>
      </c>
      <c r="BV18" s="27" t="s">
        <v>37</v>
      </c>
      <c r="BW18" s="27" t="s">
        <v>37</v>
      </c>
      <c r="BX18" s="27" t="s">
        <v>21</v>
      </c>
      <c r="BY18" s="27" t="s">
        <v>38</v>
      </c>
      <c r="BZ18" s="27" t="s">
        <v>39</v>
      </c>
      <c r="CA18" s="27" t="s">
        <v>39</v>
      </c>
      <c r="CB18" s="27" t="s">
        <v>37</v>
      </c>
      <c r="CC18" s="27" t="s">
        <v>38</v>
      </c>
      <c r="CD18" s="27" t="s">
        <v>21</v>
      </c>
      <c r="CE18" s="27" t="s">
        <v>37</v>
      </c>
      <c r="CF18" s="27" t="s">
        <v>33</v>
      </c>
    </row>
    <row r="19" spans="1:84" s="27" customFormat="1" x14ac:dyDescent="0.35">
      <c r="A19"/>
      <c r="B19" s="54" t="s">
        <v>152</v>
      </c>
      <c r="C19" s="32">
        <f t="shared" ref="C19:AB19" si="8">1-SUM(C17:C18)</f>
        <v>0.31099999999999994</v>
      </c>
      <c r="D19" s="32">
        <f t="shared" si="8"/>
        <v>0.26829999999999998</v>
      </c>
      <c r="E19" s="32">
        <f t="shared" si="8"/>
        <v>0.28239999999999998</v>
      </c>
      <c r="F19" s="32">
        <f t="shared" si="8"/>
        <v>0.27010000000000001</v>
      </c>
      <c r="G19" s="32">
        <f t="shared" si="8"/>
        <v>0.26380000000000003</v>
      </c>
      <c r="H19" s="32">
        <f t="shared" si="8"/>
        <v>0.29059999999999997</v>
      </c>
      <c r="I19" s="32">
        <f t="shared" si="8"/>
        <v>0.28839999999999999</v>
      </c>
      <c r="J19" s="32">
        <f t="shared" si="8"/>
        <v>0.30940000000000001</v>
      </c>
      <c r="K19" s="32">
        <f t="shared" si="8"/>
        <v>0.30220000000000002</v>
      </c>
      <c r="L19" s="32">
        <f t="shared" si="8"/>
        <v>0.29799999999999993</v>
      </c>
      <c r="M19" s="32">
        <f t="shared" si="8"/>
        <v>0.3125</v>
      </c>
      <c r="N19" s="32">
        <f t="shared" si="8"/>
        <v>0.26049999999999995</v>
      </c>
      <c r="O19" s="32">
        <f t="shared" si="8"/>
        <v>0.31179999999999997</v>
      </c>
      <c r="P19" s="32">
        <f t="shared" si="8"/>
        <v>0.30349999999999999</v>
      </c>
      <c r="Q19" s="32">
        <f t="shared" si="8"/>
        <v>0.2823</v>
      </c>
      <c r="R19" s="32">
        <f t="shared" si="8"/>
        <v>0.30020000000000002</v>
      </c>
      <c r="S19" s="32">
        <f t="shared" si="8"/>
        <v>0.29069999999999996</v>
      </c>
      <c r="T19" s="32">
        <f t="shared" si="8"/>
        <v>0.29079999999999995</v>
      </c>
      <c r="U19" s="32">
        <f t="shared" si="8"/>
        <v>0.27190000000000003</v>
      </c>
      <c r="V19" s="32">
        <f t="shared" si="8"/>
        <v>0.2702</v>
      </c>
      <c r="W19" s="32">
        <f t="shared" si="8"/>
        <v>0.28420000000000001</v>
      </c>
      <c r="X19" s="32">
        <f t="shared" si="8"/>
        <v>0.27729999999999999</v>
      </c>
      <c r="Y19" s="32">
        <f t="shared" si="8"/>
        <v>0.28949999999999998</v>
      </c>
      <c r="Z19" s="32">
        <f t="shared" si="8"/>
        <v>0.28059999999999996</v>
      </c>
      <c r="AA19" s="32">
        <f t="shared" si="8"/>
        <v>0.30309999999999993</v>
      </c>
      <c r="AB19" s="32">
        <f t="shared" si="8"/>
        <v>0.31479999999999997</v>
      </c>
      <c r="AD19" s="54" t="s">
        <v>152</v>
      </c>
      <c r="AE19" s="32">
        <v>5.9525999999999982E-2</v>
      </c>
      <c r="AF19" s="32">
        <v>4.5742520904271999E-2</v>
      </c>
      <c r="AG19" s="32">
        <v>6.3133144728851065E-2</v>
      </c>
      <c r="AH19" s="32">
        <v>4.8416044372301667E-2</v>
      </c>
      <c r="AI19" s="32">
        <v>3.5670238850173466E-2</v>
      </c>
      <c r="AJ19" s="32">
        <v>5.6200922734896117E-2</v>
      </c>
      <c r="AK19" s="32">
        <v>2.819443187579819E-2</v>
      </c>
      <c r="AL19" s="32">
        <v>2.0025104194499155E-2</v>
      </c>
      <c r="AM19" s="32">
        <v>4.1317037101198884E-2</v>
      </c>
      <c r="AN19" s="32">
        <v>8.979321153107768E-2</v>
      </c>
      <c r="AO19" s="32">
        <v>9.7315563802350444E-2</v>
      </c>
      <c r="AP19" s="32">
        <v>5.5194634765567324E-2</v>
      </c>
      <c r="AQ19" s="32">
        <v>7.2082101321358297E-2</v>
      </c>
      <c r="AR19" s="32">
        <v>7.9647453793411718E-2</v>
      </c>
      <c r="AS19" s="32">
        <v>4.7540726295692282E-2</v>
      </c>
      <c r="AT19" s="32">
        <v>6.2287904189244639E-2</v>
      </c>
      <c r="AU19" s="32">
        <v>3.7855636807143767E-2</v>
      </c>
      <c r="AV19" s="32">
        <v>2.224640664312573E-2</v>
      </c>
      <c r="AW19" s="32">
        <v>4.6325585077212156E-2</v>
      </c>
      <c r="AX19" s="32">
        <v>3.090385770863921E-2</v>
      </c>
      <c r="AY19" s="32">
        <v>6.4829769644346863E-2</v>
      </c>
      <c r="AZ19" s="32">
        <v>7.2210335920906657E-2</v>
      </c>
      <c r="BA19" s="32">
        <v>5.3325653028439376E-2</v>
      </c>
      <c r="BB19" s="32">
        <v>4.0969259169928093E-2</v>
      </c>
      <c r="BC19" s="32">
        <v>3.3580915223855631E-2</v>
      </c>
      <c r="BD19" s="32">
        <v>2.6069603068492056E-2</v>
      </c>
      <c r="BF19" s="54" t="s">
        <v>152</v>
      </c>
      <c r="BG19" s="27" t="s">
        <v>21</v>
      </c>
      <c r="BH19" s="27" t="s">
        <v>22</v>
      </c>
      <c r="BI19" s="27" t="s">
        <v>33</v>
      </c>
      <c r="BJ19" s="27" t="s">
        <v>37</v>
      </c>
      <c r="BK19" s="27" t="s">
        <v>33</v>
      </c>
      <c r="BL19" s="27" t="s">
        <v>21</v>
      </c>
      <c r="BM19" s="27" t="s">
        <v>33</v>
      </c>
      <c r="BN19" s="27" t="s">
        <v>21</v>
      </c>
      <c r="BO19" s="27" t="s">
        <v>33</v>
      </c>
      <c r="BP19" s="27" t="s">
        <v>38</v>
      </c>
      <c r="BQ19" s="27" t="s">
        <v>37</v>
      </c>
      <c r="BR19" s="27" t="s">
        <v>37</v>
      </c>
      <c r="BS19" s="27" t="s">
        <v>22</v>
      </c>
      <c r="BT19" s="27" t="s">
        <v>39</v>
      </c>
      <c r="BU19" s="27" t="s">
        <v>38</v>
      </c>
      <c r="BV19" s="27" t="s">
        <v>38</v>
      </c>
      <c r="BW19" s="27" t="s">
        <v>37</v>
      </c>
      <c r="BX19" s="27" t="s">
        <v>39</v>
      </c>
      <c r="BY19" s="27" t="s">
        <v>22</v>
      </c>
      <c r="BZ19" s="27" t="s">
        <v>37</v>
      </c>
      <c r="CA19" s="27" t="s">
        <v>37</v>
      </c>
      <c r="CB19" s="27" t="s">
        <v>33</v>
      </c>
      <c r="CC19" s="27" t="s">
        <v>38</v>
      </c>
      <c r="CD19" s="27" t="s">
        <v>39</v>
      </c>
      <c r="CE19" s="27" t="s">
        <v>39</v>
      </c>
      <c r="CF19" s="27" t="s">
        <v>28</v>
      </c>
    </row>
    <row r="20" spans="1:84" x14ac:dyDescent="0.35">
      <c r="B20" t="s">
        <v>69</v>
      </c>
      <c r="C20" s="12">
        <v>0.17329999999999998</v>
      </c>
      <c r="D20" s="12">
        <v>0.18989999999999999</v>
      </c>
      <c r="E20" s="12">
        <v>0.1953</v>
      </c>
      <c r="F20" s="12">
        <v>0.17479999999999998</v>
      </c>
      <c r="G20" s="12">
        <v>0.1668</v>
      </c>
      <c r="H20" s="12">
        <v>0.18</v>
      </c>
      <c r="I20" s="12">
        <v>0.1734</v>
      </c>
      <c r="J20" s="12">
        <v>0.1686</v>
      </c>
      <c r="K20" s="12">
        <v>0.19739999999999999</v>
      </c>
      <c r="L20" s="12">
        <v>0.19469999999999998</v>
      </c>
      <c r="M20" s="12">
        <v>0.17080000000000001</v>
      </c>
      <c r="N20" s="12">
        <v>0.1923</v>
      </c>
      <c r="O20" s="12">
        <v>0.18359999999999999</v>
      </c>
      <c r="P20" s="12">
        <v>0.1787</v>
      </c>
      <c r="Q20" s="12">
        <v>0.1885</v>
      </c>
      <c r="R20" s="12">
        <v>0.18390000000000001</v>
      </c>
      <c r="S20" s="12">
        <v>0.18839999999999998</v>
      </c>
      <c r="T20" s="12">
        <v>0.16399999999999998</v>
      </c>
      <c r="U20" s="12">
        <v>0.16789999999999999</v>
      </c>
      <c r="V20" s="12">
        <v>0.1961</v>
      </c>
      <c r="W20" s="12">
        <v>0.17710000000000001</v>
      </c>
      <c r="X20" s="12">
        <v>0.1827</v>
      </c>
      <c r="Y20" s="12">
        <v>0.17909999999999998</v>
      </c>
      <c r="Z20" s="12">
        <v>0.17479999999999998</v>
      </c>
      <c r="AA20" s="12">
        <v>0.19650000000000001</v>
      </c>
      <c r="AB20" s="12">
        <v>0.1721</v>
      </c>
      <c r="AD20" t="s">
        <v>69</v>
      </c>
      <c r="AE20" s="20">
        <v>0.13008839999999999</v>
      </c>
      <c r="AF20" s="20">
        <v>0.11630492090427201</v>
      </c>
      <c r="AG20" s="20">
        <v>0.13369554472885109</v>
      </c>
      <c r="AH20" s="20">
        <v>0.11897844437230168</v>
      </c>
      <c r="AI20" s="20">
        <v>0.10623263885017348</v>
      </c>
      <c r="AJ20" s="20">
        <v>0.12676332273489613</v>
      </c>
      <c r="AK20" s="20">
        <v>9.8756831875798201E-2</v>
      </c>
      <c r="AL20" s="20">
        <v>9.0587504194499166E-2</v>
      </c>
      <c r="AM20" s="20">
        <v>0.11187943710119889</v>
      </c>
      <c r="AN20" s="20">
        <v>0.16035561153107769</v>
      </c>
      <c r="AO20" s="20">
        <v>0.16787796380235046</v>
      </c>
      <c r="AP20" s="20">
        <v>0.12575703476556732</v>
      </c>
      <c r="AQ20" s="20">
        <v>0.14264450132135831</v>
      </c>
      <c r="AR20" s="20">
        <v>0.15020985379341173</v>
      </c>
      <c r="AS20" s="20">
        <v>0.11810312629569229</v>
      </c>
      <c r="AT20" s="20">
        <v>0.13285030418924465</v>
      </c>
      <c r="AU20" s="20">
        <v>0.10841803680714378</v>
      </c>
      <c r="AV20" s="20">
        <v>9.2808806643125741E-2</v>
      </c>
      <c r="AW20" s="20">
        <v>0.11688798507721217</v>
      </c>
      <c r="AX20" s="20">
        <v>0.10146625770863922</v>
      </c>
      <c r="AY20" s="20">
        <v>0.13539216964434686</v>
      </c>
      <c r="AZ20" s="20">
        <v>0.14277273592090667</v>
      </c>
      <c r="BA20" s="20">
        <v>0.12388805302843939</v>
      </c>
      <c r="BB20" s="20">
        <v>0.1115316591699281</v>
      </c>
      <c r="BC20" s="20">
        <v>0.10414331522385564</v>
      </c>
      <c r="BD20" s="20">
        <v>9.6632003068492067E-2</v>
      </c>
      <c r="BF20" t="s">
        <v>69</v>
      </c>
      <c r="BG20" t="s">
        <v>39</v>
      </c>
      <c r="BH20" t="s">
        <v>21</v>
      </c>
      <c r="BI20" t="s">
        <v>39</v>
      </c>
      <c r="BJ20" t="s">
        <v>37</v>
      </c>
      <c r="BK20" t="s">
        <v>39</v>
      </c>
      <c r="BL20" t="s">
        <v>21</v>
      </c>
      <c r="BM20" t="s">
        <v>21</v>
      </c>
      <c r="BN20" t="s">
        <v>33</v>
      </c>
      <c r="BO20" t="s">
        <v>37</v>
      </c>
      <c r="BP20" t="s">
        <v>39</v>
      </c>
      <c r="BQ20" t="s">
        <v>28</v>
      </c>
      <c r="BR20" t="s">
        <v>33</v>
      </c>
      <c r="BS20" t="s">
        <v>21</v>
      </c>
      <c r="BT20" t="s">
        <v>28</v>
      </c>
      <c r="BU20" t="s">
        <v>39</v>
      </c>
      <c r="BV20" t="s">
        <v>21</v>
      </c>
      <c r="BW20" t="s">
        <v>28</v>
      </c>
      <c r="BX20" t="s">
        <v>33</v>
      </c>
      <c r="BY20" t="s">
        <v>21</v>
      </c>
      <c r="BZ20" t="s">
        <v>28</v>
      </c>
      <c r="CA20" t="s">
        <v>21</v>
      </c>
      <c r="CB20" t="s">
        <v>21</v>
      </c>
      <c r="CC20" t="s">
        <v>28</v>
      </c>
      <c r="CD20" t="s">
        <v>21</v>
      </c>
      <c r="CE20" t="s">
        <v>39</v>
      </c>
      <c r="CF20" t="s">
        <v>21</v>
      </c>
    </row>
    <row r="21" spans="1:84" x14ac:dyDescent="0.35">
      <c r="B21" t="s">
        <v>163</v>
      </c>
      <c r="C21" s="12">
        <v>0.12000000000000012</v>
      </c>
      <c r="D21" s="12">
        <v>0.12980000000000011</v>
      </c>
      <c r="E21" s="12">
        <v>0.14470000000000011</v>
      </c>
      <c r="F21" s="12">
        <v>0.14450000000000013</v>
      </c>
      <c r="G21" s="12">
        <v>0.12070000000000013</v>
      </c>
      <c r="H21" s="12">
        <v>0.13200000000000012</v>
      </c>
      <c r="I21" s="12">
        <v>0.13140000000000013</v>
      </c>
      <c r="J21" s="12">
        <v>0.15060000000000012</v>
      </c>
      <c r="K21" s="12">
        <v>0.12720000000000012</v>
      </c>
      <c r="L21" s="12">
        <v>0.12000000000000012</v>
      </c>
      <c r="M21" s="12">
        <v>0.13270000000000012</v>
      </c>
      <c r="N21" s="12">
        <v>0.11920000000000013</v>
      </c>
      <c r="O21" s="12">
        <v>0.15010000000000012</v>
      </c>
      <c r="P21" s="12">
        <v>0.15160000000000012</v>
      </c>
      <c r="Q21" s="12">
        <v>0.12390000000000012</v>
      </c>
      <c r="R21" s="12">
        <v>0.13800000000000012</v>
      </c>
      <c r="S21" s="12">
        <v>0.14980000000000013</v>
      </c>
      <c r="T21" s="12">
        <v>0.13320000000000012</v>
      </c>
      <c r="U21" s="12">
        <v>0.14330000000000012</v>
      </c>
      <c r="V21" s="12">
        <v>0.12810000000000013</v>
      </c>
      <c r="W21" s="12">
        <v>0.13510000000000011</v>
      </c>
      <c r="X21" s="12">
        <v>0.13490000000000013</v>
      </c>
      <c r="Y21" s="12">
        <v>0.11910000000000012</v>
      </c>
      <c r="Z21" s="12">
        <v>0.12570000000000012</v>
      </c>
      <c r="AA21" s="12">
        <v>0.12610000000000013</v>
      </c>
      <c r="AB21" s="12">
        <v>0.13780000000000012</v>
      </c>
      <c r="AD21" t="s">
        <v>163</v>
      </c>
      <c r="AE21" s="20">
        <v>0.10408839999999998</v>
      </c>
      <c r="AF21" s="20">
        <v>9.0304920904272001E-2</v>
      </c>
      <c r="AG21" s="20">
        <v>0.10769554472885107</v>
      </c>
      <c r="AH21" s="20">
        <v>9.2978444372301669E-2</v>
      </c>
      <c r="AI21" s="20">
        <v>8.0232638850173468E-2</v>
      </c>
      <c r="AJ21" s="20">
        <v>0.10076332273489612</v>
      </c>
      <c r="AK21" s="20">
        <v>7.2756831875798192E-2</v>
      </c>
      <c r="AL21" s="20">
        <v>6.4587504194499157E-2</v>
      </c>
      <c r="AM21" s="20">
        <v>8.5879437101198886E-2</v>
      </c>
      <c r="AN21" s="20">
        <v>0.13435561153107767</v>
      </c>
      <c r="AO21" s="20">
        <v>0.14187796380235046</v>
      </c>
      <c r="AP21" s="20">
        <v>9.9757034765567326E-2</v>
      </c>
      <c r="AQ21" s="20">
        <v>0.1166445013213583</v>
      </c>
      <c r="AR21" s="20">
        <v>0.12420985379341172</v>
      </c>
      <c r="AS21" s="20">
        <v>9.2103126295692284E-2</v>
      </c>
      <c r="AT21" s="20">
        <v>0.10685030418924464</v>
      </c>
      <c r="AU21" s="20">
        <v>8.2418036807143769E-2</v>
      </c>
      <c r="AV21" s="20">
        <v>6.6808806643125732E-2</v>
      </c>
      <c r="AW21" s="20">
        <v>9.0887985077212158E-2</v>
      </c>
      <c r="AX21" s="20">
        <v>7.5466257708639212E-2</v>
      </c>
      <c r="AY21" s="20">
        <v>0.10939216964434686</v>
      </c>
      <c r="AZ21" s="20">
        <v>0.11677273592090666</v>
      </c>
      <c r="BA21" s="20">
        <v>9.7888053028439379E-2</v>
      </c>
      <c r="BB21" s="20">
        <v>8.5531659169928095E-2</v>
      </c>
      <c r="BC21" s="20">
        <v>7.8143315223855633E-2</v>
      </c>
      <c r="BD21" s="20">
        <v>7.0632003068492058E-2</v>
      </c>
      <c r="BF21" t="s">
        <v>163</v>
      </c>
      <c r="BG21" t="s">
        <v>39</v>
      </c>
      <c r="BH21" t="s">
        <v>37</v>
      </c>
      <c r="BI21" t="s">
        <v>38</v>
      </c>
      <c r="BJ21" t="s">
        <v>22</v>
      </c>
      <c r="BK21" t="s">
        <v>39</v>
      </c>
      <c r="BL21" t="s">
        <v>38</v>
      </c>
      <c r="BM21" t="s">
        <v>37</v>
      </c>
      <c r="BN21" t="s">
        <v>28</v>
      </c>
      <c r="BO21" t="s">
        <v>38</v>
      </c>
      <c r="BP21" t="s">
        <v>28</v>
      </c>
      <c r="BQ21" t="s">
        <v>38</v>
      </c>
      <c r="BR21" t="s">
        <v>39</v>
      </c>
      <c r="BS21" t="s">
        <v>33</v>
      </c>
      <c r="BT21" t="s">
        <v>38</v>
      </c>
      <c r="BU21" t="s">
        <v>22</v>
      </c>
      <c r="BV21" t="s">
        <v>39</v>
      </c>
      <c r="BW21" t="s">
        <v>33</v>
      </c>
      <c r="BX21" t="s">
        <v>39</v>
      </c>
      <c r="BY21" t="s">
        <v>21</v>
      </c>
      <c r="BZ21" t="s">
        <v>37</v>
      </c>
      <c r="CA21" t="s">
        <v>22</v>
      </c>
      <c r="CB21" t="s">
        <v>28</v>
      </c>
      <c r="CC21" t="s">
        <v>39</v>
      </c>
      <c r="CD21" t="s">
        <v>33</v>
      </c>
      <c r="CE21" t="s">
        <v>39</v>
      </c>
      <c r="CF21" t="s">
        <v>39</v>
      </c>
    </row>
    <row r="23" spans="1:84" ht="15.5" x14ac:dyDescent="0.35">
      <c r="B23" s="31" t="s">
        <v>70</v>
      </c>
      <c r="AD23" s="31" t="s">
        <v>70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F23" s="31" t="s">
        <v>70</v>
      </c>
    </row>
    <row r="24" spans="1:84" x14ac:dyDescent="0.35">
      <c r="B24" t="s">
        <v>71</v>
      </c>
      <c r="C24" s="12">
        <v>0.1303</v>
      </c>
      <c r="D24" s="12">
        <v>0.13010000000000002</v>
      </c>
      <c r="E24" s="12">
        <v>0.12430000000000001</v>
      </c>
      <c r="F24" s="12">
        <v>0.12540000000000001</v>
      </c>
      <c r="G24" s="12">
        <v>0.13100000000000001</v>
      </c>
      <c r="H24" s="12">
        <v>0.1376</v>
      </c>
      <c r="I24" s="12">
        <v>0.1431</v>
      </c>
      <c r="J24" s="12">
        <v>0.12670000000000001</v>
      </c>
      <c r="K24" s="12">
        <v>0.14960000000000001</v>
      </c>
      <c r="L24" s="12">
        <v>0.11830000000000002</v>
      </c>
      <c r="M24" s="12">
        <v>0.11930000000000002</v>
      </c>
      <c r="N24" s="12">
        <v>0.1467</v>
      </c>
      <c r="O24" s="12">
        <v>0.1348</v>
      </c>
      <c r="P24" s="12">
        <v>0.11970000000000001</v>
      </c>
      <c r="Q24" s="12">
        <v>0.13570000000000002</v>
      </c>
      <c r="R24" s="12">
        <v>0.14020000000000002</v>
      </c>
      <c r="S24" s="12">
        <v>0.13670000000000002</v>
      </c>
      <c r="T24" s="12">
        <v>0.12760000000000002</v>
      </c>
      <c r="U24" s="12">
        <v>0.12840000000000001</v>
      </c>
      <c r="V24" s="12">
        <v>0.11940000000000001</v>
      </c>
      <c r="W24" s="12">
        <v>0.12010000000000001</v>
      </c>
      <c r="X24" s="12">
        <v>0.13340000000000002</v>
      </c>
      <c r="Y24" s="12">
        <v>0.14880000000000002</v>
      </c>
      <c r="Z24" s="12">
        <v>0.12920000000000001</v>
      </c>
      <c r="AA24" s="12">
        <v>0.12110000000000001</v>
      </c>
      <c r="AB24" s="12">
        <v>0.1283</v>
      </c>
      <c r="AD24" t="s">
        <v>71</v>
      </c>
      <c r="AE24" s="20">
        <v>9.9562098219875383E-2</v>
      </c>
      <c r="AF24" s="20">
        <v>8.5611620360414975E-2</v>
      </c>
      <c r="AG24" s="20">
        <v>0.10202729975533283</v>
      </c>
      <c r="AH24" s="20">
        <v>8.7901827616376868E-2</v>
      </c>
      <c r="AI24" s="20">
        <v>7.5873813607315987E-2</v>
      </c>
      <c r="AJ24" s="20">
        <v>9.5298896617031253E-2</v>
      </c>
      <c r="AK24" s="20">
        <v>6.7009616519017393E-2</v>
      </c>
      <c r="AL24" s="20">
        <v>5.9207527944272642E-2</v>
      </c>
      <c r="AM24" s="20">
        <v>8.1803898991024887E-2</v>
      </c>
      <c r="AN24" s="20">
        <v>0.12866686107269826</v>
      </c>
      <c r="AO24" s="20">
        <v>0.1371183435575446</v>
      </c>
      <c r="AP24" s="20">
        <v>9.5560297695066215E-2</v>
      </c>
      <c r="AQ24" s="20">
        <v>0.11142173920275897</v>
      </c>
      <c r="AR24" s="20">
        <v>0.11818687013966937</v>
      </c>
      <c r="AS24" s="20">
        <v>8.7184475608400258E-2</v>
      </c>
      <c r="AT24" s="20">
        <v>0.10324547303505287</v>
      </c>
      <c r="AU24" s="20">
        <v>7.7689943751414692E-2</v>
      </c>
      <c r="AV24" s="20">
        <v>6.2483752917248447E-2</v>
      </c>
      <c r="AW24" s="20">
        <v>8.5295196374634827E-2</v>
      </c>
      <c r="AX24" s="20">
        <v>6.9247021438144526E-2</v>
      </c>
      <c r="AY24" s="20">
        <v>0.10296724472737175</v>
      </c>
      <c r="AZ24" s="20">
        <v>0.11195333992118854</v>
      </c>
      <c r="BA24" s="20">
        <v>9.3394552291791375E-2</v>
      </c>
      <c r="BB24" s="20">
        <v>7.9198256136089815E-2</v>
      </c>
      <c r="BC24" s="20">
        <v>7.176454373492834E-2</v>
      </c>
      <c r="BD24" s="20">
        <v>6.6152655555072978E-2</v>
      </c>
      <c r="BF24" t="s">
        <v>71</v>
      </c>
      <c r="BG24" t="s">
        <v>38</v>
      </c>
      <c r="BH24" t="s">
        <v>39</v>
      </c>
      <c r="BI24" t="s">
        <v>28</v>
      </c>
      <c r="BJ24" t="s">
        <v>33</v>
      </c>
      <c r="BK24" t="s">
        <v>22</v>
      </c>
      <c r="BL24" t="s">
        <v>33</v>
      </c>
      <c r="BM24" t="s">
        <v>21</v>
      </c>
      <c r="BN24" t="s">
        <v>22</v>
      </c>
      <c r="BO24" t="s">
        <v>28</v>
      </c>
      <c r="BP24" t="s">
        <v>21</v>
      </c>
      <c r="BQ24" t="s">
        <v>37</v>
      </c>
      <c r="BR24" t="s">
        <v>33</v>
      </c>
      <c r="BS24" t="s">
        <v>37</v>
      </c>
      <c r="BT24" t="s">
        <v>38</v>
      </c>
      <c r="BU24" t="s">
        <v>28</v>
      </c>
      <c r="BV24" t="s">
        <v>38</v>
      </c>
      <c r="BW24" t="s">
        <v>21</v>
      </c>
      <c r="BX24" t="s">
        <v>21</v>
      </c>
      <c r="BY24" t="s">
        <v>22</v>
      </c>
      <c r="BZ24" t="s">
        <v>21</v>
      </c>
      <c r="CA24" t="s">
        <v>39</v>
      </c>
      <c r="CB24" t="s">
        <v>22</v>
      </c>
      <c r="CC24" t="s">
        <v>28</v>
      </c>
      <c r="CD24" t="s">
        <v>37</v>
      </c>
      <c r="CE24" t="s">
        <v>33</v>
      </c>
      <c r="CF24" t="s">
        <v>22</v>
      </c>
    </row>
    <row r="25" spans="1:84" x14ac:dyDescent="0.35">
      <c r="B25" t="s">
        <v>72</v>
      </c>
      <c r="C25" s="12">
        <v>0.16830000000000001</v>
      </c>
      <c r="D25" s="12">
        <v>0.1512</v>
      </c>
      <c r="E25" s="12">
        <v>0.16360000000000002</v>
      </c>
      <c r="F25" s="12">
        <v>0.17470000000000002</v>
      </c>
      <c r="G25" s="12">
        <v>0.1799</v>
      </c>
      <c r="H25" s="12">
        <v>0.1507</v>
      </c>
      <c r="I25" s="12">
        <v>0.15510000000000002</v>
      </c>
      <c r="J25" s="12">
        <v>0.16840000000000002</v>
      </c>
      <c r="K25" s="12">
        <v>0.16950000000000001</v>
      </c>
      <c r="L25" s="12">
        <v>0.1847</v>
      </c>
      <c r="M25" s="12">
        <v>0.17610000000000001</v>
      </c>
      <c r="N25" s="12">
        <v>0.17500000000000002</v>
      </c>
      <c r="O25" s="12">
        <v>0.18210000000000001</v>
      </c>
      <c r="P25" s="12">
        <v>0.17830000000000001</v>
      </c>
      <c r="Q25" s="12">
        <v>0.16520000000000001</v>
      </c>
      <c r="R25" s="12">
        <v>0.16870000000000002</v>
      </c>
      <c r="S25" s="12">
        <v>0.17430000000000001</v>
      </c>
      <c r="T25" s="12">
        <v>0.1736</v>
      </c>
      <c r="U25" s="12">
        <v>0.16190000000000002</v>
      </c>
      <c r="V25" s="12">
        <v>0.1588</v>
      </c>
      <c r="W25" s="12">
        <v>0.1595</v>
      </c>
      <c r="X25" s="12">
        <v>0.156</v>
      </c>
      <c r="Y25" s="12">
        <v>0.1517</v>
      </c>
      <c r="Z25" s="12">
        <v>0.15890000000000001</v>
      </c>
      <c r="AA25" s="12">
        <v>0.1658</v>
      </c>
      <c r="AB25" s="12">
        <v>0.18510000000000001</v>
      </c>
      <c r="AD25" t="s">
        <v>72</v>
      </c>
      <c r="AE25" s="20">
        <v>0.12004878582292222</v>
      </c>
      <c r="AF25" s="20">
        <v>0.10609830796346181</v>
      </c>
      <c r="AG25" s="20">
        <v>0.12251398735837966</v>
      </c>
      <c r="AH25" s="20">
        <v>0.10838851521942371</v>
      </c>
      <c r="AI25" s="20">
        <v>9.6360501210362826E-2</v>
      </c>
      <c r="AJ25" s="20">
        <v>0.11578558422007809</v>
      </c>
      <c r="AK25" s="20">
        <v>8.7496304122064231E-2</v>
      </c>
      <c r="AL25" s="20">
        <v>7.969421554731948E-2</v>
      </c>
      <c r="AM25" s="20">
        <v>0.10229058659407173</v>
      </c>
      <c r="AN25" s="20">
        <v>0.1491535486757451</v>
      </c>
      <c r="AO25" s="20">
        <v>0.15760503116059144</v>
      </c>
      <c r="AP25" s="20">
        <v>0.11604698529811305</v>
      </c>
      <c r="AQ25" s="20">
        <v>0.13190842680580581</v>
      </c>
      <c r="AR25" s="20">
        <v>0.13867355774271622</v>
      </c>
      <c r="AS25" s="20">
        <v>0.1076711632114471</v>
      </c>
      <c r="AT25" s="20">
        <v>0.12373216063809971</v>
      </c>
      <c r="AU25" s="20">
        <v>9.817663135446153E-2</v>
      </c>
      <c r="AV25" s="20">
        <v>8.2970440520295285E-2</v>
      </c>
      <c r="AW25" s="20">
        <v>0.10578188397768166</v>
      </c>
      <c r="AX25" s="20">
        <v>8.9733709041191365E-2</v>
      </c>
      <c r="AY25" s="20">
        <v>0.12345393233041858</v>
      </c>
      <c r="AZ25" s="20">
        <v>0.13244002752423539</v>
      </c>
      <c r="BA25" s="20">
        <v>0.11388123989483821</v>
      </c>
      <c r="BB25" s="20">
        <v>9.9684943739136653E-2</v>
      </c>
      <c r="BC25" s="20">
        <v>9.2251231337975179E-2</v>
      </c>
      <c r="BD25" s="20">
        <v>8.6639343158119816E-2</v>
      </c>
      <c r="BF25" t="s">
        <v>72</v>
      </c>
      <c r="BG25" t="s">
        <v>33</v>
      </c>
      <c r="BH25" t="s">
        <v>37</v>
      </c>
      <c r="BI25" t="s">
        <v>37</v>
      </c>
      <c r="BJ25" t="s">
        <v>33</v>
      </c>
      <c r="BK25" t="s">
        <v>21</v>
      </c>
      <c r="BL25" t="s">
        <v>33</v>
      </c>
      <c r="BM25" t="s">
        <v>33</v>
      </c>
      <c r="BN25" t="s">
        <v>38</v>
      </c>
      <c r="BO25" t="s">
        <v>28</v>
      </c>
      <c r="BP25" t="s">
        <v>22</v>
      </c>
      <c r="BQ25" t="s">
        <v>33</v>
      </c>
      <c r="BR25" t="s">
        <v>39</v>
      </c>
      <c r="BS25" t="s">
        <v>38</v>
      </c>
      <c r="BT25" t="s">
        <v>21</v>
      </c>
      <c r="BU25" t="s">
        <v>28</v>
      </c>
      <c r="BV25" t="s">
        <v>28</v>
      </c>
      <c r="BW25" t="s">
        <v>33</v>
      </c>
      <c r="BX25" t="s">
        <v>39</v>
      </c>
      <c r="BY25" t="s">
        <v>33</v>
      </c>
      <c r="BZ25" t="s">
        <v>21</v>
      </c>
      <c r="CA25" t="s">
        <v>21</v>
      </c>
      <c r="CB25" t="s">
        <v>33</v>
      </c>
      <c r="CC25" t="s">
        <v>21</v>
      </c>
      <c r="CD25" t="s">
        <v>39</v>
      </c>
      <c r="CE25" t="s">
        <v>28</v>
      </c>
      <c r="CF25" t="s">
        <v>33</v>
      </c>
    </row>
    <row r="26" spans="1:84" x14ac:dyDescent="0.35">
      <c r="B26" t="s">
        <v>73</v>
      </c>
      <c r="C26" s="12">
        <v>7.8800000000000009E-2</v>
      </c>
      <c r="D26" s="12">
        <v>8.8200000000000001E-2</v>
      </c>
      <c r="E26" s="12">
        <v>7.4200000000000002E-2</v>
      </c>
      <c r="F26" s="12">
        <v>8.1900000000000001E-2</v>
      </c>
      <c r="G26" s="12">
        <v>9.0299999999999991E-2</v>
      </c>
      <c r="H26" s="12">
        <v>8.1700000000000009E-2</v>
      </c>
      <c r="I26" s="12">
        <v>7.6999999999999999E-2</v>
      </c>
      <c r="J26" s="12">
        <v>7.3099999999999998E-2</v>
      </c>
      <c r="K26" s="12">
        <v>8.2500000000000004E-2</v>
      </c>
      <c r="L26" s="12">
        <v>7.3599999999999999E-2</v>
      </c>
      <c r="M26" s="12">
        <v>0.09</v>
      </c>
      <c r="N26" s="12">
        <v>7.5400000000000009E-2</v>
      </c>
      <c r="O26" s="12">
        <v>9.0200000000000002E-2</v>
      </c>
      <c r="P26" s="12">
        <v>7.8200000000000006E-2</v>
      </c>
      <c r="Q26" s="12">
        <v>7.1500000000000008E-2</v>
      </c>
      <c r="R26" s="12">
        <v>8.0100000000000005E-2</v>
      </c>
      <c r="S26" s="12">
        <v>8.5100000000000009E-2</v>
      </c>
      <c r="T26" s="12">
        <v>8.9200000000000002E-2</v>
      </c>
      <c r="U26" s="12">
        <v>8.2400000000000001E-2</v>
      </c>
      <c r="V26" s="12">
        <v>7.5600000000000001E-2</v>
      </c>
      <c r="W26" s="12">
        <v>8.1800000000000012E-2</v>
      </c>
      <c r="X26" s="12">
        <v>8.4899999999999989E-2</v>
      </c>
      <c r="Y26" s="12">
        <v>8.9700000000000002E-2</v>
      </c>
      <c r="Z26" s="12">
        <v>8.1499999999999989E-2</v>
      </c>
      <c r="AA26" s="12">
        <v>7.4300000000000005E-2</v>
      </c>
      <c r="AB26" s="12">
        <v>9.0499999999999997E-2</v>
      </c>
      <c r="AD26" t="s">
        <v>73</v>
      </c>
      <c r="AE26" s="20">
        <v>8.835878287267733E-2</v>
      </c>
      <c r="AF26" s="20">
        <v>7.4408305013216922E-2</v>
      </c>
      <c r="AG26" s="20">
        <v>9.0823984408134772E-2</v>
      </c>
      <c r="AH26" s="20">
        <v>7.6698512269178815E-2</v>
      </c>
      <c r="AI26" s="20">
        <v>6.4670498260117934E-2</v>
      </c>
      <c r="AJ26" s="20">
        <v>8.40955812698332E-2</v>
      </c>
      <c r="AK26" s="20">
        <v>5.5806301171819339E-2</v>
      </c>
      <c r="AL26" s="20">
        <v>4.8004212597074589E-2</v>
      </c>
      <c r="AM26" s="20">
        <v>7.0600583643826834E-2</v>
      </c>
      <c r="AN26" s="20">
        <v>0.11746354572550019</v>
      </c>
      <c r="AO26" s="20">
        <v>0.12591502821034656</v>
      </c>
      <c r="AP26" s="20">
        <v>8.4356982347868162E-2</v>
      </c>
      <c r="AQ26" s="20">
        <v>0.10021842385556091</v>
      </c>
      <c r="AR26" s="20">
        <v>0.10698355479247132</v>
      </c>
      <c r="AS26" s="20">
        <v>7.5981160261202205E-2</v>
      </c>
      <c r="AT26" s="20">
        <v>9.2042157687854814E-2</v>
      </c>
      <c r="AU26" s="20">
        <v>6.6486628404216638E-2</v>
      </c>
      <c r="AV26" s="20">
        <v>5.1280437570050394E-2</v>
      </c>
      <c r="AW26" s="20">
        <v>7.4091881027436773E-2</v>
      </c>
      <c r="AX26" s="20">
        <v>5.8043706090946473E-2</v>
      </c>
      <c r="AY26" s="20">
        <v>9.1763929380173692E-2</v>
      </c>
      <c r="AZ26" s="20">
        <v>0.10075002457399049</v>
      </c>
      <c r="BA26" s="20">
        <v>8.2191236944593321E-2</v>
      </c>
      <c r="BB26" s="20">
        <v>6.7994940788891761E-2</v>
      </c>
      <c r="BC26" s="20">
        <v>6.0561228387730287E-2</v>
      </c>
      <c r="BD26" s="20">
        <v>5.4949340207874925E-2</v>
      </c>
      <c r="BF26" t="s">
        <v>73</v>
      </c>
      <c r="BG26" t="s">
        <v>21</v>
      </c>
      <c r="BH26" t="s">
        <v>38</v>
      </c>
      <c r="BI26" t="s">
        <v>21</v>
      </c>
      <c r="BJ26" t="s">
        <v>21</v>
      </c>
      <c r="BK26" t="s">
        <v>22</v>
      </c>
      <c r="BL26" t="s">
        <v>28</v>
      </c>
      <c r="BM26" t="s">
        <v>22</v>
      </c>
      <c r="BN26" t="s">
        <v>33</v>
      </c>
      <c r="BO26" t="s">
        <v>33</v>
      </c>
      <c r="BP26" t="s">
        <v>22</v>
      </c>
      <c r="BQ26" t="s">
        <v>21</v>
      </c>
      <c r="BR26" t="s">
        <v>39</v>
      </c>
      <c r="BS26" t="s">
        <v>37</v>
      </c>
      <c r="BT26" t="s">
        <v>37</v>
      </c>
      <c r="BU26" t="s">
        <v>39</v>
      </c>
      <c r="BV26" t="s">
        <v>21</v>
      </c>
      <c r="BW26" t="s">
        <v>37</v>
      </c>
      <c r="BX26" t="s">
        <v>28</v>
      </c>
      <c r="BY26" t="s">
        <v>38</v>
      </c>
      <c r="BZ26" t="s">
        <v>33</v>
      </c>
      <c r="CA26" t="s">
        <v>33</v>
      </c>
      <c r="CB26" t="s">
        <v>37</v>
      </c>
      <c r="CC26" t="s">
        <v>38</v>
      </c>
      <c r="CD26" t="s">
        <v>21</v>
      </c>
      <c r="CE26" t="s">
        <v>28</v>
      </c>
      <c r="CF26" t="s">
        <v>37</v>
      </c>
    </row>
    <row r="27" spans="1:84" x14ac:dyDescent="0.35">
      <c r="B27" t="s">
        <v>74</v>
      </c>
      <c r="C27" s="12">
        <v>0.15969999999999998</v>
      </c>
      <c r="D27" s="12">
        <v>0.17029999999999998</v>
      </c>
      <c r="E27" s="12">
        <v>0.15599999999999997</v>
      </c>
      <c r="F27" s="12">
        <v>0.17399999999999999</v>
      </c>
      <c r="G27" s="12">
        <v>0.17729999999999999</v>
      </c>
      <c r="H27" s="12">
        <v>0.1709</v>
      </c>
      <c r="I27" s="12">
        <v>0.16479999999999997</v>
      </c>
      <c r="J27" s="12">
        <v>0.18219999999999997</v>
      </c>
      <c r="K27" s="12">
        <v>0.16139999999999999</v>
      </c>
      <c r="L27" s="12">
        <v>0.16529999999999997</v>
      </c>
      <c r="M27" s="12">
        <v>0.1573</v>
      </c>
      <c r="N27" s="12">
        <v>0.1623</v>
      </c>
      <c r="O27" s="12">
        <v>0.1583</v>
      </c>
      <c r="P27" s="12">
        <v>0.19009999999999999</v>
      </c>
      <c r="Q27" s="12">
        <v>0.1802</v>
      </c>
      <c r="R27" s="12">
        <v>0.184</v>
      </c>
      <c r="S27" s="12">
        <v>0.1754</v>
      </c>
      <c r="T27" s="12">
        <v>0.17149999999999999</v>
      </c>
      <c r="U27" s="12">
        <v>0.15919999999999998</v>
      </c>
      <c r="V27" s="12">
        <v>0.18389999999999998</v>
      </c>
      <c r="W27" s="12">
        <v>0.18729999999999999</v>
      </c>
      <c r="X27" s="12">
        <v>0.16219999999999998</v>
      </c>
      <c r="Y27" s="12">
        <v>0.18819999999999998</v>
      </c>
      <c r="Z27" s="12">
        <v>0.17709999999999998</v>
      </c>
      <c r="AA27" s="12">
        <v>0.18839999999999998</v>
      </c>
      <c r="AB27" s="12">
        <v>0.1895</v>
      </c>
      <c r="AD27" t="s">
        <v>74</v>
      </c>
      <c r="AE27" s="20">
        <v>0.12958290523987537</v>
      </c>
      <c r="AF27" s="20">
        <v>0.11563242738041497</v>
      </c>
      <c r="AG27" s="20">
        <v>0.13204810677533282</v>
      </c>
      <c r="AH27" s="20">
        <v>0.11792263463637687</v>
      </c>
      <c r="AI27" s="20">
        <v>0.10589462062731599</v>
      </c>
      <c r="AJ27" s="20">
        <v>0.12531970363703127</v>
      </c>
      <c r="AK27" s="20">
        <v>9.7030423539017391E-2</v>
      </c>
      <c r="AL27" s="20">
        <v>8.922833496427264E-2</v>
      </c>
      <c r="AM27" s="20">
        <v>0.11182470601102489</v>
      </c>
      <c r="AN27" s="20">
        <v>0.15868766809269824</v>
      </c>
      <c r="AO27" s="20">
        <v>0.16713915057754461</v>
      </c>
      <c r="AP27" s="20">
        <v>0.12558110471506623</v>
      </c>
      <c r="AQ27" s="20">
        <v>0.14144254622275898</v>
      </c>
      <c r="AR27" s="20">
        <v>0.14820767715966937</v>
      </c>
      <c r="AS27" s="20">
        <v>0.11720528262840026</v>
      </c>
      <c r="AT27" s="20">
        <v>0.13326628005505287</v>
      </c>
      <c r="AU27" s="20">
        <v>0.10771075077141469</v>
      </c>
      <c r="AV27" s="20">
        <v>9.2504559937248446E-2</v>
      </c>
      <c r="AW27" s="20">
        <v>0.11531600339463483</v>
      </c>
      <c r="AX27" s="20">
        <v>9.9267828458144525E-2</v>
      </c>
      <c r="AY27" s="20">
        <v>0.13298805174737174</v>
      </c>
      <c r="AZ27" s="20">
        <v>0.14197414694118854</v>
      </c>
      <c r="BA27" s="20">
        <v>0.12341535931179137</v>
      </c>
      <c r="BB27" s="20">
        <v>0.10921906315608981</v>
      </c>
      <c r="BC27" s="20">
        <v>0.10178535075492834</v>
      </c>
      <c r="BD27" s="20">
        <v>9.6173462575072977E-2</v>
      </c>
      <c r="BF27" t="s">
        <v>74</v>
      </c>
      <c r="BG27" t="s">
        <v>28</v>
      </c>
      <c r="BH27" t="s">
        <v>37</v>
      </c>
      <c r="BI27" t="s">
        <v>21</v>
      </c>
      <c r="BJ27" t="s">
        <v>28</v>
      </c>
      <c r="BK27" t="s">
        <v>33</v>
      </c>
      <c r="BL27" t="s">
        <v>33</v>
      </c>
      <c r="BM27" t="s">
        <v>37</v>
      </c>
      <c r="BN27" t="s">
        <v>38</v>
      </c>
      <c r="BO27" t="s">
        <v>37</v>
      </c>
      <c r="BP27" t="s">
        <v>38</v>
      </c>
      <c r="BQ27" t="s">
        <v>28</v>
      </c>
      <c r="BR27" t="s">
        <v>38</v>
      </c>
      <c r="BS27" t="s">
        <v>22</v>
      </c>
      <c r="BT27" t="s">
        <v>22</v>
      </c>
      <c r="BU27" t="s">
        <v>22</v>
      </c>
      <c r="BV27" t="s">
        <v>39</v>
      </c>
      <c r="BW27" t="s">
        <v>28</v>
      </c>
      <c r="BX27" t="s">
        <v>28</v>
      </c>
      <c r="BY27" t="s">
        <v>37</v>
      </c>
      <c r="BZ27" t="s">
        <v>37</v>
      </c>
      <c r="CA27" t="s">
        <v>39</v>
      </c>
      <c r="CB27" t="s">
        <v>38</v>
      </c>
      <c r="CC27" t="s">
        <v>22</v>
      </c>
      <c r="CD27" t="s">
        <v>33</v>
      </c>
      <c r="CE27" t="s">
        <v>33</v>
      </c>
      <c r="CF27" t="s">
        <v>37</v>
      </c>
    </row>
    <row r="28" spans="1:84" x14ac:dyDescent="0.35">
      <c r="B28" t="s">
        <v>75</v>
      </c>
      <c r="C28" s="12">
        <v>0.19669999999999999</v>
      </c>
      <c r="D28" s="12">
        <v>0.19089999999999999</v>
      </c>
      <c r="E28" s="12">
        <v>0.18959999999999999</v>
      </c>
      <c r="F28" s="12">
        <v>0.19009999999999999</v>
      </c>
      <c r="G28" s="12">
        <v>0.1782</v>
      </c>
      <c r="H28" s="12">
        <v>0.1787</v>
      </c>
      <c r="I28" s="12">
        <v>0.18770000000000001</v>
      </c>
      <c r="J28" s="12">
        <v>0.18870000000000001</v>
      </c>
      <c r="K28" s="12">
        <v>0.18779999999999999</v>
      </c>
      <c r="L28" s="12">
        <v>0.1759</v>
      </c>
      <c r="M28" s="12">
        <v>0.19800000000000001</v>
      </c>
      <c r="N28" s="12">
        <v>0.1978</v>
      </c>
      <c r="O28" s="12">
        <v>0.18259999999999998</v>
      </c>
      <c r="P28" s="12">
        <v>0.17529999999999998</v>
      </c>
      <c r="Q28" s="12">
        <v>0.17879999999999999</v>
      </c>
      <c r="R28" s="12">
        <v>0.19569999999999999</v>
      </c>
      <c r="S28" s="12">
        <v>0.18159999999999998</v>
      </c>
      <c r="T28" s="12">
        <v>0.19389999999999999</v>
      </c>
      <c r="U28" s="12">
        <v>0.19750000000000001</v>
      </c>
      <c r="V28" s="12">
        <v>0.183</v>
      </c>
      <c r="W28" s="12">
        <v>0.17699999999999999</v>
      </c>
      <c r="X28" s="12">
        <v>0.19469999999999998</v>
      </c>
      <c r="Y28" s="12">
        <v>0.1686</v>
      </c>
      <c r="Z28" s="12">
        <v>0.17560000000000001</v>
      </c>
      <c r="AA28" s="12">
        <v>0.17549999999999999</v>
      </c>
      <c r="AB28" s="12">
        <v>0.17899999999999999</v>
      </c>
      <c r="AD28" t="s">
        <v>75</v>
      </c>
      <c r="AE28" s="20">
        <v>0.10858290523987538</v>
      </c>
      <c r="AF28" s="20">
        <v>9.4632427380414968E-2</v>
      </c>
      <c r="AG28" s="20">
        <v>0.11104810677533282</v>
      </c>
      <c r="AH28" s="20">
        <v>9.6922634636376861E-2</v>
      </c>
      <c r="AI28" s="20">
        <v>8.4894620627315981E-2</v>
      </c>
      <c r="AJ28" s="20">
        <v>0.10431970363703125</v>
      </c>
      <c r="AK28" s="20">
        <v>7.6030423539017386E-2</v>
      </c>
      <c r="AL28" s="20">
        <v>6.8228334964272636E-2</v>
      </c>
      <c r="AM28" s="20">
        <v>9.0824706011024881E-2</v>
      </c>
      <c r="AN28" s="20">
        <v>0.13768766809269822</v>
      </c>
      <c r="AO28" s="20">
        <v>0.14613915057754462</v>
      </c>
      <c r="AP28" s="20">
        <v>0.10458110471506621</v>
      </c>
      <c r="AQ28" s="20">
        <v>0.12044254622275896</v>
      </c>
      <c r="AR28" s="20">
        <v>0.12720767715966935</v>
      </c>
      <c r="AS28" s="20">
        <v>9.6205282628400252E-2</v>
      </c>
      <c r="AT28" s="20">
        <v>0.11226628005505286</v>
      </c>
      <c r="AU28" s="20">
        <v>8.6710750771414685E-2</v>
      </c>
      <c r="AV28" s="20">
        <v>7.1504559937248441E-2</v>
      </c>
      <c r="AW28" s="20">
        <v>9.431600339463482E-2</v>
      </c>
      <c r="AX28" s="20">
        <v>7.826782845814452E-2</v>
      </c>
      <c r="AY28" s="20">
        <v>0.11198805174737174</v>
      </c>
      <c r="AZ28" s="20">
        <v>0.12097414694118853</v>
      </c>
      <c r="BA28" s="20">
        <v>0.10241535931179137</v>
      </c>
      <c r="BB28" s="20">
        <v>8.8219063156089808E-2</v>
      </c>
      <c r="BC28" s="20">
        <v>8.0785350754928334E-2</v>
      </c>
      <c r="BD28" s="20">
        <v>7.5173462575072972E-2</v>
      </c>
      <c r="BF28" t="s">
        <v>75</v>
      </c>
      <c r="BG28" t="s">
        <v>21</v>
      </c>
      <c r="BH28" t="s">
        <v>39</v>
      </c>
      <c r="BI28" t="s">
        <v>21</v>
      </c>
      <c r="BJ28" t="s">
        <v>21</v>
      </c>
      <c r="BK28" t="s">
        <v>33</v>
      </c>
      <c r="BL28" t="s">
        <v>37</v>
      </c>
      <c r="BM28" t="s">
        <v>38</v>
      </c>
      <c r="BN28" t="s">
        <v>21</v>
      </c>
      <c r="BO28" t="s">
        <v>39</v>
      </c>
      <c r="BP28" t="s">
        <v>37</v>
      </c>
      <c r="BQ28" t="s">
        <v>38</v>
      </c>
      <c r="BR28" t="s">
        <v>33</v>
      </c>
      <c r="BS28" t="s">
        <v>38</v>
      </c>
      <c r="BT28" t="s">
        <v>37</v>
      </c>
      <c r="BU28" t="s">
        <v>39</v>
      </c>
      <c r="BV28" t="s">
        <v>38</v>
      </c>
      <c r="BW28" t="s">
        <v>38</v>
      </c>
      <c r="BX28" t="s">
        <v>38</v>
      </c>
      <c r="BY28" t="s">
        <v>38</v>
      </c>
      <c r="BZ28" t="s">
        <v>28</v>
      </c>
      <c r="CA28" t="s">
        <v>39</v>
      </c>
      <c r="CB28" t="s">
        <v>28</v>
      </c>
      <c r="CC28" t="s">
        <v>21</v>
      </c>
      <c r="CD28" t="s">
        <v>28</v>
      </c>
      <c r="CE28" t="s">
        <v>37</v>
      </c>
      <c r="CF28" t="s">
        <v>22</v>
      </c>
    </row>
    <row r="29" spans="1:84" x14ac:dyDescent="0.35">
      <c r="B29" t="s">
        <v>76</v>
      </c>
      <c r="C29" s="20">
        <f t="shared" ref="C29:AB29" si="9">1-SUM(C24:C28)</f>
        <v>0.2662000000000001</v>
      </c>
      <c r="D29" s="20">
        <f t="shared" si="9"/>
        <v>0.26930000000000009</v>
      </c>
      <c r="E29" s="20">
        <f t="shared" si="9"/>
        <v>0.2923</v>
      </c>
      <c r="F29" s="20">
        <f t="shared" si="9"/>
        <v>0.25390000000000001</v>
      </c>
      <c r="G29" s="20">
        <f t="shared" si="9"/>
        <v>0.24329999999999996</v>
      </c>
      <c r="H29" s="20">
        <f t="shared" si="9"/>
        <v>0.28040000000000009</v>
      </c>
      <c r="I29" s="20">
        <f t="shared" si="9"/>
        <v>0.27229999999999999</v>
      </c>
      <c r="J29" s="20">
        <f t="shared" si="9"/>
        <v>0.26090000000000002</v>
      </c>
      <c r="K29" s="20">
        <f t="shared" si="9"/>
        <v>0.24919999999999998</v>
      </c>
      <c r="L29" s="20">
        <f t="shared" si="9"/>
        <v>0.28220000000000001</v>
      </c>
      <c r="M29" s="20">
        <f t="shared" si="9"/>
        <v>0.25930000000000009</v>
      </c>
      <c r="N29" s="20">
        <f t="shared" si="9"/>
        <v>0.24280000000000002</v>
      </c>
      <c r="O29" s="20">
        <f t="shared" si="9"/>
        <v>0.252</v>
      </c>
      <c r="P29" s="20">
        <f t="shared" si="9"/>
        <v>0.25839999999999996</v>
      </c>
      <c r="Q29" s="20">
        <f t="shared" si="9"/>
        <v>0.26859999999999995</v>
      </c>
      <c r="R29" s="20">
        <f t="shared" si="9"/>
        <v>0.23129999999999995</v>
      </c>
      <c r="S29" s="20">
        <f t="shared" si="9"/>
        <v>0.2468999999999999</v>
      </c>
      <c r="T29" s="20">
        <f t="shared" si="9"/>
        <v>0.24419999999999997</v>
      </c>
      <c r="U29" s="20">
        <f t="shared" si="9"/>
        <v>0.27059999999999995</v>
      </c>
      <c r="V29" s="20">
        <f t="shared" si="9"/>
        <v>0.2793000000000001</v>
      </c>
      <c r="W29" s="20">
        <f t="shared" si="9"/>
        <v>0.27429999999999999</v>
      </c>
      <c r="X29" s="20">
        <f t="shared" si="9"/>
        <v>0.26880000000000004</v>
      </c>
      <c r="Y29" s="20">
        <f t="shared" si="9"/>
        <v>0.253</v>
      </c>
      <c r="Z29" s="20">
        <f t="shared" si="9"/>
        <v>0.27770000000000006</v>
      </c>
      <c r="AA29" s="20">
        <f t="shared" si="9"/>
        <v>0.27489999999999992</v>
      </c>
      <c r="AB29" s="20">
        <f t="shared" si="9"/>
        <v>0.22760000000000002</v>
      </c>
      <c r="AD29" t="s">
        <v>76</v>
      </c>
      <c r="AE29" s="20">
        <v>0.14479161694250137</v>
      </c>
      <c r="AF29" s="20">
        <v>0.13084113908304096</v>
      </c>
      <c r="AG29" s="20">
        <v>0.1472568184779588</v>
      </c>
      <c r="AH29" s="20">
        <v>0.13313134633900284</v>
      </c>
      <c r="AI29" s="20">
        <v>0.12110333232994196</v>
      </c>
      <c r="AJ29" s="20">
        <v>0.14052841533965721</v>
      </c>
      <c r="AK29" s="20">
        <v>0.11223913524164336</v>
      </c>
      <c r="AL29" s="20">
        <v>0.10443704666689861</v>
      </c>
      <c r="AM29" s="20">
        <v>0.12703341771365084</v>
      </c>
      <c r="AN29" s="20">
        <v>0.17389637979532421</v>
      </c>
      <c r="AO29" s="20">
        <v>0.18234786228017058</v>
      </c>
      <c r="AP29" s="20">
        <v>0.14078981641769217</v>
      </c>
      <c r="AQ29" s="20">
        <v>0.15665125792538492</v>
      </c>
      <c r="AR29" s="20">
        <v>0.16341638886229534</v>
      </c>
      <c r="AS29" s="20">
        <v>0.13241399433102624</v>
      </c>
      <c r="AT29" s="20">
        <v>0.14847499175767884</v>
      </c>
      <c r="AU29" s="20">
        <v>0.12291946247404066</v>
      </c>
      <c r="AV29" s="20">
        <v>0.10771327163987442</v>
      </c>
      <c r="AW29" s="20">
        <v>0.1305247150972608</v>
      </c>
      <c r="AX29" s="20">
        <v>0.1144765401607705</v>
      </c>
      <c r="AY29" s="20">
        <v>0.14819676344999771</v>
      </c>
      <c r="AZ29" s="20">
        <v>0.15718285864381451</v>
      </c>
      <c r="BA29" s="20">
        <v>0.13862407101441734</v>
      </c>
      <c r="BB29" s="20">
        <v>0.12442777485871578</v>
      </c>
      <c r="BC29" s="20">
        <v>0.11699406245755431</v>
      </c>
      <c r="BD29" s="20">
        <v>0.11138217427769895</v>
      </c>
      <c r="BF29" t="s">
        <v>76</v>
      </c>
      <c r="BG29" t="s">
        <v>28</v>
      </c>
      <c r="BH29" t="s">
        <v>37</v>
      </c>
      <c r="BI29" t="s">
        <v>22</v>
      </c>
      <c r="BJ29" t="s">
        <v>37</v>
      </c>
      <c r="BK29" t="s">
        <v>37</v>
      </c>
      <c r="BL29" t="s">
        <v>37</v>
      </c>
      <c r="BM29" t="s">
        <v>37</v>
      </c>
      <c r="BN29" t="s">
        <v>28</v>
      </c>
      <c r="BO29" t="s">
        <v>39</v>
      </c>
      <c r="BP29" t="s">
        <v>37</v>
      </c>
      <c r="BQ29" t="s">
        <v>39</v>
      </c>
      <c r="BR29" t="s">
        <v>21</v>
      </c>
      <c r="BS29" t="s">
        <v>39</v>
      </c>
      <c r="BT29" t="s">
        <v>39</v>
      </c>
      <c r="BU29" t="s">
        <v>38</v>
      </c>
      <c r="BV29" t="s">
        <v>28</v>
      </c>
      <c r="BW29" t="s">
        <v>22</v>
      </c>
      <c r="BX29" t="s">
        <v>37</v>
      </c>
      <c r="BY29" t="s">
        <v>37</v>
      </c>
      <c r="BZ29" t="s">
        <v>28</v>
      </c>
      <c r="CA29" t="s">
        <v>39</v>
      </c>
      <c r="CB29" t="s">
        <v>33</v>
      </c>
      <c r="CC29" t="s">
        <v>22</v>
      </c>
      <c r="CD29" t="s">
        <v>33</v>
      </c>
      <c r="CE29" t="s">
        <v>22</v>
      </c>
      <c r="CF29" t="s">
        <v>28</v>
      </c>
    </row>
    <row r="31" spans="1:84" ht="15.5" x14ac:dyDescent="0.35">
      <c r="B31" s="31" t="s">
        <v>77</v>
      </c>
      <c r="AD31" s="31" t="s">
        <v>77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F31" s="31" t="s">
        <v>77</v>
      </c>
    </row>
    <row r="32" spans="1:84" x14ac:dyDescent="0.35">
      <c r="B32" t="s">
        <v>78</v>
      </c>
      <c r="C32" s="12">
        <v>0.12640000000000001</v>
      </c>
      <c r="D32" s="12">
        <v>0.14350000000000002</v>
      </c>
      <c r="E32" s="12">
        <v>0.1246</v>
      </c>
      <c r="F32" s="12">
        <v>0.14750000000000002</v>
      </c>
      <c r="G32" s="12">
        <v>0.11940000000000001</v>
      </c>
      <c r="H32" s="12">
        <v>0.1255</v>
      </c>
      <c r="I32" s="12">
        <v>0.1346</v>
      </c>
      <c r="J32" s="12">
        <v>0.14850000000000002</v>
      </c>
      <c r="K32" s="12">
        <v>0.15050000000000002</v>
      </c>
      <c r="L32" s="12">
        <v>0.11680000000000001</v>
      </c>
      <c r="M32" s="12">
        <v>0.14350000000000002</v>
      </c>
      <c r="N32" s="12">
        <v>0.1308</v>
      </c>
      <c r="O32" s="12">
        <v>0.14760000000000001</v>
      </c>
      <c r="P32" s="12">
        <v>0.1368</v>
      </c>
      <c r="Q32" s="12">
        <v>0.14360000000000001</v>
      </c>
      <c r="R32" s="12">
        <v>0.14700000000000002</v>
      </c>
      <c r="S32" s="12">
        <v>0.1363</v>
      </c>
      <c r="T32" s="12">
        <v>0.12100000000000001</v>
      </c>
      <c r="U32" s="12">
        <v>0.14780000000000001</v>
      </c>
      <c r="V32" s="12">
        <v>0.12480000000000001</v>
      </c>
      <c r="W32" s="12">
        <v>0.13140000000000002</v>
      </c>
      <c r="X32" s="12">
        <v>0.1246</v>
      </c>
      <c r="Y32" s="12">
        <v>0.12570000000000001</v>
      </c>
      <c r="Z32" s="12">
        <v>0.13970000000000002</v>
      </c>
      <c r="AA32" s="12">
        <v>0.11900000000000001</v>
      </c>
      <c r="AB32" s="12">
        <v>0.12510000000000002</v>
      </c>
      <c r="AD32" t="s">
        <v>78</v>
      </c>
      <c r="AE32" s="20">
        <v>9.5221889784949401E-2</v>
      </c>
      <c r="AF32" s="20">
        <v>8.2446059256455595E-2</v>
      </c>
      <c r="AG32" s="20">
        <v>9.8186466834159852E-2</v>
      </c>
      <c r="AH32" s="20">
        <v>8.4527732887128296E-2</v>
      </c>
      <c r="AI32" s="20">
        <v>7.0672447560562374E-2</v>
      </c>
      <c r="AJ32" s="20">
        <v>9.1848569995438792E-2</v>
      </c>
      <c r="AK32" s="20">
        <v>6.3678810559822774E-2</v>
      </c>
      <c r="AL32" s="20">
        <v>5.7260215058964392E-2</v>
      </c>
      <c r="AM32" s="20">
        <v>7.8572920763276932E-2</v>
      </c>
      <c r="AN32" s="20">
        <v>0.12472104964577559</v>
      </c>
      <c r="AO32" s="20">
        <v>0.13309324470466116</v>
      </c>
      <c r="AP32" s="20">
        <v>9.1241046945427312E-2</v>
      </c>
      <c r="AQ32" s="20">
        <v>0.10768085496694065</v>
      </c>
      <c r="AR32" s="20">
        <v>0.11534725771328197</v>
      </c>
      <c r="AS32" s="20">
        <v>8.5143687502363813E-2</v>
      </c>
      <c r="AT32" s="20">
        <v>9.976108614723056E-2</v>
      </c>
      <c r="AU32" s="20">
        <v>7.3161106435855827E-2</v>
      </c>
      <c r="AV32" s="20">
        <v>5.7373208540560314E-2</v>
      </c>
      <c r="AW32" s="20">
        <v>8.2435879733726028E-2</v>
      </c>
      <c r="AX32" s="20">
        <v>6.5904251759457189E-2</v>
      </c>
      <c r="AY32" s="20">
        <v>9.9130479780938696E-2</v>
      </c>
      <c r="AZ32" s="20">
        <v>0.10773287983609274</v>
      </c>
      <c r="BA32" s="20">
        <v>8.8513415545374716E-2</v>
      </c>
      <c r="BB32" s="20">
        <v>7.6526891984687415E-2</v>
      </c>
      <c r="BC32" s="20">
        <v>6.8716573507081394E-2</v>
      </c>
      <c r="BD32" s="20">
        <v>6.0784293784863386E-2</v>
      </c>
      <c r="BF32" t="s">
        <v>78</v>
      </c>
      <c r="BG32" t="s">
        <v>22</v>
      </c>
      <c r="BH32" t="s">
        <v>33</v>
      </c>
      <c r="BI32" t="s">
        <v>22</v>
      </c>
      <c r="BJ32" t="s">
        <v>38</v>
      </c>
      <c r="BK32" t="s">
        <v>39</v>
      </c>
      <c r="BL32" t="s">
        <v>38</v>
      </c>
      <c r="BM32" t="s">
        <v>21</v>
      </c>
      <c r="BN32" t="s">
        <v>28</v>
      </c>
      <c r="BO32" t="s">
        <v>39</v>
      </c>
      <c r="BP32" t="s">
        <v>39</v>
      </c>
      <c r="BQ32" t="s">
        <v>22</v>
      </c>
      <c r="BR32" t="s">
        <v>33</v>
      </c>
      <c r="BS32" t="s">
        <v>22</v>
      </c>
      <c r="BT32" t="s">
        <v>37</v>
      </c>
      <c r="BU32" t="s">
        <v>39</v>
      </c>
      <c r="BV32" t="s">
        <v>38</v>
      </c>
      <c r="BW32" t="s">
        <v>28</v>
      </c>
      <c r="BX32" t="s">
        <v>33</v>
      </c>
      <c r="BY32" t="s">
        <v>39</v>
      </c>
      <c r="BZ32" t="s">
        <v>21</v>
      </c>
      <c r="CA32" t="s">
        <v>33</v>
      </c>
      <c r="CB32" t="s">
        <v>37</v>
      </c>
      <c r="CC32" t="s">
        <v>21</v>
      </c>
      <c r="CD32" t="s">
        <v>22</v>
      </c>
      <c r="CE32" t="s">
        <v>37</v>
      </c>
      <c r="CF32" t="s">
        <v>22</v>
      </c>
    </row>
    <row r="33" spans="1:84" x14ac:dyDescent="0.35">
      <c r="B33" t="s">
        <v>79</v>
      </c>
      <c r="C33" s="12">
        <v>0.42109999999999997</v>
      </c>
      <c r="D33" s="12">
        <v>0.4219</v>
      </c>
      <c r="E33" s="12">
        <v>0.40959999999999996</v>
      </c>
      <c r="F33" s="12">
        <v>0.42009999999999997</v>
      </c>
      <c r="G33" s="12">
        <v>0.42730000000000001</v>
      </c>
      <c r="H33" s="12">
        <v>0.43069999999999997</v>
      </c>
      <c r="I33" s="12">
        <v>0.43340000000000001</v>
      </c>
      <c r="J33" s="12">
        <v>0.43579999999999997</v>
      </c>
      <c r="K33" s="12">
        <v>0.43479999999999996</v>
      </c>
      <c r="L33" s="12">
        <v>0.42149999999999999</v>
      </c>
      <c r="M33" s="12">
        <v>0.40559999999999996</v>
      </c>
      <c r="N33" s="12">
        <v>0.4335</v>
      </c>
      <c r="O33" s="12">
        <v>0.42699999999999999</v>
      </c>
      <c r="P33" s="12">
        <v>0.4294</v>
      </c>
      <c r="Q33" s="12">
        <v>0.4365</v>
      </c>
      <c r="R33" s="12">
        <v>0.43259999999999998</v>
      </c>
      <c r="S33" s="12">
        <v>0.41849999999999998</v>
      </c>
      <c r="T33" s="12">
        <v>0.42259999999999998</v>
      </c>
      <c r="U33" s="12">
        <v>0.42569999999999997</v>
      </c>
      <c r="V33" s="12">
        <v>0.42519999999999997</v>
      </c>
      <c r="W33" s="12">
        <v>0.41089999999999999</v>
      </c>
      <c r="X33" s="12">
        <v>0.42180000000000001</v>
      </c>
      <c r="Y33" s="12">
        <v>0.42559999999999998</v>
      </c>
      <c r="Z33" s="12">
        <v>0.43429999999999996</v>
      </c>
      <c r="AA33" s="12">
        <v>0.43519999999999998</v>
      </c>
      <c r="AB33" s="12">
        <v>0.41189999999999999</v>
      </c>
      <c r="AD33" t="s">
        <v>79</v>
      </c>
      <c r="AE33" s="20">
        <v>0.11038649654916406</v>
      </c>
      <c r="AF33" s="20">
        <v>9.7610666020670256E-2</v>
      </c>
      <c r="AG33" s="20">
        <v>0.11335107359837451</v>
      </c>
      <c r="AH33" s="20">
        <v>9.9692339651342957E-2</v>
      </c>
      <c r="AI33" s="20">
        <v>8.5837054324777035E-2</v>
      </c>
      <c r="AJ33" s="20">
        <v>0.10701317675965345</v>
      </c>
      <c r="AK33" s="20">
        <v>7.8843417324037435E-2</v>
      </c>
      <c r="AL33" s="20">
        <v>7.2424821823179053E-2</v>
      </c>
      <c r="AM33" s="20">
        <v>9.3737527527491593E-2</v>
      </c>
      <c r="AN33" s="20">
        <v>0.13988565640999023</v>
      </c>
      <c r="AO33" s="20">
        <v>0.14825785146887582</v>
      </c>
      <c r="AP33" s="20">
        <v>0.10640565370964197</v>
      </c>
      <c r="AQ33" s="20">
        <v>0.12284546173115531</v>
      </c>
      <c r="AR33" s="20">
        <v>0.13051186447749663</v>
      </c>
      <c r="AS33" s="20">
        <v>0.10030829426657847</v>
      </c>
      <c r="AT33" s="20">
        <v>0.11492569291144522</v>
      </c>
      <c r="AU33" s="20">
        <v>8.8325713200070488E-2</v>
      </c>
      <c r="AV33" s="20">
        <v>7.2537815304774975E-2</v>
      </c>
      <c r="AW33" s="20">
        <v>9.7600486497940689E-2</v>
      </c>
      <c r="AX33" s="20">
        <v>8.106885852367185E-2</v>
      </c>
      <c r="AY33" s="20">
        <v>0.11429508654515336</v>
      </c>
      <c r="AZ33" s="20">
        <v>0.1228974866003074</v>
      </c>
      <c r="BA33" s="20">
        <v>0.10367802230958938</v>
      </c>
      <c r="BB33" s="20">
        <v>9.1691498748902076E-2</v>
      </c>
      <c r="BC33" s="20">
        <v>8.3881180271296055E-2</v>
      </c>
      <c r="BD33" s="20">
        <v>7.5948900549078047E-2</v>
      </c>
      <c r="BF33" t="s">
        <v>79</v>
      </c>
      <c r="BG33" t="s">
        <v>37</v>
      </c>
      <c r="BH33" t="s">
        <v>39</v>
      </c>
      <c r="BI33" t="s">
        <v>33</v>
      </c>
      <c r="BJ33" t="s">
        <v>37</v>
      </c>
      <c r="BK33" t="s">
        <v>38</v>
      </c>
      <c r="BL33" t="s">
        <v>21</v>
      </c>
      <c r="BM33" t="s">
        <v>33</v>
      </c>
      <c r="BN33" t="s">
        <v>21</v>
      </c>
      <c r="BO33" t="s">
        <v>22</v>
      </c>
      <c r="BP33" t="s">
        <v>28</v>
      </c>
      <c r="BQ33" t="s">
        <v>33</v>
      </c>
      <c r="BR33" t="s">
        <v>37</v>
      </c>
      <c r="BS33" t="s">
        <v>39</v>
      </c>
      <c r="BT33" t="s">
        <v>28</v>
      </c>
      <c r="BU33" t="s">
        <v>21</v>
      </c>
      <c r="BV33" t="s">
        <v>33</v>
      </c>
      <c r="BW33" t="s">
        <v>38</v>
      </c>
      <c r="BX33" t="s">
        <v>22</v>
      </c>
      <c r="BY33" t="s">
        <v>38</v>
      </c>
      <c r="BZ33" t="s">
        <v>28</v>
      </c>
      <c r="CA33" t="s">
        <v>28</v>
      </c>
      <c r="CB33" t="s">
        <v>21</v>
      </c>
      <c r="CC33" t="s">
        <v>38</v>
      </c>
      <c r="CD33" t="s">
        <v>21</v>
      </c>
      <c r="CE33" t="s">
        <v>38</v>
      </c>
      <c r="CF33" t="s">
        <v>21</v>
      </c>
    </row>
    <row r="34" spans="1:84" x14ac:dyDescent="0.35">
      <c r="B34" t="s">
        <v>80</v>
      </c>
      <c r="C34" s="12">
        <v>0.28449999999999998</v>
      </c>
      <c r="D34" s="12">
        <v>0.3024</v>
      </c>
      <c r="E34" s="12">
        <v>0.28839999999999999</v>
      </c>
      <c r="F34" s="12">
        <v>0.28349999999999997</v>
      </c>
      <c r="G34" s="12">
        <v>0.27479999999999999</v>
      </c>
      <c r="H34" s="12">
        <v>0.29389999999999999</v>
      </c>
      <c r="I34" s="12">
        <v>0.28569999999999995</v>
      </c>
      <c r="J34" s="12">
        <v>0.29969999999999997</v>
      </c>
      <c r="K34" s="12">
        <v>0.29319999999999996</v>
      </c>
      <c r="L34" s="12">
        <v>0.27149999999999996</v>
      </c>
      <c r="M34" s="12">
        <v>0.30479999999999996</v>
      </c>
      <c r="N34" s="12">
        <v>0.2918</v>
      </c>
      <c r="O34" s="12">
        <v>0.27959999999999996</v>
      </c>
      <c r="P34" s="12">
        <v>0.28839999999999999</v>
      </c>
      <c r="Q34" s="12">
        <v>0.2989</v>
      </c>
      <c r="R34" s="12">
        <v>0.29699999999999999</v>
      </c>
      <c r="S34" s="12">
        <v>0.27679999999999999</v>
      </c>
      <c r="T34" s="12">
        <v>0.29249999999999998</v>
      </c>
      <c r="U34" s="12">
        <v>0.2944</v>
      </c>
      <c r="V34" s="12">
        <v>0.27789999999999998</v>
      </c>
      <c r="W34" s="12">
        <v>0.27349999999999997</v>
      </c>
      <c r="X34" s="12">
        <v>0.30479999999999996</v>
      </c>
      <c r="Y34" s="12">
        <v>0.27139999999999997</v>
      </c>
      <c r="Z34" s="12">
        <v>0.27509999999999996</v>
      </c>
      <c r="AA34" s="12">
        <v>0.28999999999999998</v>
      </c>
      <c r="AB34" s="12">
        <v>0.29559999999999997</v>
      </c>
      <c r="AD34" t="s">
        <v>80</v>
      </c>
      <c r="AE34" s="20">
        <v>0.13138649654916407</v>
      </c>
      <c r="AF34" s="20">
        <v>0.11861066602067026</v>
      </c>
      <c r="AG34" s="20">
        <v>0.1343510735983745</v>
      </c>
      <c r="AH34" s="20">
        <v>0.12069233965134296</v>
      </c>
      <c r="AI34" s="20">
        <v>0.10683705432477704</v>
      </c>
      <c r="AJ34" s="20">
        <v>0.12801317675965346</v>
      </c>
      <c r="AK34" s="20">
        <v>9.984341732403744E-2</v>
      </c>
      <c r="AL34" s="20">
        <v>9.3424821823179058E-2</v>
      </c>
      <c r="AM34" s="20">
        <v>0.1147375275274916</v>
      </c>
      <c r="AN34" s="20">
        <v>0.16088565640999025</v>
      </c>
      <c r="AO34" s="20">
        <v>0.16925785146887584</v>
      </c>
      <c r="AP34" s="20">
        <v>0.12740565370964196</v>
      </c>
      <c r="AQ34" s="20">
        <v>0.14384546173115531</v>
      </c>
      <c r="AR34" s="20">
        <v>0.15151186447749665</v>
      </c>
      <c r="AS34" s="20">
        <v>0.12130829426657848</v>
      </c>
      <c r="AT34" s="20">
        <v>0.13592569291144524</v>
      </c>
      <c r="AU34" s="20">
        <v>0.10932571320007049</v>
      </c>
      <c r="AV34" s="20">
        <v>9.3537815304774979E-2</v>
      </c>
      <c r="AW34" s="20">
        <v>0.11860048649794069</v>
      </c>
      <c r="AX34" s="20">
        <v>0.10206885852367185</v>
      </c>
      <c r="AY34" s="20">
        <v>0.13529508654515338</v>
      </c>
      <c r="AZ34" s="20">
        <v>0.14389748660030741</v>
      </c>
      <c r="BA34" s="20">
        <v>0.12467802230958938</v>
      </c>
      <c r="BB34" s="20">
        <v>0.11269149874890208</v>
      </c>
      <c r="BC34" s="20">
        <v>0.10488118027129606</v>
      </c>
      <c r="BD34" s="20">
        <v>9.6948900549078051E-2</v>
      </c>
      <c r="BF34" t="s">
        <v>80</v>
      </c>
      <c r="BG34" t="s">
        <v>22</v>
      </c>
      <c r="BH34" t="s">
        <v>39</v>
      </c>
      <c r="BI34" t="s">
        <v>39</v>
      </c>
      <c r="BJ34" t="s">
        <v>38</v>
      </c>
      <c r="BK34" t="s">
        <v>28</v>
      </c>
      <c r="BL34" t="s">
        <v>37</v>
      </c>
      <c r="BM34" t="s">
        <v>38</v>
      </c>
      <c r="BN34" t="s">
        <v>33</v>
      </c>
      <c r="BO34" t="s">
        <v>39</v>
      </c>
      <c r="BP34" t="s">
        <v>39</v>
      </c>
      <c r="BQ34" t="s">
        <v>33</v>
      </c>
      <c r="BR34" t="s">
        <v>28</v>
      </c>
      <c r="BS34" t="s">
        <v>28</v>
      </c>
      <c r="BT34" t="s">
        <v>37</v>
      </c>
      <c r="BU34" t="s">
        <v>33</v>
      </c>
      <c r="BV34" t="s">
        <v>37</v>
      </c>
      <c r="BW34" t="s">
        <v>39</v>
      </c>
      <c r="BX34" t="s">
        <v>21</v>
      </c>
      <c r="BY34" t="s">
        <v>37</v>
      </c>
      <c r="BZ34" t="s">
        <v>28</v>
      </c>
      <c r="CA34" t="s">
        <v>22</v>
      </c>
      <c r="CB34" t="s">
        <v>33</v>
      </c>
      <c r="CC34" t="s">
        <v>33</v>
      </c>
      <c r="CD34" t="s">
        <v>38</v>
      </c>
      <c r="CE34" t="s">
        <v>21</v>
      </c>
      <c r="CF34" t="s">
        <v>28</v>
      </c>
    </row>
    <row r="35" spans="1:84" x14ac:dyDescent="0.35">
      <c r="B35" t="s">
        <v>81</v>
      </c>
      <c r="C35" s="20">
        <f t="shared" ref="C35:AB35" si="10">1-SUM(C32:C34)</f>
        <v>0.16800000000000004</v>
      </c>
      <c r="D35" s="20">
        <f t="shared" si="10"/>
        <v>0.13219999999999998</v>
      </c>
      <c r="E35" s="20">
        <f t="shared" si="10"/>
        <v>0.1774</v>
      </c>
      <c r="F35" s="20">
        <f t="shared" si="10"/>
        <v>0.14890000000000003</v>
      </c>
      <c r="G35" s="20">
        <f t="shared" si="10"/>
        <v>0.1785000000000001</v>
      </c>
      <c r="H35" s="20">
        <f t="shared" si="10"/>
        <v>0.14989999999999992</v>
      </c>
      <c r="I35" s="20">
        <f t="shared" si="10"/>
        <v>0.14629999999999999</v>
      </c>
      <c r="J35" s="20">
        <f t="shared" si="10"/>
        <v>0.11599999999999999</v>
      </c>
      <c r="K35" s="20">
        <f t="shared" si="10"/>
        <v>0.12150000000000016</v>
      </c>
      <c r="L35" s="20">
        <f t="shared" si="10"/>
        <v>0.19020000000000004</v>
      </c>
      <c r="M35" s="20">
        <f t="shared" si="10"/>
        <v>0.14610000000000012</v>
      </c>
      <c r="N35" s="20">
        <f t="shared" si="10"/>
        <v>0.14389999999999992</v>
      </c>
      <c r="O35" s="20">
        <f t="shared" si="10"/>
        <v>0.14580000000000004</v>
      </c>
      <c r="P35" s="20">
        <f t="shared" si="10"/>
        <v>0.14539999999999997</v>
      </c>
      <c r="Q35" s="20">
        <f t="shared" si="10"/>
        <v>0.121</v>
      </c>
      <c r="R35" s="20">
        <f t="shared" si="10"/>
        <v>0.12339999999999995</v>
      </c>
      <c r="S35" s="20">
        <f t="shared" si="10"/>
        <v>0.16840000000000011</v>
      </c>
      <c r="T35" s="20">
        <f t="shared" si="10"/>
        <v>0.16390000000000005</v>
      </c>
      <c r="U35" s="20">
        <f t="shared" si="10"/>
        <v>0.1321</v>
      </c>
      <c r="V35" s="20">
        <f t="shared" si="10"/>
        <v>0.17210000000000014</v>
      </c>
      <c r="W35" s="20">
        <f t="shared" si="10"/>
        <v>0.18420000000000003</v>
      </c>
      <c r="X35" s="20">
        <f t="shared" si="10"/>
        <v>0.14880000000000004</v>
      </c>
      <c r="Y35" s="20">
        <f t="shared" si="10"/>
        <v>0.17730000000000001</v>
      </c>
      <c r="Z35" s="20">
        <f t="shared" si="10"/>
        <v>0.15090000000000003</v>
      </c>
      <c r="AA35" s="20">
        <f t="shared" si="10"/>
        <v>0.15579999999999994</v>
      </c>
      <c r="AB35" s="20">
        <f t="shared" si="10"/>
        <v>0.16739999999999999</v>
      </c>
      <c r="AD35" t="s">
        <v>81</v>
      </c>
      <c r="AE35" s="20">
        <v>0.14783774503626324</v>
      </c>
      <c r="AF35" s="20">
        <v>0.13506191450776944</v>
      </c>
      <c r="AG35" s="20">
        <v>0.15080232208547367</v>
      </c>
      <c r="AH35" s="20">
        <v>0.13714358813844213</v>
      </c>
      <c r="AI35" s="20">
        <v>0.12328830281187621</v>
      </c>
      <c r="AJ35" s="20">
        <v>0.14446442524675263</v>
      </c>
      <c r="AK35" s="20">
        <v>0.11629466581113661</v>
      </c>
      <c r="AL35" s="20">
        <v>0.10987607031027823</v>
      </c>
      <c r="AM35" s="20">
        <v>0.13118877601459078</v>
      </c>
      <c r="AN35" s="20">
        <v>0.17733690489708942</v>
      </c>
      <c r="AO35" s="20">
        <v>0.18570909995597501</v>
      </c>
      <c r="AP35" s="20">
        <v>0.14385690219674113</v>
      </c>
      <c r="AQ35" s="20">
        <v>0.16029671021825448</v>
      </c>
      <c r="AR35" s="20">
        <v>0.16796311296459582</v>
      </c>
      <c r="AS35" s="20">
        <v>0.13775954275367763</v>
      </c>
      <c r="AT35" s="20">
        <v>0.15237694139854441</v>
      </c>
      <c r="AU35" s="20">
        <v>0.12577696168716967</v>
      </c>
      <c r="AV35" s="20">
        <v>0.10998906379187415</v>
      </c>
      <c r="AW35" s="20">
        <v>0.13505173498503986</v>
      </c>
      <c r="AX35" s="20">
        <v>0.11852010701077102</v>
      </c>
      <c r="AY35" s="20">
        <v>0.15174633503225254</v>
      </c>
      <c r="AZ35" s="20">
        <v>0.16034873508740657</v>
      </c>
      <c r="BA35" s="20">
        <v>0.14112927079668855</v>
      </c>
      <c r="BB35" s="20">
        <v>0.12914274723600125</v>
      </c>
      <c r="BC35" s="20">
        <v>0.12133242875839523</v>
      </c>
      <c r="BD35" s="20">
        <v>0.11340014903617722</v>
      </c>
      <c r="BF35" t="s">
        <v>81</v>
      </c>
      <c r="BG35" t="s">
        <v>33</v>
      </c>
      <c r="BH35" t="s">
        <v>21</v>
      </c>
      <c r="BI35" t="s">
        <v>22</v>
      </c>
      <c r="BJ35" t="s">
        <v>39</v>
      </c>
      <c r="BK35" t="s">
        <v>28</v>
      </c>
      <c r="BL35" t="s">
        <v>22</v>
      </c>
      <c r="BM35" t="s">
        <v>33</v>
      </c>
      <c r="BN35" t="s">
        <v>28</v>
      </c>
      <c r="BO35" t="s">
        <v>37</v>
      </c>
      <c r="BP35" t="s">
        <v>33</v>
      </c>
      <c r="BQ35" t="s">
        <v>39</v>
      </c>
      <c r="BR35" t="s">
        <v>21</v>
      </c>
      <c r="BS35" t="s">
        <v>22</v>
      </c>
      <c r="BT35" t="s">
        <v>33</v>
      </c>
      <c r="BU35" t="s">
        <v>38</v>
      </c>
      <c r="BV35" t="s">
        <v>38</v>
      </c>
      <c r="BW35" t="s">
        <v>39</v>
      </c>
      <c r="BX35" t="s">
        <v>22</v>
      </c>
      <c r="BY35" t="s">
        <v>37</v>
      </c>
      <c r="BZ35" t="s">
        <v>37</v>
      </c>
      <c r="CA35" t="s">
        <v>21</v>
      </c>
      <c r="CB35" t="s">
        <v>39</v>
      </c>
      <c r="CC35" t="s">
        <v>38</v>
      </c>
      <c r="CD35" t="s">
        <v>37</v>
      </c>
      <c r="CE35" t="s">
        <v>22</v>
      </c>
      <c r="CF35" t="s">
        <v>39</v>
      </c>
    </row>
    <row r="37" spans="1:84" ht="15.5" x14ac:dyDescent="0.35">
      <c r="B37" s="31" t="s">
        <v>82</v>
      </c>
      <c r="AD37" s="31" t="s">
        <v>82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F37" s="31" t="s">
        <v>82</v>
      </c>
    </row>
    <row r="38" spans="1:84" x14ac:dyDescent="0.35">
      <c r="B38" t="s">
        <v>83</v>
      </c>
      <c r="C38" s="12">
        <f>1-SUM(C39:C40)</f>
        <v>0.60470000000000002</v>
      </c>
      <c r="D38" s="12">
        <f t="shared" ref="D38:AB38" si="11">1-SUM(D39:D40)</f>
        <v>0.5958</v>
      </c>
      <c r="E38" s="12">
        <f t="shared" si="11"/>
        <v>0.55410000000000004</v>
      </c>
      <c r="F38" s="12">
        <f t="shared" si="11"/>
        <v>0.58410000000000006</v>
      </c>
      <c r="G38" s="12">
        <f t="shared" si="11"/>
        <v>0.59199999999999997</v>
      </c>
      <c r="H38" s="12">
        <f t="shared" si="11"/>
        <v>0.55840000000000001</v>
      </c>
      <c r="I38" s="12">
        <f t="shared" si="11"/>
        <v>0.57810000000000006</v>
      </c>
      <c r="J38" s="12">
        <f t="shared" si="11"/>
        <v>0.56489999999999996</v>
      </c>
      <c r="K38" s="12">
        <f t="shared" si="11"/>
        <v>0.60340000000000005</v>
      </c>
      <c r="L38" s="12">
        <f t="shared" si="11"/>
        <v>0.59350000000000003</v>
      </c>
      <c r="M38" s="12">
        <f t="shared" si="11"/>
        <v>0.5796</v>
      </c>
      <c r="N38" s="12">
        <f t="shared" si="11"/>
        <v>0.56569999999999998</v>
      </c>
      <c r="O38" s="12">
        <f t="shared" si="11"/>
        <v>0.59840000000000004</v>
      </c>
      <c r="P38" s="12">
        <f t="shared" si="11"/>
        <v>0.57610000000000006</v>
      </c>
      <c r="Q38" s="12">
        <f t="shared" si="11"/>
        <v>0.5616000000000001</v>
      </c>
      <c r="R38" s="12">
        <f t="shared" si="11"/>
        <v>0.57820000000000005</v>
      </c>
      <c r="S38" s="12">
        <f t="shared" si="11"/>
        <v>0.61250000000000004</v>
      </c>
      <c r="T38" s="12">
        <f t="shared" si="11"/>
        <v>0.59830000000000005</v>
      </c>
      <c r="U38" s="12">
        <f t="shared" si="11"/>
        <v>0.56090000000000007</v>
      </c>
      <c r="V38" s="12">
        <f t="shared" si="11"/>
        <v>0.57640000000000002</v>
      </c>
      <c r="W38" s="12">
        <f t="shared" si="11"/>
        <v>0.56259999999999999</v>
      </c>
      <c r="X38" s="12">
        <f t="shared" si="11"/>
        <v>0.57509999999999994</v>
      </c>
      <c r="Y38" s="12">
        <f t="shared" si="11"/>
        <v>0.59220000000000006</v>
      </c>
      <c r="Z38" s="12">
        <f t="shared" si="11"/>
        <v>0.56410000000000005</v>
      </c>
      <c r="AA38" s="12">
        <f t="shared" si="11"/>
        <v>0.57790000000000008</v>
      </c>
      <c r="AB38" s="12">
        <f t="shared" si="11"/>
        <v>0.59799999999999998</v>
      </c>
      <c r="AD38" t="s">
        <v>83</v>
      </c>
      <c r="AE38" s="20">
        <v>0.11429315826130886</v>
      </c>
      <c r="AF38" s="20">
        <v>9.9912951877443798E-2</v>
      </c>
      <c r="AG38" s="20">
        <v>0.11659026276432727</v>
      </c>
      <c r="AH38" s="20">
        <v>0.10221038395934071</v>
      </c>
      <c r="AI38" s="20">
        <v>8.9742633234752109E-2</v>
      </c>
      <c r="AJ38" s="20">
        <v>0.10956973255454004</v>
      </c>
      <c r="AK38" s="20">
        <v>8.1372496287384161E-2</v>
      </c>
      <c r="AL38" s="20">
        <v>7.3407718436328123E-2</v>
      </c>
      <c r="AM38" s="20">
        <v>9.5550580602563745E-2</v>
      </c>
      <c r="AN38" s="20">
        <v>0.14433370566374076</v>
      </c>
      <c r="AO38" s="20">
        <v>0.15086327462979143</v>
      </c>
      <c r="AP38" s="20">
        <v>0.10850065826371927</v>
      </c>
      <c r="AQ38" s="20">
        <v>0.1253068036366361</v>
      </c>
      <c r="AR38" s="20">
        <v>0.13299290900298727</v>
      </c>
      <c r="AS38" s="20">
        <v>0.10150927901576358</v>
      </c>
      <c r="AT38" s="20">
        <v>0.11665091766378977</v>
      </c>
      <c r="AU38" s="20">
        <v>9.1990377317239747E-2</v>
      </c>
      <c r="AV38" s="20">
        <v>7.6339977181960492E-2</v>
      </c>
      <c r="AW38" s="20">
        <v>9.9107311770003995E-2</v>
      </c>
      <c r="AX38" s="20">
        <v>8.4230543266689439E-2</v>
      </c>
      <c r="AY38" s="20">
        <v>0.11761254731877016</v>
      </c>
      <c r="AZ38" s="20">
        <v>0.12592711616173713</v>
      </c>
      <c r="BA38" s="20">
        <v>0.10727017168779041</v>
      </c>
      <c r="BB38" s="20">
        <v>9.3722061519310271E-2</v>
      </c>
      <c r="BC38" s="20">
        <v>8.7100887110862654E-2</v>
      </c>
      <c r="BD38" s="20">
        <v>7.9852789826368259E-2</v>
      </c>
      <c r="BF38" t="s">
        <v>83</v>
      </c>
      <c r="BG38" t="s">
        <v>21</v>
      </c>
      <c r="BH38" t="s">
        <v>28</v>
      </c>
      <c r="BI38" t="s">
        <v>33</v>
      </c>
      <c r="BJ38" t="s">
        <v>28</v>
      </c>
      <c r="BK38" t="s">
        <v>39</v>
      </c>
      <c r="BL38" t="s">
        <v>38</v>
      </c>
      <c r="BM38" t="s">
        <v>33</v>
      </c>
      <c r="BN38" t="s">
        <v>39</v>
      </c>
      <c r="BO38" t="s">
        <v>22</v>
      </c>
      <c r="BP38" t="s">
        <v>33</v>
      </c>
      <c r="BQ38" t="s">
        <v>22</v>
      </c>
      <c r="BR38" t="s">
        <v>22</v>
      </c>
      <c r="BS38" t="s">
        <v>28</v>
      </c>
      <c r="BT38" t="s">
        <v>37</v>
      </c>
      <c r="BU38" t="s">
        <v>28</v>
      </c>
      <c r="BV38" t="s">
        <v>38</v>
      </c>
      <c r="BW38" t="s">
        <v>33</v>
      </c>
      <c r="BX38" t="s">
        <v>22</v>
      </c>
      <c r="BY38" t="s">
        <v>39</v>
      </c>
      <c r="BZ38" t="s">
        <v>22</v>
      </c>
      <c r="CA38" t="s">
        <v>21</v>
      </c>
      <c r="CB38" t="s">
        <v>39</v>
      </c>
      <c r="CC38" t="s">
        <v>28</v>
      </c>
      <c r="CD38" t="s">
        <v>37</v>
      </c>
      <c r="CE38" t="s">
        <v>33</v>
      </c>
      <c r="CF38" t="s">
        <v>22</v>
      </c>
    </row>
    <row r="39" spans="1:84" x14ac:dyDescent="0.35">
      <c r="B39" t="s">
        <v>84</v>
      </c>
      <c r="C39" s="12">
        <v>0.27629999999999999</v>
      </c>
      <c r="D39" s="12">
        <v>0.26869999999999999</v>
      </c>
      <c r="E39" s="12">
        <v>0.29379999999999995</v>
      </c>
      <c r="F39" s="12">
        <v>0.29089999999999999</v>
      </c>
      <c r="G39" s="12">
        <v>0.27989999999999998</v>
      </c>
      <c r="H39" s="12">
        <v>0.30109999999999998</v>
      </c>
      <c r="I39" s="12">
        <v>0.29299999999999998</v>
      </c>
      <c r="J39" s="12">
        <v>0.2858</v>
      </c>
      <c r="K39" s="12">
        <v>0.26849999999999996</v>
      </c>
      <c r="L39" s="12">
        <v>0.2853</v>
      </c>
      <c r="M39" s="12">
        <v>0.27979999999999999</v>
      </c>
      <c r="N39" s="12">
        <v>0.28239999999999998</v>
      </c>
      <c r="O39" s="12">
        <v>0.27559999999999996</v>
      </c>
      <c r="P39" s="12">
        <v>0.29409999999999997</v>
      </c>
      <c r="Q39" s="12">
        <v>0.28969999999999996</v>
      </c>
      <c r="R39" s="12">
        <v>0.29309999999999997</v>
      </c>
      <c r="S39" s="12">
        <v>0.26659999999999995</v>
      </c>
      <c r="T39" s="12">
        <v>0.27509999999999996</v>
      </c>
      <c r="U39" s="12">
        <v>0.29369999999999996</v>
      </c>
      <c r="V39" s="12">
        <v>0.27709999999999996</v>
      </c>
      <c r="W39" s="12">
        <v>0.29379999999999995</v>
      </c>
      <c r="X39" s="12">
        <v>0.28939999999999999</v>
      </c>
      <c r="Y39" s="12">
        <v>0.27359999999999995</v>
      </c>
      <c r="Z39" s="12">
        <v>0.2944</v>
      </c>
      <c r="AA39" s="12">
        <v>0.29379999999999995</v>
      </c>
      <c r="AB39" s="12">
        <v>0.2737</v>
      </c>
      <c r="AD39" t="s">
        <v>84</v>
      </c>
      <c r="AE39" s="20">
        <v>0.12546987749190261</v>
      </c>
      <c r="AF39" s="20">
        <v>0.11108967110803755</v>
      </c>
      <c r="AG39" s="20">
        <v>0.12776698199492104</v>
      </c>
      <c r="AH39" s="20">
        <v>0.11338710318993446</v>
      </c>
      <c r="AI39" s="20">
        <v>0.10091935246534586</v>
      </c>
      <c r="AJ39" s="20">
        <v>0.1207464517851338</v>
      </c>
      <c r="AK39" s="20">
        <v>9.2549215517977915E-2</v>
      </c>
      <c r="AL39" s="20">
        <v>8.4584437666921877E-2</v>
      </c>
      <c r="AM39" s="20">
        <v>0.1067272998331575</v>
      </c>
      <c r="AN39" s="20">
        <v>0.1555104248943345</v>
      </c>
      <c r="AO39" s="20">
        <v>0.16203999386038517</v>
      </c>
      <c r="AP39" s="20">
        <v>0.11967737749431302</v>
      </c>
      <c r="AQ39" s="20">
        <v>0.13648352286722984</v>
      </c>
      <c r="AR39" s="20">
        <v>0.14416962823358101</v>
      </c>
      <c r="AS39" s="20">
        <v>0.11268599824635733</v>
      </c>
      <c r="AT39" s="20">
        <v>0.12782763689438353</v>
      </c>
      <c r="AU39" s="20">
        <v>0.1031670965478335</v>
      </c>
      <c r="AV39" s="20">
        <v>8.7516696412554246E-2</v>
      </c>
      <c r="AW39" s="20">
        <v>0.11028403100059775</v>
      </c>
      <c r="AX39" s="20">
        <v>9.5407262497283193E-2</v>
      </c>
      <c r="AY39" s="20">
        <v>0.1287892665493639</v>
      </c>
      <c r="AZ39" s="20">
        <v>0.1371038353923309</v>
      </c>
      <c r="BA39" s="20">
        <v>0.11844689091838416</v>
      </c>
      <c r="BB39" s="20">
        <v>0.10489878074990402</v>
      </c>
      <c r="BC39" s="20">
        <v>9.8277606341456408E-2</v>
      </c>
      <c r="BD39" s="20">
        <v>9.1029509056962013E-2</v>
      </c>
      <c r="BF39" t="s">
        <v>84</v>
      </c>
      <c r="BG39" t="s">
        <v>33</v>
      </c>
      <c r="BH39" t="s">
        <v>39</v>
      </c>
      <c r="BI39" t="s">
        <v>21</v>
      </c>
      <c r="BJ39" t="s">
        <v>38</v>
      </c>
      <c r="BK39" t="s">
        <v>22</v>
      </c>
      <c r="BL39" t="s">
        <v>22</v>
      </c>
      <c r="BM39" t="s">
        <v>39</v>
      </c>
      <c r="BN39" t="s">
        <v>21</v>
      </c>
      <c r="BO39" t="s">
        <v>22</v>
      </c>
      <c r="BP39" t="s">
        <v>21</v>
      </c>
      <c r="BQ39" t="s">
        <v>37</v>
      </c>
      <c r="BR39" t="s">
        <v>28</v>
      </c>
      <c r="BS39" t="s">
        <v>21</v>
      </c>
      <c r="BT39" t="s">
        <v>39</v>
      </c>
      <c r="BU39" t="s">
        <v>39</v>
      </c>
      <c r="BV39" t="s">
        <v>38</v>
      </c>
      <c r="BW39" t="s">
        <v>22</v>
      </c>
      <c r="BX39" t="s">
        <v>38</v>
      </c>
      <c r="BY39" t="s">
        <v>22</v>
      </c>
      <c r="BZ39" t="s">
        <v>21</v>
      </c>
      <c r="CA39" t="s">
        <v>28</v>
      </c>
      <c r="CB39" t="s">
        <v>39</v>
      </c>
      <c r="CC39" t="s">
        <v>38</v>
      </c>
      <c r="CD39" t="s">
        <v>22</v>
      </c>
      <c r="CE39" t="s">
        <v>22</v>
      </c>
      <c r="CF39" t="s">
        <v>37</v>
      </c>
    </row>
    <row r="40" spans="1:84" x14ac:dyDescent="0.35">
      <c r="B40" t="s">
        <v>85</v>
      </c>
      <c r="C40" s="12">
        <v>0.11900000000000001</v>
      </c>
      <c r="D40" s="12">
        <v>0.13550000000000001</v>
      </c>
      <c r="E40" s="12">
        <v>0.15210000000000001</v>
      </c>
      <c r="F40" s="12">
        <v>0.125</v>
      </c>
      <c r="G40" s="12">
        <v>0.12810000000000002</v>
      </c>
      <c r="H40" s="12">
        <v>0.14050000000000001</v>
      </c>
      <c r="I40" s="12">
        <v>0.12890000000000001</v>
      </c>
      <c r="J40" s="12">
        <v>0.14930000000000002</v>
      </c>
      <c r="K40" s="12">
        <v>0.12810000000000002</v>
      </c>
      <c r="L40" s="12">
        <v>0.1212</v>
      </c>
      <c r="M40" s="12">
        <v>0.1406</v>
      </c>
      <c r="N40" s="12">
        <v>0.15190000000000001</v>
      </c>
      <c r="O40" s="12">
        <v>0.126</v>
      </c>
      <c r="P40" s="12">
        <v>0.1298</v>
      </c>
      <c r="Q40" s="12">
        <v>0.1487</v>
      </c>
      <c r="R40" s="12">
        <v>0.12870000000000001</v>
      </c>
      <c r="S40" s="12">
        <v>0.12090000000000001</v>
      </c>
      <c r="T40" s="12">
        <v>0.12660000000000002</v>
      </c>
      <c r="U40" s="12">
        <v>0.1454</v>
      </c>
      <c r="V40" s="12">
        <v>0.14650000000000002</v>
      </c>
      <c r="W40" s="12">
        <v>0.14360000000000001</v>
      </c>
      <c r="X40" s="12">
        <v>0.13550000000000001</v>
      </c>
      <c r="Y40" s="12">
        <v>0.13420000000000001</v>
      </c>
      <c r="Z40" s="12">
        <v>0.14150000000000001</v>
      </c>
      <c r="AA40" s="12">
        <v>0.1283</v>
      </c>
      <c r="AB40" s="12">
        <v>0.1283</v>
      </c>
      <c r="AD40" t="s">
        <v>85</v>
      </c>
      <c r="AE40" s="20">
        <v>0.14248403401994825</v>
      </c>
      <c r="AF40" s="20">
        <v>0.12810382763608319</v>
      </c>
      <c r="AG40" s="20">
        <v>0.14478113852296665</v>
      </c>
      <c r="AH40" s="20">
        <v>0.13040125971798011</v>
      </c>
      <c r="AI40" s="20">
        <v>0.1179335089933915</v>
      </c>
      <c r="AJ40" s="20">
        <v>0.13776060831317943</v>
      </c>
      <c r="AK40" s="20">
        <v>0.10956337204602355</v>
      </c>
      <c r="AL40" s="20">
        <v>0.10159859419496751</v>
      </c>
      <c r="AM40" s="20">
        <v>0.12374145636120314</v>
      </c>
      <c r="AN40" s="20">
        <v>0.17252458142238014</v>
      </c>
      <c r="AO40" s="20">
        <v>0.17905415038843081</v>
      </c>
      <c r="AP40" s="20">
        <v>0.13669153402235867</v>
      </c>
      <c r="AQ40" s="20">
        <v>0.15349767939527548</v>
      </c>
      <c r="AR40" s="20">
        <v>0.16118378476162665</v>
      </c>
      <c r="AS40" s="20">
        <v>0.12970015477440297</v>
      </c>
      <c r="AT40" s="20">
        <v>0.14484179342242914</v>
      </c>
      <c r="AU40" s="20">
        <v>0.12018125307587914</v>
      </c>
      <c r="AV40" s="20">
        <v>0.10453085294059988</v>
      </c>
      <c r="AW40" s="20">
        <v>0.12729818752864339</v>
      </c>
      <c r="AX40" s="20">
        <v>0.11242141902532883</v>
      </c>
      <c r="AY40" s="20">
        <v>0.14580342307740957</v>
      </c>
      <c r="AZ40" s="20">
        <v>0.15411799192037651</v>
      </c>
      <c r="BA40" s="20">
        <v>0.13546104744642978</v>
      </c>
      <c r="BB40" s="20">
        <v>0.12191293727794966</v>
      </c>
      <c r="BC40" s="20">
        <v>0.11529176286950205</v>
      </c>
      <c r="BD40" s="20">
        <v>0.10804366558500765</v>
      </c>
      <c r="BF40" t="s">
        <v>85</v>
      </c>
      <c r="BG40" t="s">
        <v>39</v>
      </c>
      <c r="BH40" t="s">
        <v>38</v>
      </c>
      <c r="BI40" t="s">
        <v>22</v>
      </c>
      <c r="BJ40" t="s">
        <v>33</v>
      </c>
      <c r="BK40" t="s">
        <v>39</v>
      </c>
      <c r="BL40" t="s">
        <v>22</v>
      </c>
      <c r="BM40" t="s">
        <v>38</v>
      </c>
      <c r="BN40" t="s">
        <v>33</v>
      </c>
      <c r="BO40" t="s">
        <v>39</v>
      </c>
      <c r="BP40" t="s">
        <v>33</v>
      </c>
      <c r="BQ40" t="s">
        <v>38</v>
      </c>
      <c r="BR40" t="s">
        <v>38</v>
      </c>
      <c r="BS40" t="s">
        <v>37</v>
      </c>
      <c r="BT40" t="s">
        <v>22</v>
      </c>
      <c r="BU40" t="s">
        <v>33</v>
      </c>
      <c r="BV40" t="s">
        <v>28</v>
      </c>
      <c r="BW40" t="s">
        <v>33</v>
      </c>
      <c r="BX40" t="s">
        <v>37</v>
      </c>
      <c r="BY40" t="s">
        <v>38</v>
      </c>
      <c r="BZ40" t="s">
        <v>33</v>
      </c>
      <c r="CA40" t="s">
        <v>21</v>
      </c>
      <c r="CB40" t="s">
        <v>28</v>
      </c>
      <c r="CC40" t="s">
        <v>28</v>
      </c>
      <c r="CD40" t="s">
        <v>39</v>
      </c>
      <c r="CE40" t="s">
        <v>22</v>
      </c>
      <c r="CF40" t="s">
        <v>28</v>
      </c>
    </row>
    <row r="42" spans="1:84" ht="15.5" x14ac:dyDescent="0.35">
      <c r="B42" s="31" t="s">
        <v>86</v>
      </c>
      <c r="AD42" s="31" t="s">
        <v>86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F42" s="31" t="s">
        <v>86</v>
      </c>
    </row>
    <row r="43" spans="1:84" x14ac:dyDescent="0.35">
      <c r="B43" t="s">
        <v>87</v>
      </c>
      <c r="C43" s="12">
        <f>1-C44</f>
        <v>0.69189999999999996</v>
      </c>
      <c r="D43" s="12">
        <f t="shared" ref="D43:AB43" si="12">1-D44</f>
        <v>0.67720000000000002</v>
      </c>
      <c r="E43" s="12">
        <f t="shared" si="12"/>
        <v>0.70239999999999991</v>
      </c>
      <c r="F43" s="12">
        <f t="shared" si="12"/>
        <v>0.70129999999999992</v>
      </c>
      <c r="G43" s="12">
        <f t="shared" si="12"/>
        <v>0.67779999999999996</v>
      </c>
      <c r="H43" s="12">
        <f t="shared" si="12"/>
        <v>0.6774</v>
      </c>
      <c r="I43" s="12">
        <f t="shared" si="12"/>
        <v>0.69289999999999996</v>
      </c>
      <c r="J43" s="12">
        <f t="shared" si="12"/>
        <v>0.70150000000000001</v>
      </c>
      <c r="K43" s="12">
        <f t="shared" si="12"/>
        <v>0.70789999999999997</v>
      </c>
      <c r="L43" s="12">
        <f t="shared" si="12"/>
        <v>0.67520000000000002</v>
      </c>
      <c r="M43" s="12">
        <f t="shared" si="12"/>
        <v>0.68829999999999991</v>
      </c>
      <c r="N43" s="12">
        <f t="shared" si="12"/>
        <v>0.69859999999999989</v>
      </c>
      <c r="O43" s="12">
        <f t="shared" si="12"/>
        <v>0.6782999999999999</v>
      </c>
      <c r="P43" s="12">
        <f t="shared" si="12"/>
        <v>0.68169999999999997</v>
      </c>
      <c r="Q43" s="12">
        <f t="shared" si="12"/>
        <v>0.70469999999999988</v>
      </c>
      <c r="R43" s="12">
        <f t="shared" si="12"/>
        <v>0.69899999999999995</v>
      </c>
      <c r="S43" s="12">
        <f t="shared" si="12"/>
        <v>0.68589999999999995</v>
      </c>
      <c r="T43" s="12">
        <f t="shared" si="12"/>
        <v>0.68229999999999991</v>
      </c>
      <c r="U43" s="12">
        <f t="shared" si="12"/>
        <v>0.70119999999999993</v>
      </c>
      <c r="V43" s="12">
        <f t="shared" si="12"/>
        <v>0.68399999999999994</v>
      </c>
      <c r="W43" s="12">
        <f t="shared" si="12"/>
        <v>0.6883999999999999</v>
      </c>
      <c r="X43" s="12">
        <f t="shared" si="12"/>
        <v>0.68429999999999991</v>
      </c>
      <c r="Y43" s="12">
        <f t="shared" si="12"/>
        <v>0.69159999999999999</v>
      </c>
      <c r="Z43" s="12">
        <f t="shared" si="12"/>
        <v>0.69079999999999997</v>
      </c>
      <c r="AA43" s="12">
        <f t="shared" si="12"/>
        <v>0.6782999999999999</v>
      </c>
      <c r="AB43" s="12">
        <f t="shared" si="12"/>
        <v>0.70909999999999995</v>
      </c>
      <c r="AD43" t="s">
        <v>87</v>
      </c>
      <c r="AE43" s="20">
        <v>0.11583462470591221</v>
      </c>
      <c r="AF43" s="20">
        <v>0.10160077135692455</v>
      </c>
      <c r="AG43" s="20">
        <v>0.11942747788949672</v>
      </c>
      <c r="AH43" s="20">
        <v>0.10423371463548596</v>
      </c>
      <c r="AI43" s="20">
        <v>9.1356564523654135E-2</v>
      </c>
      <c r="AJ43" s="20">
        <v>0.11176381379410273</v>
      </c>
      <c r="AK43" s="20">
        <v>8.3395612004236563E-2</v>
      </c>
      <c r="AL43" s="20">
        <v>7.6062267803549771E-2</v>
      </c>
      <c r="AM43" s="20">
        <v>9.7515939863973583E-2</v>
      </c>
      <c r="AN43" s="20">
        <v>0.14577211237692564</v>
      </c>
      <c r="AO43" s="20">
        <v>0.15299551230017311</v>
      </c>
      <c r="AP43" s="20">
        <v>0.11114436872837535</v>
      </c>
      <c r="AQ43" s="20">
        <v>0.12682142838929722</v>
      </c>
      <c r="AR43" s="20">
        <v>0.13487551691899502</v>
      </c>
      <c r="AS43" s="20">
        <v>0.10424140991400968</v>
      </c>
      <c r="AT43" s="20">
        <v>0.11876655406304781</v>
      </c>
      <c r="AU43" s="20">
        <v>9.3381541902722187E-2</v>
      </c>
      <c r="AV43" s="20">
        <v>7.7929561664811881E-2</v>
      </c>
      <c r="AW43" s="20">
        <v>0.10173544028636237</v>
      </c>
      <c r="AX43" s="20">
        <v>8.6430523880447849E-2</v>
      </c>
      <c r="AY43" s="20">
        <v>0.11998742252476484</v>
      </c>
      <c r="AZ43" s="20">
        <v>0.1279592433060131</v>
      </c>
      <c r="BA43" s="20">
        <v>0.10920518978467619</v>
      </c>
      <c r="BB43" s="20">
        <v>9.6082622056360409E-2</v>
      </c>
      <c r="BC43" s="20">
        <v>8.8883767167765484E-2</v>
      </c>
      <c r="BD43" s="20">
        <v>8.1900996272234017E-2</v>
      </c>
      <c r="BF43" t="s">
        <v>87</v>
      </c>
      <c r="BG43" t="s">
        <v>37</v>
      </c>
      <c r="BH43" t="s">
        <v>39</v>
      </c>
      <c r="BI43" t="s">
        <v>28</v>
      </c>
      <c r="BJ43" t="s">
        <v>22</v>
      </c>
      <c r="BK43" t="s">
        <v>21</v>
      </c>
      <c r="BL43" t="s">
        <v>38</v>
      </c>
      <c r="BM43" t="s">
        <v>39</v>
      </c>
      <c r="BN43" t="s">
        <v>21</v>
      </c>
      <c r="BO43" t="s">
        <v>28</v>
      </c>
      <c r="BP43" t="s">
        <v>21</v>
      </c>
      <c r="BQ43" t="s">
        <v>28</v>
      </c>
      <c r="BR43" t="s">
        <v>38</v>
      </c>
      <c r="BS43" t="s">
        <v>37</v>
      </c>
      <c r="BT43" t="s">
        <v>33</v>
      </c>
      <c r="BU43" t="s">
        <v>38</v>
      </c>
      <c r="BV43" t="s">
        <v>21</v>
      </c>
      <c r="BW43" t="s">
        <v>22</v>
      </c>
      <c r="BX43" t="s">
        <v>38</v>
      </c>
      <c r="BY43" t="s">
        <v>28</v>
      </c>
      <c r="BZ43" t="s">
        <v>22</v>
      </c>
      <c r="CA43" t="s">
        <v>21</v>
      </c>
      <c r="CB43" t="s">
        <v>21</v>
      </c>
      <c r="CC43" t="s">
        <v>39</v>
      </c>
      <c r="CD43" t="s">
        <v>38</v>
      </c>
      <c r="CE43" t="s">
        <v>28</v>
      </c>
      <c r="CF43" t="s">
        <v>37</v>
      </c>
    </row>
    <row r="44" spans="1:84" x14ac:dyDescent="0.35">
      <c r="B44" t="s">
        <v>88</v>
      </c>
      <c r="C44" s="12">
        <v>0.30810000000000004</v>
      </c>
      <c r="D44" s="12">
        <v>0.32280000000000003</v>
      </c>
      <c r="E44" s="12">
        <v>0.29760000000000003</v>
      </c>
      <c r="F44" s="12">
        <v>0.29870000000000008</v>
      </c>
      <c r="G44" s="12">
        <v>0.32220000000000004</v>
      </c>
      <c r="H44" s="12">
        <v>0.32260000000000005</v>
      </c>
      <c r="I44" s="12">
        <v>0.30710000000000004</v>
      </c>
      <c r="J44" s="12">
        <v>0.29850000000000004</v>
      </c>
      <c r="K44" s="12">
        <v>0.29210000000000003</v>
      </c>
      <c r="L44" s="12">
        <v>0.32480000000000003</v>
      </c>
      <c r="M44" s="12">
        <v>0.31170000000000003</v>
      </c>
      <c r="N44" s="12">
        <v>0.30140000000000006</v>
      </c>
      <c r="O44" s="12">
        <v>0.32170000000000004</v>
      </c>
      <c r="P44" s="12">
        <v>0.31830000000000003</v>
      </c>
      <c r="Q44" s="12">
        <v>0.29530000000000006</v>
      </c>
      <c r="R44" s="12">
        <v>0.30100000000000005</v>
      </c>
      <c r="S44" s="12">
        <v>0.31410000000000005</v>
      </c>
      <c r="T44" s="12">
        <v>0.31770000000000004</v>
      </c>
      <c r="U44" s="12">
        <v>0.29880000000000007</v>
      </c>
      <c r="V44" s="12">
        <v>0.31600000000000006</v>
      </c>
      <c r="W44" s="12">
        <v>0.31160000000000004</v>
      </c>
      <c r="X44" s="12">
        <v>0.31570000000000004</v>
      </c>
      <c r="Y44" s="12">
        <v>0.30840000000000006</v>
      </c>
      <c r="Z44" s="12">
        <v>0.30920000000000003</v>
      </c>
      <c r="AA44" s="12">
        <v>0.32170000000000004</v>
      </c>
      <c r="AB44" s="12">
        <v>0.29090000000000005</v>
      </c>
      <c r="AD44" t="s">
        <v>88</v>
      </c>
      <c r="AE44" s="20">
        <v>0.1317430157935065</v>
      </c>
      <c r="AF44" s="20">
        <v>0.11750916244451882</v>
      </c>
      <c r="AG44" s="20">
        <v>0.13533586897709099</v>
      </c>
      <c r="AH44" s="20">
        <v>0.12014210572308023</v>
      </c>
      <c r="AI44" s="20">
        <v>0.10726495561124841</v>
      </c>
      <c r="AJ44" s="20">
        <v>0.127672204881697</v>
      </c>
      <c r="AK44" s="20">
        <v>9.9304003091830836E-2</v>
      </c>
      <c r="AL44" s="20">
        <v>9.1970658891144044E-2</v>
      </c>
      <c r="AM44" s="20">
        <v>0.11342433095156786</v>
      </c>
      <c r="AN44" s="20">
        <v>0.1616805034645199</v>
      </c>
      <c r="AO44" s="20">
        <v>0.1689039033877674</v>
      </c>
      <c r="AP44" s="20">
        <v>0.12705275981596964</v>
      </c>
      <c r="AQ44" s="20">
        <v>0.14272981947689148</v>
      </c>
      <c r="AR44" s="20">
        <v>0.15078390800658931</v>
      </c>
      <c r="AS44" s="20">
        <v>0.12014980100160395</v>
      </c>
      <c r="AT44" s="20">
        <v>0.1346749451506421</v>
      </c>
      <c r="AU44" s="20">
        <v>0.10928993299031646</v>
      </c>
      <c r="AV44" s="20">
        <v>9.3837952752406154E-2</v>
      </c>
      <c r="AW44" s="20">
        <v>0.11764383137395665</v>
      </c>
      <c r="AX44" s="20">
        <v>0.10233891496804212</v>
      </c>
      <c r="AY44" s="20">
        <v>0.13589581361235911</v>
      </c>
      <c r="AZ44" s="20">
        <v>0.14386763439360736</v>
      </c>
      <c r="BA44" s="20">
        <v>0.12511358087227048</v>
      </c>
      <c r="BB44" s="20">
        <v>0.11199101314395468</v>
      </c>
      <c r="BC44" s="20">
        <v>0.10479215825535976</v>
      </c>
      <c r="BD44" s="20">
        <v>9.780938735982829E-2</v>
      </c>
      <c r="BF44" t="s">
        <v>88</v>
      </c>
      <c r="BG44" t="s">
        <v>22</v>
      </c>
      <c r="BH44" t="s">
        <v>38</v>
      </c>
      <c r="BI44" t="s">
        <v>38</v>
      </c>
      <c r="BJ44" t="s">
        <v>33</v>
      </c>
      <c r="BK44" t="s">
        <v>33</v>
      </c>
      <c r="BL44" t="s">
        <v>33</v>
      </c>
      <c r="BM44" t="s">
        <v>38</v>
      </c>
      <c r="BN44" t="s">
        <v>28</v>
      </c>
      <c r="BO44" t="s">
        <v>21</v>
      </c>
      <c r="BP44" t="s">
        <v>33</v>
      </c>
      <c r="BQ44" t="s">
        <v>39</v>
      </c>
      <c r="BR44" t="s">
        <v>37</v>
      </c>
      <c r="BS44" t="s">
        <v>33</v>
      </c>
      <c r="BT44" t="s">
        <v>37</v>
      </c>
      <c r="BU44" t="s">
        <v>28</v>
      </c>
      <c r="BV44" t="s">
        <v>28</v>
      </c>
      <c r="BW44" t="s">
        <v>33</v>
      </c>
      <c r="BX44" t="s">
        <v>33</v>
      </c>
      <c r="BY44" t="s">
        <v>28</v>
      </c>
      <c r="BZ44" t="s">
        <v>28</v>
      </c>
      <c r="CA44" t="s">
        <v>39</v>
      </c>
      <c r="CB44" t="s">
        <v>33</v>
      </c>
      <c r="CC44" t="s">
        <v>39</v>
      </c>
      <c r="CD44" t="s">
        <v>39</v>
      </c>
      <c r="CE44" t="s">
        <v>21</v>
      </c>
      <c r="CF44" t="s">
        <v>39</v>
      </c>
    </row>
    <row r="46" spans="1:84" ht="15.5" x14ac:dyDescent="0.35">
      <c r="B46" s="31" t="s">
        <v>89</v>
      </c>
      <c r="AD46" s="31" t="s">
        <v>89</v>
      </c>
      <c r="BF46" s="31" t="s">
        <v>89</v>
      </c>
    </row>
    <row r="47" spans="1:84" x14ac:dyDescent="0.35">
      <c r="B47" t="s">
        <v>90</v>
      </c>
      <c r="C47" s="12">
        <f>1-SUM(C52,C56,C59:C61)</f>
        <v>0.15649999999999986</v>
      </c>
      <c r="D47" s="12">
        <f t="shared" ref="D47:AB47" si="13">1-SUM(D52,D56,D59:D61)</f>
        <v>0.18579999999999974</v>
      </c>
      <c r="E47" s="12">
        <f t="shared" si="13"/>
        <v>0.20179999999999987</v>
      </c>
      <c r="F47" s="12">
        <f t="shared" si="13"/>
        <v>0.20239999999999991</v>
      </c>
      <c r="G47" s="12">
        <f t="shared" si="13"/>
        <v>0.19809999999999994</v>
      </c>
      <c r="H47" s="12">
        <f t="shared" si="13"/>
        <v>0.19339999999999991</v>
      </c>
      <c r="I47" s="12">
        <f t="shared" si="13"/>
        <v>0.15239999999999998</v>
      </c>
      <c r="J47" s="12">
        <f t="shared" si="13"/>
        <v>0.16869999999999996</v>
      </c>
      <c r="K47" s="12">
        <f t="shared" si="13"/>
        <v>0.18289999999999995</v>
      </c>
      <c r="L47" s="12">
        <f t="shared" si="13"/>
        <v>0.19629999999999981</v>
      </c>
      <c r="M47" s="12">
        <f t="shared" si="13"/>
        <v>0.16759999999999986</v>
      </c>
      <c r="N47" s="12">
        <f t="shared" si="13"/>
        <v>0.17279999999999984</v>
      </c>
      <c r="O47" s="12">
        <f t="shared" si="13"/>
        <v>0.16779999999999984</v>
      </c>
      <c r="P47" s="12">
        <f t="shared" si="13"/>
        <v>0.21369999999999989</v>
      </c>
      <c r="Q47" s="12">
        <f t="shared" si="13"/>
        <v>0.17999999999999994</v>
      </c>
      <c r="R47" s="12">
        <f t="shared" si="13"/>
        <v>0.20310000000000006</v>
      </c>
      <c r="S47" s="12">
        <f t="shared" si="13"/>
        <v>0.20029999999999992</v>
      </c>
      <c r="T47" s="12">
        <f t="shared" si="13"/>
        <v>0.20969999999999989</v>
      </c>
      <c r="U47" s="12">
        <f t="shared" si="13"/>
        <v>0.17509999999999981</v>
      </c>
      <c r="V47" s="12">
        <f t="shared" si="13"/>
        <v>0.20599999999999996</v>
      </c>
      <c r="W47" s="12">
        <f t="shared" si="13"/>
        <v>0.21139999999999992</v>
      </c>
      <c r="X47" s="12">
        <f t="shared" si="13"/>
        <v>0.19269999999999987</v>
      </c>
      <c r="Y47" s="12">
        <f t="shared" si="13"/>
        <v>0.20809999999999995</v>
      </c>
      <c r="Z47" s="12">
        <f t="shared" si="13"/>
        <v>0.22049999999999992</v>
      </c>
      <c r="AA47" s="12">
        <f t="shared" si="13"/>
        <v>0.22319999999999995</v>
      </c>
      <c r="AB47" s="12">
        <f t="shared" si="13"/>
        <v>0.18539999999999979</v>
      </c>
      <c r="AD47" t="s">
        <v>90</v>
      </c>
      <c r="AE47" s="20">
        <f>SUMPRODUCT(AE48:AE51,C48:C51)</f>
        <v>0.11159414293</v>
      </c>
      <c r="AF47" s="20">
        <f t="shared" ref="AF47:BD47" si="14">SUMPRODUCT(AF48:AF51,D48:D51)</f>
        <v>9.8478482120000002E-2</v>
      </c>
      <c r="AG47" s="20">
        <f t="shared" si="14"/>
        <v>0.11560825683716475</v>
      </c>
      <c r="AH47" s="20">
        <f t="shared" si="14"/>
        <v>0.10038648218335035</v>
      </c>
      <c r="AI47" s="20">
        <f t="shared" si="14"/>
        <v>8.795081135207701E-2</v>
      </c>
      <c r="AJ47" s="20">
        <f t="shared" si="14"/>
        <v>0.10798802660896065</v>
      </c>
      <c r="AK47" s="20">
        <f t="shared" si="14"/>
        <v>7.9622380897236736E-2</v>
      </c>
      <c r="AL47" s="20">
        <f t="shared" si="14"/>
        <v>7.1713656013196667E-2</v>
      </c>
      <c r="AM47" s="20">
        <f t="shared" si="14"/>
        <v>9.4308752940659879E-2</v>
      </c>
      <c r="AN47" s="20">
        <f t="shared" si="14"/>
        <v>0.14270485452217624</v>
      </c>
      <c r="AO47" s="20">
        <f t="shared" si="14"/>
        <v>0.14899963196217628</v>
      </c>
      <c r="AP47" s="20">
        <f t="shared" si="14"/>
        <v>0.10776698149217627</v>
      </c>
      <c r="AQ47" s="20">
        <f t="shared" si="14"/>
        <v>0.12275107010217629</v>
      </c>
      <c r="AR47" s="20">
        <f t="shared" si="14"/>
        <v>0.1319381699521763</v>
      </c>
      <c r="AS47" s="20">
        <f t="shared" si="14"/>
        <v>0.10034527038217628</v>
      </c>
      <c r="AT47" s="20">
        <f t="shared" si="14"/>
        <v>0.11528610901041367</v>
      </c>
      <c r="AU47" s="20">
        <f t="shared" si="14"/>
        <v>9.0185927833335539E-2</v>
      </c>
      <c r="AV47" s="20">
        <f t="shared" si="14"/>
        <v>7.4874000723340564E-2</v>
      </c>
      <c r="AW47" s="20">
        <f t="shared" si="14"/>
        <v>9.749245354333555E-2</v>
      </c>
      <c r="AX47" s="20">
        <f t="shared" si="14"/>
        <v>8.2502952414127625E-2</v>
      </c>
      <c r="AY47" s="20">
        <f t="shared" si="14"/>
        <v>0.1165666127876592</v>
      </c>
      <c r="AZ47" s="20">
        <f t="shared" si="14"/>
        <v>0.12440785268236658</v>
      </c>
      <c r="BA47" s="20">
        <f t="shared" si="14"/>
        <v>0.10546824669609028</v>
      </c>
      <c r="BB47" s="20">
        <f t="shared" si="14"/>
        <v>9.2954157690644565E-2</v>
      </c>
      <c r="BC47" s="20">
        <f t="shared" si="14"/>
        <v>8.5781471010644539E-2</v>
      </c>
      <c r="BD47" s="20">
        <f t="shared" si="14"/>
        <v>7.7551975179615193E-2</v>
      </c>
      <c r="BF47" t="s">
        <v>90</v>
      </c>
      <c r="BG47" t="s">
        <v>28</v>
      </c>
      <c r="BH47" t="s">
        <v>39</v>
      </c>
      <c r="BI47" t="s">
        <v>28</v>
      </c>
      <c r="BJ47" t="s">
        <v>38</v>
      </c>
      <c r="BK47" t="s">
        <v>38</v>
      </c>
      <c r="BL47" t="s">
        <v>39</v>
      </c>
      <c r="BM47" t="s">
        <v>37</v>
      </c>
      <c r="BN47" t="s">
        <v>22</v>
      </c>
      <c r="BO47" t="s">
        <v>22</v>
      </c>
      <c r="BP47" t="s">
        <v>21</v>
      </c>
      <c r="BQ47" t="s">
        <v>22</v>
      </c>
      <c r="BR47" t="s">
        <v>38</v>
      </c>
      <c r="BS47" t="s">
        <v>22</v>
      </c>
      <c r="BT47" t="s">
        <v>22</v>
      </c>
      <c r="BU47" t="s">
        <v>33</v>
      </c>
      <c r="BV47" t="s">
        <v>22</v>
      </c>
      <c r="BW47" t="s">
        <v>39</v>
      </c>
      <c r="BX47" t="s">
        <v>38</v>
      </c>
      <c r="BY47" t="s">
        <v>33</v>
      </c>
      <c r="BZ47" t="s">
        <v>38</v>
      </c>
      <c r="CA47" t="s">
        <v>39</v>
      </c>
      <c r="CB47" t="s">
        <v>33</v>
      </c>
      <c r="CC47" t="s">
        <v>33</v>
      </c>
      <c r="CD47" t="s">
        <v>33</v>
      </c>
      <c r="CE47" t="s">
        <v>37</v>
      </c>
      <c r="CF47" t="s">
        <v>37</v>
      </c>
    </row>
    <row r="48" spans="1:84" s="27" customFormat="1" x14ac:dyDescent="0.35">
      <c r="A48"/>
      <c r="B48" s="54" t="s">
        <v>91</v>
      </c>
      <c r="C48" s="40">
        <v>0.3871</v>
      </c>
      <c r="D48" s="40">
        <v>0.38840000000000002</v>
      </c>
      <c r="E48" s="40">
        <v>0.38550000000000001</v>
      </c>
      <c r="F48" s="40">
        <v>0.38619999999999999</v>
      </c>
      <c r="G48" s="40">
        <v>0.38150000000000001</v>
      </c>
      <c r="H48" s="40">
        <v>0.37180000000000002</v>
      </c>
      <c r="I48" s="40">
        <v>0.37180000000000002</v>
      </c>
      <c r="J48" s="40">
        <v>0.37</v>
      </c>
      <c r="K48" s="40">
        <v>0.373</v>
      </c>
      <c r="L48" s="40">
        <v>0.3957</v>
      </c>
      <c r="M48" s="40">
        <v>0.4017</v>
      </c>
      <c r="N48" s="40">
        <v>0.39590000000000003</v>
      </c>
      <c r="O48" s="40">
        <v>0.379</v>
      </c>
      <c r="P48" s="40">
        <v>0.37659999999999999</v>
      </c>
      <c r="Q48" s="40">
        <v>0.39790000000000003</v>
      </c>
      <c r="R48" s="40">
        <v>0.39250000000000002</v>
      </c>
      <c r="S48" s="40">
        <v>0.39340000000000003</v>
      </c>
      <c r="T48" s="40">
        <v>0.4037</v>
      </c>
      <c r="U48" s="40">
        <v>0.37359999999999999</v>
      </c>
      <c r="V48" s="40">
        <v>0.3906</v>
      </c>
      <c r="W48" s="40">
        <v>0.372</v>
      </c>
      <c r="X48" s="40">
        <v>0.39990000000000003</v>
      </c>
      <c r="Y48" s="40">
        <v>0.37370000000000003</v>
      </c>
      <c r="Z48" s="40">
        <v>0.39419999999999999</v>
      </c>
      <c r="AA48" s="40">
        <v>0.38030000000000003</v>
      </c>
      <c r="AB48" s="40">
        <v>0.38090000000000002</v>
      </c>
      <c r="AD48" s="54" t="s">
        <v>91</v>
      </c>
      <c r="AE48" s="32">
        <v>0.10548584293</v>
      </c>
      <c r="AF48" s="32">
        <v>9.1964582119999999E-2</v>
      </c>
      <c r="AG48" s="32">
        <v>0.10982505683716474</v>
      </c>
      <c r="AH48" s="32">
        <v>9.439528218335036E-2</v>
      </c>
      <c r="AI48" s="32">
        <v>8.1783911352076993E-2</v>
      </c>
      <c r="AJ48" s="32">
        <v>0.10215092660896065</v>
      </c>
      <c r="AK48" s="32">
        <v>7.3404180897236743E-2</v>
      </c>
      <c r="AL48" s="32">
        <v>6.5934256013196663E-2</v>
      </c>
      <c r="AM48" s="32">
        <v>8.784965294065987E-2</v>
      </c>
      <c r="AN48" s="32">
        <v>0.13638745452217627</v>
      </c>
      <c r="AO48" s="32">
        <v>0.14299313196217628</v>
      </c>
      <c r="AP48" s="32">
        <v>0.10140458149217627</v>
      </c>
      <c r="AQ48" s="32">
        <v>0.11695757010217626</v>
      </c>
      <c r="AR48" s="32">
        <v>0.12562336995217627</v>
      </c>
      <c r="AS48" s="32">
        <v>9.4259170382176266E-2</v>
      </c>
      <c r="AT48" s="32">
        <v>0.10904530901041366</v>
      </c>
      <c r="AU48" s="32">
        <v>8.4009727833335546E-2</v>
      </c>
      <c r="AV48" s="32">
        <v>6.8747200723340562E-2</v>
      </c>
      <c r="AW48" s="32">
        <v>9.1638453543335552E-2</v>
      </c>
      <c r="AX48" s="32">
        <v>7.6809152414127627E-2</v>
      </c>
      <c r="AY48" s="32">
        <v>0.1104380127876592</v>
      </c>
      <c r="AZ48" s="32">
        <v>0.11841335268236659</v>
      </c>
      <c r="BA48" s="32">
        <v>9.969814669609027E-2</v>
      </c>
      <c r="BB48" s="32">
        <v>8.6647257690644561E-2</v>
      </c>
      <c r="BC48" s="32">
        <v>7.9594171010644546E-2</v>
      </c>
      <c r="BD48" s="32">
        <v>7.1554975179615204E-2</v>
      </c>
      <c r="BF48" s="54" t="s">
        <v>91</v>
      </c>
      <c r="BG48" s="27" t="s">
        <v>21</v>
      </c>
      <c r="BH48" s="27" t="s">
        <v>21</v>
      </c>
      <c r="BI48" s="27" t="s">
        <v>33</v>
      </c>
      <c r="BJ48" s="27" t="s">
        <v>22</v>
      </c>
      <c r="BK48" s="27" t="s">
        <v>39</v>
      </c>
      <c r="BL48" s="27" t="s">
        <v>28</v>
      </c>
      <c r="BM48" s="27" t="s">
        <v>38</v>
      </c>
      <c r="BN48" s="27" t="s">
        <v>37</v>
      </c>
      <c r="BO48" s="27" t="s">
        <v>28</v>
      </c>
      <c r="BP48" s="27" t="s">
        <v>38</v>
      </c>
      <c r="BQ48" s="27" t="s">
        <v>38</v>
      </c>
      <c r="BR48" s="27" t="s">
        <v>21</v>
      </c>
      <c r="BS48" s="27" t="s">
        <v>21</v>
      </c>
      <c r="BT48" s="27" t="s">
        <v>38</v>
      </c>
      <c r="BU48" s="27" t="s">
        <v>37</v>
      </c>
      <c r="BV48" s="27" t="s">
        <v>21</v>
      </c>
      <c r="BW48" s="27" t="s">
        <v>39</v>
      </c>
      <c r="BX48" s="27" t="s">
        <v>33</v>
      </c>
      <c r="BY48" s="27" t="s">
        <v>21</v>
      </c>
      <c r="BZ48" s="27" t="s">
        <v>37</v>
      </c>
      <c r="CA48" s="27" t="s">
        <v>39</v>
      </c>
      <c r="CB48" s="27" t="s">
        <v>38</v>
      </c>
      <c r="CC48" s="27" t="s">
        <v>22</v>
      </c>
      <c r="CD48" s="27" t="s">
        <v>21</v>
      </c>
      <c r="CE48" s="27" t="s">
        <v>37</v>
      </c>
      <c r="CF48" s="27" t="s">
        <v>33</v>
      </c>
    </row>
    <row r="49" spans="1:84" s="27" customFormat="1" x14ac:dyDescent="0.35">
      <c r="A49"/>
      <c r="B49" s="54" t="s">
        <v>92</v>
      </c>
      <c r="C49" s="40">
        <v>0.13499999999999998</v>
      </c>
      <c r="D49" s="40">
        <v>0.12869999999999998</v>
      </c>
      <c r="E49" s="40">
        <v>0.14649999999999999</v>
      </c>
      <c r="F49" s="40">
        <v>0.13999999999999999</v>
      </c>
      <c r="G49" s="40">
        <v>0.15819999999999998</v>
      </c>
      <c r="H49" s="40">
        <v>0.1545</v>
      </c>
      <c r="I49" s="40">
        <v>0.13179999999999997</v>
      </c>
      <c r="J49" s="40">
        <v>0.14419999999999999</v>
      </c>
      <c r="K49" s="40">
        <v>0.13329999999999997</v>
      </c>
      <c r="L49" s="40">
        <v>0.13589999999999999</v>
      </c>
      <c r="M49" s="40">
        <v>0.14599999999999999</v>
      </c>
      <c r="N49" s="40">
        <v>0.1293</v>
      </c>
      <c r="O49" s="40">
        <v>0.1457</v>
      </c>
      <c r="P49" s="40">
        <v>0.12759999999999999</v>
      </c>
      <c r="Q49" s="40">
        <v>0.13619999999999999</v>
      </c>
      <c r="R49" s="40">
        <v>0.12769999999999998</v>
      </c>
      <c r="S49" s="40">
        <v>0.1366</v>
      </c>
      <c r="T49" s="40">
        <v>0.1535</v>
      </c>
      <c r="U49" s="40">
        <v>0.15459999999999999</v>
      </c>
      <c r="V49" s="40">
        <v>0.14799999999999999</v>
      </c>
      <c r="W49" s="40">
        <v>0.1376</v>
      </c>
      <c r="X49" s="40">
        <v>0.15739999999999998</v>
      </c>
      <c r="Y49" s="40">
        <v>0.14599999999999999</v>
      </c>
      <c r="Z49" s="40">
        <v>0.14069999999999999</v>
      </c>
      <c r="AA49" s="40">
        <v>0.12999999999999998</v>
      </c>
      <c r="AB49" s="40">
        <v>0.15089999999999998</v>
      </c>
      <c r="AD49" s="54" t="s">
        <v>92</v>
      </c>
      <c r="AE49" s="32">
        <v>9.7485842930000011E-2</v>
      </c>
      <c r="AF49" s="32">
        <v>8.3964582120000006E-2</v>
      </c>
      <c r="AG49" s="32">
        <v>0.10182505683716475</v>
      </c>
      <c r="AH49" s="32">
        <v>8.6395282183350366E-2</v>
      </c>
      <c r="AI49" s="32">
        <v>7.3783911352077E-2</v>
      </c>
      <c r="AJ49" s="32">
        <v>9.4150926608960656E-2</v>
      </c>
      <c r="AK49" s="32">
        <v>6.5404180897236749E-2</v>
      </c>
      <c r="AL49" s="32">
        <v>5.7934256013196669E-2</v>
      </c>
      <c r="AM49" s="32">
        <v>7.9849652940659877E-2</v>
      </c>
      <c r="AN49" s="32">
        <v>0.12838745452217626</v>
      </c>
      <c r="AO49" s="32">
        <v>0.13499313196217627</v>
      </c>
      <c r="AP49" s="32">
        <v>9.3404581492176272E-2</v>
      </c>
      <c r="AQ49" s="32">
        <v>0.10895757010217627</v>
      </c>
      <c r="AR49" s="32">
        <v>0.11762336995217629</v>
      </c>
      <c r="AS49" s="32">
        <v>8.6259170382176273E-2</v>
      </c>
      <c r="AT49" s="32">
        <v>0.10104530901041367</v>
      </c>
      <c r="AU49" s="32">
        <v>7.6009727833335552E-2</v>
      </c>
      <c r="AV49" s="32">
        <v>6.0747200723340569E-2</v>
      </c>
      <c r="AW49" s="32">
        <v>8.3638453543335559E-2</v>
      </c>
      <c r="AX49" s="32">
        <v>6.8809152414127633E-2</v>
      </c>
      <c r="AY49" s="32">
        <v>0.10243801278765921</v>
      </c>
      <c r="AZ49" s="32">
        <v>0.1104133526823666</v>
      </c>
      <c r="BA49" s="32">
        <v>9.1698146696090277E-2</v>
      </c>
      <c r="BB49" s="32">
        <v>7.8647257690644568E-2</v>
      </c>
      <c r="BC49" s="32">
        <v>7.1594171010644553E-2</v>
      </c>
      <c r="BD49" s="32">
        <v>6.3554975179615211E-2</v>
      </c>
      <c r="BF49" s="54" t="s">
        <v>92</v>
      </c>
      <c r="BG49" s="27" t="s">
        <v>37</v>
      </c>
      <c r="BH49" s="27" t="s">
        <v>21</v>
      </c>
      <c r="BI49" s="27" t="s">
        <v>37</v>
      </c>
      <c r="BJ49" s="27" t="s">
        <v>38</v>
      </c>
      <c r="BK49" s="27" t="s">
        <v>39</v>
      </c>
      <c r="BL49" s="27" t="s">
        <v>21</v>
      </c>
      <c r="BM49" s="27" t="s">
        <v>39</v>
      </c>
      <c r="BN49" s="27" t="s">
        <v>33</v>
      </c>
      <c r="BO49" s="27" t="s">
        <v>39</v>
      </c>
      <c r="BP49" s="27" t="s">
        <v>22</v>
      </c>
      <c r="BQ49" s="27" t="s">
        <v>22</v>
      </c>
      <c r="BR49" s="27" t="s">
        <v>33</v>
      </c>
      <c r="BS49" s="27" t="s">
        <v>39</v>
      </c>
      <c r="BT49" s="27" t="s">
        <v>38</v>
      </c>
      <c r="BU49" s="27" t="s">
        <v>33</v>
      </c>
      <c r="BV49" s="27" t="s">
        <v>33</v>
      </c>
      <c r="BW49" s="27" t="s">
        <v>37</v>
      </c>
      <c r="BX49" s="27" t="s">
        <v>21</v>
      </c>
      <c r="BY49" s="27" t="s">
        <v>28</v>
      </c>
      <c r="BZ49" s="27" t="s">
        <v>21</v>
      </c>
      <c r="CA49" s="27" t="s">
        <v>33</v>
      </c>
      <c r="CB49" s="27" t="s">
        <v>22</v>
      </c>
      <c r="CC49" s="27" t="s">
        <v>33</v>
      </c>
      <c r="CD49" s="27" t="s">
        <v>22</v>
      </c>
      <c r="CE49" s="27" t="s">
        <v>39</v>
      </c>
      <c r="CF49" s="27" t="s">
        <v>21</v>
      </c>
    </row>
    <row r="50" spans="1:84" s="27" customFormat="1" x14ac:dyDescent="0.35">
      <c r="A50"/>
      <c r="B50" s="54" t="s">
        <v>93</v>
      </c>
      <c r="C50" s="40">
        <v>0.31969999999999998</v>
      </c>
      <c r="D50" s="40">
        <v>0.33860000000000001</v>
      </c>
      <c r="E50" s="40">
        <v>0.30840000000000001</v>
      </c>
      <c r="F50" s="40">
        <v>0.31609999999999999</v>
      </c>
      <c r="G50" s="40">
        <v>0.3362</v>
      </c>
      <c r="H50" s="40">
        <v>0.314</v>
      </c>
      <c r="I50" s="40">
        <v>0.32130000000000003</v>
      </c>
      <c r="J50" s="40">
        <v>0.30420000000000003</v>
      </c>
      <c r="K50" s="40">
        <v>0.33579999999999999</v>
      </c>
      <c r="L50" s="40">
        <v>0.33329999999999999</v>
      </c>
      <c r="M50" s="40">
        <v>0.32319999999999999</v>
      </c>
      <c r="N50" s="40">
        <v>0.33179999999999998</v>
      </c>
      <c r="O50" s="40">
        <v>0.30740000000000001</v>
      </c>
      <c r="P50" s="40">
        <v>0.32490000000000002</v>
      </c>
      <c r="Q50" s="40">
        <v>0.32100000000000001</v>
      </c>
      <c r="R50" s="40">
        <v>0.32350000000000001</v>
      </c>
      <c r="S50" s="40">
        <v>0.32550000000000001</v>
      </c>
      <c r="T50" s="40">
        <v>0.33479999999999999</v>
      </c>
      <c r="U50" s="40">
        <v>0.31530000000000002</v>
      </c>
      <c r="V50" s="40">
        <v>0.30520000000000003</v>
      </c>
      <c r="W50" s="40">
        <v>0.31990000000000002</v>
      </c>
      <c r="X50" s="40">
        <v>0.32919999999999999</v>
      </c>
      <c r="Y50" s="40">
        <v>0.3054</v>
      </c>
      <c r="Z50" s="40">
        <v>0.33540000000000003</v>
      </c>
      <c r="AA50" s="40">
        <v>0.31990000000000002</v>
      </c>
      <c r="AB50" s="40">
        <v>0.32219999999999999</v>
      </c>
      <c r="AD50" s="54" t="s">
        <v>93</v>
      </c>
      <c r="AE50" s="32">
        <v>0.12648584293000001</v>
      </c>
      <c r="AF50" s="32">
        <v>0.11296458212</v>
      </c>
      <c r="AG50" s="32">
        <v>0.13082505683716475</v>
      </c>
      <c r="AH50" s="32">
        <v>0.11539528218335036</v>
      </c>
      <c r="AI50" s="32">
        <v>0.102783911352077</v>
      </c>
      <c r="AJ50" s="32">
        <v>0.12315092660896065</v>
      </c>
      <c r="AK50" s="32">
        <v>9.4404180897236747E-2</v>
      </c>
      <c r="AL50" s="32">
        <v>8.6934256013196667E-2</v>
      </c>
      <c r="AM50" s="32">
        <v>0.10884965294065987</v>
      </c>
      <c r="AN50" s="32">
        <v>0.15738745452217626</v>
      </c>
      <c r="AO50" s="32">
        <v>0.16399313196217627</v>
      </c>
      <c r="AP50" s="32">
        <v>0.12240458149217627</v>
      </c>
      <c r="AQ50" s="32">
        <v>0.13795757010217627</v>
      </c>
      <c r="AR50" s="32">
        <v>0.14662336995217629</v>
      </c>
      <c r="AS50" s="32">
        <v>0.11525917038217627</v>
      </c>
      <c r="AT50" s="32">
        <v>0.13004530901041367</v>
      </c>
      <c r="AU50" s="32">
        <v>0.10500972783333555</v>
      </c>
      <c r="AV50" s="32">
        <v>8.9747200723340567E-2</v>
      </c>
      <c r="AW50" s="32">
        <v>0.11263845354333556</v>
      </c>
      <c r="AX50" s="32">
        <v>9.7809152414127631E-2</v>
      </c>
      <c r="AY50" s="32">
        <v>0.13143801278765921</v>
      </c>
      <c r="AZ50" s="32">
        <v>0.1394133526823666</v>
      </c>
      <c r="BA50" s="32">
        <v>0.12069814669609027</v>
      </c>
      <c r="BB50" s="32">
        <v>0.10764725769064457</v>
      </c>
      <c r="BC50" s="32">
        <v>0.10059417101064455</v>
      </c>
      <c r="BD50" s="32">
        <v>9.2554975179615209E-2</v>
      </c>
      <c r="BF50" s="54" t="s">
        <v>93</v>
      </c>
      <c r="BG50" s="27" t="s">
        <v>38</v>
      </c>
      <c r="BH50" s="27" t="s">
        <v>21</v>
      </c>
      <c r="BI50" s="27" t="s">
        <v>33</v>
      </c>
      <c r="BJ50" s="27" t="s">
        <v>37</v>
      </c>
      <c r="BK50" s="27" t="s">
        <v>22</v>
      </c>
      <c r="BL50" s="27" t="s">
        <v>28</v>
      </c>
      <c r="BM50" s="27" t="s">
        <v>22</v>
      </c>
      <c r="BN50" s="27" t="s">
        <v>38</v>
      </c>
      <c r="BO50" s="27" t="s">
        <v>37</v>
      </c>
      <c r="BP50" s="27" t="s">
        <v>38</v>
      </c>
      <c r="BQ50" s="27" t="s">
        <v>33</v>
      </c>
      <c r="BR50" s="27" t="s">
        <v>38</v>
      </c>
      <c r="BS50" s="27" t="s">
        <v>22</v>
      </c>
      <c r="BT50" s="27" t="s">
        <v>37</v>
      </c>
      <c r="BU50" s="27" t="s">
        <v>37</v>
      </c>
      <c r="BV50" s="27" t="s">
        <v>28</v>
      </c>
      <c r="BW50" s="27" t="s">
        <v>37</v>
      </c>
      <c r="BX50" s="27" t="s">
        <v>33</v>
      </c>
      <c r="BY50" s="27" t="s">
        <v>38</v>
      </c>
      <c r="BZ50" s="27" t="s">
        <v>22</v>
      </c>
      <c r="CA50" s="27" t="s">
        <v>28</v>
      </c>
      <c r="CB50" s="27" t="s">
        <v>37</v>
      </c>
      <c r="CC50" s="27" t="s">
        <v>39</v>
      </c>
      <c r="CD50" s="27" t="s">
        <v>33</v>
      </c>
      <c r="CE50" s="27" t="s">
        <v>28</v>
      </c>
      <c r="CF50" s="27" t="s">
        <v>21</v>
      </c>
    </row>
    <row r="51" spans="1:84" s="27" customFormat="1" x14ac:dyDescent="0.35">
      <c r="A51"/>
      <c r="B51" s="54" t="s">
        <v>94</v>
      </c>
      <c r="C51" s="32">
        <f t="shared" ref="C51:AB51" si="15">1-SUM(C48:C50)</f>
        <v>0.15820000000000001</v>
      </c>
      <c r="D51" s="32">
        <f t="shared" si="15"/>
        <v>0.14429999999999998</v>
      </c>
      <c r="E51" s="32">
        <f t="shared" si="15"/>
        <v>0.15959999999999996</v>
      </c>
      <c r="F51" s="32">
        <f t="shared" si="15"/>
        <v>0.15769999999999995</v>
      </c>
      <c r="G51" s="32">
        <f t="shared" si="15"/>
        <v>0.1241000000000001</v>
      </c>
      <c r="H51" s="32">
        <f t="shared" si="15"/>
        <v>0.15969999999999995</v>
      </c>
      <c r="I51" s="32">
        <f t="shared" si="15"/>
        <v>0.17509999999999992</v>
      </c>
      <c r="J51" s="32">
        <f t="shared" si="15"/>
        <v>0.18159999999999998</v>
      </c>
      <c r="K51" s="32">
        <f t="shared" si="15"/>
        <v>0.15790000000000004</v>
      </c>
      <c r="L51" s="32">
        <f t="shared" si="15"/>
        <v>0.1351</v>
      </c>
      <c r="M51" s="32">
        <f t="shared" si="15"/>
        <v>0.12909999999999999</v>
      </c>
      <c r="N51" s="32">
        <f t="shared" si="15"/>
        <v>0.14300000000000002</v>
      </c>
      <c r="O51" s="32">
        <f t="shared" si="15"/>
        <v>0.16790000000000005</v>
      </c>
      <c r="P51" s="32">
        <f t="shared" si="15"/>
        <v>0.17090000000000005</v>
      </c>
      <c r="Q51" s="32">
        <f t="shared" si="15"/>
        <v>0.14490000000000003</v>
      </c>
      <c r="R51" s="32">
        <f t="shared" si="15"/>
        <v>0.15629999999999999</v>
      </c>
      <c r="S51" s="32">
        <f t="shared" si="15"/>
        <v>0.14449999999999996</v>
      </c>
      <c r="T51" s="32">
        <f t="shared" si="15"/>
        <v>0.10799999999999998</v>
      </c>
      <c r="U51" s="32">
        <f t="shared" si="15"/>
        <v>0.15649999999999997</v>
      </c>
      <c r="V51" s="32">
        <f t="shared" si="15"/>
        <v>0.15620000000000001</v>
      </c>
      <c r="W51" s="32">
        <f t="shared" si="15"/>
        <v>0.17049999999999987</v>
      </c>
      <c r="X51" s="32">
        <f t="shared" si="15"/>
        <v>0.11349999999999993</v>
      </c>
      <c r="Y51" s="32">
        <f t="shared" si="15"/>
        <v>0.17489999999999994</v>
      </c>
      <c r="Z51" s="32">
        <f t="shared" si="15"/>
        <v>0.12970000000000004</v>
      </c>
      <c r="AA51" s="32">
        <f t="shared" si="15"/>
        <v>0.16979999999999995</v>
      </c>
      <c r="AB51" s="32">
        <f t="shared" si="15"/>
        <v>0.14599999999999991</v>
      </c>
      <c r="AD51" s="54" t="s">
        <v>94</v>
      </c>
      <c r="AE51" s="32">
        <v>0.10848584293000001</v>
      </c>
      <c r="AF51" s="32">
        <v>9.4964582120000002E-2</v>
      </c>
      <c r="AG51" s="32">
        <v>0.11282505683716475</v>
      </c>
      <c r="AH51" s="32">
        <v>9.7395282183350362E-2</v>
      </c>
      <c r="AI51" s="32">
        <v>8.4783911352076996E-2</v>
      </c>
      <c r="AJ51" s="32">
        <v>0.10515092660896065</v>
      </c>
      <c r="AK51" s="32">
        <v>7.6404180897236745E-2</v>
      </c>
      <c r="AL51" s="32">
        <v>6.8934256013196665E-2</v>
      </c>
      <c r="AM51" s="32">
        <v>9.0849652940659872E-2</v>
      </c>
      <c r="AN51" s="32">
        <v>0.13938745452217627</v>
      </c>
      <c r="AO51" s="32">
        <v>0.14599313196217628</v>
      </c>
      <c r="AP51" s="32">
        <v>0.10440458149217627</v>
      </c>
      <c r="AQ51" s="32">
        <v>0.11995757010217627</v>
      </c>
      <c r="AR51" s="32">
        <v>0.12862336995217627</v>
      </c>
      <c r="AS51" s="32">
        <v>9.7259170382176269E-2</v>
      </c>
      <c r="AT51" s="32">
        <v>0.11204530901041367</v>
      </c>
      <c r="AU51" s="32">
        <v>8.7009727833335548E-2</v>
      </c>
      <c r="AV51" s="32">
        <v>7.1747200723340565E-2</v>
      </c>
      <c r="AW51" s="32">
        <v>9.4638453543335554E-2</v>
      </c>
      <c r="AX51" s="32">
        <v>7.9809152414127629E-2</v>
      </c>
      <c r="AY51" s="32">
        <v>0.11343801278765921</v>
      </c>
      <c r="AZ51" s="32">
        <v>0.1214133526823666</v>
      </c>
      <c r="BA51" s="32">
        <v>0.10269814669609027</v>
      </c>
      <c r="BB51" s="32">
        <v>8.9647257690644563E-2</v>
      </c>
      <c r="BC51" s="32">
        <v>8.2594171010644549E-2</v>
      </c>
      <c r="BD51" s="32">
        <v>7.4554975179615207E-2</v>
      </c>
      <c r="BF51" s="54" t="s">
        <v>94</v>
      </c>
      <c r="BG51" s="27" t="s">
        <v>22</v>
      </c>
      <c r="BH51" s="27" t="s">
        <v>33</v>
      </c>
      <c r="BI51" s="27" t="s">
        <v>28</v>
      </c>
      <c r="BJ51" s="27" t="s">
        <v>38</v>
      </c>
      <c r="BK51" s="27" t="s">
        <v>33</v>
      </c>
      <c r="BL51" s="27" t="s">
        <v>22</v>
      </c>
      <c r="BM51" s="27" t="s">
        <v>21</v>
      </c>
      <c r="BN51" s="27" t="s">
        <v>37</v>
      </c>
      <c r="BO51" s="27" t="s">
        <v>38</v>
      </c>
      <c r="BP51" s="27" t="s">
        <v>33</v>
      </c>
      <c r="BQ51" s="27" t="s">
        <v>37</v>
      </c>
      <c r="BR51" s="27" t="s">
        <v>37</v>
      </c>
      <c r="BS51" s="27" t="s">
        <v>39</v>
      </c>
      <c r="BT51" s="27" t="s">
        <v>33</v>
      </c>
      <c r="BU51" s="27" t="s">
        <v>33</v>
      </c>
      <c r="BV51" s="27" t="s">
        <v>37</v>
      </c>
      <c r="BW51" s="27" t="s">
        <v>21</v>
      </c>
      <c r="BX51" s="27" t="s">
        <v>37</v>
      </c>
      <c r="BY51" s="27" t="s">
        <v>39</v>
      </c>
      <c r="BZ51" s="27" t="s">
        <v>37</v>
      </c>
      <c r="CA51" s="27" t="s">
        <v>33</v>
      </c>
      <c r="CB51" s="27" t="s">
        <v>39</v>
      </c>
      <c r="CC51" s="27" t="s">
        <v>21</v>
      </c>
      <c r="CD51" s="27" t="s">
        <v>22</v>
      </c>
      <c r="CE51" s="27" t="s">
        <v>39</v>
      </c>
      <c r="CF51" s="27" t="s">
        <v>22</v>
      </c>
    </row>
    <row r="52" spans="1:84" x14ac:dyDescent="0.35">
      <c r="B52" t="s">
        <v>95</v>
      </c>
      <c r="C52" s="12">
        <v>0.17</v>
      </c>
      <c r="D52" s="12">
        <v>0.17020000000000002</v>
      </c>
      <c r="E52" s="12">
        <v>0.17180000000000001</v>
      </c>
      <c r="F52" s="12">
        <v>0.1545</v>
      </c>
      <c r="G52" s="12">
        <v>0.14960000000000001</v>
      </c>
      <c r="H52" s="12">
        <v>0.14730000000000001</v>
      </c>
      <c r="I52" s="12">
        <v>0.17469999999999999</v>
      </c>
      <c r="J52" s="12">
        <v>0.17150000000000001</v>
      </c>
      <c r="K52" s="12">
        <v>0.182</v>
      </c>
      <c r="L52" s="12">
        <v>0.15690000000000001</v>
      </c>
      <c r="M52" s="12">
        <v>0.1716</v>
      </c>
      <c r="N52" s="12">
        <v>0.16750000000000001</v>
      </c>
      <c r="O52" s="12">
        <v>0.157</v>
      </c>
      <c r="P52" s="12">
        <v>0.16930000000000001</v>
      </c>
      <c r="Q52" s="12">
        <v>0.1754</v>
      </c>
      <c r="R52" s="12">
        <v>0.16490000000000002</v>
      </c>
      <c r="S52" s="12">
        <v>0.15740000000000001</v>
      </c>
      <c r="T52" s="12">
        <v>0.16750000000000001</v>
      </c>
      <c r="U52" s="12">
        <v>0.15030000000000002</v>
      </c>
      <c r="V52" s="12">
        <v>0.1565</v>
      </c>
      <c r="W52" s="12">
        <v>0.15010000000000001</v>
      </c>
      <c r="X52" s="12">
        <v>0.15740000000000001</v>
      </c>
      <c r="Y52" s="12">
        <v>0.16270000000000001</v>
      </c>
      <c r="Z52" s="12">
        <v>0.1585</v>
      </c>
      <c r="AA52" s="12">
        <v>0.15510000000000002</v>
      </c>
      <c r="AB52" s="12">
        <v>0.15140000000000001</v>
      </c>
      <c r="AD52" t="s">
        <v>95</v>
      </c>
      <c r="AE52" s="20">
        <f>SUMPRODUCT(AE53:AE55,C53:C55)</f>
        <v>0.10876164293000001</v>
      </c>
      <c r="AF52" s="20">
        <f t="shared" ref="AF52:BD52" si="16">SUMPRODUCT(AF53:AF55,D53:D55)</f>
        <v>9.5254282120000006E-2</v>
      </c>
      <c r="AG52" s="20">
        <f t="shared" si="16"/>
        <v>0.11323505683716475</v>
      </c>
      <c r="AH52" s="20">
        <f t="shared" si="16"/>
        <v>9.7868182183350361E-2</v>
      </c>
      <c r="AI52" s="20">
        <f t="shared" si="16"/>
        <v>8.5101311352076991E-2</v>
      </c>
      <c r="AJ52" s="20">
        <f t="shared" si="16"/>
        <v>0.10540162660896066</v>
      </c>
      <c r="AK52" s="20">
        <f t="shared" si="16"/>
        <v>7.6552080897236752E-2</v>
      </c>
      <c r="AL52" s="20">
        <f t="shared" si="16"/>
        <v>6.9169956013196657E-2</v>
      </c>
      <c r="AM52" s="20">
        <f t="shared" si="16"/>
        <v>9.1094552940659879E-2</v>
      </c>
      <c r="AN52" s="20">
        <f t="shared" si="16"/>
        <v>0.13973285452217626</v>
      </c>
      <c r="AO52" s="20">
        <f t="shared" si="16"/>
        <v>0.14624063196217627</v>
      </c>
      <c r="AP52" s="20">
        <f t="shared" si="16"/>
        <v>0.10456968149217627</v>
      </c>
      <c r="AQ52" s="20">
        <f t="shared" si="16"/>
        <v>0.12006197010217626</v>
      </c>
      <c r="AR52" s="20">
        <f t="shared" si="16"/>
        <v>0.12874386995217629</v>
      </c>
      <c r="AS52" s="20">
        <f t="shared" si="16"/>
        <v>9.7504770382176267E-2</v>
      </c>
      <c r="AT52" s="20">
        <f t="shared" si="16"/>
        <v>0.11226140901041368</v>
      </c>
      <c r="AU52" s="20">
        <f t="shared" si="16"/>
        <v>8.7184327833335545E-2</v>
      </c>
      <c r="AV52" s="20">
        <f t="shared" si="16"/>
        <v>7.2033900723340566E-2</v>
      </c>
      <c r="AW52" s="20">
        <f t="shared" si="16"/>
        <v>9.4883053543335566E-2</v>
      </c>
      <c r="AX52" s="20">
        <f t="shared" si="16"/>
        <v>8.0110852414127631E-2</v>
      </c>
      <c r="AY52" s="20">
        <f t="shared" si="16"/>
        <v>0.11380961278765921</v>
      </c>
      <c r="AZ52" s="20">
        <f t="shared" si="16"/>
        <v>0.12162405268236659</v>
      </c>
      <c r="BA52" s="20">
        <f t="shared" si="16"/>
        <v>0.10308324669609027</v>
      </c>
      <c r="BB52" s="20">
        <f t="shared" si="16"/>
        <v>9.0031457690644565E-2</v>
      </c>
      <c r="BC52" s="20">
        <f t="shared" si="16"/>
        <v>8.2955271010644538E-2</v>
      </c>
      <c r="BD52" s="20">
        <f t="shared" si="16"/>
        <v>7.4746275179615213E-2</v>
      </c>
      <c r="BF52" t="s">
        <v>95</v>
      </c>
      <c r="BG52" t="s">
        <v>21</v>
      </c>
      <c r="BH52" t="s">
        <v>39</v>
      </c>
      <c r="BI52" t="s">
        <v>22</v>
      </c>
      <c r="BJ52" t="s">
        <v>38</v>
      </c>
      <c r="BK52" t="s">
        <v>38</v>
      </c>
      <c r="BL52" t="s">
        <v>39</v>
      </c>
      <c r="BM52" t="s">
        <v>38</v>
      </c>
      <c r="BN52" t="s">
        <v>33</v>
      </c>
      <c r="BO52" t="s">
        <v>33</v>
      </c>
      <c r="BP52" t="s">
        <v>37</v>
      </c>
      <c r="BQ52" t="s">
        <v>22</v>
      </c>
      <c r="BR52" t="s">
        <v>22</v>
      </c>
      <c r="BS52" t="s">
        <v>28</v>
      </c>
      <c r="BT52" t="s">
        <v>37</v>
      </c>
      <c r="BU52" t="s">
        <v>33</v>
      </c>
      <c r="BV52" t="s">
        <v>33</v>
      </c>
      <c r="BW52" t="s">
        <v>33</v>
      </c>
      <c r="BX52" t="s">
        <v>28</v>
      </c>
      <c r="BY52" t="s">
        <v>22</v>
      </c>
      <c r="BZ52" t="s">
        <v>22</v>
      </c>
      <c r="CA52" t="s">
        <v>22</v>
      </c>
      <c r="CB52" t="s">
        <v>33</v>
      </c>
      <c r="CC52" t="s">
        <v>39</v>
      </c>
      <c r="CD52" t="s">
        <v>22</v>
      </c>
      <c r="CE52" t="s">
        <v>22</v>
      </c>
      <c r="CF52" t="s">
        <v>28</v>
      </c>
    </row>
    <row r="53" spans="1:84" s="27" customFormat="1" x14ac:dyDescent="0.35">
      <c r="A53"/>
      <c r="B53" s="54" t="s">
        <v>96</v>
      </c>
      <c r="C53" s="40">
        <v>0.24299999999999999</v>
      </c>
      <c r="D53" s="40">
        <v>0.2452</v>
      </c>
      <c r="E53" s="40">
        <v>0.22599999999999998</v>
      </c>
      <c r="F53" s="40">
        <v>0.2268</v>
      </c>
      <c r="G53" s="40">
        <v>0.23749999999999999</v>
      </c>
      <c r="H53" s="40">
        <v>0.23949999999999999</v>
      </c>
      <c r="I53" s="40">
        <v>0.25819999999999999</v>
      </c>
      <c r="J53" s="40">
        <v>0.25</v>
      </c>
      <c r="K53" s="40">
        <v>0.2412</v>
      </c>
      <c r="L53" s="40">
        <v>0.2382</v>
      </c>
      <c r="M53" s="40">
        <v>0.24229999999999999</v>
      </c>
      <c r="N53" s="40">
        <v>0.2475</v>
      </c>
      <c r="O53" s="40">
        <v>0.254</v>
      </c>
      <c r="P53" s="40">
        <v>0.25779999999999997</v>
      </c>
      <c r="Q53" s="40">
        <v>0.24759999999999999</v>
      </c>
      <c r="R53" s="40">
        <v>0.24329999999999999</v>
      </c>
      <c r="S53" s="40">
        <v>0.254</v>
      </c>
      <c r="T53" s="40">
        <v>0.2437</v>
      </c>
      <c r="U53" s="40">
        <v>0.24209999999999998</v>
      </c>
      <c r="V53" s="40">
        <v>0.23649999999999999</v>
      </c>
      <c r="W53" s="40">
        <v>0.23019999999999999</v>
      </c>
      <c r="X53" s="40">
        <v>0.25019999999999998</v>
      </c>
      <c r="Y53" s="40">
        <v>0.2296</v>
      </c>
      <c r="Z53" s="40">
        <v>0.2311</v>
      </c>
      <c r="AA53" s="40">
        <v>0.2341</v>
      </c>
      <c r="AB53" s="40">
        <v>0.25419999999999998</v>
      </c>
      <c r="AD53" s="54" t="s">
        <v>96</v>
      </c>
      <c r="AE53" s="32">
        <v>0.10148584293</v>
      </c>
      <c r="AF53" s="32">
        <v>8.7964582119999996E-2</v>
      </c>
      <c r="AG53" s="32">
        <v>0.10582505683716474</v>
      </c>
      <c r="AH53" s="32">
        <v>9.0395282183350356E-2</v>
      </c>
      <c r="AI53" s="32">
        <v>7.778391135207699E-2</v>
      </c>
      <c r="AJ53" s="32">
        <v>9.8150926608960645E-2</v>
      </c>
      <c r="AK53" s="32">
        <v>6.9404180897236739E-2</v>
      </c>
      <c r="AL53" s="32">
        <v>6.1934256013196659E-2</v>
      </c>
      <c r="AM53" s="32">
        <v>8.3849652940659866E-2</v>
      </c>
      <c r="AN53" s="32">
        <v>0.13238745452217626</v>
      </c>
      <c r="AO53" s="32">
        <v>0.13899313196217628</v>
      </c>
      <c r="AP53" s="32">
        <v>9.7404581492176262E-2</v>
      </c>
      <c r="AQ53" s="32">
        <v>0.11295757010217626</v>
      </c>
      <c r="AR53" s="32">
        <v>0.12162336995217628</v>
      </c>
      <c r="AS53" s="32">
        <v>9.0259170382176263E-2</v>
      </c>
      <c r="AT53" s="32">
        <v>0.10504530901041366</v>
      </c>
      <c r="AU53" s="32">
        <v>8.0009727833335542E-2</v>
      </c>
      <c r="AV53" s="32">
        <v>6.4747200723340559E-2</v>
      </c>
      <c r="AW53" s="32">
        <v>8.7638453543335548E-2</v>
      </c>
      <c r="AX53" s="32">
        <v>7.2809152414127623E-2</v>
      </c>
      <c r="AY53" s="32">
        <v>0.1064380127876592</v>
      </c>
      <c r="AZ53" s="32">
        <v>0.11441335268236659</v>
      </c>
      <c r="BA53" s="32">
        <v>9.5698146696090267E-2</v>
      </c>
      <c r="BB53" s="32">
        <v>8.2647257690644557E-2</v>
      </c>
      <c r="BC53" s="32">
        <v>7.5594171010644542E-2</v>
      </c>
      <c r="BD53" s="32">
        <v>6.7554975179615201E-2</v>
      </c>
      <c r="BF53" s="54" t="s">
        <v>96</v>
      </c>
      <c r="BG53" s="27" t="s">
        <v>22</v>
      </c>
      <c r="BH53" s="27" t="s">
        <v>37</v>
      </c>
      <c r="BI53" s="27" t="s">
        <v>38</v>
      </c>
      <c r="BJ53" s="27" t="s">
        <v>38</v>
      </c>
      <c r="BK53" s="27" t="s">
        <v>37</v>
      </c>
      <c r="BL53" s="27" t="s">
        <v>33</v>
      </c>
      <c r="BM53" s="27" t="s">
        <v>22</v>
      </c>
      <c r="BN53" s="27" t="s">
        <v>21</v>
      </c>
      <c r="BO53" s="27" t="s">
        <v>28</v>
      </c>
      <c r="BP53" s="27" t="s">
        <v>21</v>
      </c>
      <c r="BQ53" s="27" t="s">
        <v>28</v>
      </c>
      <c r="BR53" s="27" t="s">
        <v>28</v>
      </c>
      <c r="BS53" s="27" t="s">
        <v>37</v>
      </c>
      <c r="BT53" s="27" t="s">
        <v>21</v>
      </c>
      <c r="BU53" s="27" t="s">
        <v>39</v>
      </c>
      <c r="BV53" s="27" t="s">
        <v>39</v>
      </c>
      <c r="BW53" s="27" t="s">
        <v>28</v>
      </c>
      <c r="BX53" s="27" t="s">
        <v>22</v>
      </c>
      <c r="BY53" s="27" t="s">
        <v>37</v>
      </c>
      <c r="BZ53" s="27" t="s">
        <v>38</v>
      </c>
      <c r="CA53" s="27" t="s">
        <v>21</v>
      </c>
      <c r="CB53" s="27" t="s">
        <v>37</v>
      </c>
      <c r="CC53" s="27" t="s">
        <v>33</v>
      </c>
      <c r="CD53" s="27" t="s">
        <v>37</v>
      </c>
      <c r="CE53" s="27" t="s">
        <v>37</v>
      </c>
      <c r="CF53" s="27" t="s">
        <v>22</v>
      </c>
    </row>
    <row r="54" spans="1:84" s="27" customFormat="1" x14ac:dyDescent="0.35">
      <c r="A54"/>
      <c r="B54" s="54" t="s">
        <v>97</v>
      </c>
      <c r="C54" s="40">
        <v>0.35039999999999999</v>
      </c>
      <c r="D54" s="40">
        <v>0.3377</v>
      </c>
      <c r="E54" s="40">
        <v>0.36799999999999999</v>
      </c>
      <c r="F54" s="40">
        <v>0.34409999999999996</v>
      </c>
      <c r="G54" s="40">
        <v>0.35669999999999996</v>
      </c>
      <c r="H54" s="40">
        <v>0.37159999999999999</v>
      </c>
      <c r="I54" s="40">
        <v>0.33729999999999999</v>
      </c>
      <c r="J54" s="40">
        <v>0.33809999999999996</v>
      </c>
      <c r="K54" s="40">
        <v>0.36729999999999996</v>
      </c>
      <c r="L54" s="40">
        <v>0.3448</v>
      </c>
      <c r="M54" s="40">
        <v>0.3624</v>
      </c>
      <c r="N54" s="40">
        <v>0.37079999999999996</v>
      </c>
      <c r="O54" s="40">
        <v>0.36719999999999997</v>
      </c>
      <c r="P54" s="40">
        <v>0.34789999999999999</v>
      </c>
      <c r="Q54" s="40">
        <v>0.34359999999999996</v>
      </c>
      <c r="R54" s="40">
        <v>0.36919999999999997</v>
      </c>
      <c r="S54" s="40">
        <v>0.34379999999999999</v>
      </c>
      <c r="T54" s="40">
        <v>0.34420000000000001</v>
      </c>
      <c r="U54" s="40">
        <v>0.36409999999999998</v>
      </c>
      <c r="V54" s="40">
        <v>0.36559999999999998</v>
      </c>
      <c r="W54" s="40">
        <v>0.3654</v>
      </c>
      <c r="X54" s="40">
        <v>0.34570000000000001</v>
      </c>
      <c r="Y54" s="40">
        <v>0.36309999999999998</v>
      </c>
      <c r="Z54" s="40">
        <v>0.3579</v>
      </c>
      <c r="AA54" s="40">
        <v>0.35459999999999997</v>
      </c>
      <c r="AB54" s="40">
        <v>0.33749999999999997</v>
      </c>
      <c r="AD54" s="54" t="s">
        <v>97</v>
      </c>
      <c r="AE54" s="32">
        <v>0.10948584293000001</v>
      </c>
      <c r="AF54" s="32">
        <v>9.5964582120000003E-2</v>
      </c>
      <c r="AG54" s="32">
        <v>0.11382505683716475</v>
      </c>
      <c r="AH54" s="32">
        <v>9.8395282183350363E-2</v>
      </c>
      <c r="AI54" s="32">
        <v>8.5783911352076997E-2</v>
      </c>
      <c r="AJ54" s="32">
        <v>0.10615092660896065</v>
      </c>
      <c r="AK54" s="32">
        <v>7.7404180897236746E-2</v>
      </c>
      <c r="AL54" s="32">
        <v>6.9934256013196666E-2</v>
      </c>
      <c r="AM54" s="32">
        <v>9.1849652940659873E-2</v>
      </c>
      <c r="AN54" s="32">
        <v>0.14038745452217627</v>
      </c>
      <c r="AO54" s="32">
        <v>0.14699313196217628</v>
      </c>
      <c r="AP54" s="32">
        <v>0.10540458149217627</v>
      </c>
      <c r="AQ54" s="32">
        <v>0.12095757010217627</v>
      </c>
      <c r="AR54" s="32">
        <v>0.12962336995217627</v>
      </c>
      <c r="AS54" s="32">
        <v>9.825917038217627E-2</v>
      </c>
      <c r="AT54" s="32">
        <v>0.11304530901041367</v>
      </c>
      <c r="AU54" s="32">
        <v>8.8009727833335549E-2</v>
      </c>
      <c r="AV54" s="32">
        <v>7.2747200723340566E-2</v>
      </c>
      <c r="AW54" s="32">
        <v>9.5638453543335555E-2</v>
      </c>
      <c r="AX54" s="32">
        <v>8.080915241412763E-2</v>
      </c>
      <c r="AY54" s="32">
        <v>0.11443801278765921</v>
      </c>
      <c r="AZ54" s="32">
        <v>0.1224133526823666</v>
      </c>
      <c r="BA54" s="32">
        <v>0.10369814669609027</v>
      </c>
      <c r="BB54" s="32">
        <v>9.0647257690644564E-2</v>
      </c>
      <c r="BC54" s="32">
        <v>8.359417101064455E-2</v>
      </c>
      <c r="BD54" s="32">
        <v>7.5554975179615208E-2</v>
      </c>
      <c r="BF54" s="54" t="s">
        <v>97</v>
      </c>
      <c r="BG54" s="27" t="s">
        <v>37</v>
      </c>
      <c r="BH54" s="27" t="s">
        <v>22</v>
      </c>
      <c r="BI54" s="27" t="s">
        <v>33</v>
      </c>
      <c r="BJ54" s="27" t="s">
        <v>33</v>
      </c>
      <c r="BK54" s="27" t="s">
        <v>22</v>
      </c>
      <c r="BL54" s="27" t="s">
        <v>21</v>
      </c>
      <c r="BM54" s="27" t="s">
        <v>21</v>
      </c>
      <c r="BN54" s="27" t="s">
        <v>37</v>
      </c>
      <c r="BO54" s="27" t="s">
        <v>39</v>
      </c>
      <c r="BP54" s="27" t="s">
        <v>22</v>
      </c>
      <c r="BQ54" s="27" t="s">
        <v>28</v>
      </c>
      <c r="BR54" s="27" t="s">
        <v>22</v>
      </c>
      <c r="BS54" s="27" t="s">
        <v>33</v>
      </c>
      <c r="BT54" s="27" t="s">
        <v>21</v>
      </c>
      <c r="BU54" s="27" t="s">
        <v>38</v>
      </c>
      <c r="BV54" s="27" t="s">
        <v>21</v>
      </c>
      <c r="BW54" s="27" t="s">
        <v>22</v>
      </c>
      <c r="BX54" s="27" t="s">
        <v>39</v>
      </c>
      <c r="BY54" s="27" t="s">
        <v>33</v>
      </c>
      <c r="BZ54" s="27" t="s">
        <v>38</v>
      </c>
      <c r="CA54" s="27" t="s">
        <v>33</v>
      </c>
      <c r="CB54" s="27" t="s">
        <v>38</v>
      </c>
      <c r="CC54" s="27" t="s">
        <v>21</v>
      </c>
      <c r="CD54" s="27" t="s">
        <v>37</v>
      </c>
      <c r="CE54" s="27" t="s">
        <v>22</v>
      </c>
      <c r="CF54" s="27" t="s">
        <v>22</v>
      </c>
    </row>
    <row r="55" spans="1:84" s="27" customFormat="1" x14ac:dyDescent="0.35">
      <c r="A55"/>
      <c r="B55" s="54" t="s">
        <v>98</v>
      </c>
      <c r="C55" s="32">
        <f t="shared" ref="C55:AB55" si="17">1-SUM(C53:C54)</f>
        <v>0.40660000000000007</v>
      </c>
      <c r="D55" s="32">
        <f t="shared" si="17"/>
        <v>0.41710000000000003</v>
      </c>
      <c r="E55" s="32">
        <f t="shared" si="17"/>
        <v>0.40600000000000003</v>
      </c>
      <c r="F55" s="32">
        <f t="shared" si="17"/>
        <v>0.42910000000000004</v>
      </c>
      <c r="G55" s="32">
        <f t="shared" si="17"/>
        <v>0.40580000000000005</v>
      </c>
      <c r="H55" s="32">
        <f t="shared" si="17"/>
        <v>0.38890000000000002</v>
      </c>
      <c r="I55" s="32">
        <f t="shared" si="17"/>
        <v>0.40450000000000008</v>
      </c>
      <c r="J55" s="32">
        <f t="shared" si="17"/>
        <v>0.41190000000000004</v>
      </c>
      <c r="K55" s="32">
        <f t="shared" si="17"/>
        <v>0.39150000000000007</v>
      </c>
      <c r="L55" s="32">
        <f t="shared" si="17"/>
        <v>0.41700000000000004</v>
      </c>
      <c r="M55" s="32">
        <f t="shared" si="17"/>
        <v>0.39529999999999998</v>
      </c>
      <c r="N55" s="32">
        <f t="shared" si="17"/>
        <v>0.38170000000000004</v>
      </c>
      <c r="O55" s="32">
        <f t="shared" si="17"/>
        <v>0.37880000000000003</v>
      </c>
      <c r="P55" s="32">
        <f t="shared" si="17"/>
        <v>0.39430000000000009</v>
      </c>
      <c r="Q55" s="32">
        <f t="shared" si="17"/>
        <v>0.40880000000000005</v>
      </c>
      <c r="R55" s="32">
        <f t="shared" si="17"/>
        <v>0.38750000000000007</v>
      </c>
      <c r="S55" s="32">
        <f t="shared" si="17"/>
        <v>0.4022</v>
      </c>
      <c r="T55" s="32">
        <f t="shared" si="17"/>
        <v>0.41210000000000002</v>
      </c>
      <c r="U55" s="32">
        <f t="shared" si="17"/>
        <v>0.39380000000000004</v>
      </c>
      <c r="V55" s="32">
        <f t="shared" si="17"/>
        <v>0.39790000000000003</v>
      </c>
      <c r="W55" s="32">
        <f t="shared" si="17"/>
        <v>0.40439999999999998</v>
      </c>
      <c r="X55" s="32">
        <f t="shared" si="17"/>
        <v>0.40410000000000001</v>
      </c>
      <c r="Y55" s="32">
        <f t="shared" si="17"/>
        <v>0.4073</v>
      </c>
      <c r="Z55" s="32">
        <f t="shared" si="17"/>
        <v>0.41100000000000003</v>
      </c>
      <c r="AA55" s="32">
        <f t="shared" si="17"/>
        <v>0.4113</v>
      </c>
      <c r="AB55" s="32">
        <f t="shared" si="17"/>
        <v>0.40830000000000011</v>
      </c>
      <c r="AD55" s="54" t="s">
        <v>98</v>
      </c>
      <c r="AE55" s="32">
        <v>0.11248584293000001</v>
      </c>
      <c r="AF55" s="32">
        <v>9.8964582120000005E-2</v>
      </c>
      <c r="AG55" s="32">
        <v>0.11682505683716475</v>
      </c>
      <c r="AH55" s="32">
        <v>0.10139528218335037</v>
      </c>
      <c r="AI55" s="32">
        <v>8.8783911352077E-2</v>
      </c>
      <c r="AJ55" s="32">
        <v>0.10915092660896066</v>
      </c>
      <c r="AK55" s="32">
        <v>8.0404180897236749E-2</v>
      </c>
      <c r="AL55" s="32">
        <v>7.2934256013196669E-2</v>
      </c>
      <c r="AM55" s="32">
        <v>9.4849652940659876E-2</v>
      </c>
      <c r="AN55" s="32">
        <v>0.14338745452217627</v>
      </c>
      <c r="AO55" s="32">
        <v>0.14999313196217628</v>
      </c>
      <c r="AP55" s="32">
        <v>0.10840458149217627</v>
      </c>
      <c r="AQ55" s="32">
        <v>0.12395757010217627</v>
      </c>
      <c r="AR55" s="32">
        <v>0.13262336995217627</v>
      </c>
      <c r="AS55" s="32">
        <v>0.10125917038217627</v>
      </c>
      <c r="AT55" s="32">
        <v>0.11604530901041367</v>
      </c>
      <c r="AU55" s="32">
        <v>9.1009727833335552E-2</v>
      </c>
      <c r="AV55" s="32">
        <v>7.5747200723340569E-2</v>
      </c>
      <c r="AW55" s="32">
        <v>9.8638453543335558E-2</v>
      </c>
      <c r="AX55" s="32">
        <v>8.3809152414127633E-2</v>
      </c>
      <c r="AY55" s="32">
        <v>0.11743801278765921</v>
      </c>
      <c r="AZ55" s="32">
        <v>0.12541335268236659</v>
      </c>
      <c r="BA55" s="32">
        <v>0.10669814669609028</v>
      </c>
      <c r="BB55" s="32">
        <v>9.3647257690644567E-2</v>
      </c>
      <c r="BC55" s="32">
        <v>8.6594171010644552E-2</v>
      </c>
      <c r="BD55" s="32">
        <v>7.8554975179615211E-2</v>
      </c>
      <c r="BF55" s="54" t="s">
        <v>98</v>
      </c>
      <c r="BG55" s="27" t="s">
        <v>21</v>
      </c>
      <c r="BH55" s="27" t="s">
        <v>33</v>
      </c>
      <c r="BI55" s="27" t="s">
        <v>28</v>
      </c>
      <c r="BJ55" s="27" t="s">
        <v>37</v>
      </c>
      <c r="BK55" s="27" t="s">
        <v>22</v>
      </c>
      <c r="BL55" s="27" t="s">
        <v>38</v>
      </c>
      <c r="BM55" s="27" t="s">
        <v>39</v>
      </c>
      <c r="BN55" s="27" t="s">
        <v>22</v>
      </c>
      <c r="BO55" s="27" t="s">
        <v>38</v>
      </c>
      <c r="BP55" s="27" t="s">
        <v>33</v>
      </c>
      <c r="BQ55" s="27" t="s">
        <v>21</v>
      </c>
      <c r="BR55" s="27" t="s">
        <v>39</v>
      </c>
      <c r="BS55" s="27" t="s">
        <v>39</v>
      </c>
      <c r="BT55" s="27" t="s">
        <v>39</v>
      </c>
      <c r="BU55" s="27" t="s">
        <v>22</v>
      </c>
      <c r="BV55" s="27" t="s">
        <v>38</v>
      </c>
      <c r="BW55" s="27" t="s">
        <v>28</v>
      </c>
      <c r="BX55" s="27" t="s">
        <v>22</v>
      </c>
      <c r="BY55" s="27" t="s">
        <v>22</v>
      </c>
      <c r="BZ55" s="27" t="s">
        <v>28</v>
      </c>
      <c r="CA55" s="27" t="s">
        <v>22</v>
      </c>
      <c r="CB55" s="27" t="s">
        <v>21</v>
      </c>
      <c r="CC55" s="27" t="s">
        <v>21</v>
      </c>
      <c r="CD55" s="27" t="s">
        <v>37</v>
      </c>
      <c r="CE55" s="27" t="s">
        <v>21</v>
      </c>
      <c r="CF55" s="27" t="s">
        <v>28</v>
      </c>
    </row>
    <row r="56" spans="1:84" x14ac:dyDescent="0.35">
      <c r="B56" t="s">
        <v>99</v>
      </c>
      <c r="C56" s="12">
        <v>0.25729999999999997</v>
      </c>
      <c r="D56" s="12">
        <v>0.2404</v>
      </c>
      <c r="E56" s="12">
        <v>0.2487</v>
      </c>
      <c r="F56" s="12">
        <v>0.23019999999999999</v>
      </c>
      <c r="G56" s="12">
        <v>0.2263</v>
      </c>
      <c r="H56" s="12">
        <v>0.26050000000000001</v>
      </c>
      <c r="I56" s="12">
        <v>0.25700000000000001</v>
      </c>
      <c r="J56" s="12">
        <v>0.25519999999999998</v>
      </c>
      <c r="K56" s="12">
        <v>0.23369999999999999</v>
      </c>
      <c r="L56" s="12">
        <v>0.24540000000000001</v>
      </c>
      <c r="M56" s="12">
        <v>0.25619999999999998</v>
      </c>
      <c r="N56" s="12">
        <v>0.2298</v>
      </c>
      <c r="O56" s="12">
        <v>0.252</v>
      </c>
      <c r="P56" s="12">
        <v>0.2361</v>
      </c>
      <c r="Q56" s="12">
        <v>0.24390000000000001</v>
      </c>
      <c r="R56" s="12">
        <v>0.24529999999999999</v>
      </c>
      <c r="S56" s="12">
        <v>0.2339</v>
      </c>
      <c r="T56" s="12">
        <v>0.2306</v>
      </c>
      <c r="U56" s="12">
        <v>0.2334</v>
      </c>
      <c r="V56" s="12">
        <v>0.23949999999999999</v>
      </c>
      <c r="W56" s="12">
        <v>0.2442</v>
      </c>
      <c r="X56" s="12">
        <v>0.25319999999999998</v>
      </c>
      <c r="Y56" s="12">
        <v>0.23719999999999999</v>
      </c>
      <c r="Z56" s="12">
        <v>0.2286</v>
      </c>
      <c r="AA56" s="12">
        <v>0.2324</v>
      </c>
      <c r="AB56" s="12">
        <v>0.24159999999999998</v>
      </c>
      <c r="AD56" t="s">
        <v>99</v>
      </c>
      <c r="AE56" s="20">
        <f>SUMPRODUCT(AE57:AE58,C57:C58)</f>
        <v>0.12879024293000002</v>
      </c>
      <c r="AF56" s="20">
        <f t="shared" ref="AF56:BD56" si="18">SUMPRODUCT(AF57:AF58,D57:D58)</f>
        <v>0.11530538211999999</v>
      </c>
      <c r="AG56" s="20">
        <f t="shared" si="18"/>
        <v>0.13315545683716476</v>
      </c>
      <c r="AH56" s="20">
        <f t="shared" si="18"/>
        <v>0.11767498218335037</v>
      </c>
      <c r="AI56" s="20">
        <f t="shared" si="18"/>
        <v>0.104863411352077</v>
      </c>
      <c r="AJ56" s="20">
        <f t="shared" si="18"/>
        <v>0.12555672660896067</v>
      </c>
      <c r="AK56" s="20">
        <f t="shared" si="18"/>
        <v>9.6440780897236761E-2</v>
      </c>
      <c r="AL56" s="20">
        <f t="shared" si="18"/>
        <v>8.8955256013196676E-2</v>
      </c>
      <c r="AM56" s="20">
        <f t="shared" si="18"/>
        <v>0.11093175294065988</v>
      </c>
      <c r="AN56" s="20">
        <f t="shared" si="18"/>
        <v>0.15947345452217626</v>
      </c>
      <c r="AO56" s="20">
        <f t="shared" si="18"/>
        <v>0.16608433196217628</v>
      </c>
      <c r="AP56" s="20">
        <f t="shared" si="18"/>
        <v>0.12445288149217626</v>
      </c>
      <c r="AQ56" s="20">
        <f t="shared" si="18"/>
        <v>0.14001887010217626</v>
      </c>
      <c r="AR56" s="20">
        <f t="shared" si="18"/>
        <v>0.14882376995217628</v>
      </c>
      <c r="AS56" s="20">
        <f t="shared" si="18"/>
        <v>0.11767537038217626</v>
      </c>
      <c r="AT56" s="20">
        <f t="shared" si="18"/>
        <v>0.13244330901041368</v>
      </c>
      <c r="AU56" s="20">
        <f t="shared" si="18"/>
        <v>0.10704762783333555</v>
      </c>
      <c r="AV56" s="20">
        <f t="shared" si="18"/>
        <v>9.1756500723340573E-2</v>
      </c>
      <c r="AW56" s="20">
        <f t="shared" si="18"/>
        <v>0.11481675354333556</v>
      </c>
      <c r="AX56" s="20">
        <f t="shared" si="18"/>
        <v>0.10024875241412763</v>
      </c>
      <c r="AY56" s="20">
        <f t="shared" si="18"/>
        <v>0.13352401278765921</v>
      </c>
      <c r="AZ56" s="20">
        <f t="shared" si="18"/>
        <v>0.14179315268236661</v>
      </c>
      <c r="BA56" s="20">
        <f t="shared" si="18"/>
        <v>0.12293624669609027</v>
      </c>
      <c r="BB56" s="20">
        <f t="shared" si="18"/>
        <v>0.10995815769064457</v>
      </c>
      <c r="BC56" s="20">
        <f t="shared" si="18"/>
        <v>0.10275817101064455</v>
      </c>
      <c r="BD56" s="20">
        <f t="shared" si="18"/>
        <v>9.4898375179615205E-2</v>
      </c>
      <c r="BF56" t="s">
        <v>99</v>
      </c>
      <c r="BG56" t="s">
        <v>39</v>
      </c>
      <c r="BH56" t="s">
        <v>37</v>
      </c>
      <c r="BI56" t="s">
        <v>33</v>
      </c>
      <c r="BJ56" t="s">
        <v>28</v>
      </c>
      <c r="BK56" t="s">
        <v>39</v>
      </c>
      <c r="BL56" t="s">
        <v>33</v>
      </c>
      <c r="BM56" t="s">
        <v>21</v>
      </c>
      <c r="BN56" t="s">
        <v>37</v>
      </c>
      <c r="BO56" t="s">
        <v>22</v>
      </c>
      <c r="BP56" t="s">
        <v>21</v>
      </c>
      <c r="BQ56" t="s">
        <v>38</v>
      </c>
      <c r="BR56" t="s">
        <v>33</v>
      </c>
      <c r="BS56" t="s">
        <v>38</v>
      </c>
      <c r="BT56" t="s">
        <v>39</v>
      </c>
      <c r="BU56" t="s">
        <v>28</v>
      </c>
      <c r="BV56" t="s">
        <v>38</v>
      </c>
      <c r="BW56" t="s">
        <v>28</v>
      </c>
      <c r="BX56" t="s">
        <v>22</v>
      </c>
      <c r="BY56" t="s">
        <v>21</v>
      </c>
      <c r="BZ56" t="s">
        <v>33</v>
      </c>
      <c r="CA56" t="s">
        <v>38</v>
      </c>
      <c r="CB56" t="s">
        <v>22</v>
      </c>
      <c r="CC56" t="s">
        <v>28</v>
      </c>
      <c r="CD56" t="s">
        <v>37</v>
      </c>
      <c r="CE56" t="s">
        <v>39</v>
      </c>
      <c r="CF56" t="s">
        <v>21</v>
      </c>
    </row>
    <row r="57" spans="1:84" s="27" customFormat="1" x14ac:dyDescent="0.35">
      <c r="A57"/>
      <c r="B57" s="54" t="s">
        <v>100</v>
      </c>
      <c r="C57" s="40">
        <f>1-C58</f>
        <v>0.63880000000000003</v>
      </c>
      <c r="D57" s="40">
        <f t="shared" ref="D57:AB57" si="19">1-D58</f>
        <v>0.64159999999999995</v>
      </c>
      <c r="E57" s="40">
        <f t="shared" si="19"/>
        <v>0.64080000000000004</v>
      </c>
      <c r="F57" s="40">
        <f t="shared" si="19"/>
        <v>0.63690000000000002</v>
      </c>
      <c r="G57" s="40">
        <f t="shared" si="19"/>
        <v>0.62149999999999994</v>
      </c>
      <c r="H57" s="40">
        <f t="shared" si="19"/>
        <v>0.64660000000000006</v>
      </c>
      <c r="I57" s="40">
        <f t="shared" si="19"/>
        <v>0.61820000000000008</v>
      </c>
      <c r="J57" s="40">
        <f t="shared" si="19"/>
        <v>0.61699999999999999</v>
      </c>
      <c r="K57" s="40">
        <f t="shared" si="19"/>
        <v>0.62170000000000003</v>
      </c>
      <c r="L57" s="40">
        <f t="shared" si="19"/>
        <v>0.622</v>
      </c>
      <c r="M57" s="40">
        <f t="shared" si="19"/>
        <v>0.62240000000000006</v>
      </c>
      <c r="N57" s="40">
        <f t="shared" si="19"/>
        <v>0.61909999999999998</v>
      </c>
      <c r="O57" s="40">
        <f t="shared" si="19"/>
        <v>0.62009999999999998</v>
      </c>
      <c r="P57" s="40">
        <f t="shared" si="19"/>
        <v>0.63080000000000003</v>
      </c>
      <c r="Q57" s="40">
        <f t="shared" si="19"/>
        <v>0.64739999999999998</v>
      </c>
      <c r="R57" s="40">
        <f t="shared" si="19"/>
        <v>0.64600000000000002</v>
      </c>
      <c r="S57" s="40">
        <f t="shared" si="19"/>
        <v>0.61830000000000007</v>
      </c>
      <c r="T57" s="40">
        <f t="shared" si="19"/>
        <v>0.61609999999999998</v>
      </c>
      <c r="U57" s="40">
        <f t="shared" si="19"/>
        <v>0.62909999999999999</v>
      </c>
      <c r="V57" s="40">
        <f t="shared" si="19"/>
        <v>0.6492</v>
      </c>
      <c r="W57" s="40">
        <f t="shared" si="19"/>
        <v>0.622</v>
      </c>
      <c r="X57" s="40">
        <f t="shared" si="19"/>
        <v>0.64460000000000006</v>
      </c>
      <c r="Y57" s="40">
        <f t="shared" si="19"/>
        <v>0.63369999999999993</v>
      </c>
      <c r="Z57" s="40">
        <f t="shared" si="19"/>
        <v>0.63929999999999998</v>
      </c>
      <c r="AA57" s="40">
        <f t="shared" si="19"/>
        <v>0.628</v>
      </c>
      <c r="AB57" s="40">
        <f t="shared" si="19"/>
        <v>0.64179999999999993</v>
      </c>
      <c r="AD57" s="54" t="s">
        <v>100</v>
      </c>
      <c r="AE57" s="32">
        <v>0.13348584293000001</v>
      </c>
      <c r="AF57" s="32">
        <v>0.11996458212000001</v>
      </c>
      <c r="AG57" s="32">
        <v>0.13782505683716476</v>
      </c>
      <c r="AH57" s="32">
        <v>0.12239528218335037</v>
      </c>
      <c r="AI57" s="32">
        <v>0.109783911352077</v>
      </c>
      <c r="AJ57" s="32">
        <v>0.13015092660896066</v>
      </c>
      <c r="AK57" s="32">
        <v>0.10140418089723675</v>
      </c>
      <c r="AL57" s="32">
        <v>9.3934256013196674E-2</v>
      </c>
      <c r="AM57" s="32">
        <v>0.11584965294065988</v>
      </c>
      <c r="AN57" s="32">
        <v>0.16438745452217626</v>
      </c>
      <c r="AO57" s="32">
        <v>0.17099313196217628</v>
      </c>
      <c r="AP57" s="32">
        <v>0.12940458149217626</v>
      </c>
      <c r="AQ57" s="32">
        <v>0.14495757010217628</v>
      </c>
      <c r="AR57" s="32">
        <v>0.15362336995217629</v>
      </c>
      <c r="AS57" s="32">
        <v>0.12225917038217628</v>
      </c>
      <c r="AT57" s="32">
        <v>0.13704530901041367</v>
      </c>
      <c r="AU57" s="32">
        <v>0.11200972783333556</v>
      </c>
      <c r="AV57" s="32">
        <v>9.6747200723340573E-2</v>
      </c>
      <c r="AW57" s="32">
        <v>0.11963845354333556</v>
      </c>
      <c r="AX57" s="32">
        <v>0.10480915241412764</v>
      </c>
      <c r="AY57" s="32">
        <v>0.13843801278765921</v>
      </c>
      <c r="AZ57" s="32">
        <v>0.1464133526823666</v>
      </c>
      <c r="BA57" s="32">
        <v>0.12769814669609028</v>
      </c>
      <c r="BB57" s="32">
        <v>0.11464725769064457</v>
      </c>
      <c r="BC57" s="32">
        <v>0.10759417101064456</v>
      </c>
      <c r="BD57" s="32">
        <v>9.9554975179615215E-2</v>
      </c>
      <c r="BF57" s="54" t="s">
        <v>100</v>
      </c>
      <c r="BG57" s="27" t="s">
        <v>39</v>
      </c>
      <c r="BH57" s="27" t="s">
        <v>22</v>
      </c>
      <c r="BI57" s="27" t="s">
        <v>39</v>
      </c>
      <c r="BJ57" s="27" t="s">
        <v>22</v>
      </c>
      <c r="BK57" s="27" t="s">
        <v>39</v>
      </c>
      <c r="BL57" s="27" t="s">
        <v>22</v>
      </c>
      <c r="BM57" s="27" t="s">
        <v>38</v>
      </c>
      <c r="BN57" s="27" t="s">
        <v>21</v>
      </c>
      <c r="BO57" s="27" t="s">
        <v>37</v>
      </c>
      <c r="BP57" s="27" t="s">
        <v>22</v>
      </c>
      <c r="BQ57" s="27" t="s">
        <v>22</v>
      </c>
      <c r="BR57" s="27" t="s">
        <v>38</v>
      </c>
      <c r="BS57" s="27" t="s">
        <v>39</v>
      </c>
      <c r="BT57" s="27" t="s">
        <v>21</v>
      </c>
      <c r="BU57" s="27" t="s">
        <v>38</v>
      </c>
      <c r="BV57" s="27" t="s">
        <v>38</v>
      </c>
      <c r="BW57" s="27" t="s">
        <v>38</v>
      </c>
      <c r="BX57" s="27" t="s">
        <v>39</v>
      </c>
      <c r="BY57" s="27" t="s">
        <v>22</v>
      </c>
      <c r="BZ57" s="27" t="s">
        <v>38</v>
      </c>
      <c r="CA57" s="27" t="s">
        <v>39</v>
      </c>
      <c r="CB57" s="27" t="s">
        <v>38</v>
      </c>
      <c r="CC57" s="27" t="s">
        <v>22</v>
      </c>
      <c r="CD57" s="27" t="s">
        <v>28</v>
      </c>
      <c r="CE57" s="27" t="s">
        <v>21</v>
      </c>
      <c r="CF57" s="27" t="s">
        <v>39</v>
      </c>
    </row>
    <row r="58" spans="1:84" s="27" customFormat="1" x14ac:dyDescent="0.35">
      <c r="A58"/>
      <c r="B58" s="54" t="s">
        <v>101</v>
      </c>
      <c r="C58" s="40">
        <v>0.36119999999999997</v>
      </c>
      <c r="D58" s="40">
        <v>0.3584</v>
      </c>
      <c r="E58" s="40">
        <v>0.35920000000000002</v>
      </c>
      <c r="F58" s="40">
        <v>0.36309999999999998</v>
      </c>
      <c r="G58" s="40">
        <v>0.3785</v>
      </c>
      <c r="H58" s="40">
        <v>0.35339999999999999</v>
      </c>
      <c r="I58" s="40">
        <v>0.38179999999999997</v>
      </c>
      <c r="J58" s="40">
        <v>0.38300000000000001</v>
      </c>
      <c r="K58" s="40">
        <v>0.37829999999999997</v>
      </c>
      <c r="L58" s="40">
        <v>0.378</v>
      </c>
      <c r="M58" s="40">
        <v>0.37759999999999999</v>
      </c>
      <c r="N58" s="40">
        <v>0.38090000000000002</v>
      </c>
      <c r="O58" s="40">
        <v>0.37990000000000002</v>
      </c>
      <c r="P58" s="40">
        <v>0.36919999999999997</v>
      </c>
      <c r="Q58" s="40">
        <v>0.35259999999999997</v>
      </c>
      <c r="R58" s="40">
        <v>0.35399999999999998</v>
      </c>
      <c r="S58" s="40">
        <v>0.38169999999999998</v>
      </c>
      <c r="T58" s="40">
        <v>0.38390000000000002</v>
      </c>
      <c r="U58" s="40">
        <v>0.37090000000000001</v>
      </c>
      <c r="V58" s="40">
        <v>0.3508</v>
      </c>
      <c r="W58" s="40">
        <v>0.378</v>
      </c>
      <c r="X58" s="40">
        <v>0.35539999999999999</v>
      </c>
      <c r="Y58" s="40">
        <v>0.36630000000000001</v>
      </c>
      <c r="Z58" s="40">
        <v>0.36069999999999997</v>
      </c>
      <c r="AA58" s="40">
        <v>0.372</v>
      </c>
      <c r="AB58" s="40">
        <v>0.35820000000000002</v>
      </c>
      <c r="AD58" s="54" t="s">
        <v>101</v>
      </c>
      <c r="AE58" s="32">
        <v>0.12048584293</v>
      </c>
      <c r="AF58" s="32">
        <v>0.10696458212</v>
      </c>
      <c r="AG58" s="32">
        <v>0.12482505683716474</v>
      </c>
      <c r="AH58" s="32">
        <v>0.10939528218335036</v>
      </c>
      <c r="AI58" s="32">
        <v>9.6783911352076993E-2</v>
      </c>
      <c r="AJ58" s="32">
        <v>0.11715092660896065</v>
      </c>
      <c r="AK58" s="32">
        <v>8.8404180897236742E-2</v>
      </c>
      <c r="AL58" s="32">
        <v>8.0934256013196662E-2</v>
      </c>
      <c r="AM58" s="32">
        <v>0.10284965294065987</v>
      </c>
      <c r="AN58" s="32">
        <v>0.15138745452217625</v>
      </c>
      <c r="AO58" s="32">
        <v>0.15799313196217626</v>
      </c>
      <c r="AP58" s="32">
        <v>0.11640458149217627</v>
      </c>
      <c r="AQ58" s="32">
        <v>0.13195757010217626</v>
      </c>
      <c r="AR58" s="32">
        <v>0.14062336995217628</v>
      </c>
      <c r="AS58" s="32">
        <v>0.10925917038217627</v>
      </c>
      <c r="AT58" s="32">
        <v>0.12404530901041366</v>
      </c>
      <c r="AU58" s="32">
        <v>9.9009727833335545E-2</v>
      </c>
      <c r="AV58" s="32">
        <v>8.3747200723340562E-2</v>
      </c>
      <c r="AW58" s="32">
        <v>0.10663845354333555</v>
      </c>
      <c r="AX58" s="32">
        <v>9.1809152414127626E-2</v>
      </c>
      <c r="AY58" s="32">
        <v>0.1254380127876592</v>
      </c>
      <c r="AZ58" s="32">
        <v>0.13341335268236659</v>
      </c>
      <c r="BA58" s="32">
        <v>0.11469814669609027</v>
      </c>
      <c r="BB58" s="32">
        <v>0.10164725769064456</v>
      </c>
      <c r="BC58" s="32">
        <v>9.4594171010644545E-2</v>
      </c>
      <c r="BD58" s="32">
        <v>8.6554975179615204E-2</v>
      </c>
      <c r="BF58" s="54" t="s">
        <v>101</v>
      </c>
      <c r="BG58" s="27" t="s">
        <v>21</v>
      </c>
      <c r="BH58" s="27" t="s">
        <v>28</v>
      </c>
      <c r="BI58" s="27" t="s">
        <v>33</v>
      </c>
      <c r="BJ58" s="27" t="s">
        <v>33</v>
      </c>
      <c r="BK58" s="27" t="s">
        <v>33</v>
      </c>
      <c r="BL58" s="27" t="s">
        <v>28</v>
      </c>
      <c r="BM58" s="27" t="s">
        <v>38</v>
      </c>
      <c r="BN58" s="27" t="s">
        <v>39</v>
      </c>
      <c r="BO58" s="27" t="s">
        <v>37</v>
      </c>
      <c r="BP58" s="27" t="s">
        <v>28</v>
      </c>
      <c r="BQ58" s="27" t="s">
        <v>39</v>
      </c>
      <c r="BR58" s="27" t="s">
        <v>21</v>
      </c>
      <c r="BS58" s="27" t="s">
        <v>33</v>
      </c>
      <c r="BT58" s="27" t="s">
        <v>38</v>
      </c>
      <c r="BU58" s="27" t="s">
        <v>22</v>
      </c>
      <c r="BV58" s="27" t="s">
        <v>28</v>
      </c>
      <c r="BW58" s="27" t="s">
        <v>38</v>
      </c>
      <c r="BX58" s="27" t="s">
        <v>21</v>
      </c>
      <c r="BY58" s="27" t="s">
        <v>28</v>
      </c>
      <c r="BZ58" s="27" t="s">
        <v>33</v>
      </c>
      <c r="CA58" s="27" t="s">
        <v>37</v>
      </c>
      <c r="CB58" s="27" t="s">
        <v>21</v>
      </c>
      <c r="CC58" s="27" t="s">
        <v>28</v>
      </c>
      <c r="CD58" s="27" t="s">
        <v>22</v>
      </c>
      <c r="CE58" s="27" t="s">
        <v>33</v>
      </c>
      <c r="CF58" s="27" t="s">
        <v>37</v>
      </c>
    </row>
    <row r="59" spans="1:84" x14ac:dyDescent="0.35">
      <c r="B59" t="s">
        <v>102</v>
      </c>
      <c r="C59" s="12">
        <v>0.21780000000000002</v>
      </c>
      <c r="D59" s="12">
        <v>0.20470000000000002</v>
      </c>
      <c r="E59" s="12">
        <v>0.18380000000000002</v>
      </c>
      <c r="F59" s="12">
        <v>0.20800000000000002</v>
      </c>
      <c r="G59" s="12">
        <v>0.21350000000000002</v>
      </c>
      <c r="H59" s="12">
        <v>0.18530000000000002</v>
      </c>
      <c r="I59" s="12">
        <v>0.20380000000000001</v>
      </c>
      <c r="J59" s="12">
        <v>0.2109</v>
      </c>
      <c r="K59" s="12">
        <v>0.1938</v>
      </c>
      <c r="L59" s="12">
        <v>0.18580000000000002</v>
      </c>
      <c r="M59" s="12">
        <v>0.2117</v>
      </c>
      <c r="N59" s="12">
        <v>0.20040000000000002</v>
      </c>
      <c r="O59" s="12">
        <v>0.21230000000000002</v>
      </c>
      <c r="P59" s="12">
        <v>0.1933</v>
      </c>
      <c r="Q59" s="12">
        <v>0.20220000000000002</v>
      </c>
      <c r="R59" s="12">
        <v>0.185</v>
      </c>
      <c r="S59" s="12">
        <v>0.19220000000000001</v>
      </c>
      <c r="T59" s="12">
        <v>0.18940000000000001</v>
      </c>
      <c r="U59" s="12">
        <v>0.21460000000000001</v>
      </c>
      <c r="V59" s="12">
        <v>0.20850000000000002</v>
      </c>
      <c r="W59" s="12">
        <v>0.189</v>
      </c>
      <c r="X59" s="12">
        <v>0.18610000000000002</v>
      </c>
      <c r="Y59" s="12">
        <v>0.19660000000000002</v>
      </c>
      <c r="Z59" s="12">
        <v>0.18970000000000001</v>
      </c>
      <c r="AA59" s="12">
        <v>0.19750000000000001</v>
      </c>
      <c r="AB59" s="12">
        <v>0.21910000000000002</v>
      </c>
      <c r="AD59" t="s">
        <v>102</v>
      </c>
      <c r="AE59" s="20">
        <v>0.13048584293000001</v>
      </c>
      <c r="AF59" s="20">
        <v>0.11696458212000001</v>
      </c>
      <c r="AG59" s="20">
        <v>0.13482505683716475</v>
      </c>
      <c r="AH59" s="20">
        <v>0.11939528218335037</v>
      </c>
      <c r="AI59" s="20">
        <v>0.106783911352077</v>
      </c>
      <c r="AJ59" s="20">
        <v>0.12715092660896066</v>
      </c>
      <c r="AK59" s="20">
        <v>9.8404180897236751E-2</v>
      </c>
      <c r="AL59" s="20">
        <v>9.0934256013196671E-2</v>
      </c>
      <c r="AM59" s="20">
        <v>0.11284965294065988</v>
      </c>
      <c r="AN59" s="20">
        <v>0.16138745452217626</v>
      </c>
      <c r="AO59" s="20">
        <v>0.16799313196217627</v>
      </c>
      <c r="AP59" s="20">
        <v>0.12640458149217626</v>
      </c>
      <c r="AQ59" s="20">
        <v>0.14195757010217627</v>
      </c>
      <c r="AR59" s="20">
        <v>0.15062336995217629</v>
      </c>
      <c r="AS59" s="20">
        <v>0.11925917038217627</v>
      </c>
      <c r="AT59" s="20">
        <v>0.13404530901041367</v>
      </c>
      <c r="AU59" s="20">
        <v>0.10900972783333555</v>
      </c>
      <c r="AV59" s="20">
        <v>9.3747200723340571E-2</v>
      </c>
      <c r="AW59" s="20">
        <v>0.11663845354333556</v>
      </c>
      <c r="AX59" s="20">
        <v>0.10180915241412763</v>
      </c>
      <c r="AY59" s="20">
        <v>0.13543801278765921</v>
      </c>
      <c r="AZ59" s="20">
        <v>0.1434133526823666</v>
      </c>
      <c r="BA59" s="20">
        <v>0.12469814669609028</v>
      </c>
      <c r="BB59" s="20">
        <v>0.11164725769064457</v>
      </c>
      <c r="BC59" s="20">
        <v>0.10459417101064455</v>
      </c>
      <c r="BD59" s="20">
        <v>9.6554975179615213E-2</v>
      </c>
      <c r="BF59" t="s">
        <v>102</v>
      </c>
      <c r="BG59" t="s">
        <v>21</v>
      </c>
      <c r="BH59" t="s">
        <v>28</v>
      </c>
      <c r="BI59" t="s">
        <v>39</v>
      </c>
      <c r="BJ59" t="s">
        <v>28</v>
      </c>
      <c r="BK59" t="s">
        <v>22</v>
      </c>
      <c r="BL59" t="s">
        <v>33</v>
      </c>
      <c r="BM59" t="s">
        <v>39</v>
      </c>
      <c r="BN59" t="s">
        <v>38</v>
      </c>
      <c r="BO59" t="s">
        <v>28</v>
      </c>
      <c r="BP59" t="s">
        <v>39</v>
      </c>
      <c r="BQ59" t="s">
        <v>33</v>
      </c>
      <c r="BR59" t="s">
        <v>38</v>
      </c>
      <c r="BS59" t="s">
        <v>39</v>
      </c>
      <c r="BT59" t="s">
        <v>39</v>
      </c>
      <c r="BU59" t="s">
        <v>22</v>
      </c>
      <c r="BV59" t="s">
        <v>37</v>
      </c>
      <c r="BW59" t="s">
        <v>21</v>
      </c>
      <c r="BX59" t="s">
        <v>33</v>
      </c>
      <c r="BY59" t="s">
        <v>37</v>
      </c>
      <c r="BZ59" t="s">
        <v>38</v>
      </c>
      <c r="CA59" t="s">
        <v>21</v>
      </c>
      <c r="CB59" t="s">
        <v>28</v>
      </c>
      <c r="CC59" t="s">
        <v>39</v>
      </c>
      <c r="CD59" t="s">
        <v>38</v>
      </c>
      <c r="CE59" t="s">
        <v>33</v>
      </c>
      <c r="CF59" t="s">
        <v>28</v>
      </c>
    </row>
    <row r="60" spans="1:84" x14ac:dyDescent="0.35">
      <c r="B60" t="s">
        <v>103</v>
      </c>
      <c r="C60" s="12">
        <v>9.6299999999999997E-2</v>
      </c>
      <c r="D60" s="12">
        <v>0.1024</v>
      </c>
      <c r="E60" s="12">
        <v>0.1056</v>
      </c>
      <c r="F60" s="12">
        <v>0.1173</v>
      </c>
      <c r="G60" s="12">
        <v>0.111</v>
      </c>
      <c r="H60" s="12">
        <v>0.11629999999999999</v>
      </c>
      <c r="I60" s="12">
        <v>0.1211</v>
      </c>
      <c r="J60" s="12">
        <v>0.10249999999999999</v>
      </c>
      <c r="K60" s="12">
        <v>0.12089999999999999</v>
      </c>
      <c r="L60" s="12">
        <v>0.1084</v>
      </c>
      <c r="M60" s="12">
        <v>0.10239999999999999</v>
      </c>
      <c r="N60" s="12">
        <v>0.1229</v>
      </c>
      <c r="O60" s="12">
        <v>0.1099</v>
      </c>
      <c r="P60" s="12">
        <v>9.9699999999999997E-2</v>
      </c>
      <c r="Q60" s="12">
        <v>0.106</v>
      </c>
      <c r="R60" s="12">
        <v>9.5299999999999996E-2</v>
      </c>
      <c r="S60" s="12">
        <v>0.1177</v>
      </c>
      <c r="T60" s="12">
        <v>9.5799999999999996E-2</v>
      </c>
      <c r="U60" s="12">
        <v>0.12190000000000001</v>
      </c>
      <c r="V60" s="12">
        <v>0.1041</v>
      </c>
      <c r="W60" s="12">
        <v>0.10639999999999999</v>
      </c>
      <c r="X60" s="12">
        <v>0.1226</v>
      </c>
      <c r="Y60" s="12">
        <v>0.1002</v>
      </c>
      <c r="Z60" s="12">
        <v>9.64E-2</v>
      </c>
      <c r="AA60" s="12">
        <v>0.1002</v>
      </c>
      <c r="AB60" s="12">
        <v>0.1147</v>
      </c>
      <c r="AD60" t="s">
        <v>103</v>
      </c>
      <c r="AE60" s="20">
        <v>0.11448584293000001</v>
      </c>
      <c r="AF60" s="20">
        <v>0.10096458212000001</v>
      </c>
      <c r="AG60" s="20">
        <v>0.11882505683716475</v>
      </c>
      <c r="AH60" s="20">
        <v>0.10339528218335037</v>
      </c>
      <c r="AI60" s="20">
        <v>9.0783911352077001E-2</v>
      </c>
      <c r="AJ60" s="20">
        <v>0.11115092660896066</v>
      </c>
      <c r="AK60" s="20">
        <v>8.2404180897236751E-2</v>
      </c>
      <c r="AL60" s="20">
        <v>7.4934256013196671E-2</v>
      </c>
      <c r="AM60" s="20">
        <v>9.6849652940659878E-2</v>
      </c>
      <c r="AN60" s="20">
        <v>0.14538745452217627</v>
      </c>
      <c r="AO60" s="20">
        <v>0.15199313196217629</v>
      </c>
      <c r="AP60" s="20">
        <v>0.11040458149217627</v>
      </c>
      <c r="AQ60" s="20">
        <v>0.12595757010217629</v>
      </c>
      <c r="AR60" s="20">
        <v>0.13462336995217627</v>
      </c>
      <c r="AS60" s="20">
        <v>0.10325917038217627</v>
      </c>
      <c r="AT60" s="20">
        <v>0.11804530901041367</v>
      </c>
      <c r="AU60" s="20">
        <v>9.3009727833335554E-2</v>
      </c>
      <c r="AV60" s="20">
        <v>7.774720072334057E-2</v>
      </c>
      <c r="AW60" s="20">
        <v>0.10063845354333556</v>
      </c>
      <c r="AX60" s="20">
        <v>8.5809152414127635E-2</v>
      </c>
      <c r="AY60" s="20">
        <v>0.11943801278765921</v>
      </c>
      <c r="AZ60" s="20">
        <v>0.12741335268236659</v>
      </c>
      <c r="BA60" s="20">
        <v>0.10869814669609028</v>
      </c>
      <c r="BB60" s="20">
        <v>9.5647257690644569E-2</v>
      </c>
      <c r="BC60" s="20">
        <v>8.8594171010644554E-2</v>
      </c>
      <c r="BD60" s="20">
        <v>8.0554975179615212E-2</v>
      </c>
      <c r="BF60" t="s">
        <v>103</v>
      </c>
      <c r="BG60" t="s">
        <v>39</v>
      </c>
      <c r="BH60" t="s">
        <v>21</v>
      </c>
      <c r="BI60" t="s">
        <v>28</v>
      </c>
      <c r="BJ60" t="s">
        <v>39</v>
      </c>
      <c r="BK60" t="s">
        <v>21</v>
      </c>
      <c r="BL60" t="s">
        <v>37</v>
      </c>
      <c r="BM60" t="s">
        <v>28</v>
      </c>
      <c r="BN60" t="s">
        <v>28</v>
      </c>
      <c r="BO60" t="s">
        <v>28</v>
      </c>
      <c r="BP60" t="s">
        <v>39</v>
      </c>
      <c r="BQ60" t="s">
        <v>33</v>
      </c>
      <c r="BR60" t="s">
        <v>21</v>
      </c>
      <c r="BS60" t="s">
        <v>28</v>
      </c>
      <c r="BT60" t="s">
        <v>28</v>
      </c>
      <c r="BU60" t="s">
        <v>38</v>
      </c>
      <c r="BV60" t="s">
        <v>28</v>
      </c>
      <c r="BW60" t="s">
        <v>22</v>
      </c>
      <c r="BX60" t="s">
        <v>33</v>
      </c>
      <c r="BY60" t="s">
        <v>33</v>
      </c>
      <c r="BZ60" t="s">
        <v>38</v>
      </c>
      <c r="CA60" t="s">
        <v>28</v>
      </c>
      <c r="CB60" t="s">
        <v>39</v>
      </c>
      <c r="CC60" t="s">
        <v>22</v>
      </c>
      <c r="CD60" t="s">
        <v>22</v>
      </c>
      <c r="CE60" t="s">
        <v>38</v>
      </c>
      <c r="CF60" t="s">
        <v>38</v>
      </c>
    </row>
    <row r="61" spans="1:84" x14ac:dyDescent="0.35">
      <c r="B61" t="s">
        <v>104</v>
      </c>
      <c r="C61" s="12">
        <v>0.10210000000000008</v>
      </c>
      <c r="D61" s="12">
        <v>9.6500000000000086E-2</v>
      </c>
      <c r="E61" s="12">
        <v>8.8300000000000087E-2</v>
      </c>
      <c r="F61" s="12">
        <v>8.7600000000000094E-2</v>
      </c>
      <c r="G61" s="12">
        <v>0.10150000000000009</v>
      </c>
      <c r="H61" s="12">
        <v>9.7200000000000092E-2</v>
      </c>
      <c r="I61" s="12">
        <v>9.1000000000000081E-2</v>
      </c>
      <c r="J61" s="12">
        <v>9.1200000000000087E-2</v>
      </c>
      <c r="K61" s="12">
        <v>8.6700000000000083E-2</v>
      </c>
      <c r="L61" s="12">
        <v>0.10720000000000009</v>
      </c>
      <c r="M61" s="12">
        <v>9.0500000000000094E-2</v>
      </c>
      <c r="N61" s="12">
        <v>0.10660000000000008</v>
      </c>
      <c r="O61" s="12">
        <v>0.10100000000000009</v>
      </c>
      <c r="P61" s="12">
        <v>8.7900000000000089E-2</v>
      </c>
      <c r="Q61" s="12">
        <v>9.2500000000000082E-2</v>
      </c>
      <c r="R61" s="12">
        <v>0.10640000000000008</v>
      </c>
      <c r="S61" s="12">
        <v>9.8500000000000087E-2</v>
      </c>
      <c r="T61" s="12">
        <v>0.10700000000000008</v>
      </c>
      <c r="U61" s="12">
        <v>0.10470000000000008</v>
      </c>
      <c r="V61" s="12">
        <v>8.5400000000000087E-2</v>
      </c>
      <c r="W61" s="12">
        <v>9.8900000000000085E-2</v>
      </c>
      <c r="X61" s="12">
        <v>8.8000000000000078E-2</v>
      </c>
      <c r="Y61" s="12">
        <v>9.520000000000009E-2</v>
      </c>
      <c r="Z61" s="12">
        <v>0.10630000000000009</v>
      </c>
      <c r="AA61" s="12">
        <v>9.1600000000000084E-2</v>
      </c>
      <c r="AB61" s="12">
        <v>8.7800000000000086E-2</v>
      </c>
      <c r="AD61" t="s">
        <v>104</v>
      </c>
      <c r="AE61" s="20">
        <v>0.11948584293</v>
      </c>
      <c r="AF61" s="20">
        <v>0.10596458212</v>
      </c>
      <c r="AG61" s="20">
        <v>0.12382505683716474</v>
      </c>
      <c r="AH61" s="20">
        <v>0.10839528218335036</v>
      </c>
      <c r="AI61" s="20">
        <v>9.5783911352076992E-2</v>
      </c>
      <c r="AJ61" s="20">
        <v>0.11615092660896065</v>
      </c>
      <c r="AK61" s="20">
        <v>8.7404180897236741E-2</v>
      </c>
      <c r="AL61" s="20">
        <v>7.9934256013196661E-2</v>
      </c>
      <c r="AM61" s="20">
        <v>0.10184965294065987</v>
      </c>
      <c r="AN61" s="20">
        <v>0.15038745452217625</v>
      </c>
      <c r="AO61" s="20">
        <v>0.15699313196217626</v>
      </c>
      <c r="AP61" s="20">
        <v>0.11540458149217626</v>
      </c>
      <c r="AQ61" s="20">
        <v>0.13095757010217626</v>
      </c>
      <c r="AR61" s="20">
        <v>0.13962336995217628</v>
      </c>
      <c r="AS61" s="20">
        <v>0.10825917038217626</v>
      </c>
      <c r="AT61" s="20">
        <v>0.12304530901041366</v>
      </c>
      <c r="AU61" s="20">
        <v>9.8009727833335544E-2</v>
      </c>
      <c r="AV61" s="20">
        <v>8.2747200723340561E-2</v>
      </c>
      <c r="AW61" s="20">
        <v>0.10563845354333555</v>
      </c>
      <c r="AX61" s="20">
        <v>9.0809152414127625E-2</v>
      </c>
      <c r="AY61" s="20">
        <v>0.1244380127876592</v>
      </c>
      <c r="AZ61" s="20">
        <v>0.13241335268236659</v>
      </c>
      <c r="BA61" s="20">
        <v>0.11369814669609027</v>
      </c>
      <c r="BB61" s="20">
        <v>0.10064725769064456</v>
      </c>
      <c r="BC61" s="20">
        <v>9.3594171010644545E-2</v>
      </c>
      <c r="BD61" s="20">
        <v>8.5554975179615203E-2</v>
      </c>
      <c r="BF61" t="s">
        <v>104</v>
      </c>
      <c r="BG61" t="s">
        <v>21</v>
      </c>
      <c r="BH61" t="s">
        <v>22</v>
      </c>
      <c r="BI61" t="s">
        <v>38</v>
      </c>
      <c r="BJ61" t="s">
        <v>21</v>
      </c>
      <c r="BK61" t="s">
        <v>28</v>
      </c>
      <c r="BL61" t="s">
        <v>37</v>
      </c>
      <c r="BM61" t="s">
        <v>39</v>
      </c>
      <c r="BN61" t="s">
        <v>21</v>
      </c>
      <c r="BO61" t="s">
        <v>22</v>
      </c>
      <c r="BP61" t="s">
        <v>28</v>
      </c>
      <c r="BQ61" t="s">
        <v>37</v>
      </c>
      <c r="BR61" t="s">
        <v>28</v>
      </c>
      <c r="BS61" t="s">
        <v>37</v>
      </c>
      <c r="BT61" t="s">
        <v>28</v>
      </c>
      <c r="BU61" t="s">
        <v>22</v>
      </c>
      <c r="BV61" t="s">
        <v>28</v>
      </c>
      <c r="BW61" t="s">
        <v>21</v>
      </c>
      <c r="BX61" t="s">
        <v>37</v>
      </c>
      <c r="BY61" t="s">
        <v>28</v>
      </c>
      <c r="BZ61" t="s">
        <v>37</v>
      </c>
      <c r="CA61" t="s">
        <v>28</v>
      </c>
      <c r="CB61" t="s">
        <v>37</v>
      </c>
      <c r="CC61" t="s">
        <v>22</v>
      </c>
      <c r="CD61" t="s">
        <v>33</v>
      </c>
      <c r="CE61" t="s">
        <v>28</v>
      </c>
      <c r="CF61" t="s">
        <v>33</v>
      </c>
    </row>
    <row r="63" spans="1:84" ht="15.5" x14ac:dyDescent="0.35">
      <c r="B63" s="31" t="s">
        <v>44</v>
      </c>
      <c r="AC63" s="20"/>
      <c r="AD63" s="31" t="s">
        <v>44</v>
      </c>
      <c r="AE63" s="11">
        <f>AE64*C64+AE70*C70+AE79*C79+AE84*C84+AE90*C90+AE91*C91</f>
        <v>0.12073600000000001</v>
      </c>
      <c r="AF63" s="11">
        <f t="shared" ref="AF63:BD63" si="20">AF64*D64+AF70*D70+AF79*D79+AF84*D84+AF90*D90+AF91*D91</f>
        <v>0.106736</v>
      </c>
      <c r="AG63" s="11">
        <f t="shared" si="20"/>
        <v>0.12416181507716473</v>
      </c>
      <c r="AH63" s="11">
        <f t="shared" si="20"/>
        <v>0.10898555105335037</v>
      </c>
      <c r="AI63" s="11">
        <f t="shared" si="20"/>
        <v>9.6482248132077023E-2</v>
      </c>
      <c r="AJ63" s="11">
        <f t="shared" si="20"/>
        <v>0.11689586075896063</v>
      </c>
      <c r="AK63" s="11">
        <f t="shared" si="20"/>
        <v>8.8281078907236771E-2</v>
      </c>
      <c r="AL63" s="11">
        <f t="shared" si="20"/>
        <v>8.0810922543196675E-2</v>
      </c>
      <c r="AM63" s="11">
        <f t="shared" si="20"/>
        <v>0.10216278090065986</v>
      </c>
      <c r="AN63" s="11">
        <f t="shared" si="20"/>
        <v>0.15093915780217623</v>
      </c>
      <c r="AO63" s="11">
        <f t="shared" si="20"/>
        <v>0.15795415780217623</v>
      </c>
      <c r="AP63" s="11">
        <f t="shared" si="20"/>
        <v>0.11593915780217628</v>
      </c>
      <c r="AQ63" s="11">
        <f t="shared" si="20"/>
        <v>0.13193915780217627</v>
      </c>
      <c r="AR63" s="11">
        <f t="shared" si="20"/>
        <v>0.13993915780217628</v>
      </c>
      <c r="AS63" s="11">
        <f t="shared" si="20"/>
        <v>0.10893915780217625</v>
      </c>
      <c r="AT63" s="11">
        <f t="shared" si="20"/>
        <v>0.1235549797804137</v>
      </c>
      <c r="AU63" s="11">
        <f t="shared" si="20"/>
        <v>9.8378367543335524E-2</v>
      </c>
      <c r="AV63" s="11">
        <f t="shared" si="20"/>
        <v>8.2983657513340553E-2</v>
      </c>
      <c r="AW63" s="11">
        <f t="shared" si="20"/>
        <v>0.10648886754333553</v>
      </c>
      <c r="AX63" s="11">
        <f t="shared" si="20"/>
        <v>9.1457575464127652E-2</v>
      </c>
      <c r="AY63" s="11">
        <f t="shared" si="20"/>
        <v>0.12494447718765921</v>
      </c>
      <c r="AZ63" s="11">
        <f t="shared" si="20"/>
        <v>0.13298152237236663</v>
      </c>
      <c r="BA63" s="11">
        <f t="shared" si="20"/>
        <v>0.11411133759609028</v>
      </c>
      <c r="BB63" s="11">
        <f t="shared" si="20"/>
        <v>0.10100149658064453</v>
      </c>
      <c r="BC63" s="11">
        <f t="shared" si="20"/>
        <v>9.4001496580644564E-2</v>
      </c>
      <c r="BD63" s="11">
        <f t="shared" si="20"/>
        <v>8.6528747239615178E-2</v>
      </c>
      <c r="BF63" s="31" t="s">
        <v>44</v>
      </c>
    </row>
    <row r="64" spans="1:84" x14ac:dyDescent="0.35">
      <c r="B64" t="s">
        <v>105</v>
      </c>
      <c r="C64" s="12">
        <f>1-SUM(C70,C79,C84,C90:C91)</f>
        <v>0.26179999999999992</v>
      </c>
      <c r="D64" s="12">
        <f t="shared" ref="D64:AB64" si="21">1-SUM(D70,D79,D84,D90:D91)</f>
        <v>0.22049999999999992</v>
      </c>
      <c r="E64" s="12">
        <f t="shared" si="21"/>
        <v>0.23370000000000002</v>
      </c>
      <c r="F64" s="12">
        <f t="shared" si="21"/>
        <v>0.24039999999999995</v>
      </c>
      <c r="G64" s="12">
        <f t="shared" si="21"/>
        <v>0.24129999999999985</v>
      </c>
      <c r="H64" s="12">
        <f t="shared" si="21"/>
        <v>0.20299999999999985</v>
      </c>
      <c r="I64" s="12">
        <f t="shared" si="21"/>
        <v>0.26090000000000002</v>
      </c>
      <c r="J64" s="12">
        <f t="shared" si="21"/>
        <v>0.22339999999999993</v>
      </c>
      <c r="K64" s="12">
        <f t="shared" si="21"/>
        <v>0.25829999999999997</v>
      </c>
      <c r="L64" s="12">
        <f t="shared" si="21"/>
        <v>0.19919999999999993</v>
      </c>
      <c r="M64" s="12">
        <f t="shared" si="21"/>
        <v>0.20899999999999996</v>
      </c>
      <c r="N64" s="12">
        <f t="shared" si="21"/>
        <v>0.22230000000000005</v>
      </c>
      <c r="O64" s="12">
        <f t="shared" si="21"/>
        <v>0.22359999999999991</v>
      </c>
      <c r="P64" s="12">
        <f t="shared" si="21"/>
        <v>0.22270000000000001</v>
      </c>
      <c r="Q64" s="12">
        <f t="shared" si="21"/>
        <v>0.23849999999999993</v>
      </c>
      <c r="R64" s="12">
        <f t="shared" si="21"/>
        <v>0.21689999999999998</v>
      </c>
      <c r="S64" s="12">
        <f t="shared" si="21"/>
        <v>0.23649999999999993</v>
      </c>
      <c r="T64" s="12">
        <f t="shared" si="21"/>
        <v>0.19340000000000002</v>
      </c>
      <c r="U64" s="12">
        <f t="shared" si="21"/>
        <v>0.23470000000000002</v>
      </c>
      <c r="V64" s="12">
        <f t="shared" si="21"/>
        <v>0.22089999999999999</v>
      </c>
      <c r="W64" s="12">
        <f t="shared" si="21"/>
        <v>0.23929999999999996</v>
      </c>
      <c r="X64" s="12">
        <f t="shared" si="21"/>
        <v>0.18120000000000003</v>
      </c>
      <c r="Y64" s="12">
        <f t="shared" si="21"/>
        <v>0.2135999999999999</v>
      </c>
      <c r="Z64" s="12">
        <f t="shared" si="21"/>
        <v>0.2024999999999999</v>
      </c>
      <c r="AA64" s="12">
        <f t="shared" si="21"/>
        <v>0.19599999999999995</v>
      </c>
      <c r="AB64" s="12">
        <f t="shared" si="21"/>
        <v>0.23469999999999991</v>
      </c>
      <c r="AC64" s="20"/>
      <c r="AD64" t="s">
        <v>105</v>
      </c>
      <c r="AE64" s="20">
        <f>SUMPRODUCT(AE65:AE69,C65:C69)</f>
        <v>0.15196159122608308</v>
      </c>
      <c r="AF64" s="20">
        <f t="shared" ref="AF64:BD64" si="22">SUMPRODUCT(AF65:AF69,D65:D69)</f>
        <v>0.14085782947024211</v>
      </c>
      <c r="AG64" s="20">
        <f t="shared" si="22"/>
        <v>0.15605790700484837</v>
      </c>
      <c r="AH64" s="20">
        <f t="shared" si="22"/>
        <v>0.14095426725170998</v>
      </c>
      <c r="AI64" s="20">
        <f t="shared" si="22"/>
        <v>0.12949305836915551</v>
      </c>
      <c r="AJ64" s="20">
        <f t="shared" si="22"/>
        <v>0.15242878632555304</v>
      </c>
      <c r="AK64" s="20">
        <f t="shared" si="22"/>
        <v>0.11959197355864326</v>
      </c>
      <c r="AL64" s="20">
        <f t="shared" si="22"/>
        <v>0.11456405986698386</v>
      </c>
      <c r="AM64" s="20">
        <f t="shared" si="22"/>
        <v>0.13332476431402407</v>
      </c>
      <c r="AN64" s="20">
        <f t="shared" si="22"/>
        <v>0.18583845526770326</v>
      </c>
      <c r="AO64" s="20">
        <f t="shared" si="22"/>
        <v>0.19293668366680269</v>
      </c>
      <c r="AP64" s="20">
        <f t="shared" si="22"/>
        <v>0.14866995098813832</v>
      </c>
      <c r="AQ64" s="20">
        <f t="shared" si="22"/>
        <v>0.16590962779428986</v>
      </c>
      <c r="AR64" s="20">
        <f t="shared" si="22"/>
        <v>0.17275206652073577</v>
      </c>
      <c r="AS64" s="20">
        <f t="shared" si="22"/>
        <v>0.14245027566156013</v>
      </c>
      <c r="AT64" s="20">
        <f t="shared" si="22"/>
        <v>0.1567023891932591</v>
      </c>
      <c r="AU64" s="20">
        <f t="shared" si="22"/>
        <v>0.13030331184192506</v>
      </c>
      <c r="AV64" s="20">
        <f t="shared" si="22"/>
        <v>0.11669249741822664</v>
      </c>
      <c r="AW64" s="20">
        <f t="shared" si="22"/>
        <v>0.13888423881806189</v>
      </c>
      <c r="AX64" s="20">
        <f t="shared" si="22"/>
        <v>0.12585315101391287</v>
      </c>
      <c r="AY64" s="20">
        <f t="shared" si="22"/>
        <v>0.15767718913767723</v>
      </c>
      <c r="AZ64" s="20">
        <f t="shared" si="22"/>
        <v>0.16722832570899698</v>
      </c>
      <c r="BA64" s="20">
        <f t="shared" si="22"/>
        <v>0.14811536836864056</v>
      </c>
      <c r="BB64" s="20">
        <f t="shared" si="22"/>
        <v>0.1344804857673581</v>
      </c>
      <c r="BC64" s="20">
        <f t="shared" si="22"/>
        <v>0.12792511514573837</v>
      </c>
      <c r="BD64" s="20">
        <f t="shared" si="22"/>
        <v>0.11777710541486194</v>
      </c>
      <c r="BF64" t="s">
        <v>105</v>
      </c>
      <c r="BG64" t="s">
        <v>28</v>
      </c>
      <c r="BH64" t="s">
        <v>28</v>
      </c>
      <c r="BI64" t="s">
        <v>21</v>
      </c>
      <c r="BJ64" t="s">
        <v>39</v>
      </c>
      <c r="BK64" t="s">
        <v>38</v>
      </c>
      <c r="BL64" t="s">
        <v>39</v>
      </c>
      <c r="BM64" t="s">
        <v>22</v>
      </c>
      <c r="BN64" t="s">
        <v>38</v>
      </c>
      <c r="BO64" t="s">
        <v>21</v>
      </c>
      <c r="BP64" t="s">
        <v>21</v>
      </c>
      <c r="BQ64" t="s">
        <v>21</v>
      </c>
      <c r="BR64" t="s">
        <v>28</v>
      </c>
      <c r="BS64" t="s">
        <v>33</v>
      </c>
      <c r="BT64" t="s">
        <v>28</v>
      </c>
      <c r="BU64" t="s">
        <v>33</v>
      </c>
      <c r="BV64" t="s">
        <v>28</v>
      </c>
      <c r="BW64" t="s">
        <v>38</v>
      </c>
      <c r="BX64" t="s">
        <v>33</v>
      </c>
      <c r="BY64" t="s">
        <v>39</v>
      </c>
      <c r="BZ64" t="s">
        <v>37</v>
      </c>
      <c r="CA64" t="s">
        <v>21</v>
      </c>
      <c r="CB64" t="s">
        <v>37</v>
      </c>
      <c r="CC64" t="s">
        <v>37</v>
      </c>
      <c r="CD64" t="s">
        <v>38</v>
      </c>
      <c r="CE64" t="s">
        <v>22</v>
      </c>
      <c r="CF64" t="s">
        <v>22</v>
      </c>
    </row>
    <row r="65" spans="1:84" s="27" customFormat="1" x14ac:dyDescent="0.35">
      <c r="A65"/>
      <c r="B65" s="54" t="s">
        <v>106</v>
      </c>
      <c r="C65" s="40">
        <f>1-SUM(C66:C69)</f>
        <v>0.30459999999999998</v>
      </c>
      <c r="D65" s="40">
        <f t="shared" ref="D65:AB65" si="23">1-SUM(D66:D69)</f>
        <v>0.32310000000000005</v>
      </c>
      <c r="E65" s="40">
        <f t="shared" si="23"/>
        <v>0.32009999999999994</v>
      </c>
      <c r="F65" s="40">
        <f t="shared" si="23"/>
        <v>0.31000000000000005</v>
      </c>
      <c r="G65" s="40">
        <f t="shared" si="23"/>
        <v>0.32310000000000005</v>
      </c>
      <c r="H65" s="40">
        <f t="shared" si="23"/>
        <v>0.3528</v>
      </c>
      <c r="I65" s="40">
        <f t="shared" si="23"/>
        <v>0.31610000000000005</v>
      </c>
      <c r="J65" s="40">
        <f t="shared" si="23"/>
        <v>0.3417</v>
      </c>
      <c r="K65" s="40">
        <f t="shared" si="23"/>
        <v>0.29410000000000003</v>
      </c>
      <c r="L65" s="40">
        <f t="shared" si="23"/>
        <v>0.35620000000000007</v>
      </c>
      <c r="M65" s="40">
        <f t="shared" si="23"/>
        <v>0.32979999999999998</v>
      </c>
      <c r="N65" s="40">
        <f t="shared" si="23"/>
        <v>0.30020000000000002</v>
      </c>
      <c r="O65" s="40">
        <f t="shared" si="23"/>
        <v>0.35089999999999999</v>
      </c>
      <c r="P65" s="40">
        <f t="shared" si="23"/>
        <v>0.33069999999999999</v>
      </c>
      <c r="Q65" s="40">
        <f t="shared" si="23"/>
        <v>0.34509999999999996</v>
      </c>
      <c r="R65" s="40">
        <f t="shared" si="23"/>
        <v>0.32489999999999997</v>
      </c>
      <c r="S65" s="40">
        <f t="shared" si="23"/>
        <v>0.30319999999999991</v>
      </c>
      <c r="T65" s="40">
        <f t="shared" si="23"/>
        <v>0.30999999999999994</v>
      </c>
      <c r="U65" s="40">
        <f t="shared" si="23"/>
        <v>0.29760000000000009</v>
      </c>
      <c r="V65" s="40">
        <f t="shared" si="23"/>
        <v>0.35330000000000006</v>
      </c>
      <c r="W65" s="40">
        <f t="shared" si="23"/>
        <v>0.32430000000000003</v>
      </c>
      <c r="X65" s="40">
        <f t="shared" si="23"/>
        <v>0.29099999999999993</v>
      </c>
      <c r="Y65" s="40">
        <f t="shared" si="23"/>
        <v>0.33609999999999995</v>
      </c>
      <c r="Z65" s="40">
        <f t="shared" si="23"/>
        <v>0.32420000000000004</v>
      </c>
      <c r="AA65" s="40">
        <f t="shared" si="23"/>
        <v>0.30880000000000007</v>
      </c>
      <c r="AB65" s="40">
        <f t="shared" si="23"/>
        <v>0.29430000000000001</v>
      </c>
      <c r="AD65" s="54" t="s">
        <v>106</v>
      </c>
      <c r="AE65" s="32">
        <v>0.17979582021859902</v>
      </c>
      <c r="AF65" s="32">
        <v>0.16721598167839957</v>
      </c>
      <c r="AG65" s="32">
        <v>0.18298526348368224</v>
      </c>
      <c r="AH65" s="32">
        <v>0.16864429404461687</v>
      </c>
      <c r="AI65" s="32">
        <v>0.15577236235881714</v>
      </c>
      <c r="AJ65" s="32">
        <v>0.17790695316065641</v>
      </c>
      <c r="AK65" s="32">
        <v>0.14670991338153133</v>
      </c>
      <c r="AL65" s="32">
        <v>0.14084834395318113</v>
      </c>
      <c r="AM65" s="32">
        <v>0.16115141362500501</v>
      </c>
      <c r="AN65" s="32">
        <v>0.21126101924781854</v>
      </c>
      <c r="AO65" s="32">
        <v>0.219124093233418</v>
      </c>
      <c r="AP65" s="32">
        <v>0.17616497679567047</v>
      </c>
      <c r="AQ65" s="32">
        <v>0.19138704412427382</v>
      </c>
      <c r="AR65" s="32">
        <v>0.19922556124198054</v>
      </c>
      <c r="AS65" s="32">
        <v>0.16820683760773203</v>
      </c>
      <c r="AT65" s="32">
        <v>0.18350320030698275</v>
      </c>
      <c r="AU65" s="32">
        <v>0.15802702290720544</v>
      </c>
      <c r="AV65" s="32">
        <v>0.14395206806406871</v>
      </c>
      <c r="AW65" s="32">
        <v>0.16650434714549284</v>
      </c>
      <c r="AX65" s="32">
        <v>0.15101523501638281</v>
      </c>
      <c r="AY65" s="32">
        <v>0.18474593945628573</v>
      </c>
      <c r="AZ65" s="32">
        <v>0.19481210094776891</v>
      </c>
      <c r="BA65" s="32">
        <v>0.17414176454145075</v>
      </c>
      <c r="BB65" s="32">
        <v>0.16135544004512198</v>
      </c>
      <c r="BC65" s="32">
        <v>0.15513363226224064</v>
      </c>
      <c r="BD65" s="32">
        <v>0.14574402785309334</v>
      </c>
      <c r="BF65" s="54" t="s">
        <v>106</v>
      </c>
      <c r="BG65" s="27" t="s">
        <v>21</v>
      </c>
      <c r="BH65" s="27" t="s">
        <v>33</v>
      </c>
      <c r="BI65" s="27" t="s">
        <v>21</v>
      </c>
      <c r="BJ65" s="27" t="s">
        <v>22</v>
      </c>
      <c r="BK65" s="27" t="s">
        <v>33</v>
      </c>
      <c r="BL65" s="27" t="s">
        <v>33</v>
      </c>
      <c r="BM65" s="27" t="s">
        <v>38</v>
      </c>
      <c r="BN65" s="27" t="s">
        <v>22</v>
      </c>
      <c r="BO65" s="27" t="s">
        <v>33</v>
      </c>
      <c r="BP65" s="27" t="s">
        <v>28</v>
      </c>
      <c r="BQ65" s="27" t="s">
        <v>38</v>
      </c>
      <c r="BR65" s="27" t="s">
        <v>39</v>
      </c>
      <c r="BS65" s="27" t="s">
        <v>37</v>
      </c>
      <c r="BT65" s="27" t="s">
        <v>22</v>
      </c>
      <c r="BU65" s="27" t="s">
        <v>22</v>
      </c>
      <c r="BV65" s="27" t="s">
        <v>37</v>
      </c>
      <c r="BW65" s="27" t="s">
        <v>21</v>
      </c>
      <c r="BX65" s="27" t="s">
        <v>33</v>
      </c>
      <c r="BY65" s="27" t="s">
        <v>22</v>
      </c>
      <c r="BZ65" s="27" t="s">
        <v>38</v>
      </c>
      <c r="CA65" s="27" t="s">
        <v>22</v>
      </c>
      <c r="CB65" s="27" t="s">
        <v>37</v>
      </c>
      <c r="CC65" s="27" t="s">
        <v>22</v>
      </c>
      <c r="CD65" s="27" t="s">
        <v>37</v>
      </c>
      <c r="CE65" s="27" t="s">
        <v>33</v>
      </c>
      <c r="CF65" s="27" t="s">
        <v>37</v>
      </c>
    </row>
    <row r="66" spans="1:84" s="27" customFormat="1" x14ac:dyDescent="0.35">
      <c r="A66"/>
      <c r="B66" s="54" t="s">
        <v>107</v>
      </c>
      <c r="C66" s="40">
        <v>0.17899999999999999</v>
      </c>
      <c r="D66" s="40">
        <v>0.1993</v>
      </c>
      <c r="E66" s="40">
        <v>0.1772</v>
      </c>
      <c r="F66" s="40">
        <v>0.18079999999999999</v>
      </c>
      <c r="G66" s="40">
        <v>0.19109999999999999</v>
      </c>
      <c r="H66" s="40">
        <v>0.1658</v>
      </c>
      <c r="I66" s="40">
        <v>0.17979999999999999</v>
      </c>
      <c r="J66" s="40">
        <v>0.16739999999999999</v>
      </c>
      <c r="K66" s="40">
        <v>0.1827</v>
      </c>
      <c r="L66" s="40">
        <v>0.1714</v>
      </c>
      <c r="M66" s="40">
        <v>0.1772</v>
      </c>
      <c r="N66" s="40">
        <v>0.19219999999999998</v>
      </c>
      <c r="O66" s="40">
        <v>0.16899999999999998</v>
      </c>
      <c r="P66" s="40">
        <v>0.18340000000000001</v>
      </c>
      <c r="Q66" s="40">
        <v>0.1663</v>
      </c>
      <c r="R66" s="40">
        <v>0.183</v>
      </c>
      <c r="S66" s="40">
        <v>0.16899999999999998</v>
      </c>
      <c r="T66" s="40">
        <v>0.1903</v>
      </c>
      <c r="U66" s="40">
        <v>0.19989999999999999</v>
      </c>
      <c r="V66" s="40">
        <v>0.1711</v>
      </c>
      <c r="W66" s="40">
        <v>0.17760000000000001</v>
      </c>
      <c r="X66" s="40">
        <v>0.1961</v>
      </c>
      <c r="Y66" s="40">
        <v>0.18529999999999999</v>
      </c>
      <c r="Z66" s="40">
        <v>0.1842</v>
      </c>
      <c r="AA66" s="40">
        <v>0.1734</v>
      </c>
      <c r="AB66" s="40">
        <v>0.18329999999999999</v>
      </c>
      <c r="AD66" s="54" t="s">
        <v>107</v>
      </c>
      <c r="AE66" s="32">
        <v>0.15531187976347638</v>
      </c>
      <c r="AF66" s="32">
        <v>0.14273204122327693</v>
      </c>
      <c r="AG66" s="32">
        <v>0.1585013230285596</v>
      </c>
      <c r="AH66" s="32">
        <v>0.14416035358949422</v>
      </c>
      <c r="AI66" s="32">
        <v>0.1312884219036945</v>
      </c>
      <c r="AJ66" s="32">
        <v>0.15342301270553377</v>
      </c>
      <c r="AK66" s="32">
        <v>0.12222597292640867</v>
      </c>
      <c r="AL66" s="32">
        <v>0.11636440349805849</v>
      </c>
      <c r="AM66" s="32">
        <v>0.13666747316988237</v>
      </c>
      <c r="AN66" s="32">
        <v>0.18677707879269589</v>
      </c>
      <c r="AO66" s="32">
        <v>0.19464015277829536</v>
      </c>
      <c r="AP66" s="32">
        <v>0.15168103634054783</v>
      </c>
      <c r="AQ66" s="32">
        <v>0.16690310366915118</v>
      </c>
      <c r="AR66" s="32">
        <v>0.1747416207868579</v>
      </c>
      <c r="AS66" s="32">
        <v>0.14372289715260939</v>
      </c>
      <c r="AT66" s="32">
        <v>0.15901925985186011</v>
      </c>
      <c r="AU66" s="32">
        <v>0.1335430824520828</v>
      </c>
      <c r="AV66" s="32">
        <v>0.11946812760894607</v>
      </c>
      <c r="AW66" s="32">
        <v>0.14202040669037019</v>
      </c>
      <c r="AX66" s="32">
        <v>0.12653129456126017</v>
      </c>
      <c r="AY66" s="32">
        <v>0.16026199900116309</v>
      </c>
      <c r="AZ66" s="32">
        <v>0.17032816049264626</v>
      </c>
      <c r="BA66" s="32">
        <v>0.14965782408632811</v>
      </c>
      <c r="BB66" s="32">
        <v>0.13687149958999933</v>
      </c>
      <c r="BC66" s="32">
        <v>0.130649691807118</v>
      </c>
      <c r="BD66" s="32">
        <v>0.1212600873979707</v>
      </c>
      <c r="BF66" s="54" t="s">
        <v>107</v>
      </c>
      <c r="BG66" s="27" t="s">
        <v>21</v>
      </c>
      <c r="BH66" s="27" t="s">
        <v>28</v>
      </c>
      <c r="BI66" s="27" t="s">
        <v>39</v>
      </c>
      <c r="BJ66" s="27" t="s">
        <v>39</v>
      </c>
      <c r="BK66" s="27" t="s">
        <v>21</v>
      </c>
      <c r="BL66" s="27" t="s">
        <v>39</v>
      </c>
      <c r="BM66" s="27" t="s">
        <v>37</v>
      </c>
      <c r="BN66" s="27" t="s">
        <v>33</v>
      </c>
      <c r="BO66" s="27" t="s">
        <v>21</v>
      </c>
      <c r="BP66" s="27" t="s">
        <v>37</v>
      </c>
      <c r="BQ66" s="27" t="s">
        <v>21</v>
      </c>
      <c r="BR66" s="27" t="s">
        <v>22</v>
      </c>
      <c r="BS66" s="27" t="s">
        <v>28</v>
      </c>
      <c r="BT66" s="27" t="s">
        <v>28</v>
      </c>
      <c r="BU66" s="27" t="s">
        <v>22</v>
      </c>
      <c r="BV66" s="27" t="s">
        <v>38</v>
      </c>
      <c r="BW66" s="27" t="s">
        <v>38</v>
      </c>
      <c r="BX66" s="27" t="s">
        <v>21</v>
      </c>
      <c r="BY66" s="27" t="s">
        <v>21</v>
      </c>
      <c r="BZ66" s="27" t="s">
        <v>21</v>
      </c>
      <c r="CA66" s="27" t="s">
        <v>22</v>
      </c>
      <c r="CB66" s="27" t="s">
        <v>22</v>
      </c>
      <c r="CC66" s="27" t="s">
        <v>22</v>
      </c>
      <c r="CD66" s="27" t="s">
        <v>38</v>
      </c>
      <c r="CE66" s="27" t="s">
        <v>28</v>
      </c>
      <c r="CF66" s="27" t="s">
        <v>38</v>
      </c>
    </row>
    <row r="67" spans="1:84" s="27" customFormat="1" x14ac:dyDescent="0.35">
      <c r="A67"/>
      <c r="B67" s="54" t="s">
        <v>108</v>
      </c>
      <c r="C67" s="40">
        <v>0.16250000000000001</v>
      </c>
      <c r="D67" s="40">
        <v>0.16320000000000001</v>
      </c>
      <c r="E67" s="40">
        <v>0.14649999999999999</v>
      </c>
      <c r="F67" s="40">
        <v>0.1716</v>
      </c>
      <c r="G67" s="40">
        <v>0.14899999999999999</v>
      </c>
      <c r="H67" s="40">
        <v>0.14460000000000001</v>
      </c>
      <c r="I67" s="40">
        <v>0.17069999999999999</v>
      </c>
      <c r="J67" s="40">
        <v>0.15870000000000001</v>
      </c>
      <c r="K67" s="40">
        <v>0.16880000000000001</v>
      </c>
      <c r="L67" s="40">
        <v>0.1414</v>
      </c>
      <c r="M67" s="40">
        <v>0.1487</v>
      </c>
      <c r="N67" s="40">
        <v>0.14760000000000001</v>
      </c>
      <c r="O67" s="40">
        <v>0.15890000000000001</v>
      </c>
      <c r="P67" s="40">
        <v>0.16670000000000001</v>
      </c>
      <c r="Q67" s="40">
        <v>0.15909999999999999</v>
      </c>
      <c r="R67" s="40">
        <v>0.1583</v>
      </c>
      <c r="S67" s="40">
        <v>0.17449999999999999</v>
      </c>
      <c r="T67" s="40">
        <v>0.16320000000000001</v>
      </c>
      <c r="U67" s="40">
        <v>0.15640000000000001</v>
      </c>
      <c r="V67" s="40">
        <v>0.1404</v>
      </c>
      <c r="W67" s="40">
        <v>0.15049999999999999</v>
      </c>
      <c r="X67" s="40">
        <v>0.1638</v>
      </c>
      <c r="Y67" s="40">
        <v>0.14610000000000001</v>
      </c>
      <c r="Z67" s="40">
        <v>0.1401</v>
      </c>
      <c r="AA67" s="40">
        <v>0.1739</v>
      </c>
      <c r="AB67" s="40">
        <v>0.1525</v>
      </c>
      <c r="AD67" s="54" t="s">
        <v>108</v>
      </c>
      <c r="AE67" s="32">
        <v>0.13224835149588876</v>
      </c>
      <c r="AF67" s="32">
        <v>0.1196685129556893</v>
      </c>
      <c r="AG67" s="32">
        <v>0.13543779476097198</v>
      </c>
      <c r="AH67" s="32">
        <v>0.1210968253219066</v>
      </c>
      <c r="AI67" s="32">
        <v>0.10822489363610689</v>
      </c>
      <c r="AJ67" s="32">
        <v>0.13035948443794615</v>
      </c>
      <c r="AK67" s="32">
        <v>9.9162444658821056E-2</v>
      </c>
      <c r="AL67" s="32">
        <v>9.330087523047087E-2</v>
      </c>
      <c r="AM67" s="32">
        <v>0.11360394490229474</v>
      </c>
      <c r="AN67" s="32">
        <v>0.16371355052510828</v>
      </c>
      <c r="AO67" s="32">
        <v>0.17157662451070774</v>
      </c>
      <c r="AP67" s="32">
        <v>0.12861750807296021</v>
      </c>
      <c r="AQ67" s="32">
        <v>0.14383957540156356</v>
      </c>
      <c r="AR67" s="32">
        <v>0.15167809251927028</v>
      </c>
      <c r="AS67" s="32">
        <v>0.12065936888502175</v>
      </c>
      <c r="AT67" s="32">
        <v>0.13595573158427249</v>
      </c>
      <c r="AU67" s="32">
        <v>0.11047955418449519</v>
      </c>
      <c r="AV67" s="32">
        <v>9.6404599341358449E-2</v>
      </c>
      <c r="AW67" s="32">
        <v>0.11895687842278259</v>
      </c>
      <c r="AX67" s="32">
        <v>0.10346776629367255</v>
      </c>
      <c r="AY67" s="32">
        <v>0.13719847073357547</v>
      </c>
      <c r="AZ67" s="32">
        <v>0.14726463222505864</v>
      </c>
      <c r="BA67" s="32">
        <v>0.12659429581874049</v>
      </c>
      <c r="BB67" s="32">
        <v>0.1138079713224117</v>
      </c>
      <c r="BC67" s="32">
        <v>0.10758616353953036</v>
      </c>
      <c r="BD67" s="32">
        <v>9.8196559130383082E-2</v>
      </c>
      <c r="BF67" s="54" t="s">
        <v>108</v>
      </c>
      <c r="BG67" s="27" t="s">
        <v>39</v>
      </c>
      <c r="BH67" s="27" t="s">
        <v>39</v>
      </c>
      <c r="BI67" s="27" t="s">
        <v>38</v>
      </c>
      <c r="BJ67" s="27" t="s">
        <v>28</v>
      </c>
      <c r="BK67" s="27" t="s">
        <v>22</v>
      </c>
      <c r="BL67" s="27" t="s">
        <v>37</v>
      </c>
      <c r="BM67" s="27" t="s">
        <v>21</v>
      </c>
      <c r="BN67" s="27" t="s">
        <v>21</v>
      </c>
      <c r="BO67" s="27" t="s">
        <v>33</v>
      </c>
      <c r="BP67" s="27" t="s">
        <v>22</v>
      </c>
      <c r="BQ67" s="27" t="s">
        <v>39</v>
      </c>
      <c r="BR67" s="27" t="s">
        <v>22</v>
      </c>
      <c r="BS67" s="27" t="s">
        <v>28</v>
      </c>
      <c r="BT67" s="27" t="s">
        <v>33</v>
      </c>
      <c r="BU67" s="27" t="s">
        <v>39</v>
      </c>
      <c r="BV67" s="27" t="s">
        <v>39</v>
      </c>
      <c r="BW67" s="27" t="s">
        <v>39</v>
      </c>
      <c r="BX67" s="27" t="s">
        <v>22</v>
      </c>
      <c r="BY67" s="27" t="s">
        <v>37</v>
      </c>
      <c r="BZ67" s="27" t="s">
        <v>37</v>
      </c>
      <c r="CA67" s="27" t="s">
        <v>28</v>
      </c>
      <c r="CB67" s="27" t="s">
        <v>39</v>
      </c>
      <c r="CC67" s="27" t="s">
        <v>33</v>
      </c>
      <c r="CD67" s="27" t="s">
        <v>33</v>
      </c>
      <c r="CE67" s="27" t="s">
        <v>21</v>
      </c>
      <c r="CF67" s="27" t="s">
        <v>39</v>
      </c>
    </row>
    <row r="68" spans="1:84" s="27" customFormat="1" x14ac:dyDescent="0.35">
      <c r="A68"/>
      <c r="B68" s="54" t="s">
        <v>109</v>
      </c>
      <c r="C68" s="40">
        <v>0.2208</v>
      </c>
      <c r="D68" s="40">
        <v>0.20619999999999999</v>
      </c>
      <c r="E68" s="40">
        <v>0.23039999999999999</v>
      </c>
      <c r="F68" s="40">
        <v>0.20649999999999999</v>
      </c>
      <c r="G68" s="40">
        <v>0.2281</v>
      </c>
      <c r="H68" s="40">
        <v>0.22700000000000001</v>
      </c>
      <c r="I68" s="40">
        <v>0.21660000000000001</v>
      </c>
      <c r="J68" s="40">
        <v>0.21210000000000001</v>
      </c>
      <c r="K68" s="40">
        <v>0.2379</v>
      </c>
      <c r="L68" s="40">
        <v>0.2147</v>
      </c>
      <c r="M68" s="40">
        <v>0.2356</v>
      </c>
      <c r="N68" s="40">
        <v>0.2336</v>
      </c>
      <c r="O68" s="40">
        <v>0.21990000000000001</v>
      </c>
      <c r="P68" s="40">
        <v>0.20419999999999999</v>
      </c>
      <c r="Q68" s="40">
        <v>0.22639999999999999</v>
      </c>
      <c r="R68" s="40">
        <v>0.20980000000000001</v>
      </c>
      <c r="S68" s="40">
        <v>0.23680000000000001</v>
      </c>
      <c r="T68" s="40">
        <v>0.21440000000000001</v>
      </c>
      <c r="U68" s="40">
        <v>0.2195</v>
      </c>
      <c r="V68" s="40">
        <v>0.23300000000000001</v>
      </c>
      <c r="W68" s="40">
        <v>0.21210000000000001</v>
      </c>
      <c r="X68" s="40">
        <v>0.23849999999999999</v>
      </c>
      <c r="Y68" s="40">
        <v>0.2167</v>
      </c>
      <c r="Z68" s="40">
        <v>0.21590000000000001</v>
      </c>
      <c r="AA68" s="40">
        <v>0.23799999999999999</v>
      </c>
      <c r="AB68" s="40">
        <v>0.23910000000000001</v>
      </c>
      <c r="AD68" s="54" t="s">
        <v>109</v>
      </c>
      <c r="AE68" s="32">
        <v>0.14476960823237978</v>
      </c>
      <c r="AF68" s="32">
        <v>0.13218976969218027</v>
      </c>
      <c r="AG68" s="32">
        <v>0.14795905149746297</v>
      </c>
      <c r="AH68" s="32">
        <v>0.13361808205839759</v>
      </c>
      <c r="AI68" s="32">
        <v>0.12074615037259788</v>
      </c>
      <c r="AJ68" s="32">
        <v>0.14288074117443714</v>
      </c>
      <c r="AK68" s="32">
        <v>0.11168370139531204</v>
      </c>
      <c r="AL68" s="32">
        <v>0.10582213196696186</v>
      </c>
      <c r="AM68" s="32">
        <v>0.12612520163878571</v>
      </c>
      <c r="AN68" s="32">
        <v>0.17623480726159926</v>
      </c>
      <c r="AO68" s="32">
        <v>0.18409788124719872</v>
      </c>
      <c r="AP68" s="32">
        <v>0.1411387648094512</v>
      </c>
      <c r="AQ68" s="32">
        <v>0.15636083213805452</v>
      </c>
      <c r="AR68" s="32">
        <v>0.16419934925576124</v>
      </c>
      <c r="AS68" s="32">
        <v>0.13318062562151273</v>
      </c>
      <c r="AT68" s="32">
        <v>0.14847698832076348</v>
      </c>
      <c r="AU68" s="32">
        <v>0.12300081092098618</v>
      </c>
      <c r="AV68" s="32">
        <v>0.10892585607784944</v>
      </c>
      <c r="AW68" s="32">
        <v>0.13147813515927359</v>
      </c>
      <c r="AX68" s="32">
        <v>0.11598902303016353</v>
      </c>
      <c r="AY68" s="32">
        <v>0.14971972747006645</v>
      </c>
      <c r="AZ68" s="32">
        <v>0.15978588896154966</v>
      </c>
      <c r="BA68" s="32">
        <v>0.13911555255523148</v>
      </c>
      <c r="BB68" s="32">
        <v>0.12632922805890268</v>
      </c>
      <c r="BC68" s="32">
        <v>0.12010742027602135</v>
      </c>
      <c r="BD68" s="32">
        <v>0.11071781586687407</v>
      </c>
      <c r="BF68" s="54" t="s">
        <v>109</v>
      </c>
      <c r="BG68" s="27" t="s">
        <v>37</v>
      </c>
      <c r="BH68" s="27" t="s">
        <v>37</v>
      </c>
      <c r="BI68" s="27" t="s">
        <v>39</v>
      </c>
      <c r="BJ68" s="27" t="s">
        <v>22</v>
      </c>
      <c r="BK68" s="27" t="s">
        <v>28</v>
      </c>
      <c r="BL68" s="27" t="s">
        <v>21</v>
      </c>
      <c r="BM68" s="27" t="s">
        <v>33</v>
      </c>
      <c r="BN68" s="27" t="s">
        <v>28</v>
      </c>
      <c r="BO68" s="27" t="s">
        <v>21</v>
      </c>
      <c r="BP68" s="27" t="s">
        <v>39</v>
      </c>
      <c r="BQ68" s="27" t="s">
        <v>33</v>
      </c>
      <c r="BR68" s="27" t="s">
        <v>21</v>
      </c>
      <c r="BS68" s="27" t="s">
        <v>33</v>
      </c>
      <c r="BT68" s="27" t="s">
        <v>33</v>
      </c>
      <c r="BU68" s="27" t="s">
        <v>28</v>
      </c>
      <c r="BV68" s="27" t="s">
        <v>37</v>
      </c>
      <c r="BW68" s="27" t="s">
        <v>21</v>
      </c>
      <c r="BX68" s="27" t="s">
        <v>38</v>
      </c>
      <c r="BY68" s="27" t="s">
        <v>33</v>
      </c>
      <c r="BZ68" s="27" t="s">
        <v>33</v>
      </c>
      <c r="CA68" s="27" t="s">
        <v>37</v>
      </c>
      <c r="CB68" s="27" t="s">
        <v>37</v>
      </c>
      <c r="CC68" s="27" t="s">
        <v>38</v>
      </c>
      <c r="CD68" s="27" t="s">
        <v>28</v>
      </c>
      <c r="CE68" s="27" t="s">
        <v>33</v>
      </c>
      <c r="CF68" s="27" t="s">
        <v>22</v>
      </c>
    </row>
    <row r="69" spans="1:84" s="27" customFormat="1" x14ac:dyDescent="0.35">
      <c r="A69"/>
      <c r="B69" s="54" t="s">
        <v>165</v>
      </c>
      <c r="C69" s="40">
        <v>0.1331</v>
      </c>
      <c r="D69" s="40">
        <v>0.10819999999999999</v>
      </c>
      <c r="E69" s="40">
        <v>0.1258</v>
      </c>
      <c r="F69" s="40">
        <v>0.13109999999999999</v>
      </c>
      <c r="G69" s="40">
        <v>0.10869999999999999</v>
      </c>
      <c r="H69" s="40">
        <v>0.10979999999999999</v>
      </c>
      <c r="I69" s="40">
        <v>0.11679999999999999</v>
      </c>
      <c r="J69" s="40">
        <v>0.1201</v>
      </c>
      <c r="K69" s="40">
        <v>0.11649999999999999</v>
      </c>
      <c r="L69" s="40">
        <v>0.1163</v>
      </c>
      <c r="M69" s="40">
        <v>0.10869999999999999</v>
      </c>
      <c r="N69" s="40">
        <v>0.12639999999999998</v>
      </c>
      <c r="O69" s="40">
        <v>0.1013</v>
      </c>
      <c r="P69" s="40">
        <v>0.11499999999999999</v>
      </c>
      <c r="Q69" s="40">
        <v>0.1031</v>
      </c>
      <c r="R69" s="40">
        <v>0.124</v>
      </c>
      <c r="S69" s="40">
        <v>0.11649999999999999</v>
      </c>
      <c r="T69" s="40">
        <v>0.1221</v>
      </c>
      <c r="U69" s="40">
        <v>0.12659999999999999</v>
      </c>
      <c r="V69" s="40">
        <v>0.10219999999999999</v>
      </c>
      <c r="W69" s="40">
        <v>0.13550000000000001</v>
      </c>
      <c r="X69" s="40">
        <v>0.11059999999999999</v>
      </c>
      <c r="Y69" s="40">
        <v>0.1158</v>
      </c>
      <c r="Z69" s="40">
        <v>0.1356</v>
      </c>
      <c r="AA69" s="40">
        <v>0.10589999999999999</v>
      </c>
      <c r="AB69" s="40">
        <v>0.1308</v>
      </c>
      <c r="AC69" s="32"/>
      <c r="AD69" s="54" t="s">
        <v>165</v>
      </c>
      <c r="AE69" s="32">
        <v>0.11975560701761218</v>
      </c>
      <c r="AF69" s="32">
        <v>0.1071757684774127</v>
      </c>
      <c r="AG69" s="32">
        <v>0.12294505028269538</v>
      </c>
      <c r="AH69" s="32">
        <v>0.10860408084363</v>
      </c>
      <c r="AI69" s="32">
        <v>9.5732149157830293E-2</v>
      </c>
      <c r="AJ69" s="32">
        <v>0.11786673995966955</v>
      </c>
      <c r="AK69" s="32">
        <v>8.6669700180544457E-2</v>
      </c>
      <c r="AL69" s="32">
        <v>8.0808130752194271E-2</v>
      </c>
      <c r="AM69" s="32">
        <v>0.10111120042401814</v>
      </c>
      <c r="AN69" s="32">
        <v>0.15122080604683169</v>
      </c>
      <c r="AO69" s="32">
        <v>0.15908388003243112</v>
      </c>
      <c r="AP69" s="32">
        <v>0.11612476359468361</v>
      </c>
      <c r="AQ69" s="32">
        <v>0.13134683092328694</v>
      </c>
      <c r="AR69" s="32">
        <v>0.13918534804099367</v>
      </c>
      <c r="AS69" s="32">
        <v>0.10816662440674515</v>
      </c>
      <c r="AT69" s="32">
        <v>0.12346298710599589</v>
      </c>
      <c r="AU69" s="32">
        <v>9.7986809706218592E-2</v>
      </c>
      <c r="AV69" s="32">
        <v>8.391185486308185E-2</v>
      </c>
      <c r="AW69" s="32">
        <v>0.10646413394450599</v>
      </c>
      <c r="AX69" s="32">
        <v>9.0975021815395948E-2</v>
      </c>
      <c r="AY69" s="32">
        <v>0.12470572625529887</v>
      </c>
      <c r="AZ69" s="32">
        <v>0.13477188774678206</v>
      </c>
      <c r="BA69" s="32">
        <v>0.11410155134046389</v>
      </c>
      <c r="BB69" s="32">
        <v>0.1013152268441351</v>
      </c>
      <c r="BC69" s="32">
        <v>9.5093419061253764E-2</v>
      </c>
      <c r="BD69" s="32">
        <v>8.5703814652106483E-2</v>
      </c>
      <c r="BF69" s="54" t="s">
        <v>165</v>
      </c>
      <c r="BG69" s="27" t="s">
        <v>28</v>
      </c>
      <c r="BH69" s="27" t="s">
        <v>37</v>
      </c>
      <c r="BI69" s="27" t="s">
        <v>39</v>
      </c>
      <c r="BJ69" s="27" t="s">
        <v>38</v>
      </c>
      <c r="BK69" s="27" t="s">
        <v>21</v>
      </c>
      <c r="BL69" s="27" t="s">
        <v>37</v>
      </c>
      <c r="BM69" s="27" t="s">
        <v>39</v>
      </c>
      <c r="BN69" s="27" t="s">
        <v>33</v>
      </c>
      <c r="BO69" s="27" t="s">
        <v>38</v>
      </c>
      <c r="BP69" s="27" t="s">
        <v>22</v>
      </c>
      <c r="BQ69" s="27" t="s">
        <v>21</v>
      </c>
      <c r="BR69" s="27" t="s">
        <v>39</v>
      </c>
      <c r="BS69" s="27" t="s">
        <v>21</v>
      </c>
      <c r="BT69" s="27" t="s">
        <v>33</v>
      </c>
      <c r="BU69" s="27" t="s">
        <v>21</v>
      </c>
      <c r="BV69" s="27" t="s">
        <v>22</v>
      </c>
      <c r="BW69" s="27" t="s">
        <v>39</v>
      </c>
      <c r="BX69" s="27" t="s">
        <v>28</v>
      </c>
      <c r="BY69" s="27" t="s">
        <v>28</v>
      </c>
      <c r="BZ69" s="27" t="s">
        <v>22</v>
      </c>
      <c r="CA69" s="27" t="s">
        <v>21</v>
      </c>
      <c r="CB69" s="27" t="s">
        <v>39</v>
      </c>
      <c r="CC69" s="27" t="s">
        <v>22</v>
      </c>
      <c r="CD69" s="27" t="s">
        <v>33</v>
      </c>
      <c r="CE69" s="27" t="s">
        <v>37</v>
      </c>
      <c r="CF69" s="27" t="s">
        <v>22</v>
      </c>
    </row>
    <row r="70" spans="1:84" x14ac:dyDescent="0.35">
      <c r="B70" t="s">
        <v>110</v>
      </c>
      <c r="C70" s="12">
        <v>0.33090000000000003</v>
      </c>
      <c r="D70" s="12">
        <v>0.34600000000000003</v>
      </c>
      <c r="E70" s="12">
        <v>0.3251</v>
      </c>
      <c r="F70" s="12">
        <v>0.32670000000000005</v>
      </c>
      <c r="G70" s="12">
        <v>0.34520000000000001</v>
      </c>
      <c r="H70" s="12">
        <v>0.35520000000000002</v>
      </c>
      <c r="I70" s="12">
        <v>0.33310000000000001</v>
      </c>
      <c r="J70" s="12">
        <v>0.33169999999999999</v>
      </c>
      <c r="K70" s="12">
        <v>0.34350000000000003</v>
      </c>
      <c r="L70" s="12">
        <v>0.35040000000000004</v>
      </c>
      <c r="M70" s="12">
        <v>0.34010000000000001</v>
      </c>
      <c r="N70" s="12">
        <v>0.34960000000000002</v>
      </c>
      <c r="O70" s="12">
        <v>0.33310000000000001</v>
      </c>
      <c r="P70" s="12">
        <v>0.3296</v>
      </c>
      <c r="Q70" s="12">
        <v>0.32550000000000001</v>
      </c>
      <c r="R70" s="12">
        <v>0.32550000000000001</v>
      </c>
      <c r="S70" s="12">
        <v>0.33180000000000004</v>
      </c>
      <c r="T70" s="12">
        <v>0.32640000000000002</v>
      </c>
      <c r="U70" s="12">
        <v>0.3427</v>
      </c>
      <c r="V70" s="12">
        <v>0.34720000000000001</v>
      </c>
      <c r="W70" s="12">
        <v>0.34900000000000003</v>
      </c>
      <c r="X70" s="12">
        <v>0.35160000000000002</v>
      </c>
      <c r="Y70" s="12">
        <v>0.35350000000000004</v>
      </c>
      <c r="Z70" s="12">
        <v>0.35260000000000002</v>
      </c>
      <c r="AA70" s="12">
        <v>0.35270000000000001</v>
      </c>
      <c r="AB70" s="12">
        <v>0.32780000000000004</v>
      </c>
      <c r="AC70" s="20"/>
      <c r="AD70" t="s">
        <v>110</v>
      </c>
      <c r="AE70" s="20">
        <f>SUMPRODUCT(AE71:AE78,C71:C78)</f>
        <v>0.1035704967150831</v>
      </c>
      <c r="AF70" s="20">
        <f t="shared" ref="AF70:BD70" si="24">SUMPRODUCT(AF71:AF78,D71:D78)</f>
        <v>9.1223082590319887E-2</v>
      </c>
      <c r="AG70" s="20">
        <f t="shared" si="24"/>
        <v>0.1078923160240632</v>
      </c>
      <c r="AH70" s="20">
        <f t="shared" si="24"/>
        <v>9.1659321904853736E-2</v>
      </c>
      <c r="AI70" s="20">
        <f t="shared" si="24"/>
        <v>7.9060455154668238E-2</v>
      </c>
      <c r="AJ70" s="20">
        <f t="shared" si="24"/>
        <v>0.10039910840694798</v>
      </c>
      <c r="AK70" s="20">
        <f t="shared" si="24"/>
        <v>7.1136333693032905E-2</v>
      </c>
      <c r="AL70" s="20">
        <f t="shared" si="24"/>
        <v>6.4241903221475771E-2</v>
      </c>
      <c r="AM70" s="20">
        <f t="shared" si="24"/>
        <v>8.4217985351170116E-2</v>
      </c>
      <c r="AN70" s="20">
        <f t="shared" si="24"/>
        <v>0.13542839867940654</v>
      </c>
      <c r="AO70" s="20">
        <f t="shared" si="24"/>
        <v>0.14164358125769602</v>
      </c>
      <c r="AP70" s="20">
        <f t="shared" si="24"/>
        <v>9.9574071982891685E-2</v>
      </c>
      <c r="AQ70" s="20">
        <f t="shared" si="24"/>
        <v>0.11574148357286282</v>
      </c>
      <c r="AR70" s="20">
        <f t="shared" si="24"/>
        <v>0.12323117424526837</v>
      </c>
      <c r="AS70" s="20">
        <f t="shared" si="24"/>
        <v>9.1458274591061969E-2</v>
      </c>
      <c r="AT70" s="20">
        <f t="shared" si="24"/>
        <v>0.1063691187591036</v>
      </c>
      <c r="AU70" s="20">
        <f t="shared" si="24"/>
        <v>8.2194654141048235E-2</v>
      </c>
      <c r="AV70" s="20">
        <f t="shared" si="24"/>
        <v>6.7948255945545336E-2</v>
      </c>
      <c r="AW70" s="20">
        <f t="shared" si="24"/>
        <v>9.0206475092126759E-2</v>
      </c>
      <c r="AX70" s="20">
        <f t="shared" si="24"/>
        <v>7.5038237197399854E-2</v>
      </c>
      <c r="AY70" s="20">
        <f t="shared" si="24"/>
        <v>0.1075942108163498</v>
      </c>
      <c r="AZ70" s="20">
        <f t="shared" si="24"/>
        <v>0.11913220216191384</v>
      </c>
      <c r="BA70" s="20">
        <f t="shared" si="24"/>
        <v>9.8401184505466574E-2</v>
      </c>
      <c r="BB70" s="20">
        <f t="shared" si="24"/>
        <v>8.5826530787213418E-2</v>
      </c>
      <c r="BC70" s="20">
        <f t="shared" si="24"/>
        <v>7.9125173502541446E-2</v>
      </c>
      <c r="BD70" s="20">
        <f t="shared" si="24"/>
        <v>6.959017208416847E-2</v>
      </c>
      <c r="BF70" t="s">
        <v>110</v>
      </c>
      <c r="BG70" t="s">
        <v>39</v>
      </c>
      <c r="BH70" t="s">
        <v>28</v>
      </c>
      <c r="BI70" t="s">
        <v>38</v>
      </c>
      <c r="BJ70" t="s">
        <v>37</v>
      </c>
      <c r="BK70" t="s">
        <v>28</v>
      </c>
      <c r="BL70" t="s">
        <v>33</v>
      </c>
      <c r="BM70" t="s">
        <v>21</v>
      </c>
      <c r="BN70" t="s">
        <v>39</v>
      </c>
      <c r="BO70" t="s">
        <v>21</v>
      </c>
      <c r="BP70" t="s">
        <v>37</v>
      </c>
      <c r="BQ70" t="s">
        <v>21</v>
      </c>
      <c r="BR70" t="s">
        <v>21</v>
      </c>
      <c r="BS70" t="s">
        <v>39</v>
      </c>
      <c r="BT70" t="s">
        <v>22</v>
      </c>
      <c r="BU70" t="s">
        <v>33</v>
      </c>
      <c r="BV70" t="s">
        <v>21</v>
      </c>
      <c r="BW70" t="s">
        <v>33</v>
      </c>
      <c r="BX70" t="s">
        <v>22</v>
      </c>
      <c r="BY70" t="s">
        <v>39</v>
      </c>
      <c r="BZ70" t="s">
        <v>21</v>
      </c>
      <c r="CA70" t="s">
        <v>33</v>
      </c>
      <c r="CB70" t="s">
        <v>22</v>
      </c>
      <c r="CC70" t="s">
        <v>33</v>
      </c>
      <c r="CD70" t="s">
        <v>33</v>
      </c>
      <c r="CE70" t="s">
        <v>21</v>
      </c>
      <c r="CF70" t="s">
        <v>21</v>
      </c>
    </row>
    <row r="71" spans="1:84" s="27" customFormat="1" x14ac:dyDescent="0.35">
      <c r="A71"/>
      <c r="B71" s="54" t="s">
        <v>111</v>
      </c>
      <c r="C71" s="40">
        <f>1-SUM(C72:C78)</f>
        <v>0.27439999999999987</v>
      </c>
      <c r="D71" s="40">
        <f t="shared" ref="D71:AB71" si="25">1-SUM(D72:D78)</f>
        <v>0.26269999999999993</v>
      </c>
      <c r="E71" s="40">
        <f t="shared" si="25"/>
        <v>0.21069999999999989</v>
      </c>
      <c r="F71" s="40">
        <f t="shared" si="25"/>
        <v>0.26749999999999996</v>
      </c>
      <c r="G71" s="40">
        <f t="shared" si="25"/>
        <v>0.25159999999999993</v>
      </c>
      <c r="H71" s="40">
        <f t="shared" si="25"/>
        <v>0.29719999999999991</v>
      </c>
      <c r="I71" s="40">
        <f t="shared" si="25"/>
        <v>0.23429999999999995</v>
      </c>
      <c r="J71" s="40">
        <f t="shared" si="25"/>
        <v>0.27339999999999987</v>
      </c>
      <c r="K71" s="40">
        <f t="shared" si="25"/>
        <v>0.26409999999999978</v>
      </c>
      <c r="L71" s="40">
        <f t="shared" si="25"/>
        <v>0.26029999999999998</v>
      </c>
      <c r="M71" s="40">
        <f t="shared" si="25"/>
        <v>0.27070000000000005</v>
      </c>
      <c r="N71" s="40">
        <f t="shared" si="25"/>
        <v>0.30249999999999999</v>
      </c>
      <c r="O71" s="40">
        <f t="shared" si="25"/>
        <v>0.25139999999999985</v>
      </c>
      <c r="P71" s="40">
        <f t="shared" si="25"/>
        <v>0.2367999999999999</v>
      </c>
      <c r="Q71" s="40">
        <f t="shared" si="25"/>
        <v>0.29399999999999993</v>
      </c>
      <c r="R71" s="40">
        <f t="shared" si="25"/>
        <v>0.2762</v>
      </c>
      <c r="S71" s="40">
        <f t="shared" si="25"/>
        <v>0.25889999999999991</v>
      </c>
      <c r="T71" s="40">
        <f t="shared" si="25"/>
        <v>0.25819999999999999</v>
      </c>
      <c r="U71" s="40">
        <f t="shared" si="25"/>
        <v>0.25419999999999998</v>
      </c>
      <c r="V71" s="40">
        <f t="shared" si="25"/>
        <v>0.22629999999999995</v>
      </c>
      <c r="W71" s="40">
        <f t="shared" si="25"/>
        <v>0.27829999999999988</v>
      </c>
      <c r="X71" s="40">
        <f t="shared" si="25"/>
        <v>0.24570000000000003</v>
      </c>
      <c r="Y71" s="40">
        <f t="shared" si="25"/>
        <v>0.22899999999999987</v>
      </c>
      <c r="Z71" s="40">
        <f t="shared" si="25"/>
        <v>0.22529999999999983</v>
      </c>
      <c r="AA71" s="40">
        <f t="shared" si="25"/>
        <v>0.22639999999999993</v>
      </c>
      <c r="AB71" s="40">
        <f t="shared" si="25"/>
        <v>0.26409999999999989</v>
      </c>
      <c r="AD71" s="54" t="s">
        <v>111</v>
      </c>
      <c r="AE71" s="32">
        <v>8.6606007006599803E-2</v>
      </c>
      <c r="AF71" s="32">
        <v>7.4026168466400324E-2</v>
      </c>
      <c r="AG71" s="32">
        <v>8.9795450271683008E-2</v>
      </c>
      <c r="AH71" s="32">
        <v>7.5454480832617632E-2</v>
      </c>
      <c r="AI71" s="32">
        <v>6.258254914681792E-2</v>
      </c>
      <c r="AJ71" s="32">
        <v>8.4717139948657177E-2</v>
      </c>
      <c r="AK71" s="32">
        <v>5.3520100169532084E-2</v>
      </c>
      <c r="AL71" s="32">
        <v>4.7658530741181898E-2</v>
      </c>
      <c r="AM71" s="32">
        <v>6.7961600413005765E-2</v>
      </c>
      <c r="AN71" s="32">
        <v>0.1180712060358193</v>
      </c>
      <c r="AO71" s="32">
        <v>0.12593428002141877</v>
      </c>
      <c r="AP71" s="32">
        <v>8.2975163583671241E-2</v>
      </c>
      <c r="AQ71" s="32">
        <v>9.8197230912274572E-2</v>
      </c>
      <c r="AR71" s="32">
        <v>0.10603574802998129</v>
      </c>
      <c r="AS71" s="32">
        <v>7.5017024395732781E-2</v>
      </c>
      <c r="AT71" s="32">
        <v>9.0313387094983516E-2</v>
      </c>
      <c r="AU71" s="32">
        <v>6.4837209695206219E-2</v>
      </c>
      <c r="AV71" s="32">
        <v>5.0762254852069477E-2</v>
      </c>
      <c r="AW71" s="32">
        <v>7.3314533933493617E-2</v>
      </c>
      <c r="AX71" s="32">
        <v>5.7825421804383575E-2</v>
      </c>
      <c r="AY71" s="32">
        <v>9.1556126244286495E-2</v>
      </c>
      <c r="AZ71" s="32">
        <v>0.10162228773576969</v>
      </c>
      <c r="BA71" s="32">
        <v>8.0951951329451516E-2</v>
      </c>
      <c r="BB71" s="32">
        <v>6.8165626833122731E-2</v>
      </c>
      <c r="BC71" s="32">
        <v>6.1943819050241392E-2</v>
      </c>
      <c r="BD71" s="32">
        <v>5.255421464109411E-2</v>
      </c>
      <c r="BF71" s="54" t="s">
        <v>111</v>
      </c>
      <c r="BG71" s="27" t="s">
        <v>21</v>
      </c>
      <c r="BH71" s="27" t="s">
        <v>33</v>
      </c>
      <c r="BI71" s="27" t="s">
        <v>33</v>
      </c>
      <c r="BJ71" s="27" t="s">
        <v>21</v>
      </c>
      <c r="BK71" s="27" t="s">
        <v>38</v>
      </c>
      <c r="BL71" s="27" t="s">
        <v>28</v>
      </c>
      <c r="BM71" s="27" t="s">
        <v>21</v>
      </c>
      <c r="BN71" s="27" t="s">
        <v>21</v>
      </c>
      <c r="BO71" s="27" t="s">
        <v>28</v>
      </c>
      <c r="BP71" s="27" t="s">
        <v>37</v>
      </c>
      <c r="BQ71" s="27" t="s">
        <v>21</v>
      </c>
      <c r="BR71" s="27" t="s">
        <v>21</v>
      </c>
      <c r="BS71" s="27" t="s">
        <v>21</v>
      </c>
      <c r="BT71" s="27" t="s">
        <v>39</v>
      </c>
      <c r="BU71" s="27" t="s">
        <v>37</v>
      </c>
      <c r="BV71" s="27" t="s">
        <v>33</v>
      </c>
      <c r="BW71" s="27" t="s">
        <v>22</v>
      </c>
      <c r="BX71" s="27" t="s">
        <v>21</v>
      </c>
      <c r="BY71" s="27" t="s">
        <v>28</v>
      </c>
      <c r="BZ71" s="27" t="s">
        <v>28</v>
      </c>
      <c r="CA71" s="27" t="s">
        <v>38</v>
      </c>
      <c r="CB71" s="27" t="s">
        <v>28</v>
      </c>
      <c r="CC71" s="27" t="s">
        <v>33</v>
      </c>
      <c r="CD71" s="27" t="s">
        <v>21</v>
      </c>
      <c r="CE71" s="27" t="s">
        <v>21</v>
      </c>
      <c r="CF71" s="27" t="s">
        <v>37</v>
      </c>
    </row>
    <row r="72" spans="1:84" s="27" customFormat="1" x14ac:dyDescent="0.35">
      <c r="A72"/>
      <c r="B72" s="54" t="s">
        <v>112</v>
      </c>
      <c r="C72" s="40">
        <v>0.154</v>
      </c>
      <c r="D72" s="40">
        <v>0.16240000000000002</v>
      </c>
      <c r="E72" s="40">
        <v>0.14600000000000002</v>
      </c>
      <c r="F72" s="40">
        <v>0.1759</v>
      </c>
      <c r="G72" s="40">
        <v>0.16290000000000002</v>
      </c>
      <c r="H72" s="40">
        <v>0.15479999999999999</v>
      </c>
      <c r="I72" s="40">
        <v>0.15810000000000002</v>
      </c>
      <c r="J72" s="40">
        <v>0.17530000000000001</v>
      </c>
      <c r="K72" s="40">
        <v>0.1457</v>
      </c>
      <c r="L72" s="40">
        <v>0.17730000000000001</v>
      </c>
      <c r="M72" s="40">
        <v>0.1787</v>
      </c>
      <c r="N72" s="40">
        <v>0.1444</v>
      </c>
      <c r="O72" s="40">
        <v>0.16420000000000001</v>
      </c>
      <c r="P72" s="40">
        <v>0.17100000000000001</v>
      </c>
      <c r="Q72" s="40">
        <v>0.14749999999999999</v>
      </c>
      <c r="R72" s="40">
        <v>0.1482</v>
      </c>
      <c r="S72" s="40">
        <v>0.15579999999999999</v>
      </c>
      <c r="T72" s="40">
        <v>0.16739999999999999</v>
      </c>
      <c r="U72" s="40">
        <v>0.17550000000000002</v>
      </c>
      <c r="V72" s="40">
        <v>0.16539999999999999</v>
      </c>
      <c r="W72" s="40">
        <v>0.1636</v>
      </c>
      <c r="X72" s="40">
        <v>0.1787</v>
      </c>
      <c r="Y72" s="40">
        <v>0.1769</v>
      </c>
      <c r="Z72" s="40">
        <v>0.1469</v>
      </c>
      <c r="AA72" s="40">
        <v>0.15510000000000002</v>
      </c>
      <c r="AB72" s="40">
        <v>0.17680000000000001</v>
      </c>
      <c r="AD72" s="54" t="s">
        <v>112</v>
      </c>
      <c r="AE72" s="32">
        <v>0.10845821010275118</v>
      </c>
      <c r="AF72" s="32">
        <v>9.5878371562551704E-2</v>
      </c>
      <c r="AG72" s="32">
        <v>0.11164765336783439</v>
      </c>
      <c r="AH72" s="32">
        <v>9.7306683928769011E-2</v>
      </c>
      <c r="AI72" s="32">
        <v>8.4434752242969299E-2</v>
      </c>
      <c r="AJ72" s="32">
        <v>0.10656934304480856</v>
      </c>
      <c r="AK72" s="32">
        <v>7.5372303265683463E-2</v>
      </c>
      <c r="AL72" s="32">
        <v>6.9510733837333277E-2</v>
      </c>
      <c r="AM72" s="32">
        <v>8.9813803509157145E-2</v>
      </c>
      <c r="AN72" s="32">
        <v>0.13992340913197068</v>
      </c>
      <c r="AO72" s="32">
        <v>0.14778648311757014</v>
      </c>
      <c r="AP72" s="32">
        <v>0.10482736667982262</v>
      </c>
      <c r="AQ72" s="32">
        <v>0.12004943400842595</v>
      </c>
      <c r="AR72" s="32">
        <v>0.12788795112613266</v>
      </c>
      <c r="AS72" s="32">
        <v>9.6869227491884161E-2</v>
      </c>
      <c r="AT72" s="32">
        <v>0.1121655901911349</v>
      </c>
      <c r="AU72" s="32">
        <v>8.6689412791357598E-2</v>
      </c>
      <c r="AV72" s="32">
        <v>7.2614457948220856E-2</v>
      </c>
      <c r="AW72" s="32">
        <v>9.5166737029644996E-2</v>
      </c>
      <c r="AX72" s="32">
        <v>7.9677624900534955E-2</v>
      </c>
      <c r="AY72" s="32">
        <v>0.11340832934043787</v>
      </c>
      <c r="AZ72" s="32">
        <v>0.12347449083192107</v>
      </c>
      <c r="BA72" s="32">
        <v>0.10280415442560289</v>
      </c>
      <c r="BB72" s="32">
        <v>9.001782992927411E-2</v>
      </c>
      <c r="BC72" s="32">
        <v>8.3796022146392771E-2</v>
      </c>
      <c r="BD72" s="32">
        <v>7.4406417737245489E-2</v>
      </c>
      <c r="BF72" s="54" t="s">
        <v>112</v>
      </c>
      <c r="BG72" s="27" t="s">
        <v>28</v>
      </c>
      <c r="BH72" s="27" t="s">
        <v>21</v>
      </c>
      <c r="BI72" s="27" t="s">
        <v>28</v>
      </c>
      <c r="BJ72" s="27" t="s">
        <v>39</v>
      </c>
      <c r="BK72" s="27" t="s">
        <v>22</v>
      </c>
      <c r="BL72" s="27" t="s">
        <v>33</v>
      </c>
      <c r="BM72" s="27" t="s">
        <v>38</v>
      </c>
      <c r="BN72" s="27" t="s">
        <v>28</v>
      </c>
      <c r="BO72" s="27" t="s">
        <v>28</v>
      </c>
      <c r="BP72" s="27" t="s">
        <v>28</v>
      </c>
      <c r="BQ72" s="27" t="s">
        <v>33</v>
      </c>
      <c r="BR72" s="27" t="s">
        <v>33</v>
      </c>
      <c r="BS72" s="27" t="s">
        <v>22</v>
      </c>
      <c r="BT72" s="27" t="s">
        <v>33</v>
      </c>
      <c r="BU72" s="27" t="s">
        <v>21</v>
      </c>
      <c r="BV72" s="27" t="s">
        <v>21</v>
      </c>
      <c r="BW72" s="27" t="s">
        <v>22</v>
      </c>
      <c r="BX72" s="27" t="s">
        <v>37</v>
      </c>
      <c r="BY72" s="27" t="s">
        <v>33</v>
      </c>
      <c r="BZ72" s="27" t="s">
        <v>39</v>
      </c>
      <c r="CA72" s="27" t="s">
        <v>28</v>
      </c>
      <c r="CB72" s="27" t="s">
        <v>28</v>
      </c>
      <c r="CC72" s="27" t="s">
        <v>37</v>
      </c>
      <c r="CD72" s="27" t="s">
        <v>33</v>
      </c>
      <c r="CE72" s="27" t="s">
        <v>39</v>
      </c>
      <c r="CF72" s="27" t="s">
        <v>38</v>
      </c>
    </row>
    <row r="73" spans="1:84" s="27" customFormat="1" x14ac:dyDescent="0.35">
      <c r="A73"/>
      <c r="B73" s="54" t="s">
        <v>113</v>
      </c>
      <c r="C73" s="40">
        <v>8.8200000000000001E-2</v>
      </c>
      <c r="D73" s="40">
        <v>6.8899999999999989E-2</v>
      </c>
      <c r="E73" s="40">
        <v>8.6399999999999991E-2</v>
      </c>
      <c r="F73" s="40">
        <v>6.8099999999999994E-2</v>
      </c>
      <c r="G73" s="40">
        <v>8.0699999999999994E-2</v>
      </c>
      <c r="H73" s="40">
        <v>6.019999999999999E-2</v>
      </c>
      <c r="I73" s="40">
        <v>6.989999999999999E-2</v>
      </c>
      <c r="J73" s="40">
        <v>8.5199999999999998E-2</v>
      </c>
      <c r="K73" s="40">
        <v>8.4599999999999995E-2</v>
      </c>
      <c r="L73" s="40">
        <v>5.3799999999999994E-2</v>
      </c>
      <c r="M73" s="40">
        <v>5.9199999999999996E-2</v>
      </c>
      <c r="N73" s="40">
        <v>6.0299999999999992E-2</v>
      </c>
      <c r="O73" s="40">
        <v>5.5899999999999991E-2</v>
      </c>
      <c r="P73" s="40">
        <v>6.699999999999999E-2</v>
      </c>
      <c r="Q73" s="40">
        <v>7.7099999999999988E-2</v>
      </c>
      <c r="R73" s="40">
        <v>7.2099999999999997E-2</v>
      </c>
      <c r="S73" s="40">
        <v>7.9399999999999998E-2</v>
      </c>
      <c r="T73" s="40">
        <v>7.8799999999999995E-2</v>
      </c>
      <c r="U73" s="40">
        <v>7.6799999999999993E-2</v>
      </c>
      <c r="V73" s="40">
        <v>6.83E-2</v>
      </c>
      <c r="W73" s="40">
        <v>8.8200000000000001E-2</v>
      </c>
      <c r="X73" s="40">
        <v>5.6899999999999992E-2</v>
      </c>
      <c r="Y73" s="40">
        <v>7.6899999999999996E-2</v>
      </c>
      <c r="Z73" s="40">
        <v>8.1099999999999992E-2</v>
      </c>
      <c r="AA73" s="40">
        <v>8.6999999999999994E-2</v>
      </c>
      <c r="AB73" s="40">
        <v>5.5099999999999996E-2</v>
      </c>
      <c r="AD73" s="54" t="s">
        <v>113</v>
      </c>
      <c r="AE73" s="32">
        <v>0.10079792339212076</v>
      </c>
      <c r="AF73" s="32">
        <v>8.8218084851921286E-2</v>
      </c>
      <c r="AG73" s="32">
        <v>0.10398736665720397</v>
      </c>
      <c r="AH73" s="32">
        <v>8.9646397218138593E-2</v>
      </c>
      <c r="AI73" s="32">
        <v>7.6774465532338881E-2</v>
      </c>
      <c r="AJ73" s="32">
        <v>9.8909056334178139E-2</v>
      </c>
      <c r="AK73" s="32">
        <v>6.7712016555053045E-2</v>
      </c>
      <c r="AL73" s="32">
        <v>6.1850447126702859E-2</v>
      </c>
      <c r="AM73" s="32">
        <v>8.2153516798526727E-2</v>
      </c>
      <c r="AN73" s="32">
        <v>0.13226312242134025</v>
      </c>
      <c r="AO73" s="32">
        <v>0.14012619640693974</v>
      </c>
      <c r="AP73" s="32">
        <v>9.7167079969192202E-2</v>
      </c>
      <c r="AQ73" s="32">
        <v>0.11238914729779553</v>
      </c>
      <c r="AR73" s="32">
        <v>0.12022766441550226</v>
      </c>
      <c r="AS73" s="32">
        <v>8.9208940781253743E-2</v>
      </c>
      <c r="AT73" s="32">
        <v>0.10450530348050448</v>
      </c>
      <c r="AU73" s="32">
        <v>7.902912608072718E-2</v>
      </c>
      <c r="AV73" s="32">
        <v>6.4954171237590438E-2</v>
      </c>
      <c r="AW73" s="32">
        <v>8.7506450319014578E-2</v>
      </c>
      <c r="AX73" s="32">
        <v>7.2017338189904537E-2</v>
      </c>
      <c r="AY73" s="32">
        <v>0.10574804262980746</v>
      </c>
      <c r="AZ73" s="32">
        <v>0.11581420412129065</v>
      </c>
      <c r="BA73" s="32">
        <v>9.5143867714972477E-2</v>
      </c>
      <c r="BB73" s="32">
        <v>8.2357543218643692E-2</v>
      </c>
      <c r="BC73" s="32">
        <v>7.6135735435762353E-2</v>
      </c>
      <c r="BD73" s="32">
        <v>6.6746131026615071E-2</v>
      </c>
      <c r="BF73" s="54" t="s">
        <v>113</v>
      </c>
      <c r="BG73" s="27" t="s">
        <v>21</v>
      </c>
      <c r="BH73" s="27" t="s">
        <v>33</v>
      </c>
      <c r="BI73" s="27" t="s">
        <v>38</v>
      </c>
      <c r="BJ73" s="27" t="s">
        <v>22</v>
      </c>
      <c r="BK73" s="27" t="s">
        <v>37</v>
      </c>
      <c r="BL73" s="27" t="s">
        <v>21</v>
      </c>
      <c r="BM73" s="27" t="s">
        <v>39</v>
      </c>
      <c r="BN73" s="27" t="s">
        <v>38</v>
      </c>
      <c r="BO73" s="27" t="s">
        <v>38</v>
      </c>
      <c r="BP73" s="27" t="s">
        <v>21</v>
      </c>
      <c r="BQ73" s="27" t="s">
        <v>22</v>
      </c>
      <c r="BR73" s="27" t="s">
        <v>39</v>
      </c>
      <c r="BS73" s="27" t="s">
        <v>28</v>
      </c>
      <c r="BT73" s="27" t="s">
        <v>33</v>
      </c>
      <c r="BU73" s="27" t="s">
        <v>38</v>
      </c>
      <c r="BV73" s="27" t="s">
        <v>28</v>
      </c>
      <c r="BW73" s="27" t="s">
        <v>28</v>
      </c>
      <c r="BX73" s="27" t="s">
        <v>21</v>
      </c>
      <c r="BY73" s="27" t="s">
        <v>22</v>
      </c>
      <c r="BZ73" s="27" t="s">
        <v>37</v>
      </c>
      <c r="CA73" s="27" t="s">
        <v>21</v>
      </c>
      <c r="CB73" s="27" t="s">
        <v>38</v>
      </c>
      <c r="CC73" s="27" t="s">
        <v>33</v>
      </c>
      <c r="CD73" s="27" t="s">
        <v>22</v>
      </c>
      <c r="CE73" s="27" t="s">
        <v>37</v>
      </c>
      <c r="CF73" s="27" t="s">
        <v>22</v>
      </c>
    </row>
    <row r="74" spans="1:84" s="27" customFormat="1" x14ac:dyDescent="0.35">
      <c r="A74"/>
      <c r="B74" s="54" t="s">
        <v>114</v>
      </c>
      <c r="C74" s="40">
        <v>9.0999999999999998E-2</v>
      </c>
      <c r="D74" s="40">
        <v>9.9599999999999994E-2</v>
      </c>
      <c r="E74" s="40">
        <v>0.1094</v>
      </c>
      <c r="F74" s="40">
        <v>9.11E-2</v>
      </c>
      <c r="G74" s="40">
        <v>8.4000000000000005E-2</v>
      </c>
      <c r="H74" s="40">
        <v>8.0799999999999997E-2</v>
      </c>
      <c r="I74" s="40">
        <v>0.1021</v>
      </c>
      <c r="J74" s="40">
        <v>8.0500000000000002E-2</v>
      </c>
      <c r="K74" s="40">
        <v>7.9699999999999993E-2</v>
      </c>
      <c r="L74" s="40">
        <v>0.1111</v>
      </c>
      <c r="M74" s="40">
        <v>9.0300000000000005E-2</v>
      </c>
      <c r="N74" s="40">
        <v>8.7800000000000003E-2</v>
      </c>
      <c r="O74" s="40">
        <v>0.10100000000000001</v>
      </c>
      <c r="P74" s="40">
        <v>0.111</v>
      </c>
      <c r="Q74" s="40">
        <v>8.1600000000000006E-2</v>
      </c>
      <c r="R74" s="40">
        <v>7.9199999999999993E-2</v>
      </c>
      <c r="S74" s="40">
        <v>9.4100000000000003E-2</v>
      </c>
      <c r="T74" s="40">
        <v>0.1021</v>
      </c>
      <c r="U74" s="40">
        <v>9.2499999999999999E-2</v>
      </c>
      <c r="V74" s="40">
        <v>9.4500000000000001E-2</v>
      </c>
      <c r="W74" s="40">
        <v>9.8900000000000002E-2</v>
      </c>
      <c r="X74" s="40">
        <v>0.10249999999999999</v>
      </c>
      <c r="Y74" s="40">
        <v>0.1002</v>
      </c>
      <c r="Z74" s="40">
        <v>9.8799999999999999E-2</v>
      </c>
      <c r="AA74" s="40">
        <v>9.7199999999999995E-2</v>
      </c>
      <c r="AB74" s="40">
        <v>7.6499999999999999E-2</v>
      </c>
      <c r="AD74" s="54" t="s">
        <v>114</v>
      </c>
      <c r="AE74" s="32">
        <v>0.11576927206877223</v>
      </c>
      <c r="AF74" s="32">
        <v>0.10318943352857275</v>
      </c>
      <c r="AG74" s="32">
        <v>0.11895871533385544</v>
      </c>
      <c r="AH74" s="32">
        <v>0.10461774589479006</v>
      </c>
      <c r="AI74" s="32">
        <v>9.1745814208990348E-2</v>
      </c>
      <c r="AJ74" s="32">
        <v>0.11388040501082961</v>
      </c>
      <c r="AK74" s="32">
        <v>8.2683365231704511E-2</v>
      </c>
      <c r="AL74" s="32">
        <v>7.6821795803354326E-2</v>
      </c>
      <c r="AM74" s="32">
        <v>9.7124865475178193E-2</v>
      </c>
      <c r="AN74" s="32">
        <v>0.14723447109799173</v>
      </c>
      <c r="AO74" s="32">
        <v>0.15509754508359119</v>
      </c>
      <c r="AP74" s="32">
        <v>0.11213842864584367</v>
      </c>
      <c r="AQ74" s="32">
        <v>0.12736049597444699</v>
      </c>
      <c r="AR74" s="32">
        <v>0.13519901309215371</v>
      </c>
      <c r="AS74" s="32">
        <v>0.10418028945790521</v>
      </c>
      <c r="AT74" s="32">
        <v>0.11947665215715594</v>
      </c>
      <c r="AU74" s="32">
        <v>9.4000474757378646E-2</v>
      </c>
      <c r="AV74" s="32">
        <v>7.9925519914241905E-2</v>
      </c>
      <c r="AW74" s="32">
        <v>0.10247779899566604</v>
      </c>
      <c r="AX74" s="32">
        <v>8.6988686866556003E-2</v>
      </c>
      <c r="AY74" s="32">
        <v>0.12071939130645892</v>
      </c>
      <c r="AZ74" s="32">
        <v>0.13078555279794213</v>
      </c>
      <c r="BA74" s="32">
        <v>0.11011521639162394</v>
      </c>
      <c r="BB74" s="32">
        <v>9.7328891895295158E-2</v>
      </c>
      <c r="BC74" s="32">
        <v>9.1107084112413819E-2</v>
      </c>
      <c r="BD74" s="32">
        <v>8.1717479703266538E-2</v>
      </c>
      <c r="BF74" s="54" t="s">
        <v>114</v>
      </c>
      <c r="BG74" s="27" t="s">
        <v>37</v>
      </c>
      <c r="BH74" s="27" t="s">
        <v>21</v>
      </c>
      <c r="BI74" s="27" t="s">
        <v>28</v>
      </c>
      <c r="BJ74" s="27" t="s">
        <v>28</v>
      </c>
      <c r="BK74" s="27" t="s">
        <v>37</v>
      </c>
      <c r="BL74" s="27" t="s">
        <v>38</v>
      </c>
      <c r="BM74" s="27" t="s">
        <v>39</v>
      </c>
      <c r="BN74" s="27" t="s">
        <v>37</v>
      </c>
      <c r="BO74" s="27" t="s">
        <v>33</v>
      </c>
      <c r="BP74" s="27" t="s">
        <v>39</v>
      </c>
      <c r="BQ74" s="27" t="s">
        <v>21</v>
      </c>
      <c r="BR74" s="27" t="s">
        <v>33</v>
      </c>
      <c r="BS74" s="27" t="s">
        <v>38</v>
      </c>
      <c r="BT74" s="27" t="s">
        <v>21</v>
      </c>
      <c r="BU74" s="27" t="s">
        <v>37</v>
      </c>
      <c r="BV74" s="27" t="s">
        <v>38</v>
      </c>
      <c r="BW74" s="27" t="s">
        <v>21</v>
      </c>
      <c r="BX74" s="27" t="s">
        <v>21</v>
      </c>
      <c r="BY74" s="27" t="s">
        <v>22</v>
      </c>
      <c r="BZ74" s="27" t="s">
        <v>28</v>
      </c>
      <c r="CA74" s="27" t="s">
        <v>22</v>
      </c>
      <c r="CB74" s="27" t="s">
        <v>22</v>
      </c>
      <c r="CC74" s="27" t="s">
        <v>33</v>
      </c>
      <c r="CD74" s="27" t="s">
        <v>28</v>
      </c>
      <c r="CE74" s="27" t="s">
        <v>33</v>
      </c>
      <c r="CF74" s="27" t="s">
        <v>21</v>
      </c>
    </row>
    <row r="75" spans="1:84" s="27" customFormat="1" x14ac:dyDescent="0.35">
      <c r="A75"/>
      <c r="B75" s="54" t="s">
        <v>115</v>
      </c>
      <c r="C75" s="40">
        <v>0.11210000000000001</v>
      </c>
      <c r="D75" s="40">
        <v>0.10680000000000001</v>
      </c>
      <c r="E75" s="40">
        <v>0.1239</v>
      </c>
      <c r="F75" s="40">
        <v>0.10830000000000001</v>
      </c>
      <c r="G75" s="40">
        <v>0.1069</v>
      </c>
      <c r="H75" s="40">
        <v>0.1188</v>
      </c>
      <c r="I75" s="40">
        <v>0.1236</v>
      </c>
      <c r="J75" s="40">
        <v>0.1138</v>
      </c>
      <c r="K75" s="40">
        <v>0.10920000000000001</v>
      </c>
      <c r="L75" s="40">
        <v>0.10290000000000001</v>
      </c>
      <c r="M75" s="40">
        <v>0.10009999999999999</v>
      </c>
      <c r="N75" s="40">
        <v>0.124</v>
      </c>
      <c r="O75" s="40">
        <v>0.1246</v>
      </c>
      <c r="P75" s="40">
        <v>0.10880000000000001</v>
      </c>
      <c r="Q75" s="40">
        <v>0.12190000000000001</v>
      </c>
      <c r="R75" s="40">
        <v>0.10639999999999999</v>
      </c>
      <c r="S75" s="40">
        <v>0.11410000000000001</v>
      </c>
      <c r="T75" s="40">
        <v>0.11510000000000001</v>
      </c>
      <c r="U75" s="40">
        <v>0.1042</v>
      </c>
      <c r="V75" s="40">
        <v>0.11</v>
      </c>
      <c r="W75" s="40">
        <v>9.4100000000000003E-2</v>
      </c>
      <c r="X75" s="40">
        <v>0.1169</v>
      </c>
      <c r="Y75" s="40">
        <v>0.10100000000000001</v>
      </c>
      <c r="Z75" s="40">
        <v>0.1201</v>
      </c>
      <c r="AA75" s="40">
        <v>0.11550000000000001</v>
      </c>
      <c r="AB75" s="40">
        <v>0.12240000000000001</v>
      </c>
      <c r="AD75" s="54" t="s">
        <v>115</v>
      </c>
      <c r="AE75" s="32">
        <v>0.13193088759843524</v>
      </c>
      <c r="AF75" s="32">
        <v>0.11935104905823578</v>
      </c>
      <c r="AG75" s="32">
        <v>0.13512033086351846</v>
      </c>
      <c r="AH75" s="32">
        <v>0.12077936142445309</v>
      </c>
      <c r="AI75" s="32">
        <v>0.10790742973865337</v>
      </c>
      <c r="AJ75" s="32">
        <v>0.13004202054049263</v>
      </c>
      <c r="AK75" s="32">
        <v>9.8844980761367537E-2</v>
      </c>
      <c r="AL75" s="32">
        <v>9.2983411333017352E-2</v>
      </c>
      <c r="AM75" s="32">
        <v>0.11328648100484122</v>
      </c>
      <c r="AN75" s="32">
        <v>0.16339608662765476</v>
      </c>
      <c r="AO75" s="32">
        <v>0.17125916061325422</v>
      </c>
      <c r="AP75" s="32">
        <v>0.12830004417550669</v>
      </c>
      <c r="AQ75" s="32">
        <v>0.14352211150411004</v>
      </c>
      <c r="AR75" s="32">
        <v>0.15136062862181676</v>
      </c>
      <c r="AS75" s="32">
        <v>0.12034190498756824</v>
      </c>
      <c r="AT75" s="32">
        <v>0.13563826768681897</v>
      </c>
      <c r="AU75" s="32">
        <v>0.11016209028704167</v>
      </c>
      <c r="AV75" s="32">
        <v>9.6087135443904931E-2</v>
      </c>
      <c r="AW75" s="32">
        <v>0.11863941452532907</v>
      </c>
      <c r="AX75" s="32">
        <v>0.10315030239621903</v>
      </c>
      <c r="AY75" s="32">
        <v>0.13688100683612195</v>
      </c>
      <c r="AZ75" s="32">
        <v>0.14694716832760513</v>
      </c>
      <c r="BA75" s="32">
        <v>0.12627683192128697</v>
      </c>
      <c r="BB75" s="32">
        <v>0.11349050742495818</v>
      </c>
      <c r="BC75" s="32">
        <v>0.10726869964207685</v>
      </c>
      <c r="BD75" s="32">
        <v>9.7879095232929564E-2</v>
      </c>
      <c r="BF75" s="54" t="s">
        <v>115</v>
      </c>
      <c r="BG75" s="27" t="s">
        <v>21</v>
      </c>
      <c r="BH75" s="27" t="s">
        <v>37</v>
      </c>
      <c r="BI75" s="27" t="s">
        <v>21</v>
      </c>
      <c r="BJ75" s="27" t="s">
        <v>22</v>
      </c>
      <c r="BK75" s="27" t="s">
        <v>33</v>
      </c>
      <c r="BL75" s="27" t="s">
        <v>21</v>
      </c>
      <c r="BM75" s="27" t="s">
        <v>22</v>
      </c>
      <c r="BN75" s="27" t="s">
        <v>28</v>
      </c>
      <c r="BO75" s="27" t="s">
        <v>22</v>
      </c>
      <c r="BP75" s="27" t="s">
        <v>33</v>
      </c>
      <c r="BQ75" s="27" t="s">
        <v>22</v>
      </c>
      <c r="BR75" s="27" t="s">
        <v>22</v>
      </c>
      <c r="BS75" s="27" t="s">
        <v>28</v>
      </c>
      <c r="BT75" s="27" t="s">
        <v>38</v>
      </c>
      <c r="BU75" s="27" t="s">
        <v>22</v>
      </c>
      <c r="BV75" s="27" t="s">
        <v>39</v>
      </c>
      <c r="BW75" s="27" t="s">
        <v>21</v>
      </c>
      <c r="BX75" s="27" t="s">
        <v>22</v>
      </c>
      <c r="BY75" s="27" t="s">
        <v>21</v>
      </c>
      <c r="BZ75" s="27" t="s">
        <v>28</v>
      </c>
      <c r="CA75" s="27" t="s">
        <v>28</v>
      </c>
      <c r="CB75" s="27" t="s">
        <v>28</v>
      </c>
      <c r="CC75" s="27" t="s">
        <v>33</v>
      </c>
      <c r="CD75" s="27" t="s">
        <v>38</v>
      </c>
      <c r="CE75" s="27" t="s">
        <v>22</v>
      </c>
      <c r="CF75" s="27" t="s">
        <v>38</v>
      </c>
    </row>
    <row r="76" spans="1:84" s="27" customFormat="1" x14ac:dyDescent="0.35">
      <c r="A76"/>
      <c r="B76" s="54" t="s">
        <v>116</v>
      </c>
      <c r="C76" s="40">
        <v>9.1399999999999995E-2</v>
      </c>
      <c r="D76" s="40">
        <v>9.7199999999999995E-2</v>
      </c>
      <c r="E76" s="40">
        <v>0.11259999999999999</v>
      </c>
      <c r="F76" s="40">
        <v>0.1027</v>
      </c>
      <c r="G76" s="40">
        <v>0.1172</v>
      </c>
      <c r="H76" s="40">
        <v>0.1066</v>
      </c>
      <c r="I76" s="40">
        <v>0.1013</v>
      </c>
      <c r="J76" s="40">
        <v>9.5500000000000002E-2</v>
      </c>
      <c r="K76" s="40">
        <v>0.1216</v>
      </c>
      <c r="L76" s="40">
        <v>8.7499999999999994E-2</v>
      </c>
      <c r="M76" s="40">
        <v>0.12139999999999999</v>
      </c>
      <c r="N76" s="40">
        <v>9.9999999999999992E-2</v>
      </c>
      <c r="O76" s="40">
        <v>0.1149</v>
      </c>
      <c r="P76" s="40">
        <v>0.10679999999999999</v>
      </c>
      <c r="Q76" s="40">
        <v>0.09</v>
      </c>
      <c r="R76" s="40">
        <v>0.11299999999999999</v>
      </c>
      <c r="S76" s="40">
        <v>9.69E-2</v>
      </c>
      <c r="T76" s="40">
        <v>9.0299999999999991E-2</v>
      </c>
      <c r="U76" s="40">
        <v>9.8899999999999988E-2</v>
      </c>
      <c r="V76" s="40">
        <v>0.1159</v>
      </c>
      <c r="W76" s="40">
        <v>9.4399999999999998E-2</v>
      </c>
      <c r="X76" s="40">
        <v>0.11299999999999999</v>
      </c>
      <c r="Y76" s="40">
        <v>9.5599999999999991E-2</v>
      </c>
      <c r="Z76" s="40">
        <v>0.1074</v>
      </c>
      <c r="AA76" s="40">
        <v>0.11989999999999999</v>
      </c>
      <c r="AB76" s="40">
        <v>0.1176</v>
      </c>
      <c r="AD76" s="54" t="s">
        <v>116</v>
      </c>
      <c r="AE76" s="32">
        <v>7.9067489057176379E-2</v>
      </c>
      <c r="AF76" s="32">
        <v>6.6487650516976901E-2</v>
      </c>
      <c r="AG76" s="32">
        <v>8.2256932322259585E-2</v>
      </c>
      <c r="AH76" s="32">
        <v>6.7915962883194209E-2</v>
      </c>
      <c r="AI76" s="32">
        <v>5.5044031197394497E-2</v>
      </c>
      <c r="AJ76" s="32">
        <v>7.7178621999233754E-2</v>
      </c>
      <c r="AK76" s="32">
        <v>4.598158222010866E-2</v>
      </c>
      <c r="AL76" s="32">
        <v>4.0120012791758475E-2</v>
      </c>
      <c r="AM76" s="32">
        <v>6.0423082463582342E-2</v>
      </c>
      <c r="AN76" s="32">
        <v>0.11053268808639588</v>
      </c>
      <c r="AO76" s="32">
        <v>0.11839576207199534</v>
      </c>
      <c r="AP76" s="32">
        <v>7.5436645634247818E-2</v>
      </c>
      <c r="AQ76" s="32">
        <v>9.0658712962851148E-2</v>
      </c>
      <c r="AR76" s="32">
        <v>9.8497230080557871E-2</v>
      </c>
      <c r="AS76" s="32">
        <v>6.7478506446309358E-2</v>
      </c>
      <c r="AT76" s="32">
        <v>8.2774869145560093E-2</v>
      </c>
      <c r="AU76" s="32">
        <v>5.7298691745782795E-2</v>
      </c>
      <c r="AV76" s="32">
        <v>4.3223736902646054E-2</v>
      </c>
      <c r="AW76" s="32">
        <v>6.5776015984070194E-2</v>
      </c>
      <c r="AX76" s="32">
        <v>5.0286903854960152E-2</v>
      </c>
      <c r="AY76" s="32">
        <v>8.4017608294863072E-2</v>
      </c>
      <c r="AZ76" s="32">
        <v>9.4083769786346264E-2</v>
      </c>
      <c r="BA76" s="32">
        <v>7.3413433380028092E-2</v>
      </c>
      <c r="BB76" s="32">
        <v>6.0627108883699307E-2</v>
      </c>
      <c r="BC76" s="32">
        <v>5.4405301100817968E-2</v>
      </c>
      <c r="BD76" s="32">
        <v>4.5015696691670687E-2</v>
      </c>
      <c r="BF76" s="54" t="s">
        <v>116</v>
      </c>
      <c r="BG76" s="27" t="s">
        <v>22</v>
      </c>
      <c r="BH76" s="27" t="s">
        <v>39</v>
      </c>
      <c r="BI76" s="27" t="s">
        <v>21</v>
      </c>
      <c r="BJ76" s="27" t="s">
        <v>39</v>
      </c>
      <c r="BK76" s="27" t="s">
        <v>22</v>
      </c>
      <c r="BL76" s="27" t="s">
        <v>33</v>
      </c>
      <c r="BM76" s="27" t="s">
        <v>22</v>
      </c>
      <c r="BN76" s="27" t="s">
        <v>39</v>
      </c>
      <c r="BO76" s="27" t="s">
        <v>39</v>
      </c>
      <c r="BP76" s="27" t="s">
        <v>21</v>
      </c>
      <c r="BQ76" s="27" t="s">
        <v>22</v>
      </c>
      <c r="BR76" s="27" t="s">
        <v>38</v>
      </c>
      <c r="BS76" s="27" t="s">
        <v>39</v>
      </c>
      <c r="BT76" s="27" t="s">
        <v>38</v>
      </c>
      <c r="BU76" s="27" t="s">
        <v>38</v>
      </c>
      <c r="BV76" s="27" t="s">
        <v>37</v>
      </c>
      <c r="BW76" s="27" t="s">
        <v>37</v>
      </c>
      <c r="BX76" s="27" t="s">
        <v>38</v>
      </c>
      <c r="BY76" s="27" t="s">
        <v>28</v>
      </c>
      <c r="BZ76" s="27" t="s">
        <v>28</v>
      </c>
      <c r="CA76" s="27" t="s">
        <v>39</v>
      </c>
      <c r="CB76" s="27" t="s">
        <v>21</v>
      </c>
      <c r="CC76" s="27" t="s">
        <v>22</v>
      </c>
      <c r="CD76" s="27" t="s">
        <v>39</v>
      </c>
      <c r="CE76" s="27" t="s">
        <v>38</v>
      </c>
      <c r="CF76" s="27" t="s">
        <v>38</v>
      </c>
    </row>
    <row r="77" spans="1:84" s="27" customFormat="1" x14ac:dyDescent="0.35">
      <c r="A77"/>
      <c r="B77" s="54" t="s">
        <v>117</v>
      </c>
      <c r="C77" s="40">
        <v>0.13389999999999999</v>
      </c>
      <c r="D77" s="40">
        <v>0.14269999999999999</v>
      </c>
      <c r="E77" s="40">
        <v>0.1429</v>
      </c>
      <c r="F77" s="40">
        <v>0.1111</v>
      </c>
      <c r="G77" s="40">
        <v>0.1341</v>
      </c>
      <c r="H77" s="40">
        <v>0.109</v>
      </c>
      <c r="I77" s="40">
        <v>0.13059999999999999</v>
      </c>
      <c r="J77" s="40">
        <v>0.1186</v>
      </c>
      <c r="K77" s="40">
        <v>0.1396</v>
      </c>
      <c r="L77" s="40">
        <v>0.13550000000000001</v>
      </c>
      <c r="M77" s="40">
        <v>0.1162</v>
      </c>
      <c r="N77" s="40">
        <v>0.13100000000000001</v>
      </c>
      <c r="O77" s="40">
        <v>0.1386</v>
      </c>
      <c r="P77" s="40">
        <v>0.12640000000000001</v>
      </c>
      <c r="Q77" s="40">
        <v>0.1206</v>
      </c>
      <c r="R77" s="40">
        <v>0.13730000000000001</v>
      </c>
      <c r="S77" s="40">
        <v>0.14250000000000002</v>
      </c>
      <c r="T77" s="40">
        <v>0.1205</v>
      </c>
      <c r="U77" s="40">
        <v>0.13150000000000001</v>
      </c>
      <c r="V77" s="40">
        <v>0.14219999999999999</v>
      </c>
      <c r="W77" s="40">
        <v>0.1177</v>
      </c>
      <c r="X77" s="40">
        <v>0.13650000000000001</v>
      </c>
      <c r="Y77" s="40">
        <v>0.1404</v>
      </c>
      <c r="Z77" s="40">
        <v>0.14280000000000001</v>
      </c>
      <c r="AA77" s="40">
        <v>0.1346</v>
      </c>
      <c r="AB77" s="40">
        <v>0.14080000000000001</v>
      </c>
      <c r="AD77" s="54" t="s">
        <v>117</v>
      </c>
      <c r="AE77" s="32">
        <v>0.12337197714933526</v>
      </c>
      <c r="AF77" s="32">
        <v>0.11079213860913578</v>
      </c>
      <c r="AG77" s="32">
        <v>0.12656142041441848</v>
      </c>
      <c r="AH77" s="32">
        <v>0.11222045097535309</v>
      </c>
      <c r="AI77" s="32">
        <v>9.9348519289553378E-2</v>
      </c>
      <c r="AJ77" s="32">
        <v>0.12148311009139263</v>
      </c>
      <c r="AK77" s="32">
        <v>9.0286070312267541E-2</v>
      </c>
      <c r="AL77" s="32">
        <v>8.4424500883917356E-2</v>
      </c>
      <c r="AM77" s="32">
        <v>0.10472757055574122</v>
      </c>
      <c r="AN77" s="32">
        <v>0.15483717617855475</v>
      </c>
      <c r="AO77" s="32">
        <v>0.16270025016415424</v>
      </c>
      <c r="AP77" s="32">
        <v>0.1197411337264067</v>
      </c>
      <c r="AQ77" s="32">
        <v>0.13496320105501003</v>
      </c>
      <c r="AR77" s="32">
        <v>0.14280171817271675</v>
      </c>
      <c r="AS77" s="32">
        <v>0.11178299453846824</v>
      </c>
      <c r="AT77" s="32">
        <v>0.12707935723771896</v>
      </c>
      <c r="AU77" s="32">
        <v>0.10160317983794168</v>
      </c>
      <c r="AV77" s="32">
        <v>8.7528224994804935E-2</v>
      </c>
      <c r="AW77" s="32">
        <v>0.11008050407622907</v>
      </c>
      <c r="AX77" s="32">
        <v>9.4591391947119033E-2</v>
      </c>
      <c r="AY77" s="32">
        <v>0.12832209638702197</v>
      </c>
      <c r="AZ77" s="32">
        <v>0.13838825787850514</v>
      </c>
      <c r="BA77" s="32">
        <v>0.11771792147218697</v>
      </c>
      <c r="BB77" s="32">
        <v>0.10493159697585819</v>
      </c>
      <c r="BC77" s="32">
        <v>9.8709789192976849E-2</v>
      </c>
      <c r="BD77" s="32">
        <v>8.9320184783829568E-2</v>
      </c>
      <c r="BF77" s="54" t="s">
        <v>117</v>
      </c>
      <c r="BG77" s="27" t="s">
        <v>28</v>
      </c>
      <c r="BH77" s="27" t="s">
        <v>22</v>
      </c>
      <c r="BI77" s="27" t="s">
        <v>33</v>
      </c>
      <c r="BJ77" s="27" t="s">
        <v>21</v>
      </c>
      <c r="BK77" s="27" t="s">
        <v>38</v>
      </c>
      <c r="BL77" s="27" t="s">
        <v>21</v>
      </c>
      <c r="BM77" s="27" t="s">
        <v>28</v>
      </c>
      <c r="BN77" s="27" t="s">
        <v>37</v>
      </c>
      <c r="BO77" s="27" t="s">
        <v>38</v>
      </c>
      <c r="BP77" s="27" t="s">
        <v>28</v>
      </c>
      <c r="BQ77" s="27" t="s">
        <v>21</v>
      </c>
      <c r="BR77" s="27" t="s">
        <v>37</v>
      </c>
      <c r="BS77" s="27" t="s">
        <v>39</v>
      </c>
      <c r="BT77" s="27" t="s">
        <v>38</v>
      </c>
      <c r="BU77" s="27" t="s">
        <v>37</v>
      </c>
      <c r="BV77" s="27" t="s">
        <v>28</v>
      </c>
      <c r="BW77" s="27" t="s">
        <v>28</v>
      </c>
      <c r="BX77" s="27" t="s">
        <v>39</v>
      </c>
      <c r="BY77" s="27" t="s">
        <v>21</v>
      </c>
      <c r="BZ77" s="27" t="s">
        <v>37</v>
      </c>
      <c r="CA77" s="27" t="s">
        <v>37</v>
      </c>
      <c r="CB77" s="27" t="s">
        <v>33</v>
      </c>
      <c r="CC77" s="27" t="s">
        <v>21</v>
      </c>
      <c r="CD77" s="27" t="s">
        <v>33</v>
      </c>
      <c r="CE77" s="27" t="s">
        <v>22</v>
      </c>
      <c r="CF77" s="27" t="s">
        <v>33</v>
      </c>
    </row>
    <row r="78" spans="1:84" s="27" customFormat="1" x14ac:dyDescent="0.35">
      <c r="A78"/>
      <c r="B78" s="54" t="s">
        <v>118</v>
      </c>
      <c r="C78" s="40">
        <v>5.5000000000000056E-2</v>
      </c>
      <c r="D78" s="40">
        <v>5.9700000000000059E-2</v>
      </c>
      <c r="E78" s="40">
        <v>6.8100000000000049E-2</v>
      </c>
      <c r="F78" s="40">
        <v>7.5300000000000061E-2</v>
      </c>
      <c r="G78" s="40">
        <v>6.2600000000000058E-2</v>
      </c>
      <c r="H78" s="40">
        <v>7.2600000000000053E-2</v>
      </c>
      <c r="I78" s="40">
        <v>8.010000000000006E-2</v>
      </c>
      <c r="J78" s="40">
        <v>5.7700000000000057E-2</v>
      </c>
      <c r="K78" s="40">
        <v>5.5500000000000056E-2</v>
      </c>
      <c r="L78" s="40">
        <v>7.1600000000000052E-2</v>
      </c>
      <c r="M78" s="40">
        <v>6.3400000000000054E-2</v>
      </c>
      <c r="N78" s="40">
        <v>5.0000000000000058E-2</v>
      </c>
      <c r="O78" s="40">
        <v>4.9400000000000055E-2</v>
      </c>
      <c r="P78" s="40">
        <v>7.2200000000000056E-2</v>
      </c>
      <c r="Q78" s="40">
        <v>6.7300000000000054E-2</v>
      </c>
      <c r="R78" s="40">
        <v>6.7600000000000049E-2</v>
      </c>
      <c r="S78" s="40">
        <v>5.8300000000000053E-2</v>
      </c>
      <c r="T78" s="40">
        <v>6.7600000000000049E-2</v>
      </c>
      <c r="U78" s="40">
        <v>6.6400000000000056E-2</v>
      </c>
      <c r="V78" s="40">
        <v>7.7400000000000052E-2</v>
      </c>
      <c r="W78" s="40">
        <v>6.4800000000000052E-2</v>
      </c>
      <c r="X78" s="40">
        <v>4.9800000000000053E-2</v>
      </c>
      <c r="Y78" s="40">
        <v>8.0000000000000057E-2</v>
      </c>
      <c r="Z78" s="40">
        <v>7.7600000000000058E-2</v>
      </c>
      <c r="AA78" s="40">
        <v>6.4300000000000052E-2</v>
      </c>
      <c r="AB78" s="40">
        <v>4.6700000000000061E-2</v>
      </c>
      <c r="AC78" s="32"/>
      <c r="AD78" s="54" t="s">
        <v>118</v>
      </c>
      <c r="AE78" s="32">
        <v>9.3493358096338172E-2</v>
      </c>
      <c r="AF78" s="32">
        <v>8.0913519556138694E-2</v>
      </c>
      <c r="AG78" s="32">
        <v>9.6682801361421378E-2</v>
      </c>
      <c r="AH78" s="32">
        <v>8.2341831922356001E-2</v>
      </c>
      <c r="AI78" s="32">
        <v>6.946990023655629E-2</v>
      </c>
      <c r="AJ78" s="32">
        <v>9.1604491038395547E-2</v>
      </c>
      <c r="AK78" s="32">
        <v>6.0407451259270453E-2</v>
      </c>
      <c r="AL78" s="32">
        <v>5.4545881830920268E-2</v>
      </c>
      <c r="AM78" s="32">
        <v>7.4848951502744135E-2</v>
      </c>
      <c r="AN78" s="32">
        <v>0.12495855712555767</v>
      </c>
      <c r="AO78" s="32">
        <v>0.13282163111115713</v>
      </c>
      <c r="AP78" s="32">
        <v>8.986251467340961E-2</v>
      </c>
      <c r="AQ78" s="32">
        <v>0.10508458200201294</v>
      </c>
      <c r="AR78" s="32">
        <v>0.11292309911971966</v>
      </c>
      <c r="AS78" s="32">
        <v>8.1904375485471151E-2</v>
      </c>
      <c r="AT78" s="32">
        <v>9.7200738184721885E-2</v>
      </c>
      <c r="AU78" s="32">
        <v>7.1724560784944588E-2</v>
      </c>
      <c r="AV78" s="32">
        <v>5.7649605941807847E-2</v>
      </c>
      <c r="AW78" s="32">
        <v>8.0201885023231986E-2</v>
      </c>
      <c r="AX78" s="32">
        <v>6.4712772894121945E-2</v>
      </c>
      <c r="AY78" s="32">
        <v>9.8443477334024865E-2</v>
      </c>
      <c r="AZ78" s="32">
        <v>0.10850963882550806</v>
      </c>
      <c r="BA78" s="32">
        <v>8.7839302419189885E-2</v>
      </c>
      <c r="BB78" s="32">
        <v>7.50529779228611E-2</v>
      </c>
      <c r="BC78" s="32">
        <v>6.8831170139979761E-2</v>
      </c>
      <c r="BD78" s="32">
        <v>5.944156573083248E-2</v>
      </c>
      <c r="BF78" s="54" t="s">
        <v>118</v>
      </c>
      <c r="BG78" s="27" t="s">
        <v>37</v>
      </c>
      <c r="BH78" s="27" t="s">
        <v>38</v>
      </c>
      <c r="BI78" s="27" t="s">
        <v>38</v>
      </c>
      <c r="BJ78" s="27" t="s">
        <v>28</v>
      </c>
      <c r="BK78" s="27" t="s">
        <v>28</v>
      </c>
      <c r="BL78" s="27" t="s">
        <v>28</v>
      </c>
      <c r="BM78" s="27" t="s">
        <v>33</v>
      </c>
      <c r="BN78" s="27" t="s">
        <v>33</v>
      </c>
      <c r="BO78" s="27" t="s">
        <v>28</v>
      </c>
      <c r="BP78" s="27" t="s">
        <v>21</v>
      </c>
      <c r="BQ78" s="27" t="s">
        <v>28</v>
      </c>
      <c r="BR78" s="27" t="s">
        <v>38</v>
      </c>
      <c r="BS78" s="27" t="s">
        <v>33</v>
      </c>
      <c r="BT78" s="27" t="s">
        <v>39</v>
      </c>
      <c r="BU78" s="27" t="s">
        <v>39</v>
      </c>
      <c r="BV78" s="27" t="s">
        <v>22</v>
      </c>
      <c r="BW78" s="27" t="s">
        <v>39</v>
      </c>
      <c r="BX78" s="27" t="s">
        <v>22</v>
      </c>
      <c r="BY78" s="27" t="s">
        <v>37</v>
      </c>
      <c r="BZ78" s="27" t="s">
        <v>39</v>
      </c>
      <c r="CA78" s="27" t="s">
        <v>33</v>
      </c>
      <c r="CB78" s="27" t="s">
        <v>38</v>
      </c>
      <c r="CC78" s="27" t="s">
        <v>39</v>
      </c>
      <c r="CD78" s="27" t="s">
        <v>28</v>
      </c>
      <c r="CE78" s="27" t="s">
        <v>39</v>
      </c>
      <c r="CF78" s="27" t="s">
        <v>38</v>
      </c>
    </row>
    <row r="79" spans="1:84" x14ac:dyDescent="0.35">
      <c r="B79" t="s">
        <v>119</v>
      </c>
      <c r="C79" s="12">
        <v>0.1159</v>
      </c>
      <c r="D79" s="12">
        <v>0.1293</v>
      </c>
      <c r="E79" s="12">
        <v>0.14530000000000001</v>
      </c>
      <c r="F79" s="12">
        <v>0.1313</v>
      </c>
      <c r="G79" s="12">
        <v>0.1313</v>
      </c>
      <c r="H79" s="12">
        <v>0.1384</v>
      </c>
      <c r="I79" s="12">
        <v>0.11860000000000001</v>
      </c>
      <c r="J79" s="12">
        <v>0.14910000000000001</v>
      </c>
      <c r="K79" s="12">
        <v>0.12100000000000001</v>
      </c>
      <c r="L79" s="12">
        <v>0.15010000000000001</v>
      </c>
      <c r="M79" s="12">
        <v>0.1313</v>
      </c>
      <c r="N79" s="12">
        <v>0.1363</v>
      </c>
      <c r="O79" s="12">
        <v>0.1328</v>
      </c>
      <c r="P79" s="12">
        <v>0.1444</v>
      </c>
      <c r="Q79" s="12">
        <v>0.14660000000000001</v>
      </c>
      <c r="R79" s="12">
        <v>0.14030000000000001</v>
      </c>
      <c r="S79" s="12">
        <v>0.12390000000000001</v>
      </c>
      <c r="T79" s="12">
        <v>0.1464</v>
      </c>
      <c r="U79" s="12">
        <v>0.1381</v>
      </c>
      <c r="V79" s="12">
        <v>0.1221</v>
      </c>
      <c r="W79" s="12">
        <v>0.1303</v>
      </c>
      <c r="X79" s="12">
        <v>0.1462</v>
      </c>
      <c r="Y79" s="12">
        <v>0.14180000000000001</v>
      </c>
      <c r="Z79" s="12">
        <v>0.1328</v>
      </c>
      <c r="AA79" s="12">
        <v>0.14990000000000001</v>
      </c>
      <c r="AB79" s="12">
        <v>0.13420000000000001</v>
      </c>
      <c r="AC79" s="20"/>
      <c r="AD79" t="s">
        <v>119</v>
      </c>
      <c r="AE79" s="20">
        <f>SUMPRODUCT(AE80:AE83,C80:C83)</f>
        <v>0.1199615912260831</v>
      </c>
      <c r="AF79" s="20">
        <f t="shared" ref="AF79:BD79" si="26">SUMPRODUCT(AF80:AF83,D80:D83)</f>
        <v>0.10677077492986387</v>
      </c>
      <c r="AG79" s="20">
        <f t="shared" si="26"/>
        <v>0.12218771918925556</v>
      </c>
      <c r="AH79" s="20">
        <f t="shared" si="26"/>
        <v>0.10856847075071446</v>
      </c>
      <c r="AI79" s="20">
        <f t="shared" si="26"/>
        <v>9.5278735046471386E-2</v>
      </c>
      <c r="AJ79" s="20">
        <f t="shared" si="26"/>
        <v>0.11760213457218022</v>
      </c>
      <c r="AK79" s="20">
        <f t="shared" si="26"/>
        <v>8.6177629043789963E-2</v>
      </c>
      <c r="AL79" s="20">
        <f t="shared" si="26"/>
        <v>8.0374800616178493E-2</v>
      </c>
      <c r="AM79" s="20">
        <f t="shared" si="26"/>
        <v>0.10116136923671851</v>
      </c>
      <c r="AN79" s="20">
        <f t="shared" si="26"/>
        <v>0.15077638771768034</v>
      </c>
      <c r="AO79" s="20">
        <f t="shared" si="26"/>
        <v>0.15867001241345333</v>
      </c>
      <c r="AP79" s="20">
        <f t="shared" si="26"/>
        <v>0.11645750850880041</v>
      </c>
      <c r="AQ79" s="20">
        <f t="shared" si="26"/>
        <v>0.13114169413611454</v>
      </c>
      <c r="AR79" s="20">
        <f t="shared" si="26"/>
        <v>0.13881804093549011</v>
      </c>
      <c r="AS79" s="20">
        <f t="shared" si="26"/>
        <v>0.10807521511150997</v>
      </c>
      <c r="AT79" s="20">
        <f t="shared" si="26"/>
        <v>0.12367446379577991</v>
      </c>
      <c r="AU79" s="20">
        <f t="shared" si="26"/>
        <v>9.7568801198751748E-2</v>
      </c>
      <c r="AV79" s="20">
        <f t="shared" si="26"/>
        <v>8.3470629765916876E-2</v>
      </c>
      <c r="AW79" s="20">
        <f t="shared" si="26"/>
        <v>0.10575895789717971</v>
      </c>
      <c r="AX79" s="20">
        <f t="shared" si="26"/>
        <v>9.0938812594297674E-2</v>
      </c>
      <c r="AY79" s="20">
        <f t="shared" si="26"/>
        <v>0.12439959009856472</v>
      </c>
      <c r="AZ79" s="20">
        <f t="shared" si="26"/>
        <v>0.13431491570642387</v>
      </c>
      <c r="BA79" s="20">
        <f t="shared" si="26"/>
        <v>0.11363767110551978</v>
      </c>
      <c r="BB79" s="20">
        <f t="shared" si="26"/>
        <v>0.10123946103666227</v>
      </c>
      <c r="BC79" s="20">
        <f t="shared" si="26"/>
        <v>9.4565944918162184E-2</v>
      </c>
      <c r="BD79" s="20">
        <f t="shared" si="26"/>
        <v>8.5416692668111194E-2</v>
      </c>
      <c r="BF79" t="s">
        <v>119</v>
      </c>
      <c r="BG79" t="s">
        <v>21</v>
      </c>
      <c r="BH79" t="s">
        <v>37</v>
      </c>
      <c r="BI79" t="s">
        <v>28</v>
      </c>
      <c r="BJ79" t="s">
        <v>28</v>
      </c>
      <c r="BK79" t="s">
        <v>38</v>
      </c>
      <c r="BL79" t="s">
        <v>22</v>
      </c>
      <c r="BM79" t="s">
        <v>28</v>
      </c>
      <c r="BN79" t="s">
        <v>22</v>
      </c>
      <c r="BO79" t="s">
        <v>37</v>
      </c>
      <c r="BP79" t="s">
        <v>22</v>
      </c>
      <c r="BQ79" t="s">
        <v>38</v>
      </c>
      <c r="BR79" t="s">
        <v>28</v>
      </c>
      <c r="BS79" t="s">
        <v>22</v>
      </c>
      <c r="BT79" t="s">
        <v>28</v>
      </c>
      <c r="BU79" t="s">
        <v>39</v>
      </c>
      <c r="BV79" t="s">
        <v>39</v>
      </c>
      <c r="BW79" t="s">
        <v>33</v>
      </c>
      <c r="BX79" t="s">
        <v>38</v>
      </c>
      <c r="BY79" t="s">
        <v>39</v>
      </c>
      <c r="BZ79" t="s">
        <v>38</v>
      </c>
      <c r="CA79" t="s">
        <v>37</v>
      </c>
      <c r="CB79" t="s">
        <v>21</v>
      </c>
      <c r="CC79" t="s">
        <v>28</v>
      </c>
      <c r="CD79" t="s">
        <v>21</v>
      </c>
      <c r="CE79" t="s">
        <v>39</v>
      </c>
      <c r="CF79" t="s">
        <v>38</v>
      </c>
    </row>
    <row r="80" spans="1:84" s="27" customFormat="1" x14ac:dyDescent="0.35">
      <c r="A80"/>
      <c r="B80" s="54" t="s">
        <v>120</v>
      </c>
      <c r="C80" s="40">
        <f>1-SUM(C81:C83)</f>
        <v>0.35410000000000008</v>
      </c>
      <c r="D80" s="40">
        <f t="shared" ref="D80:AB80" si="27">1-SUM(D81:D83)</f>
        <v>0.34700000000000009</v>
      </c>
      <c r="E80" s="40">
        <f t="shared" si="27"/>
        <v>0.38670000000000004</v>
      </c>
      <c r="F80" s="40">
        <f t="shared" si="27"/>
        <v>0.34850000000000003</v>
      </c>
      <c r="G80" s="40">
        <f t="shared" si="27"/>
        <v>0.37350000000000017</v>
      </c>
      <c r="H80" s="40">
        <f t="shared" si="27"/>
        <v>0.3721000000000001</v>
      </c>
      <c r="I80" s="40">
        <f t="shared" si="27"/>
        <v>0.38560000000000016</v>
      </c>
      <c r="J80" s="40">
        <f t="shared" si="27"/>
        <v>0.38440000000000007</v>
      </c>
      <c r="K80" s="40">
        <f t="shared" si="27"/>
        <v>0.3499000000000001</v>
      </c>
      <c r="L80" s="40">
        <f t="shared" si="27"/>
        <v>0.36620000000000008</v>
      </c>
      <c r="M80" s="40">
        <f t="shared" si="27"/>
        <v>0.35850000000000015</v>
      </c>
      <c r="N80" s="40">
        <f t="shared" si="27"/>
        <v>0.34940000000000015</v>
      </c>
      <c r="O80" s="40">
        <f t="shared" si="27"/>
        <v>0.3479000000000001</v>
      </c>
      <c r="P80" s="40">
        <f t="shared" si="27"/>
        <v>0.39860000000000007</v>
      </c>
      <c r="Q80" s="40">
        <f t="shared" si="27"/>
        <v>0.37980000000000014</v>
      </c>
      <c r="R80" s="40">
        <f t="shared" si="27"/>
        <v>0.3378000000000001</v>
      </c>
      <c r="S80" s="40">
        <f t="shared" si="27"/>
        <v>0.37260000000000004</v>
      </c>
      <c r="T80" s="40">
        <f t="shared" si="27"/>
        <v>0.37320000000000009</v>
      </c>
      <c r="U80" s="40">
        <f t="shared" si="27"/>
        <v>0.37530000000000019</v>
      </c>
      <c r="V80" s="40">
        <f t="shared" si="27"/>
        <v>0.34060000000000012</v>
      </c>
      <c r="W80" s="40">
        <f t="shared" si="27"/>
        <v>0.34230000000000005</v>
      </c>
      <c r="X80" s="40">
        <f t="shared" si="27"/>
        <v>0.35010000000000008</v>
      </c>
      <c r="Y80" s="40">
        <f t="shared" si="27"/>
        <v>0.36480000000000012</v>
      </c>
      <c r="Z80" s="40">
        <f t="shared" si="27"/>
        <v>0.33190000000000008</v>
      </c>
      <c r="AA80" s="40">
        <f t="shared" si="27"/>
        <v>0.34970000000000012</v>
      </c>
      <c r="AB80" s="40">
        <f t="shared" si="27"/>
        <v>0.37390000000000012</v>
      </c>
      <c r="AD80" s="54" t="s">
        <v>120</v>
      </c>
      <c r="AE80" s="32">
        <v>0.1154709675592242</v>
      </c>
      <c r="AF80" s="32">
        <v>0.10289112901902472</v>
      </c>
      <c r="AG80" s="32">
        <v>0.11866041082430741</v>
      </c>
      <c r="AH80" s="32">
        <v>0.10431944138524203</v>
      </c>
      <c r="AI80" s="32">
        <v>9.144750969944232E-2</v>
      </c>
      <c r="AJ80" s="32">
        <v>0.11358210050128158</v>
      </c>
      <c r="AK80" s="32">
        <v>8.2385060722156483E-2</v>
      </c>
      <c r="AL80" s="32">
        <v>7.6523491293806298E-2</v>
      </c>
      <c r="AM80" s="32">
        <v>9.6826560965630165E-2</v>
      </c>
      <c r="AN80" s="32">
        <v>0.14693616658844372</v>
      </c>
      <c r="AO80" s="32">
        <v>0.15479924057404315</v>
      </c>
      <c r="AP80" s="32">
        <v>0.11184012413629564</v>
      </c>
      <c r="AQ80" s="32">
        <v>0.12706219146489897</v>
      </c>
      <c r="AR80" s="32">
        <v>0.13490070858260569</v>
      </c>
      <c r="AS80" s="32">
        <v>0.10388198494835718</v>
      </c>
      <c r="AT80" s="32">
        <v>0.11917834764760792</v>
      </c>
      <c r="AU80" s="32">
        <v>9.3702170247830618E-2</v>
      </c>
      <c r="AV80" s="32">
        <v>7.9627215404693877E-2</v>
      </c>
      <c r="AW80" s="32">
        <v>0.10217949448611802</v>
      </c>
      <c r="AX80" s="32">
        <v>8.6690382357007975E-2</v>
      </c>
      <c r="AY80" s="32">
        <v>0.1204210867969109</v>
      </c>
      <c r="AZ80" s="32">
        <v>0.13048724828839409</v>
      </c>
      <c r="BA80" s="32">
        <v>0.10981691188207592</v>
      </c>
      <c r="BB80" s="32">
        <v>9.703058738574713E-2</v>
      </c>
      <c r="BC80" s="32">
        <v>9.0808779602865791E-2</v>
      </c>
      <c r="BD80" s="32">
        <v>8.141917519371851E-2</v>
      </c>
      <c r="BF80" s="54" t="s">
        <v>120</v>
      </c>
      <c r="BG80" s="27" t="s">
        <v>22</v>
      </c>
      <c r="BH80" s="27" t="s">
        <v>22</v>
      </c>
      <c r="BI80" s="27" t="s">
        <v>28</v>
      </c>
      <c r="BJ80" s="27" t="s">
        <v>37</v>
      </c>
      <c r="BK80" s="27" t="s">
        <v>28</v>
      </c>
      <c r="BL80" s="27" t="s">
        <v>38</v>
      </c>
      <c r="BM80" s="27" t="s">
        <v>21</v>
      </c>
      <c r="BN80" s="27" t="s">
        <v>22</v>
      </c>
      <c r="BO80" s="27" t="s">
        <v>38</v>
      </c>
      <c r="BP80" s="27" t="s">
        <v>28</v>
      </c>
      <c r="BQ80" s="27" t="s">
        <v>33</v>
      </c>
      <c r="BR80" s="27" t="s">
        <v>21</v>
      </c>
      <c r="BS80" s="27" t="s">
        <v>33</v>
      </c>
      <c r="BT80" s="27" t="s">
        <v>38</v>
      </c>
      <c r="BU80" s="27" t="s">
        <v>33</v>
      </c>
      <c r="BV80" s="27" t="s">
        <v>39</v>
      </c>
      <c r="BW80" s="27" t="s">
        <v>38</v>
      </c>
      <c r="BX80" s="27" t="s">
        <v>38</v>
      </c>
      <c r="BY80" s="27" t="s">
        <v>28</v>
      </c>
      <c r="BZ80" s="27" t="s">
        <v>22</v>
      </c>
      <c r="CA80" s="27" t="s">
        <v>28</v>
      </c>
      <c r="CB80" s="27" t="s">
        <v>38</v>
      </c>
      <c r="CC80" s="27" t="s">
        <v>39</v>
      </c>
      <c r="CD80" s="27" t="s">
        <v>33</v>
      </c>
      <c r="CE80" s="27" t="s">
        <v>22</v>
      </c>
      <c r="CF80" s="27" t="s">
        <v>39</v>
      </c>
    </row>
    <row r="81" spans="1:84" s="27" customFormat="1" x14ac:dyDescent="0.35">
      <c r="A81"/>
      <c r="B81" s="54" t="s">
        <v>121</v>
      </c>
      <c r="C81" s="40">
        <v>0.19269999999999998</v>
      </c>
      <c r="D81" s="40">
        <v>0.17419999999999999</v>
      </c>
      <c r="E81" s="40">
        <v>0.16489999999999999</v>
      </c>
      <c r="F81" s="40">
        <v>0.1956</v>
      </c>
      <c r="G81" s="40">
        <v>0.16889999999999999</v>
      </c>
      <c r="H81" s="40">
        <v>0.16949999999999998</v>
      </c>
      <c r="I81" s="40">
        <v>0.16539999999999999</v>
      </c>
      <c r="J81" s="40">
        <v>0.17319999999999999</v>
      </c>
      <c r="K81" s="40">
        <v>0.19689999999999999</v>
      </c>
      <c r="L81" s="40">
        <v>0.17449999999999999</v>
      </c>
      <c r="M81" s="40">
        <v>0.1691</v>
      </c>
      <c r="N81" s="40">
        <v>0.1971</v>
      </c>
      <c r="O81" s="40">
        <v>0.18329999999999999</v>
      </c>
      <c r="P81" s="40">
        <v>0.16839999999999999</v>
      </c>
      <c r="Q81" s="40">
        <v>0.1797</v>
      </c>
      <c r="R81" s="40">
        <v>0.1961</v>
      </c>
      <c r="S81" s="40">
        <v>0.17149999999999999</v>
      </c>
      <c r="T81" s="40">
        <v>0.17699999999999999</v>
      </c>
      <c r="U81" s="40">
        <v>0.16849999999999998</v>
      </c>
      <c r="V81" s="40">
        <v>0.19</v>
      </c>
      <c r="W81" s="40">
        <v>0.17679999999999998</v>
      </c>
      <c r="X81" s="40">
        <v>0.17579999999999998</v>
      </c>
      <c r="Y81" s="40">
        <v>0.1663</v>
      </c>
      <c r="Z81" s="40">
        <v>0.19539999999999999</v>
      </c>
      <c r="AA81" s="40">
        <v>0.17019999999999999</v>
      </c>
      <c r="AB81" s="40">
        <v>0.17460000000000001</v>
      </c>
      <c r="AD81" s="54" t="s">
        <v>121</v>
      </c>
      <c r="AE81" s="32">
        <v>0.13443430656576905</v>
      </c>
      <c r="AF81" s="32">
        <v>0.12185446802556958</v>
      </c>
      <c r="AG81" s="32">
        <v>0.13762374983085227</v>
      </c>
      <c r="AH81" s="32">
        <v>0.12328278039178689</v>
      </c>
      <c r="AI81" s="32">
        <v>0.11041084870598718</v>
      </c>
      <c r="AJ81" s="32">
        <v>0.13254543950782643</v>
      </c>
      <c r="AK81" s="32">
        <v>0.10134839972870134</v>
      </c>
      <c r="AL81" s="32">
        <v>9.5486830300351155E-2</v>
      </c>
      <c r="AM81" s="32">
        <v>0.11578989997217502</v>
      </c>
      <c r="AN81" s="32">
        <v>0.16589950559498856</v>
      </c>
      <c r="AO81" s="32">
        <v>0.17376257958058802</v>
      </c>
      <c r="AP81" s="32">
        <v>0.1308034631428405</v>
      </c>
      <c r="AQ81" s="32">
        <v>0.14602553047144384</v>
      </c>
      <c r="AR81" s="32">
        <v>0.15386404758915057</v>
      </c>
      <c r="AS81" s="32">
        <v>0.12284532395490204</v>
      </c>
      <c r="AT81" s="32">
        <v>0.13814168665415277</v>
      </c>
      <c r="AU81" s="32">
        <v>0.11266550925437548</v>
      </c>
      <c r="AV81" s="32">
        <v>9.8590554411238734E-2</v>
      </c>
      <c r="AW81" s="32">
        <v>0.12114283349266287</v>
      </c>
      <c r="AX81" s="32">
        <v>0.10565372136355283</v>
      </c>
      <c r="AY81" s="32">
        <v>0.13938442580345575</v>
      </c>
      <c r="AZ81" s="32">
        <v>0.14945058729493893</v>
      </c>
      <c r="BA81" s="32">
        <v>0.12878025088862077</v>
      </c>
      <c r="BB81" s="32">
        <v>0.11599392639229199</v>
      </c>
      <c r="BC81" s="32">
        <v>0.10977211860941065</v>
      </c>
      <c r="BD81" s="32">
        <v>0.10038251420026337</v>
      </c>
      <c r="BF81" s="54" t="s">
        <v>121</v>
      </c>
      <c r="BG81" s="27" t="s">
        <v>39</v>
      </c>
      <c r="BH81" s="27" t="s">
        <v>21</v>
      </c>
      <c r="BI81" s="27" t="s">
        <v>21</v>
      </c>
      <c r="BJ81" s="27" t="s">
        <v>28</v>
      </c>
      <c r="BK81" s="27" t="s">
        <v>37</v>
      </c>
      <c r="BL81" s="27" t="s">
        <v>38</v>
      </c>
      <c r="BM81" s="27" t="s">
        <v>37</v>
      </c>
      <c r="BN81" s="27" t="s">
        <v>37</v>
      </c>
      <c r="BO81" s="27" t="s">
        <v>22</v>
      </c>
      <c r="BP81" s="27" t="s">
        <v>33</v>
      </c>
      <c r="BQ81" s="27" t="s">
        <v>33</v>
      </c>
      <c r="BR81" s="27" t="s">
        <v>39</v>
      </c>
      <c r="BS81" s="27" t="s">
        <v>39</v>
      </c>
      <c r="BT81" s="27" t="s">
        <v>38</v>
      </c>
      <c r="BU81" s="27" t="s">
        <v>33</v>
      </c>
      <c r="BV81" s="27" t="s">
        <v>39</v>
      </c>
      <c r="BW81" s="27" t="s">
        <v>39</v>
      </c>
      <c r="BX81" s="27" t="s">
        <v>21</v>
      </c>
      <c r="BY81" s="27" t="s">
        <v>39</v>
      </c>
      <c r="BZ81" s="27" t="s">
        <v>39</v>
      </c>
      <c r="CA81" s="27" t="s">
        <v>22</v>
      </c>
      <c r="CB81" s="27" t="s">
        <v>22</v>
      </c>
      <c r="CC81" s="27" t="s">
        <v>21</v>
      </c>
      <c r="CD81" s="27" t="s">
        <v>33</v>
      </c>
      <c r="CE81" s="27" t="s">
        <v>21</v>
      </c>
      <c r="CF81" s="27" t="s">
        <v>28</v>
      </c>
    </row>
    <row r="82" spans="1:84" s="27" customFormat="1" x14ac:dyDescent="0.35">
      <c r="A82"/>
      <c r="B82" s="54" t="s">
        <v>122</v>
      </c>
      <c r="C82" s="40">
        <v>0.33350000000000002</v>
      </c>
      <c r="D82" s="40">
        <v>0.33379999999999999</v>
      </c>
      <c r="E82" s="40">
        <v>0.30420000000000003</v>
      </c>
      <c r="F82" s="40">
        <v>0.31730000000000003</v>
      </c>
      <c r="G82" s="40">
        <v>0.32369999999999999</v>
      </c>
      <c r="H82" s="40">
        <v>0.33490000000000003</v>
      </c>
      <c r="I82" s="40">
        <v>0.32</v>
      </c>
      <c r="J82" s="40">
        <v>0.3105</v>
      </c>
      <c r="K82" s="40">
        <v>0.31930000000000003</v>
      </c>
      <c r="L82" s="40">
        <v>0.31890000000000002</v>
      </c>
      <c r="M82" s="40">
        <v>0.33510000000000001</v>
      </c>
      <c r="N82" s="40">
        <v>0.33629999999999999</v>
      </c>
      <c r="O82" s="40">
        <v>0.32919999999999999</v>
      </c>
      <c r="P82" s="40">
        <v>0.31409999999999999</v>
      </c>
      <c r="Q82" s="40">
        <v>0.32250000000000001</v>
      </c>
      <c r="R82" s="40">
        <v>0.33800000000000002</v>
      </c>
      <c r="S82" s="40">
        <v>0.32180000000000003</v>
      </c>
      <c r="T82" s="40">
        <v>0.31030000000000002</v>
      </c>
      <c r="U82" s="40">
        <v>0.30809999999999998</v>
      </c>
      <c r="V82" s="40">
        <v>0.33210000000000001</v>
      </c>
      <c r="W82" s="40">
        <v>0.33810000000000001</v>
      </c>
      <c r="X82" s="40">
        <v>0.32590000000000002</v>
      </c>
      <c r="Y82" s="40">
        <v>0.33310000000000001</v>
      </c>
      <c r="Z82" s="40">
        <v>0.3256</v>
      </c>
      <c r="AA82" s="40">
        <v>0.33179999999999998</v>
      </c>
      <c r="AB82" s="40">
        <v>0.32340000000000002</v>
      </c>
      <c r="AD82" s="54" t="s">
        <v>122</v>
      </c>
      <c r="AE82" s="32">
        <v>0.12169609667830752</v>
      </c>
      <c r="AF82" s="32">
        <v>0.10911625813810805</v>
      </c>
      <c r="AG82" s="32">
        <v>0.12488553994339073</v>
      </c>
      <c r="AH82" s="32">
        <v>0.11054457050432535</v>
      </c>
      <c r="AI82" s="32">
        <v>9.7672638818525642E-2</v>
      </c>
      <c r="AJ82" s="32">
        <v>0.1198072296203649</v>
      </c>
      <c r="AK82" s="32">
        <v>8.8610189841239806E-2</v>
      </c>
      <c r="AL82" s="32">
        <v>8.274862041288962E-2</v>
      </c>
      <c r="AM82" s="32">
        <v>0.10305169008471349</v>
      </c>
      <c r="AN82" s="32">
        <v>0.15316129570752701</v>
      </c>
      <c r="AO82" s="32">
        <v>0.1610243696931265</v>
      </c>
      <c r="AP82" s="32">
        <v>0.11806525325537896</v>
      </c>
      <c r="AQ82" s="32">
        <v>0.13328732058398229</v>
      </c>
      <c r="AR82" s="32">
        <v>0.14112583770168902</v>
      </c>
      <c r="AS82" s="32">
        <v>0.1101071140674405</v>
      </c>
      <c r="AT82" s="32">
        <v>0.12540347676669122</v>
      </c>
      <c r="AU82" s="32">
        <v>9.9927299366913941E-2</v>
      </c>
      <c r="AV82" s="32">
        <v>8.5852344523777199E-2</v>
      </c>
      <c r="AW82" s="32">
        <v>0.10840462360520134</v>
      </c>
      <c r="AX82" s="32">
        <v>9.2915511476091298E-2</v>
      </c>
      <c r="AY82" s="32">
        <v>0.12664621591599423</v>
      </c>
      <c r="AZ82" s="32">
        <v>0.13671237740747741</v>
      </c>
      <c r="BA82" s="32">
        <v>0.11604204100115924</v>
      </c>
      <c r="BB82" s="32">
        <v>0.10325571650483045</v>
      </c>
      <c r="BC82" s="32">
        <v>9.7033908721949114E-2</v>
      </c>
      <c r="BD82" s="32">
        <v>8.7644304312801832E-2</v>
      </c>
      <c r="BF82" s="54" t="s">
        <v>122</v>
      </c>
      <c r="BG82" s="27" t="s">
        <v>37</v>
      </c>
      <c r="BH82" s="27" t="s">
        <v>37</v>
      </c>
      <c r="BI82" s="27" t="s">
        <v>33</v>
      </c>
      <c r="BJ82" s="27" t="s">
        <v>39</v>
      </c>
      <c r="BK82" s="27" t="s">
        <v>39</v>
      </c>
      <c r="BL82" s="27" t="s">
        <v>22</v>
      </c>
      <c r="BM82" s="27" t="s">
        <v>21</v>
      </c>
      <c r="BN82" s="27" t="s">
        <v>33</v>
      </c>
      <c r="BO82" s="27" t="s">
        <v>37</v>
      </c>
      <c r="BP82" s="27" t="s">
        <v>28</v>
      </c>
      <c r="BQ82" s="27" t="s">
        <v>38</v>
      </c>
      <c r="BR82" s="27" t="s">
        <v>22</v>
      </c>
      <c r="BS82" s="27" t="s">
        <v>39</v>
      </c>
      <c r="BT82" s="27" t="s">
        <v>22</v>
      </c>
      <c r="BU82" s="27" t="s">
        <v>22</v>
      </c>
      <c r="BV82" s="27" t="s">
        <v>22</v>
      </c>
      <c r="BW82" s="27" t="s">
        <v>22</v>
      </c>
      <c r="BX82" s="27" t="s">
        <v>22</v>
      </c>
      <c r="BY82" s="27" t="s">
        <v>37</v>
      </c>
      <c r="BZ82" s="27" t="s">
        <v>37</v>
      </c>
      <c r="CA82" s="27" t="s">
        <v>28</v>
      </c>
      <c r="CB82" s="27" t="s">
        <v>21</v>
      </c>
      <c r="CC82" s="27" t="s">
        <v>28</v>
      </c>
      <c r="CD82" s="27" t="s">
        <v>21</v>
      </c>
      <c r="CE82" s="27" t="s">
        <v>39</v>
      </c>
      <c r="CF82" s="27" t="s">
        <v>22</v>
      </c>
    </row>
    <row r="83" spans="1:84" s="27" customFormat="1" x14ac:dyDescent="0.35">
      <c r="A83"/>
      <c r="B83" s="54" t="s">
        <v>123</v>
      </c>
      <c r="C83" s="40">
        <v>0.11969999999999989</v>
      </c>
      <c r="D83" s="40">
        <v>0.14499999999999991</v>
      </c>
      <c r="E83" s="40">
        <v>0.14419999999999988</v>
      </c>
      <c r="F83" s="40">
        <v>0.13859999999999989</v>
      </c>
      <c r="G83" s="40">
        <v>0.13389999999999991</v>
      </c>
      <c r="H83" s="40">
        <v>0.12349999999999989</v>
      </c>
      <c r="I83" s="40">
        <v>0.12899999999999989</v>
      </c>
      <c r="J83" s="40">
        <v>0.13189999999999991</v>
      </c>
      <c r="K83" s="40">
        <v>0.13389999999999991</v>
      </c>
      <c r="L83" s="40">
        <v>0.14039999999999989</v>
      </c>
      <c r="M83" s="40">
        <v>0.13729999999999989</v>
      </c>
      <c r="N83" s="40">
        <v>0.11719999999999989</v>
      </c>
      <c r="O83" s="40">
        <v>0.13959999999999989</v>
      </c>
      <c r="P83" s="40">
        <v>0.11889999999999989</v>
      </c>
      <c r="Q83" s="40">
        <v>0.1179999999999999</v>
      </c>
      <c r="R83" s="40">
        <v>0.12809999999999991</v>
      </c>
      <c r="S83" s="40">
        <v>0.13409999999999989</v>
      </c>
      <c r="T83" s="40">
        <v>0.1394999999999999</v>
      </c>
      <c r="U83" s="40">
        <v>0.1480999999999999</v>
      </c>
      <c r="V83" s="40">
        <v>0.13729999999999989</v>
      </c>
      <c r="W83" s="40">
        <v>0.1427999999999999</v>
      </c>
      <c r="X83" s="40">
        <v>0.14819999999999989</v>
      </c>
      <c r="Y83" s="40">
        <v>0.13579999999999989</v>
      </c>
      <c r="Z83" s="40">
        <v>0.1470999999999999</v>
      </c>
      <c r="AA83" s="40">
        <v>0.1482999999999999</v>
      </c>
      <c r="AB83" s="40">
        <v>0.12809999999999991</v>
      </c>
      <c r="AC83" s="32"/>
      <c r="AD83" s="54" t="s">
        <v>123</v>
      </c>
      <c r="AE83" s="32">
        <v>0.10511430656576906</v>
      </c>
      <c r="AF83" s="32">
        <v>9.2534468025569583E-2</v>
      </c>
      <c r="AG83" s="32">
        <v>0.10830374983085227</v>
      </c>
      <c r="AH83" s="32">
        <v>9.396278039178689E-2</v>
      </c>
      <c r="AI83" s="32">
        <v>8.1090848705987179E-2</v>
      </c>
      <c r="AJ83" s="32">
        <v>0.10322543950782644</v>
      </c>
      <c r="AK83" s="32">
        <v>7.2028399728701342E-2</v>
      </c>
      <c r="AL83" s="32">
        <v>6.6166830300351157E-2</v>
      </c>
      <c r="AM83" s="32">
        <v>8.6469899972175024E-2</v>
      </c>
      <c r="AN83" s="32">
        <v>0.13657950559498855</v>
      </c>
      <c r="AO83" s="32">
        <v>0.14444257958058804</v>
      </c>
      <c r="AP83" s="32">
        <v>0.1014834631428405</v>
      </c>
      <c r="AQ83" s="32">
        <v>0.11670553047144383</v>
      </c>
      <c r="AR83" s="32">
        <v>0.12454404758915055</v>
      </c>
      <c r="AS83" s="32">
        <v>9.352532395490204E-2</v>
      </c>
      <c r="AT83" s="32">
        <v>0.10882168665415277</v>
      </c>
      <c r="AU83" s="32">
        <v>8.3345509254375477E-2</v>
      </c>
      <c r="AV83" s="32">
        <v>6.9270554411238736E-2</v>
      </c>
      <c r="AW83" s="32">
        <v>9.1822833492662875E-2</v>
      </c>
      <c r="AX83" s="32">
        <v>7.6333721363552834E-2</v>
      </c>
      <c r="AY83" s="32">
        <v>0.11006442580345575</v>
      </c>
      <c r="AZ83" s="32">
        <v>0.12013058729493895</v>
      </c>
      <c r="BA83" s="32">
        <v>9.9460250888620774E-2</v>
      </c>
      <c r="BB83" s="32">
        <v>8.6673926392291989E-2</v>
      </c>
      <c r="BC83" s="32">
        <v>8.045211860941065E-2</v>
      </c>
      <c r="BD83" s="32">
        <v>7.1062514200263369E-2</v>
      </c>
      <c r="BF83" s="54" t="s">
        <v>123</v>
      </c>
      <c r="BG83" s="27" t="s">
        <v>21</v>
      </c>
      <c r="BH83" s="27" t="s">
        <v>38</v>
      </c>
      <c r="BI83" s="27" t="s">
        <v>22</v>
      </c>
      <c r="BJ83" s="27" t="s">
        <v>33</v>
      </c>
      <c r="BK83" s="27" t="s">
        <v>39</v>
      </c>
      <c r="BL83" s="27" t="s">
        <v>21</v>
      </c>
      <c r="BM83" s="27" t="s">
        <v>28</v>
      </c>
      <c r="BN83" s="27" t="s">
        <v>28</v>
      </c>
      <c r="BO83" s="27" t="s">
        <v>22</v>
      </c>
      <c r="BP83" s="27" t="s">
        <v>22</v>
      </c>
      <c r="BQ83" s="27" t="s">
        <v>39</v>
      </c>
      <c r="BR83" s="27" t="s">
        <v>21</v>
      </c>
      <c r="BS83" s="27" t="s">
        <v>21</v>
      </c>
      <c r="BT83" s="27" t="s">
        <v>39</v>
      </c>
      <c r="BU83" s="27" t="s">
        <v>39</v>
      </c>
      <c r="BV83" s="27" t="s">
        <v>37</v>
      </c>
      <c r="BW83" s="27" t="s">
        <v>37</v>
      </c>
      <c r="BX83" s="27" t="s">
        <v>21</v>
      </c>
      <c r="BY83" s="27" t="s">
        <v>21</v>
      </c>
      <c r="BZ83" s="27" t="s">
        <v>22</v>
      </c>
      <c r="CA83" s="27" t="s">
        <v>21</v>
      </c>
      <c r="CB83" s="27" t="s">
        <v>22</v>
      </c>
      <c r="CC83" s="27" t="s">
        <v>33</v>
      </c>
      <c r="CD83" s="27" t="s">
        <v>28</v>
      </c>
      <c r="CE83" s="27" t="s">
        <v>37</v>
      </c>
      <c r="CF83" s="27" t="s">
        <v>21</v>
      </c>
    </row>
    <row r="84" spans="1:84" x14ac:dyDescent="0.35">
      <c r="B84" t="s">
        <v>124</v>
      </c>
      <c r="C84" s="12">
        <v>8.3299999999999999E-2</v>
      </c>
      <c r="D84" s="12">
        <v>7.8600000000000003E-2</v>
      </c>
      <c r="E84" s="12">
        <v>9.1800000000000007E-2</v>
      </c>
      <c r="F84" s="12">
        <v>8.5300000000000001E-2</v>
      </c>
      <c r="G84" s="12">
        <v>7.9200000000000007E-2</v>
      </c>
      <c r="H84" s="12">
        <v>8.6399999999999991E-2</v>
      </c>
      <c r="I84" s="12">
        <v>7.6999999999999999E-2</v>
      </c>
      <c r="J84" s="12">
        <v>8.0299999999999996E-2</v>
      </c>
      <c r="K84" s="12">
        <v>8.48E-2</v>
      </c>
      <c r="L84" s="12">
        <v>0.10099999999999999</v>
      </c>
      <c r="M84" s="12">
        <v>8.6599999999999983E-2</v>
      </c>
      <c r="N84" s="12">
        <v>9.1999999999999998E-2</v>
      </c>
      <c r="O84" s="12">
        <v>8.7300000000000003E-2</v>
      </c>
      <c r="P84" s="12">
        <v>0.1016</v>
      </c>
      <c r="Q84" s="12">
        <v>7.9299999999999995E-2</v>
      </c>
      <c r="R84" s="12">
        <v>9.6000000000000002E-2</v>
      </c>
      <c r="S84" s="12">
        <v>8.9399999999999993E-2</v>
      </c>
      <c r="T84" s="12">
        <v>9.8199999999999982E-2</v>
      </c>
      <c r="U84" s="12">
        <v>8.09E-2</v>
      </c>
      <c r="V84" s="12">
        <v>9.5699999999999993E-2</v>
      </c>
      <c r="W84" s="12">
        <v>7.8E-2</v>
      </c>
      <c r="X84" s="12">
        <v>9.4099999999999989E-2</v>
      </c>
      <c r="Y84" s="12">
        <v>8.48E-2</v>
      </c>
      <c r="Z84" s="12">
        <v>0.10139999999999999</v>
      </c>
      <c r="AA84" s="12">
        <v>9.2899999999999996E-2</v>
      </c>
      <c r="AB84" s="12">
        <v>9.7199999999999995E-2</v>
      </c>
      <c r="AC84" s="20"/>
      <c r="AD84" t="s">
        <v>124</v>
      </c>
      <c r="AE84" s="20">
        <f>SUMPRODUCT(AE85:AE89,C85:C89)</f>
        <v>0.13096159122608311</v>
      </c>
      <c r="AF84" s="20">
        <f t="shared" ref="AF84:BD84" si="28">SUMPRODUCT(AF85:AF89,D85:D89)</f>
        <v>0.11844406354281761</v>
      </c>
      <c r="AG84" s="20">
        <f t="shared" si="28"/>
        <v>0.13495279678636601</v>
      </c>
      <c r="AH84" s="20">
        <f t="shared" si="28"/>
        <v>0.12091714902518226</v>
      </c>
      <c r="AI84" s="20">
        <f t="shared" si="28"/>
        <v>0.10835272499808793</v>
      </c>
      <c r="AJ84" s="20">
        <f t="shared" si="28"/>
        <v>0.13034213641246883</v>
      </c>
      <c r="AK84" s="20">
        <f t="shared" si="28"/>
        <v>9.9061886086174472E-2</v>
      </c>
      <c r="AL84" s="20">
        <f t="shared" si="28"/>
        <v>9.2874238051777649E-2</v>
      </c>
      <c r="AM84" s="20">
        <f t="shared" si="28"/>
        <v>0.11389981129933931</v>
      </c>
      <c r="AN84" s="20">
        <f t="shared" si="28"/>
        <v>0.16255320209731097</v>
      </c>
      <c r="AO84" s="20">
        <f t="shared" si="28"/>
        <v>0.17092649200171847</v>
      </c>
      <c r="AP84" s="20">
        <f t="shared" si="28"/>
        <v>0.12686309052990591</v>
      </c>
      <c r="AQ84" s="20">
        <f t="shared" si="28"/>
        <v>0.14343671277637349</v>
      </c>
      <c r="AR84" s="20">
        <f t="shared" si="28"/>
        <v>0.15090473335516136</v>
      </c>
      <c r="AS84" s="20">
        <f t="shared" si="28"/>
        <v>0.11958332883758746</v>
      </c>
      <c r="AT84" s="20">
        <f t="shared" si="28"/>
        <v>0.13633446873054758</v>
      </c>
      <c r="AU84" s="20">
        <f t="shared" si="28"/>
        <v>0.11009647518473502</v>
      </c>
      <c r="AV84" s="20">
        <f t="shared" si="28"/>
        <v>9.7013070639171833E-2</v>
      </c>
      <c r="AW84" s="20">
        <f t="shared" si="28"/>
        <v>0.11920688229129082</v>
      </c>
      <c r="AX84" s="20">
        <f t="shared" si="28"/>
        <v>0.10261621220150163</v>
      </c>
      <c r="AY84" s="20">
        <f t="shared" si="28"/>
        <v>0.13716458470491366</v>
      </c>
      <c r="AZ84" s="20">
        <f t="shared" si="28"/>
        <v>0.14610956673097683</v>
      </c>
      <c r="BA84" s="20">
        <f t="shared" si="28"/>
        <v>0.12547107554307602</v>
      </c>
      <c r="BB84" s="20">
        <f t="shared" si="28"/>
        <v>0.11333491101979123</v>
      </c>
      <c r="BC84" s="20">
        <f t="shared" si="28"/>
        <v>0.10642734768247511</v>
      </c>
      <c r="BD84" s="20">
        <f t="shared" si="28"/>
        <v>9.8496100826484315E-2</v>
      </c>
      <c r="BF84" t="s">
        <v>124</v>
      </c>
      <c r="BG84" t="s">
        <v>37</v>
      </c>
      <c r="BH84" t="s">
        <v>39</v>
      </c>
      <c r="BI84" t="s">
        <v>38</v>
      </c>
      <c r="BJ84" t="s">
        <v>38</v>
      </c>
      <c r="BK84" t="s">
        <v>33</v>
      </c>
      <c r="BL84" t="s">
        <v>28</v>
      </c>
      <c r="BM84" t="s">
        <v>37</v>
      </c>
      <c r="BN84" t="s">
        <v>28</v>
      </c>
      <c r="BO84" t="s">
        <v>33</v>
      </c>
      <c r="BP84" t="s">
        <v>21</v>
      </c>
      <c r="BQ84" t="s">
        <v>28</v>
      </c>
      <c r="BR84" t="s">
        <v>21</v>
      </c>
      <c r="BS84" t="s">
        <v>28</v>
      </c>
      <c r="BT84" t="s">
        <v>28</v>
      </c>
      <c r="BU84" t="s">
        <v>38</v>
      </c>
      <c r="BV84" t="s">
        <v>38</v>
      </c>
      <c r="BW84" t="s">
        <v>33</v>
      </c>
      <c r="BX84" t="s">
        <v>39</v>
      </c>
      <c r="BY84" t="s">
        <v>28</v>
      </c>
      <c r="BZ84" t="s">
        <v>21</v>
      </c>
      <c r="CA84" t="s">
        <v>39</v>
      </c>
      <c r="CB84" t="s">
        <v>22</v>
      </c>
      <c r="CC84" t="s">
        <v>38</v>
      </c>
      <c r="CD84" t="s">
        <v>28</v>
      </c>
      <c r="CE84" t="s">
        <v>39</v>
      </c>
      <c r="CF84" t="s">
        <v>33</v>
      </c>
    </row>
    <row r="85" spans="1:84" s="27" customFormat="1" x14ac:dyDescent="0.35">
      <c r="A85"/>
      <c r="B85" s="54" t="s">
        <v>125</v>
      </c>
      <c r="C85" s="40">
        <f>1-SUM(C86:C89)</f>
        <v>0.44329999999999992</v>
      </c>
      <c r="D85" s="40">
        <f t="shared" ref="D85:AB85" si="29">1-SUM(D86:D89)</f>
        <v>0.44999999999999996</v>
      </c>
      <c r="E85" s="40">
        <f t="shared" si="29"/>
        <v>0.47930000000000006</v>
      </c>
      <c r="F85" s="40">
        <f t="shared" si="29"/>
        <v>0.49379999999999991</v>
      </c>
      <c r="G85" s="40">
        <f t="shared" si="29"/>
        <v>0.48399999999999999</v>
      </c>
      <c r="H85" s="40">
        <f t="shared" si="29"/>
        <v>0.49449999999999994</v>
      </c>
      <c r="I85" s="40">
        <f t="shared" si="29"/>
        <v>0.49229999999999996</v>
      </c>
      <c r="J85" s="40">
        <f t="shared" si="29"/>
        <v>0.46639999999999993</v>
      </c>
      <c r="K85" s="40">
        <f t="shared" si="29"/>
        <v>0.50649999999999995</v>
      </c>
      <c r="L85" s="40">
        <f t="shared" si="29"/>
        <v>0.44889999999999997</v>
      </c>
      <c r="M85" s="40">
        <f t="shared" si="29"/>
        <v>0.47039999999999993</v>
      </c>
      <c r="N85" s="40">
        <f t="shared" si="29"/>
        <v>0.43079999999999996</v>
      </c>
      <c r="O85" s="40">
        <f t="shared" si="29"/>
        <v>0.47119999999999995</v>
      </c>
      <c r="P85" s="40">
        <f t="shared" si="29"/>
        <v>0.4625999999999999</v>
      </c>
      <c r="Q85" s="40">
        <f t="shared" si="29"/>
        <v>0.45629999999999993</v>
      </c>
      <c r="R85" s="40">
        <f t="shared" si="29"/>
        <v>0.50549999999999984</v>
      </c>
      <c r="S85" s="40">
        <f t="shared" si="29"/>
        <v>0.46709999999999996</v>
      </c>
      <c r="T85" s="40">
        <f t="shared" si="29"/>
        <v>0.51239999999999997</v>
      </c>
      <c r="U85" s="40">
        <f t="shared" si="29"/>
        <v>0.50759999999999994</v>
      </c>
      <c r="V85" s="40">
        <f t="shared" si="29"/>
        <v>0.45989999999999986</v>
      </c>
      <c r="W85" s="40">
        <f t="shared" si="29"/>
        <v>0.4887999999999999</v>
      </c>
      <c r="X85" s="40">
        <f t="shared" si="29"/>
        <v>0.44719999999999993</v>
      </c>
      <c r="Y85" s="40">
        <f t="shared" si="29"/>
        <v>0.45350000000000001</v>
      </c>
      <c r="Z85" s="40">
        <f t="shared" si="29"/>
        <v>0.46689999999999998</v>
      </c>
      <c r="AA85" s="40">
        <f t="shared" si="29"/>
        <v>0.44759999999999989</v>
      </c>
      <c r="AB85" s="40">
        <f t="shared" si="29"/>
        <v>0.50559999999999994</v>
      </c>
      <c r="AD85" s="54" t="s">
        <v>125</v>
      </c>
      <c r="AE85" s="32">
        <v>0.14517541188062738</v>
      </c>
      <c r="AF85" s="32">
        <v>0.13259557334042787</v>
      </c>
      <c r="AG85" s="32">
        <v>0.14836485514571057</v>
      </c>
      <c r="AH85" s="32">
        <v>0.1340238857066452</v>
      </c>
      <c r="AI85" s="32">
        <v>0.12115195402084548</v>
      </c>
      <c r="AJ85" s="32">
        <v>0.14328654482268474</v>
      </c>
      <c r="AK85" s="32">
        <v>0.11208950504355965</v>
      </c>
      <c r="AL85" s="32">
        <v>0.10622793561520946</v>
      </c>
      <c r="AM85" s="32">
        <v>0.12653100528703332</v>
      </c>
      <c r="AN85" s="32">
        <v>0.17664061090984687</v>
      </c>
      <c r="AO85" s="32">
        <v>0.18450368489544633</v>
      </c>
      <c r="AP85" s="32">
        <v>0.14154456845769881</v>
      </c>
      <c r="AQ85" s="32">
        <v>0.15676663578630212</v>
      </c>
      <c r="AR85" s="32">
        <v>0.16460515290400884</v>
      </c>
      <c r="AS85" s="32">
        <v>0.13358642926976033</v>
      </c>
      <c r="AT85" s="32">
        <v>0.14888279196901108</v>
      </c>
      <c r="AU85" s="32">
        <v>0.12340661456923378</v>
      </c>
      <c r="AV85" s="32">
        <v>0.10933165972609704</v>
      </c>
      <c r="AW85" s="32">
        <v>0.13188393880752119</v>
      </c>
      <c r="AX85" s="32">
        <v>0.11639482667841114</v>
      </c>
      <c r="AY85" s="32">
        <v>0.15012553111831406</v>
      </c>
      <c r="AZ85" s="32">
        <v>0.16019169260979726</v>
      </c>
      <c r="BA85" s="32">
        <v>0.13952135620347908</v>
      </c>
      <c r="BB85" s="32">
        <v>0.12673503170715028</v>
      </c>
      <c r="BC85" s="32">
        <v>0.12051322392426896</v>
      </c>
      <c r="BD85" s="32">
        <v>0.11112361951512167</v>
      </c>
      <c r="BF85" s="54" t="s">
        <v>125</v>
      </c>
      <c r="BG85" s="27" t="s">
        <v>39</v>
      </c>
      <c r="BH85" s="27" t="s">
        <v>38</v>
      </c>
      <c r="BI85" s="27" t="s">
        <v>22</v>
      </c>
      <c r="BJ85" s="27" t="s">
        <v>22</v>
      </c>
      <c r="BK85" s="27" t="s">
        <v>21</v>
      </c>
      <c r="BL85" s="27" t="s">
        <v>33</v>
      </c>
      <c r="BM85" s="27" t="s">
        <v>22</v>
      </c>
      <c r="BN85" s="27" t="s">
        <v>21</v>
      </c>
      <c r="BO85" s="27" t="s">
        <v>37</v>
      </c>
      <c r="BP85" s="27" t="s">
        <v>39</v>
      </c>
      <c r="BQ85" s="27" t="s">
        <v>22</v>
      </c>
      <c r="BR85" s="27" t="s">
        <v>38</v>
      </c>
      <c r="BS85" s="27" t="s">
        <v>33</v>
      </c>
      <c r="BT85" s="27" t="s">
        <v>38</v>
      </c>
      <c r="BU85" s="27" t="s">
        <v>21</v>
      </c>
      <c r="BV85" s="27" t="s">
        <v>28</v>
      </c>
      <c r="BW85" s="27" t="s">
        <v>33</v>
      </c>
      <c r="BX85" s="27" t="s">
        <v>37</v>
      </c>
      <c r="BY85" s="27" t="s">
        <v>38</v>
      </c>
      <c r="BZ85" s="27" t="s">
        <v>33</v>
      </c>
      <c r="CA85" s="27" t="s">
        <v>39</v>
      </c>
      <c r="CB85" s="27" t="s">
        <v>28</v>
      </c>
      <c r="CC85" s="27" t="s">
        <v>39</v>
      </c>
      <c r="CD85" s="27" t="s">
        <v>33</v>
      </c>
      <c r="CE85" s="27" t="s">
        <v>37</v>
      </c>
      <c r="CF85" s="27" t="s">
        <v>28</v>
      </c>
    </row>
    <row r="86" spans="1:84" s="27" customFormat="1" x14ac:dyDescent="0.35">
      <c r="A86"/>
      <c r="B86" s="54" t="s">
        <v>126</v>
      </c>
      <c r="C86" s="40">
        <v>0.15360000000000001</v>
      </c>
      <c r="D86" s="40">
        <v>0.1479</v>
      </c>
      <c r="E86" s="40">
        <v>0.13690000000000002</v>
      </c>
      <c r="F86" s="40">
        <v>0.15080000000000002</v>
      </c>
      <c r="G86" s="40">
        <v>0.12640000000000001</v>
      </c>
      <c r="H86" s="40">
        <v>0.12480000000000001</v>
      </c>
      <c r="I86" s="40">
        <v>0.14100000000000001</v>
      </c>
      <c r="J86" s="40">
        <v>0.12450000000000001</v>
      </c>
      <c r="K86" s="40">
        <v>0.13840000000000002</v>
      </c>
      <c r="L86" s="40">
        <v>0.1497</v>
      </c>
      <c r="M86" s="40">
        <v>0.13780000000000001</v>
      </c>
      <c r="N86" s="40">
        <v>0.1489</v>
      </c>
      <c r="O86" s="40">
        <v>0.13930000000000001</v>
      </c>
      <c r="P86" s="40">
        <v>0.15510000000000002</v>
      </c>
      <c r="Q86" s="40">
        <v>0.14860000000000001</v>
      </c>
      <c r="R86" s="40">
        <v>0.13650000000000001</v>
      </c>
      <c r="S86" s="40">
        <v>0.12200000000000001</v>
      </c>
      <c r="T86" s="40">
        <v>0.12910000000000002</v>
      </c>
      <c r="U86" s="40">
        <v>0.12830000000000003</v>
      </c>
      <c r="V86" s="40">
        <v>0.13310000000000002</v>
      </c>
      <c r="W86" s="40">
        <v>0.125</v>
      </c>
      <c r="X86" s="40">
        <v>0.1381</v>
      </c>
      <c r="Y86" s="40">
        <v>0.14380000000000001</v>
      </c>
      <c r="Z86" s="40">
        <v>0.1411</v>
      </c>
      <c r="AA86" s="40">
        <v>0.13570000000000002</v>
      </c>
      <c r="AB86" s="40">
        <v>0.13490000000000002</v>
      </c>
      <c r="AD86" s="54" t="s">
        <v>126</v>
      </c>
      <c r="AE86" s="32">
        <v>0.11214007303913598</v>
      </c>
      <c r="AF86" s="32">
        <v>9.9560234498936501E-2</v>
      </c>
      <c r="AG86" s="32">
        <v>0.11532951630421918</v>
      </c>
      <c r="AH86" s="32">
        <v>0.10098854686515381</v>
      </c>
      <c r="AI86" s="32">
        <v>8.8116615179354096E-2</v>
      </c>
      <c r="AJ86" s="32">
        <v>0.11025120598119335</v>
      </c>
      <c r="AK86" s="32">
        <v>7.905416620206826E-2</v>
      </c>
      <c r="AL86" s="32">
        <v>7.3192596773718074E-2</v>
      </c>
      <c r="AM86" s="32">
        <v>9.3495666445541942E-2</v>
      </c>
      <c r="AN86" s="32">
        <v>0.14360527206835549</v>
      </c>
      <c r="AO86" s="32">
        <v>0.15146834605395493</v>
      </c>
      <c r="AP86" s="32">
        <v>0.10850922961620742</v>
      </c>
      <c r="AQ86" s="32">
        <v>0.12373129694481075</v>
      </c>
      <c r="AR86" s="32">
        <v>0.13156981406251747</v>
      </c>
      <c r="AS86" s="32">
        <v>0.10055109042826896</v>
      </c>
      <c r="AT86" s="32">
        <v>0.11584745312751969</v>
      </c>
      <c r="AU86" s="32">
        <v>9.0371275727742395E-2</v>
      </c>
      <c r="AV86" s="32">
        <v>7.6296320884605653E-2</v>
      </c>
      <c r="AW86" s="32">
        <v>9.8848599966029793E-2</v>
      </c>
      <c r="AX86" s="32">
        <v>8.3359487836919752E-2</v>
      </c>
      <c r="AY86" s="32">
        <v>0.11709019227682267</v>
      </c>
      <c r="AZ86" s="32">
        <v>0.12715635376830586</v>
      </c>
      <c r="BA86" s="32">
        <v>0.10648601736198769</v>
      </c>
      <c r="BB86" s="32">
        <v>9.3699692865658907E-2</v>
      </c>
      <c r="BC86" s="32">
        <v>8.7477885082777568E-2</v>
      </c>
      <c r="BD86" s="32">
        <v>7.8088280673630286E-2</v>
      </c>
      <c r="BF86" s="54" t="s">
        <v>126</v>
      </c>
      <c r="BG86" s="27" t="s">
        <v>33</v>
      </c>
      <c r="BH86" s="27" t="s">
        <v>28</v>
      </c>
      <c r="BI86" s="27" t="s">
        <v>33</v>
      </c>
      <c r="BJ86" s="27" t="s">
        <v>37</v>
      </c>
      <c r="BK86" s="27" t="s">
        <v>37</v>
      </c>
      <c r="BL86" s="27" t="s">
        <v>38</v>
      </c>
      <c r="BM86" s="27" t="s">
        <v>37</v>
      </c>
      <c r="BN86" s="27" t="s">
        <v>39</v>
      </c>
      <c r="BO86" s="27" t="s">
        <v>37</v>
      </c>
      <c r="BP86" s="27" t="s">
        <v>37</v>
      </c>
      <c r="BQ86" s="27" t="s">
        <v>21</v>
      </c>
      <c r="BR86" s="27" t="s">
        <v>28</v>
      </c>
      <c r="BS86" s="27" t="s">
        <v>37</v>
      </c>
      <c r="BT86" s="27" t="s">
        <v>37</v>
      </c>
      <c r="BU86" s="27" t="s">
        <v>28</v>
      </c>
      <c r="BV86" s="27" t="s">
        <v>33</v>
      </c>
      <c r="BW86" s="27" t="s">
        <v>22</v>
      </c>
      <c r="BX86" s="27" t="s">
        <v>28</v>
      </c>
      <c r="BY86" s="27" t="s">
        <v>38</v>
      </c>
      <c r="BZ86" s="27" t="s">
        <v>38</v>
      </c>
      <c r="CA86" s="27" t="s">
        <v>38</v>
      </c>
      <c r="CB86" s="27" t="s">
        <v>39</v>
      </c>
      <c r="CC86" s="27" t="s">
        <v>33</v>
      </c>
      <c r="CD86" s="27" t="s">
        <v>22</v>
      </c>
      <c r="CE86" s="27" t="s">
        <v>22</v>
      </c>
      <c r="CF86" s="27" t="s">
        <v>39</v>
      </c>
    </row>
    <row r="87" spans="1:84" s="27" customFormat="1" x14ac:dyDescent="0.35">
      <c r="A87"/>
      <c r="B87" s="54" t="s">
        <v>127</v>
      </c>
      <c r="C87" s="40">
        <v>0.22370000000000001</v>
      </c>
      <c r="D87" s="40">
        <v>0.23050000000000001</v>
      </c>
      <c r="E87" s="40">
        <v>0.21099999999999999</v>
      </c>
      <c r="F87" s="40">
        <v>0.20499999999999999</v>
      </c>
      <c r="G87" s="40">
        <v>0.2366</v>
      </c>
      <c r="H87" s="40">
        <v>0.21390000000000001</v>
      </c>
      <c r="I87" s="40">
        <v>0.20200000000000001</v>
      </c>
      <c r="J87" s="40">
        <v>0.2354</v>
      </c>
      <c r="K87" s="40">
        <v>0.2031</v>
      </c>
      <c r="L87" s="40">
        <v>0.2205</v>
      </c>
      <c r="M87" s="40">
        <v>0.21829999999999999</v>
      </c>
      <c r="N87" s="40">
        <v>0.22720000000000001</v>
      </c>
      <c r="O87" s="40">
        <v>0.2366</v>
      </c>
      <c r="P87" s="40">
        <v>0.2185</v>
      </c>
      <c r="Q87" s="40">
        <v>0.21929999999999999</v>
      </c>
      <c r="R87" s="40">
        <v>0.2107</v>
      </c>
      <c r="S87" s="40">
        <v>0.2306</v>
      </c>
      <c r="T87" s="40">
        <v>0.21129999999999999</v>
      </c>
      <c r="U87" s="40">
        <v>0.20599999999999999</v>
      </c>
      <c r="V87" s="40">
        <v>0.22900000000000001</v>
      </c>
      <c r="W87" s="40">
        <v>0.20849999999999999</v>
      </c>
      <c r="X87" s="40">
        <v>0.2298</v>
      </c>
      <c r="Y87" s="40">
        <v>0.2276</v>
      </c>
      <c r="Z87" s="40">
        <v>0.23200000000000001</v>
      </c>
      <c r="AA87" s="40">
        <v>0.23430000000000001</v>
      </c>
      <c r="AB87" s="40">
        <v>0.20180000000000001</v>
      </c>
      <c r="AD87" s="54" t="s">
        <v>127</v>
      </c>
      <c r="AE87" s="32">
        <v>0.12909376225913599</v>
      </c>
      <c r="AF87" s="32">
        <v>0.1165139237189365</v>
      </c>
      <c r="AG87" s="32">
        <v>0.13228320552421918</v>
      </c>
      <c r="AH87" s="32">
        <v>0.11794223608515381</v>
      </c>
      <c r="AI87" s="32">
        <v>0.10507030439935409</v>
      </c>
      <c r="AJ87" s="32">
        <v>0.12720489520119335</v>
      </c>
      <c r="AK87" s="32">
        <v>9.6007855422068258E-2</v>
      </c>
      <c r="AL87" s="32">
        <v>9.0146285993718073E-2</v>
      </c>
      <c r="AM87" s="32">
        <v>0.11044935566554194</v>
      </c>
      <c r="AN87" s="32">
        <v>0.16055896128835548</v>
      </c>
      <c r="AO87" s="32">
        <v>0.16842203527395494</v>
      </c>
      <c r="AP87" s="32">
        <v>0.12546291883620742</v>
      </c>
      <c r="AQ87" s="32">
        <v>0.14068498616481073</v>
      </c>
      <c r="AR87" s="32">
        <v>0.14852350328251746</v>
      </c>
      <c r="AS87" s="32">
        <v>0.11750477964826896</v>
      </c>
      <c r="AT87" s="32">
        <v>0.13280114234751969</v>
      </c>
      <c r="AU87" s="32">
        <v>0.10732496494774239</v>
      </c>
      <c r="AV87" s="32">
        <v>9.3250010104605652E-2</v>
      </c>
      <c r="AW87" s="32">
        <v>0.11580228918602979</v>
      </c>
      <c r="AX87" s="32">
        <v>0.10031317705691975</v>
      </c>
      <c r="AY87" s="32">
        <v>0.13404388149682267</v>
      </c>
      <c r="AZ87" s="32">
        <v>0.14411004298830588</v>
      </c>
      <c r="BA87" s="32">
        <v>0.12343970658198769</v>
      </c>
      <c r="BB87" s="32">
        <v>0.11065338208565891</v>
      </c>
      <c r="BC87" s="32">
        <v>0.10443157430277757</v>
      </c>
      <c r="BD87" s="32">
        <v>9.5041969893630285E-2</v>
      </c>
      <c r="BF87" s="54" t="s">
        <v>127</v>
      </c>
      <c r="BG87" s="27" t="s">
        <v>28</v>
      </c>
      <c r="BH87" s="27" t="s">
        <v>39</v>
      </c>
      <c r="BI87" s="27" t="s">
        <v>28</v>
      </c>
      <c r="BJ87" s="27" t="s">
        <v>39</v>
      </c>
      <c r="BK87" s="27" t="s">
        <v>37</v>
      </c>
      <c r="BL87" s="27" t="s">
        <v>33</v>
      </c>
      <c r="BM87" s="27" t="s">
        <v>28</v>
      </c>
      <c r="BN87" s="27" t="s">
        <v>39</v>
      </c>
      <c r="BO87" s="27" t="s">
        <v>38</v>
      </c>
      <c r="BP87" s="27" t="s">
        <v>37</v>
      </c>
      <c r="BQ87" s="27" t="s">
        <v>28</v>
      </c>
      <c r="BR87" s="27" t="s">
        <v>33</v>
      </c>
      <c r="BS87" s="27" t="s">
        <v>38</v>
      </c>
      <c r="BT87" s="27" t="s">
        <v>21</v>
      </c>
      <c r="BU87" s="27" t="s">
        <v>22</v>
      </c>
      <c r="BV87" s="27" t="s">
        <v>22</v>
      </c>
      <c r="BW87" s="27" t="s">
        <v>38</v>
      </c>
      <c r="BX87" s="27" t="s">
        <v>37</v>
      </c>
      <c r="BY87" s="27" t="s">
        <v>38</v>
      </c>
      <c r="BZ87" s="27" t="s">
        <v>22</v>
      </c>
      <c r="CA87" s="27" t="s">
        <v>33</v>
      </c>
      <c r="CB87" s="27" t="s">
        <v>39</v>
      </c>
      <c r="CC87" s="27" t="s">
        <v>39</v>
      </c>
      <c r="CD87" s="27" t="s">
        <v>38</v>
      </c>
      <c r="CE87" s="27" t="s">
        <v>28</v>
      </c>
      <c r="CF87" s="27" t="s">
        <v>33</v>
      </c>
    </row>
    <row r="88" spans="1:84" s="27" customFormat="1" x14ac:dyDescent="0.35">
      <c r="A88"/>
      <c r="B88" s="54" t="s">
        <v>128</v>
      </c>
      <c r="C88" s="40">
        <v>0.11879999999999999</v>
      </c>
      <c r="D88" s="40">
        <v>9.6799999999999997E-2</v>
      </c>
      <c r="E88" s="40">
        <v>0.1041</v>
      </c>
      <c r="F88" s="40">
        <v>8.77E-2</v>
      </c>
      <c r="G88" s="40">
        <v>9.5299999999999996E-2</v>
      </c>
      <c r="H88" s="40">
        <v>9.5500000000000002E-2</v>
      </c>
      <c r="I88" s="40">
        <v>0.1069</v>
      </c>
      <c r="J88" s="40">
        <v>0.10919999999999999</v>
      </c>
      <c r="K88" s="40">
        <v>9.4299999999999995E-2</v>
      </c>
      <c r="L88" s="40">
        <v>0.11929999999999999</v>
      </c>
      <c r="M88" s="40">
        <v>0.10479999999999999</v>
      </c>
      <c r="N88" s="40">
        <v>0.11849999999999999</v>
      </c>
      <c r="O88" s="40">
        <v>8.8200000000000001E-2</v>
      </c>
      <c r="P88" s="40">
        <v>0.10829999999999999</v>
      </c>
      <c r="Q88" s="40">
        <v>0.1075</v>
      </c>
      <c r="R88" s="40">
        <v>9.0999999999999998E-2</v>
      </c>
      <c r="S88" s="40">
        <v>0.11929999999999999</v>
      </c>
      <c r="T88" s="40">
        <v>9.0399999999999994E-2</v>
      </c>
      <c r="U88" s="40">
        <v>8.8899999999999993E-2</v>
      </c>
      <c r="V88" s="40">
        <v>0.10479999999999999</v>
      </c>
      <c r="W88" s="40">
        <v>0.11839999999999999</v>
      </c>
      <c r="X88" s="40">
        <v>0.11509999999999999</v>
      </c>
      <c r="Y88" s="40">
        <v>0.10089999999999999</v>
      </c>
      <c r="Z88" s="40">
        <v>0.1017</v>
      </c>
      <c r="AA88" s="40">
        <v>0.10769999999999999</v>
      </c>
      <c r="AB88" s="40">
        <v>0.10089999999999999</v>
      </c>
      <c r="AD88" s="54" t="s">
        <v>128</v>
      </c>
      <c r="AE88" s="32">
        <v>0.11945157303913598</v>
      </c>
      <c r="AF88" s="32">
        <v>0.1068717344989365</v>
      </c>
      <c r="AG88" s="32">
        <v>0.12264101630421918</v>
      </c>
      <c r="AH88" s="32">
        <v>0.10830004686515381</v>
      </c>
      <c r="AI88" s="32">
        <v>9.5428115179354095E-2</v>
      </c>
      <c r="AJ88" s="32">
        <v>0.11756270598119335</v>
      </c>
      <c r="AK88" s="32">
        <v>8.6365666202068259E-2</v>
      </c>
      <c r="AL88" s="32">
        <v>8.0504096773718073E-2</v>
      </c>
      <c r="AM88" s="32">
        <v>0.10080716644554194</v>
      </c>
      <c r="AN88" s="32">
        <v>0.15091677206835546</v>
      </c>
      <c r="AO88" s="32">
        <v>0.15877984605395495</v>
      </c>
      <c r="AP88" s="32">
        <v>0.11582072961620742</v>
      </c>
      <c r="AQ88" s="32">
        <v>0.13104279694481075</v>
      </c>
      <c r="AR88" s="32">
        <v>0.13888131406251747</v>
      </c>
      <c r="AS88" s="32">
        <v>0.10786259042826896</v>
      </c>
      <c r="AT88" s="32">
        <v>0.12315895312751969</v>
      </c>
      <c r="AU88" s="32">
        <v>9.7682775727742394E-2</v>
      </c>
      <c r="AV88" s="32">
        <v>8.3607820884605652E-2</v>
      </c>
      <c r="AW88" s="32">
        <v>0.10616009996602979</v>
      </c>
      <c r="AX88" s="32">
        <v>9.067098783691975E-2</v>
      </c>
      <c r="AY88" s="32">
        <v>0.12440169227682267</v>
      </c>
      <c r="AZ88" s="32">
        <v>0.13446785376830586</v>
      </c>
      <c r="BA88" s="32">
        <v>0.11379751736198769</v>
      </c>
      <c r="BB88" s="32">
        <v>0.10101119286565891</v>
      </c>
      <c r="BC88" s="32">
        <v>9.4789385082777566E-2</v>
      </c>
      <c r="BD88" s="32">
        <v>8.5399780673630285E-2</v>
      </c>
      <c r="BF88" s="54" t="s">
        <v>128</v>
      </c>
      <c r="BG88" s="27" t="s">
        <v>21</v>
      </c>
      <c r="BH88" s="27" t="s">
        <v>33</v>
      </c>
      <c r="BI88" s="27" t="s">
        <v>38</v>
      </c>
      <c r="BJ88" s="27" t="s">
        <v>38</v>
      </c>
      <c r="BK88" s="27" t="s">
        <v>22</v>
      </c>
      <c r="BL88" s="27" t="s">
        <v>28</v>
      </c>
      <c r="BM88" s="27" t="s">
        <v>28</v>
      </c>
      <c r="BN88" s="27" t="s">
        <v>37</v>
      </c>
      <c r="BO88" s="27" t="s">
        <v>39</v>
      </c>
      <c r="BP88" s="27" t="s">
        <v>21</v>
      </c>
      <c r="BQ88" s="27" t="s">
        <v>37</v>
      </c>
      <c r="BR88" s="27" t="s">
        <v>22</v>
      </c>
      <c r="BS88" s="27" t="s">
        <v>33</v>
      </c>
      <c r="BT88" s="27" t="s">
        <v>39</v>
      </c>
      <c r="BU88" s="27" t="s">
        <v>22</v>
      </c>
      <c r="BV88" s="27" t="s">
        <v>38</v>
      </c>
      <c r="BW88" s="27" t="s">
        <v>39</v>
      </c>
      <c r="BX88" s="27" t="s">
        <v>33</v>
      </c>
      <c r="BY88" s="27" t="s">
        <v>21</v>
      </c>
      <c r="BZ88" s="27" t="s">
        <v>37</v>
      </c>
      <c r="CA88" s="27" t="s">
        <v>33</v>
      </c>
      <c r="CB88" s="27" t="s">
        <v>38</v>
      </c>
      <c r="CC88" s="27" t="s">
        <v>33</v>
      </c>
      <c r="CD88" s="27" t="s">
        <v>37</v>
      </c>
      <c r="CE88" s="27" t="s">
        <v>39</v>
      </c>
      <c r="CF88" s="27" t="s">
        <v>37</v>
      </c>
    </row>
    <row r="89" spans="1:84" s="27" customFormat="1" x14ac:dyDescent="0.35">
      <c r="A89"/>
      <c r="B89" s="54" t="s">
        <v>164</v>
      </c>
      <c r="C89" s="40">
        <v>6.0600000000000057E-2</v>
      </c>
      <c r="D89" s="40">
        <v>7.4800000000000061E-2</v>
      </c>
      <c r="E89" s="40">
        <v>6.8700000000000039E-2</v>
      </c>
      <c r="F89" s="40">
        <v>6.2700000000000047E-2</v>
      </c>
      <c r="G89" s="40">
        <v>5.7700000000000057E-2</v>
      </c>
      <c r="H89" s="40">
        <v>7.1300000000000058E-2</v>
      </c>
      <c r="I89" s="40">
        <v>5.780000000000006E-2</v>
      </c>
      <c r="J89" s="40">
        <v>6.4500000000000057E-2</v>
      </c>
      <c r="K89" s="40">
        <v>5.7700000000000064E-2</v>
      </c>
      <c r="L89" s="40">
        <v>6.1600000000000057E-2</v>
      </c>
      <c r="M89" s="40">
        <v>6.8700000000000053E-2</v>
      </c>
      <c r="N89" s="40">
        <v>7.4600000000000055E-2</v>
      </c>
      <c r="O89" s="40">
        <v>6.4700000000000063E-2</v>
      </c>
      <c r="P89" s="40">
        <v>5.5500000000000063E-2</v>
      </c>
      <c r="Q89" s="40">
        <v>6.8300000000000055E-2</v>
      </c>
      <c r="R89" s="40">
        <v>5.6300000000000058E-2</v>
      </c>
      <c r="S89" s="40">
        <v>6.1000000000000054E-2</v>
      </c>
      <c r="T89" s="40">
        <v>5.6800000000000059E-2</v>
      </c>
      <c r="U89" s="40">
        <v>6.9200000000000053E-2</v>
      </c>
      <c r="V89" s="40">
        <v>7.3200000000000057E-2</v>
      </c>
      <c r="W89" s="40">
        <v>5.9300000000000061E-2</v>
      </c>
      <c r="X89" s="40">
        <v>6.9800000000000056E-2</v>
      </c>
      <c r="Y89" s="40">
        <v>7.4200000000000044E-2</v>
      </c>
      <c r="Z89" s="40">
        <v>5.8300000000000067E-2</v>
      </c>
      <c r="AA89" s="40">
        <v>7.4700000000000058E-2</v>
      </c>
      <c r="AB89" s="40">
        <v>5.6800000000000059E-2</v>
      </c>
      <c r="AD89" s="54" t="s">
        <v>164</v>
      </c>
      <c r="AE89" s="32">
        <v>0.10415007303913598</v>
      </c>
      <c r="AF89" s="32">
        <v>9.1570234498936504E-2</v>
      </c>
      <c r="AG89" s="32">
        <v>0.10733951630421919</v>
      </c>
      <c r="AH89" s="32">
        <v>9.2998546865153811E-2</v>
      </c>
      <c r="AI89" s="32">
        <v>8.0126615179354099E-2</v>
      </c>
      <c r="AJ89" s="32">
        <v>0.10226120598119336</v>
      </c>
      <c r="AK89" s="32">
        <v>7.1064166202068263E-2</v>
      </c>
      <c r="AL89" s="32">
        <v>6.5202596773718077E-2</v>
      </c>
      <c r="AM89" s="32">
        <v>8.5505666445541945E-2</v>
      </c>
      <c r="AN89" s="32">
        <v>0.1356152720683555</v>
      </c>
      <c r="AO89" s="32">
        <v>0.14347834605395493</v>
      </c>
      <c r="AP89" s="32">
        <v>0.10051922961620742</v>
      </c>
      <c r="AQ89" s="32">
        <v>0.11574129694481075</v>
      </c>
      <c r="AR89" s="32">
        <v>0.12357981406251747</v>
      </c>
      <c r="AS89" s="32">
        <v>9.2561090428268961E-2</v>
      </c>
      <c r="AT89" s="32">
        <v>0.1078574531275197</v>
      </c>
      <c r="AU89" s="32">
        <v>8.2381275727742398E-2</v>
      </c>
      <c r="AV89" s="32">
        <v>6.8306320884605656E-2</v>
      </c>
      <c r="AW89" s="32">
        <v>9.0858599966029796E-2</v>
      </c>
      <c r="AX89" s="32">
        <v>7.5369487836919755E-2</v>
      </c>
      <c r="AY89" s="32">
        <v>0.10910019227682267</v>
      </c>
      <c r="AZ89" s="32">
        <v>0.11916635376830587</v>
      </c>
      <c r="BA89" s="32">
        <v>9.8496017361987695E-2</v>
      </c>
      <c r="BB89" s="32">
        <v>8.570969286565891E-2</v>
      </c>
      <c r="BC89" s="32">
        <v>7.9487885082777571E-2</v>
      </c>
      <c r="BD89" s="32">
        <v>7.0098280673630289E-2</v>
      </c>
      <c r="BF89" s="54" t="s">
        <v>164</v>
      </c>
      <c r="BG89" s="27" t="s">
        <v>38</v>
      </c>
      <c r="BH89" s="27" t="s">
        <v>28</v>
      </c>
      <c r="BI89" s="27" t="s">
        <v>22</v>
      </c>
      <c r="BJ89" s="27" t="s">
        <v>22</v>
      </c>
      <c r="BK89" s="27" t="s">
        <v>37</v>
      </c>
      <c r="BL89" s="27" t="s">
        <v>39</v>
      </c>
      <c r="BM89" s="27" t="s">
        <v>38</v>
      </c>
      <c r="BN89" s="27" t="s">
        <v>22</v>
      </c>
      <c r="BO89" s="27" t="s">
        <v>28</v>
      </c>
      <c r="BP89" s="27" t="s">
        <v>39</v>
      </c>
      <c r="BQ89" s="27" t="s">
        <v>38</v>
      </c>
      <c r="BR89" s="27" t="s">
        <v>21</v>
      </c>
      <c r="BS89" s="27" t="s">
        <v>39</v>
      </c>
      <c r="BT89" s="27" t="s">
        <v>37</v>
      </c>
      <c r="BU89" s="27" t="s">
        <v>28</v>
      </c>
      <c r="BV89" s="27" t="s">
        <v>28</v>
      </c>
      <c r="BW89" s="27" t="s">
        <v>38</v>
      </c>
      <c r="BX89" s="27" t="s">
        <v>28</v>
      </c>
      <c r="BY89" s="27" t="s">
        <v>28</v>
      </c>
      <c r="BZ89" s="27" t="s">
        <v>21</v>
      </c>
      <c r="CA89" s="27" t="s">
        <v>22</v>
      </c>
      <c r="CB89" s="27" t="s">
        <v>37</v>
      </c>
      <c r="CC89" s="27" t="s">
        <v>39</v>
      </c>
      <c r="CD89" s="27" t="s">
        <v>39</v>
      </c>
      <c r="CE89" s="27" t="s">
        <v>39</v>
      </c>
      <c r="CF89" s="27" t="s">
        <v>38</v>
      </c>
    </row>
    <row r="90" spans="1:84" x14ac:dyDescent="0.35">
      <c r="B90" t="s">
        <v>129</v>
      </c>
      <c r="C90" s="12">
        <v>7.85E-2</v>
      </c>
      <c r="D90" s="12">
        <v>7.8399999999999997E-2</v>
      </c>
      <c r="E90" s="12">
        <v>5.7600000000000005E-2</v>
      </c>
      <c r="F90" s="12">
        <v>6.770000000000001E-2</v>
      </c>
      <c r="G90" s="12">
        <v>5.6000000000000008E-2</v>
      </c>
      <c r="H90" s="12">
        <v>6.3200000000000006E-2</v>
      </c>
      <c r="I90" s="12">
        <v>5.9300000000000005E-2</v>
      </c>
      <c r="J90" s="12">
        <v>7.0199999999999999E-2</v>
      </c>
      <c r="K90" s="12">
        <v>5.8800000000000005E-2</v>
      </c>
      <c r="L90" s="12">
        <v>6.4700000000000008E-2</v>
      </c>
      <c r="M90" s="12">
        <v>7.8899999999999998E-2</v>
      </c>
      <c r="N90" s="12">
        <v>6.1700000000000005E-2</v>
      </c>
      <c r="O90" s="12">
        <v>6.8200000000000011E-2</v>
      </c>
      <c r="P90" s="12">
        <v>5.7500000000000002E-2</v>
      </c>
      <c r="Q90" s="12">
        <v>6.7600000000000007E-2</v>
      </c>
      <c r="R90" s="12">
        <v>6.1300000000000007E-2</v>
      </c>
      <c r="S90" s="12">
        <v>7.400000000000001E-2</v>
      </c>
      <c r="T90" s="12">
        <v>7.9699999999999993E-2</v>
      </c>
      <c r="U90" s="12">
        <v>7.4700000000000003E-2</v>
      </c>
      <c r="V90" s="12">
        <v>6.3000000000000014E-2</v>
      </c>
      <c r="W90" s="12">
        <v>5.7400000000000007E-2</v>
      </c>
      <c r="X90" s="12">
        <v>7.7499999999999999E-2</v>
      </c>
      <c r="Y90" s="12">
        <v>5.5900000000000005E-2</v>
      </c>
      <c r="Z90" s="12">
        <v>6.3200000000000006E-2</v>
      </c>
      <c r="AA90" s="12">
        <v>6.88E-2</v>
      </c>
      <c r="AB90" s="12">
        <v>5.7100000000000005E-2</v>
      </c>
      <c r="AD90" t="s">
        <v>129</v>
      </c>
      <c r="AE90" s="20">
        <v>9.3080594226083099E-2</v>
      </c>
      <c r="AF90" s="20">
        <v>8.0500755685883621E-2</v>
      </c>
      <c r="AG90" s="20">
        <v>9.6270037491166305E-2</v>
      </c>
      <c r="AH90" s="20">
        <v>8.1929068052100928E-2</v>
      </c>
      <c r="AI90" s="20">
        <v>6.9057136366301217E-2</v>
      </c>
      <c r="AJ90" s="20">
        <v>9.1191727168140474E-2</v>
      </c>
      <c r="AK90" s="20">
        <v>5.999468738901538E-2</v>
      </c>
      <c r="AL90" s="20">
        <v>5.4133117960665195E-2</v>
      </c>
      <c r="AM90" s="20">
        <v>7.4436187632489062E-2</v>
      </c>
      <c r="AN90" s="20">
        <v>0.1245457932553026</v>
      </c>
      <c r="AO90" s="20">
        <v>0.13240886724090206</v>
      </c>
      <c r="AP90" s="20">
        <v>8.9449750803154537E-2</v>
      </c>
      <c r="AQ90" s="20">
        <v>0.10467181813175787</v>
      </c>
      <c r="AR90" s="20">
        <v>0.11251033524946459</v>
      </c>
      <c r="AS90" s="20">
        <v>8.1491611615216078E-2</v>
      </c>
      <c r="AT90" s="20">
        <v>9.6787974314466813E-2</v>
      </c>
      <c r="AU90" s="20">
        <v>7.1311796914689515E-2</v>
      </c>
      <c r="AV90" s="20">
        <v>5.7236842071552774E-2</v>
      </c>
      <c r="AW90" s="20">
        <v>7.9789121152976913E-2</v>
      </c>
      <c r="AX90" s="20">
        <v>6.4300009023866872E-2</v>
      </c>
      <c r="AY90" s="20">
        <v>9.8030713463769792E-2</v>
      </c>
      <c r="AZ90" s="20">
        <v>0.10809687495525298</v>
      </c>
      <c r="BA90" s="20">
        <v>8.7426538548934812E-2</v>
      </c>
      <c r="BB90" s="20">
        <v>7.4640214052606027E-2</v>
      </c>
      <c r="BC90" s="20">
        <v>6.8418406269724688E-2</v>
      </c>
      <c r="BD90" s="20">
        <v>5.9028801860577407E-2</v>
      </c>
      <c r="BF90" t="s">
        <v>129</v>
      </c>
      <c r="BG90" t="s">
        <v>37</v>
      </c>
      <c r="BH90" t="s">
        <v>33</v>
      </c>
      <c r="BI90" t="s">
        <v>37</v>
      </c>
      <c r="BJ90" t="s">
        <v>37</v>
      </c>
      <c r="BK90" t="s">
        <v>21</v>
      </c>
      <c r="BL90" t="s">
        <v>22</v>
      </c>
      <c r="BM90" t="s">
        <v>38</v>
      </c>
      <c r="BN90" t="s">
        <v>39</v>
      </c>
      <c r="BO90" t="s">
        <v>33</v>
      </c>
      <c r="BP90" t="s">
        <v>37</v>
      </c>
      <c r="BQ90" t="s">
        <v>39</v>
      </c>
      <c r="BR90" t="s">
        <v>28</v>
      </c>
      <c r="BS90" t="s">
        <v>21</v>
      </c>
      <c r="BT90" t="s">
        <v>33</v>
      </c>
      <c r="BU90" t="s">
        <v>28</v>
      </c>
      <c r="BV90" t="s">
        <v>39</v>
      </c>
      <c r="BW90" t="s">
        <v>37</v>
      </c>
      <c r="BX90" t="s">
        <v>39</v>
      </c>
      <c r="BY90" t="s">
        <v>22</v>
      </c>
      <c r="BZ90" t="s">
        <v>22</v>
      </c>
      <c r="CA90" t="s">
        <v>21</v>
      </c>
      <c r="CB90" t="s">
        <v>39</v>
      </c>
      <c r="CC90" t="s">
        <v>38</v>
      </c>
      <c r="CD90" t="s">
        <v>33</v>
      </c>
      <c r="CE90" t="s">
        <v>21</v>
      </c>
      <c r="CF90" t="s">
        <v>37</v>
      </c>
    </row>
    <row r="91" spans="1:84" x14ac:dyDescent="0.35">
      <c r="B91" t="s">
        <v>130</v>
      </c>
      <c r="C91" s="12">
        <v>0.12960000000000002</v>
      </c>
      <c r="D91" s="12">
        <v>0.14720000000000003</v>
      </c>
      <c r="E91" s="12">
        <v>0.14650000000000002</v>
      </c>
      <c r="F91" s="12">
        <v>0.14860000000000001</v>
      </c>
      <c r="G91" s="12">
        <v>0.14700000000000002</v>
      </c>
      <c r="H91" s="12">
        <v>0.15380000000000002</v>
      </c>
      <c r="I91" s="12">
        <v>0.15110000000000001</v>
      </c>
      <c r="J91" s="12">
        <v>0.14530000000000001</v>
      </c>
      <c r="K91" s="12">
        <v>0.13360000000000002</v>
      </c>
      <c r="L91" s="12">
        <v>0.13460000000000003</v>
      </c>
      <c r="M91" s="12">
        <v>0.15410000000000001</v>
      </c>
      <c r="N91" s="12">
        <v>0.13810000000000003</v>
      </c>
      <c r="O91" s="12">
        <v>0.15500000000000003</v>
      </c>
      <c r="P91" s="12">
        <v>0.14420000000000002</v>
      </c>
      <c r="Q91" s="12">
        <v>0.14250000000000002</v>
      </c>
      <c r="R91" s="12">
        <v>0.16000000000000003</v>
      </c>
      <c r="S91" s="12">
        <v>0.14440000000000003</v>
      </c>
      <c r="T91" s="12">
        <v>0.15590000000000001</v>
      </c>
      <c r="U91" s="12">
        <v>0.12890000000000001</v>
      </c>
      <c r="V91" s="12">
        <v>0.15110000000000001</v>
      </c>
      <c r="W91" s="12">
        <v>0.14600000000000002</v>
      </c>
      <c r="X91" s="12">
        <v>0.14940000000000001</v>
      </c>
      <c r="Y91" s="12">
        <v>0.15040000000000001</v>
      </c>
      <c r="Z91" s="12">
        <v>0.14750000000000002</v>
      </c>
      <c r="AA91" s="12">
        <v>0.13970000000000002</v>
      </c>
      <c r="AB91" s="12">
        <v>0.14900000000000002</v>
      </c>
      <c r="AD91" t="s">
        <v>130</v>
      </c>
      <c r="AE91" s="20">
        <v>0.1123572718750554</v>
      </c>
      <c r="AF91" s="20">
        <v>9.9777433334855919E-2</v>
      </c>
      <c r="AG91" s="20">
        <v>0.1155467151401386</v>
      </c>
      <c r="AH91" s="20">
        <v>0.10120574570107323</v>
      </c>
      <c r="AI91" s="20">
        <v>8.8333814015273515E-2</v>
      </c>
      <c r="AJ91" s="20">
        <v>0.11046840481711277</v>
      </c>
      <c r="AK91" s="20">
        <v>7.9271365037987679E-2</v>
      </c>
      <c r="AL91" s="20">
        <v>7.3409795609637493E-2</v>
      </c>
      <c r="AM91" s="20">
        <v>9.3712865281461361E-2</v>
      </c>
      <c r="AN91" s="20">
        <v>0.14382247090427491</v>
      </c>
      <c r="AO91" s="20">
        <v>0.15168554488987435</v>
      </c>
      <c r="AP91" s="20">
        <v>0.10872642845212684</v>
      </c>
      <c r="AQ91" s="20">
        <v>0.12394849578073017</v>
      </c>
      <c r="AR91" s="20">
        <v>0.13178701289843689</v>
      </c>
      <c r="AS91" s="20">
        <v>0.10076828926418838</v>
      </c>
      <c r="AT91" s="20">
        <v>0.11606465196343911</v>
      </c>
      <c r="AU91" s="20">
        <v>9.0588474563661814E-2</v>
      </c>
      <c r="AV91" s="20">
        <v>7.6513519720525072E-2</v>
      </c>
      <c r="AW91" s="20">
        <v>9.9065798801949212E-2</v>
      </c>
      <c r="AX91" s="20">
        <v>8.3576686672839171E-2</v>
      </c>
      <c r="AY91" s="20">
        <v>0.11730739111274209</v>
      </c>
      <c r="AZ91" s="20">
        <v>0.12737355260422528</v>
      </c>
      <c r="BA91" s="20">
        <v>0.10670321619790711</v>
      </c>
      <c r="BB91" s="20">
        <v>9.3916891701578326E-2</v>
      </c>
      <c r="BC91" s="20">
        <v>8.7695083918696987E-2</v>
      </c>
      <c r="BD91" s="20">
        <v>7.8305479509549705E-2</v>
      </c>
      <c r="BF91" t="s">
        <v>130</v>
      </c>
      <c r="BG91" t="s">
        <v>28</v>
      </c>
      <c r="BH91" t="s">
        <v>22</v>
      </c>
      <c r="BI91" t="s">
        <v>33</v>
      </c>
      <c r="BJ91" t="s">
        <v>22</v>
      </c>
      <c r="BK91" t="s">
        <v>33</v>
      </c>
      <c r="BL91" t="s">
        <v>33</v>
      </c>
      <c r="BM91" t="s">
        <v>21</v>
      </c>
      <c r="BN91" t="s">
        <v>22</v>
      </c>
      <c r="BO91" t="s">
        <v>21</v>
      </c>
      <c r="BP91" t="s">
        <v>33</v>
      </c>
      <c r="BQ91" t="s">
        <v>37</v>
      </c>
      <c r="BR91" t="s">
        <v>39</v>
      </c>
      <c r="BS91" t="s">
        <v>33</v>
      </c>
      <c r="BT91" t="s">
        <v>33</v>
      </c>
      <c r="BU91" t="s">
        <v>33</v>
      </c>
      <c r="BV91" t="s">
        <v>38</v>
      </c>
      <c r="BW91" t="s">
        <v>22</v>
      </c>
      <c r="BX91" t="s">
        <v>38</v>
      </c>
      <c r="BY91" t="s">
        <v>33</v>
      </c>
      <c r="BZ91" t="s">
        <v>39</v>
      </c>
      <c r="CA91" t="s">
        <v>28</v>
      </c>
      <c r="CB91" t="s">
        <v>39</v>
      </c>
      <c r="CC91" t="s">
        <v>22</v>
      </c>
      <c r="CD91" t="s">
        <v>37</v>
      </c>
      <c r="CE91" t="s">
        <v>22</v>
      </c>
      <c r="CF91" t="s">
        <v>21</v>
      </c>
    </row>
    <row r="93" spans="1:84" ht="15.5" x14ac:dyDescent="0.35">
      <c r="B93" s="31" t="s">
        <v>45</v>
      </c>
      <c r="AD93" s="31" t="s">
        <v>45</v>
      </c>
      <c r="AE93" s="41">
        <f>AE94*C94+AE99*C99+AE103*C103+AE107*C107+AE111*C111+AE114*C114+AE115*C115</f>
        <v>0.1204533927639774</v>
      </c>
      <c r="AF93" s="41">
        <f t="shared" ref="AF93:BD93" si="30">AF94*D94+AF99*D99+AF103*D103+AF107*D107+AF111*D111+AF114*D114+AF115*D115</f>
        <v>0.10642822570880107</v>
      </c>
      <c r="AG93" s="41">
        <f t="shared" si="30"/>
        <v>0.12389879604914551</v>
      </c>
      <c r="AH93" s="41">
        <f t="shared" si="30"/>
        <v>0.1085265431920724</v>
      </c>
      <c r="AI93" s="41">
        <f t="shared" si="30"/>
        <v>9.6088651621793086E-2</v>
      </c>
      <c r="AJ93" s="41">
        <f t="shared" si="30"/>
        <v>0.11666342640328216</v>
      </c>
      <c r="AK93" s="41">
        <f t="shared" si="30"/>
        <v>8.798823028541386E-2</v>
      </c>
      <c r="AL93" s="41">
        <f t="shared" si="30"/>
        <v>8.0481188314705951E-2</v>
      </c>
      <c r="AM93" s="41">
        <f t="shared" si="30"/>
        <v>0.10183134202928121</v>
      </c>
      <c r="AN93" s="41">
        <f t="shared" si="30"/>
        <v>0.15056812860741997</v>
      </c>
      <c r="AO93" s="41">
        <f t="shared" si="30"/>
        <v>0.15766343573437341</v>
      </c>
      <c r="AP93" s="41">
        <f t="shared" si="30"/>
        <v>0.11557037931267543</v>
      </c>
      <c r="AQ93" s="41">
        <f t="shared" si="30"/>
        <v>0.13158329375597805</v>
      </c>
      <c r="AR93" s="41">
        <f t="shared" si="30"/>
        <v>0.13957558819576196</v>
      </c>
      <c r="AS93" s="41">
        <f t="shared" si="30"/>
        <v>0.10863299696493479</v>
      </c>
      <c r="AT93" s="41">
        <f t="shared" si="30"/>
        <v>0.1232836043931278</v>
      </c>
      <c r="AU93" s="41">
        <f t="shared" si="30"/>
        <v>9.7998101121143599E-2</v>
      </c>
      <c r="AV93" s="41">
        <f t="shared" si="30"/>
        <v>8.2743629782759426E-2</v>
      </c>
      <c r="AW93" s="41">
        <f t="shared" si="30"/>
        <v>0.10616569041421411</v>
      </c>
      <c r="AX93" s="41">
        <f t="shared" si="30"/>
        <v>9.1107772488374955E-2</v>
      </c>
      <c r="AY93" s="41">
        <f t="shared" si="30"/>
        <v>0.12463379950073465</v>
      </c>
      <c r="AZ93" s="41">
        <f t="shared" si="30"/>
        <v>0.13277475053544693</v>
      </c>
      <c r="BA93" s="41">
        <f t="shared" si="30"/>
        <v>0.11374600135868351</v>
      </c>
      <c r="BB93" s="41">
        <f t="shared" si="30"/>
        <v>0.10072186163731775</v>
      </c>
      <c r="BC93" s="41">
        <f t="shared" si="30"/>
        <v>9.3673490997321474E-2</v>
      </c>
      <c r="BD93" s="41">
        <f t="shared" si="30"/>
        <v>8.6209544883789763E-2</v>
      </c>
      <c r="BF93" s="31" t="s">
        <v>45</v>
      </c>
    </row>
    <row r="94" spans="1:84" x14ac:dyDescent="0.35">
      <c r="B94" t="s">
        <v>131</v>
      </c>
      <c r="C94" s="20">
        <f t="shared" ref="C94:AB94" si="31">C64</f>
        <v>0.26179999999999992</v>
      </c>
      <c r="D94" s="20">
        <f t="shared" si="31"/>
        <v>0.22049999999999992</v>
      </c>
      <c r="E94" s="20">
        <f t="shared" si="31"/>
        <v>0.23370000000000002</v>
      </c>
      <c r="F94" s="20">
        <f t="shared" si="31"/>
        <v>0.24039999999999995</v>
      </c>
      <c r="G94" s="20">
        <f t="shared" si="31"/>
        <v>0.24129999999999985</v>
      </c>
      <c r="H94" s="20">
        <f t="shared" si="31"/>
        <v>0.20299999999999985</v>
      </c>
      <c r="I94" s="20">
        <f t="shared" si="31"/>
        <v>0.26090000000000002</v>
      </c>
      <c r="J94" s="20">
        <f t="shared" si="31"/>
        <v>0.22339999999999993</v>
      </c>
      <c r="K94" s="20">
        <f t="shared" si="31"/>
        <v>0.25829999999999997</v>
      </c>
      <c r="L94" s="20">
        <f t="shared" si="31"/>
        <v>0.19919999999999993</v>
      </c>
      <c r="M94" s="20">
        <f t="shared" si="31"/>
        <v>0.20899999999999996</v>
      </c>
      <c r="N94" s="20">
        <f t="shared" si="31"/>
        <v>0.22230000000000005</v>
      </c>
      <c r="O94" s="20">
        <f t="shared" si="31"/>
        <v>0.22359999999999991</v>
      </c>
      <c r="P94" s="20">
        <f t="shared" si="31"/>
        <v>0.22270000000000001</v>
      </c>
      <c r="Q94" s="20">
        <f t="shared" si="31"/>
        <v>0.23849999999999993</v>
      </c>
      <c r="R94" s="20">
        <f t="shared" si="31"/>
        <v>0.21689999999999998</v>
      </c>
      <c r="S94" s="20">
        <f t="shared" si="31"/>
        <v>0.23649999999999993</v>
      </c>
      <c r="T94" s="20">
        <f t="shared" si="31"/>
        <v>0.19340000000000002</v>
      </c>
      <c r="U94" s="20">
        <f t="shared" si="31"/>
        <v>0.23470000000000002</v>
      </c>
      <c r="V94" s="20">
        <f t="shared" si="31"/>
        <v>0.22089999999999999</v>
      </c>
      <c r="W94" s="20">
        <f t="shared" si="31"/>
        <v>0.23929999999999996</v>
      </c>
      <c r="X94" s="20">
        <f t="shared" si="31"/>
        <v>0.18120000000000003</v>
      </c>
      <c r="Y94" s="20">
        <f t="shared" si="31"/>
        <v>0.2135999999999999</v>
      </c>
      <c r="Z94" s="20">
        <f t="shared" si="31"/>
        <v>0.2024999999999999</v>
      </c>
      <c r="AA94" s="20">
        <f t="shared" si="31"/>
        <v>0.19599999999999995</v>
      </c>
      <c r="AB94" s="20">
        <f t="shared" si="31"/>
        <v>0.23469999999999991</v>
      </c>
      <c r="AD94" t="s">
        <v>131</v>
      </c>
      <c r="AE94" s="20">
        <f>SUMPRODUCT(AE95:AE98,C95:C98)</f>
        <v>0.15193544104244713</v>
      </c>
      <c r="AF94" s="20">
        <f t="shared" ref="AF94:BD94" si="32">SUMPRODUCT(AF95:AF98,D95:D98)</f>
        <v>0.14094809111100537</v>
      </c>
      <c r="AG94" s="20">
        <f t="shared" si="32"/>
        <v>0.15606226566809364</v>
      </c>
      <c r="AH94" s="20">
        <f t="shared" si="32"/>
        <v>0.14105053336021092</v>
      </c>
      <c r="AI94" s="20">
        <f t="shared" si="32"/>
        <v>0.12939772775238081</v>
      </c>
      <c r="AJ94" s="20">
        <f t="shared" si="32"/>
        <v>0.15246847545869974</v>
      </c>
      <c r="AK94" s="20">
        <f t="shared" si="32"/>
        <v>0.11962188681989461</v>
      </c>
      <c r="AL94" s="20">
        <f t="shared" si="32"/>
        <v>0.1144329608177346</v>
      </c>
      <c r="AM94" s="20">
        <f t="shared" si="32"/>
        <v>0.13324637932667016</v>
      </c>
      <c r="AN94" s="20">
        <f t="shared" si="32"/>
        <v>0.18580226014661294</v>
      </c>
      <c r="AO94" s="20">
        <f t="shared" si="32"/>
        <v>0.19266641852035954</v>
      </c>
      <c r="AP94" s="20">
        <f t="shared" si="32"/>
        <v>0.14862156136046228</v>
      </c>
      <c r="AQ94" s="20">
        <f t="shared" si="32"/>
        <v>0.16589390099773649</v>
      </c>
      <c r="AR94" s="20">
        <f t="shared" si="32"/>
        <v>0.172824268203638</v>
      </c>
      <c r="AS94" s="20">
        <f t="shared" si="32"/>
        <v>0.14225194447991613</v>
      </c>
      <c r="AT94" s="20">
        <f t="shared" si="32"/>
        <v>0.15669999851776717</v>
      </c>
      <c r="AU94" s="20">
        <f t="shared" si="32"/>
        <v>0.13019505653986893</v>
      </c>
      <c r="AV94" s="20">
        <f t="shared" si="32"/>
        <v>0.11655364285441597</v>
      </c>
      <c r="AW94" s="20">
        <f t="shared" si="32"/>
        <v>0.13889532091459181</v>
      </c>
      <c r="AX94" s="20">
        <f t="shared" si="32"/>
        <v>0.12603150774308353</v>
      </c>
      <c r="AY94" s="20">
        <f t="shared" si="32"/>
        <v>0.15736206377460937</v>
      </c>
      <c r="AZ94" s="20">
        <f t="shared" si="32"/>
        <v>0.16701816095055616</v>
      </c>
      <c r="BA94" s="20">
        <f t="shared" si="32"/>
        <v>0.1481341212951518</v>
      </c>
      <c r="BB94" s="20">
        <f t="shared" si="32"/>
        <v>0.13448391357040526</v>
      </c>
      <c r="BC94" s="20">
        <f t="shared" si="32"/>
        <v>0.12797311128045086</v>
      </c>
      <c r="BD94" s="20">
        <f t="shared" si="32"/>
        <v>0.11780584796761615</v>
      </c>
      <c r="BF94" t="s">
        <v>131</v>
      </c>
      <c r="BG94" t="s">
        <v>33</v>
      </c>
      <c r="BH94" t="s">
        <v>33</v>
      </c>
      <c r="BI94" t="s">
        <v>28</v>
      </c>
      <c r="BJ94" t="s">
        <v>28</v>
      </c>
      <c r="BK94" t="s">
        <v>33</v>
      </c>
      <c r="BL94" t="s">
        <v>39</v>
      </c>
      <c r="BM94" t="s">
        <v>22</v>
      </c>
      <c r="BN94" t="s">
        <v>21</v>
      </c>
      <c r="BO94" t="s">
        <v>22</v>
      </c>
      <c r="BP94" t="s">
        <v>37</v>
      </c>
      <c r="BQ94" t="s">
        <v>21</v>
      </c>
      <c r="BR94" t="s">
        <v>39</v>
      </c>
      <c r="BS94" t="s">
        <v>33</v>
      </c>
      <c r="BT94" t="s">
        <v>28</v>
      </c>
      <c r="BU94" t="s">
        <v>22</v>
      </c>
      <c r="BV94" t="s">
        <v>39</v>
      </c>
      <c r="BW94" t="s">
        <v>37</v>
      </c>
      <c r="BX94" t="s">
        <v>33</v>
      </c>
      <c r="BY94" t="s">
        <v>21</v>
      </c>
      <c r="BZ94" t="s">
        <v>33</v>
      </c>
      <c r="CA94" t="s">
        <v>21</v>
      </c>
      <c r="CB94" t="s">
        <v>22</v>
      </c>
      <c r="CC94" t="s">
        <v>33</v>
      </c>
      <c r="CD94" t="s">
        <v>22</v>
      </c>
      <c r="CE94" t="s">
        <v>39</v>
      </c>
      <c r="CF94" t="s">
        <v>28</v>
      </c>
    </row>
    <row r="95" spans="1:84" s="27" customFormat="1" x14ac:dyDescent="0.35">
      <c r="A95"/>
      <c r="B95" s="54" t="s">
        <v>132</v>
      </c>
      <c r="C95" s="40">
        <v>0.50629999999999997</v>
      </c>
      <c r="D95" s="40">
        <v>0.52660000000000007</v>
      </c>
      <c r="E95" s="40">
        <v>0.53580000000000005</v>
      </c>
      <c r="F95" s="40">
        <v>0.53100000000000003</v>
      </c>
      <c r="G95" s="40">
        <v>0.51560000000000006</v>
      </c>
      <c r="H95" s="40">
        <v>0.51819999999999999</v>
      </c>
      <c r="I95" s="40">
        <v>0.52260000000000006</v>
      </c>
      <c r="J95" s="40">
        <v>0.52010000000000001</v>
      </c>
      <c r="K95" s="40">
        <v>0.50460000000000005</v>
      </c>
      <c r="L95" s="40">
        <v>0.52139999999999997</v>
      </c>
      <c r="M95" s="40">
        <v>0.5071</v>
      </c>
      <c r="N95" s="40">
        <v>0.52910000000000001</v>
      </c>
      <c r="O95" s="40">
        <v>0.51819999999999999</v>
      </c>
      <c r="P95" s="40">
        <v>0.5323</v>
      </c>
      <c r="Q95" s="40">
        <v>0.52190000000000003</v>
      </c>
      <c r="R95" s="40">
        <v>0.53339999999999999</v>
      </c>
      <c r="S95" s="40">
        <v>0.5101</v>
      </c>
      <c r="T95" s="40">
        <v>0.50609999999999999</v>
      </c>
      <c r="U95" s="40">
        <v>0.52760000000000007</v>
      </c>
      <c r="V95" s="40">
        <v>0.53039999999999998</v>
      </c>
      <c r="W95" s="40">
        <v>0.5121</v>
      </c>
      <c r="X95" s="40">
        <v>0.52549999999999997</v>
      </c>
      <c r="Y95" s="40">
        <v>0.52680000000000005</v>
      </c>
      <c r="Z95" s="40">
        <v>0.50629999999999997</v>
      </c>
      <c r="AA95" s="40">
        <v>0.53349999999999997</v>
      </c>
      <c r="AB95" s="40">
        <v>0.5202</v>
      </c>
      <c r="AD95" s="54" t="s">
        <v>132</v>
      </c>
      <c r="AE95" s="32">
        <v>0.16434798094718309</v>
      </c>
      <c r="AF95" s="32">
        <v>0.1492556392283671</v>
      </c>
      <c r="AG95" s="32">
        <v>0.16645625503855893</v>
      </c>
      <c r="AH95" s="32">
        <v>0.14872183124165292</v>
      </c>
      <c r="AI95" s="32">
        <v>0.1416669982320494</v>
      </c>
      <c r="AJ95" s="32">
        <v>0.16239886375330065</v>
      </c>
      <c r="AK95" s="32">
        <v>0.12945063239314261</v>
      </c>
      <c r="AL95" s="32">
        <v>0.12720347926946157</v>
      </c>
      <c r="AM95" s="32">
        <v>0.14592638862908205</v>
      </c>
      <c r="AN95" s="32">
        <v>0.19767797203475199</v>
      </c>
      <c r="AO95" s="32">
        <v>0.20847524925318278</v>
      </c>
      <c r="AP95" s="32">
        <v>0.16095470351825653</v>
      </c>
      <c r="AQ95" s="32">
        <v>0.17760512971825757</v>
      </c>
      <c r="AR95" s="32">
        <v>0.17748807263619884</v>
      </c>
      <c r="AS95" s="32">
        <v>0.15614894031919377</v>
      </c>
      <c r="AT95" s="32">
        <v>0.16764445630028729</v>
      </c>
      <c r="AU95" s="32">
        <v>0.14315159104191444</v>
      </c>
      <c r="AV95" s="32">
        <v>0.12999299290253014</v>
      </c>
      <c r="AW95" s="32">
        <v>0.14987885109750657</v>
      </c>
      <c r="AX95" s="32">
        <v>0.13271447277420573</v>
      </c>
      <c r="AY95" s="32">
        <v>0.17368828491825655</v>
      </c>
      <c r="AZ95" s="32">
        <v>0.18214080640081795</v>
      </c>
      <c r="BA95" s="32">
        <v>0.15881939087886673</v>
      </c>
      <c r="BB95" s="32">
        <v>0.14579703534919575</v>
      </c>
      <c r="BC95" s="32">
        <v>0.13643998749429836</v>
      </c>
      <c r="BD95" s="32">
        <v>0.12830475846513234</v>
      </c>
      <c r="BF95" s="54" t="s">
        <v>132</v>
      </c>
      <c r="BG95" s="27" t="s">
        <v>38</v>
      </c>
      <c r="BH95" s="27" t="s">
        <v>37</v>
      </c>
      <c r="BI95" s="27" t="s">
        <v>33</v>
      </c>
      <c r="BJ95" s="27" t="s">
        <v>28</v>
      </c>
      <c r="BK95" s="27" t="s">
        <v>28</v>
      </c>
      <c r="BL95" s="27" t="s">
        <v>38</v>
      </c>
      <c r="BM95" s="27" t="s">
        <v>33</v>
      </c>
      <c r="BN95" s="27" t="s">
        <v>37</v>
      </c>
      <c r="BO95" s="27" t="s">
        <v>22</v>
      </c>
      <c r="BP95" s="27" t="s">
        <v>39</v>
      </c>
      <c r="BQ95" s="27" t="s">
        <v>39</v>
      </c>
      <c r="BR95" s="27" t="s">
        <v>28</v>
      </c>
      <c r="BS95" s="27" t="s">
        <v>39</v>
      </c>
      <c r="BT95" s="27" t="s">
        <v>37</v>
      </c>
      <c r="BU95" s="27" t="s">
        <v>37</v>
      </c>
      <c r="BV95" s="27" t="s">
        <v>38</v>
      </c>
      <c r="BW95" s="27" t="s">
        <v>22</v>
      </c>
      <c r="BX95" s="27" t="s">
        <v>33</v>
      </c>
      <c r="BY95" s="27" t="s">
        <v>28</v>
      </c>
      <c r="BZ95" s="27" t="s">
        <v>21</v>
      </c>
      <c r="CA95" s="27" t="s">
        <v>33</v>
      </c>
      <c r="CB95" s="27" t="s">
        <v>28</v>
      </c>
      <c r="CC95" s="27" t="s">
        <v>33</v>
      </c>
      <c r="CD95" s="27" t="s">
        <v>21</v>
      </c>
      <c r="CE95" s="27" t="s">
        <v>39</v>
      </c>
      <c r="CF95" s="27" t="s">
        <v>21</v>
      </c>
    </row>
    <row r="96" spans="1:84" s="27" customFormat="1" x14ac:dyDescent="0.35">
      <c r="A96"/>
      <c r="B96" s="54" t="s">
        <v>133</v>
      </c>
      <c r="C96" s="40">
        <v>0.18559999999999999</v>
      </c>
      <c r="D96" s="40">
        <v>0.191</v>
      </c>
      <c r="E96" s="40">
        <v>0.19439999999999999</v>
      </c>
      <c r="F96" s="40">
        <v>0.19009999999999999</v>
      </c>
      <c r="G96" s="40">
        <v>0.19469999999999998</v>
      </c>
      <c r="H96" s="40">
        <v>0.18629999999999999</v>
      </c>
      <c r="I96" s="40">
        <v>0.18789999999999998</v>
      </c>
      <c r="J96" s="40">
        <v>0.17369999999999999</v>
      </c>
      <c r="K96" s="40">
        <v>0.1983</v>
      </c>
      <c r="L96" s="40">
        <v>0.17519999999999999</v>
      </c>
      <c r="M96" s="40">
        <v>0.1769</v>
      </c>
      <c r="N96" s="40">
        <v>0.16639999999999999</v>
      </c>
      <c r="O96" s="40">
        <v>0.18589999999999998</v>
      </c>
      <c r="P96" s="40">
        <v>0.1885</v>
      </c>
      <c r="Q96" s="40">
        <v>0.17979999999999999</v>
      </c>
      <c r="R96" s="40">
        <v>0.17099999999999999</v>
      </c>
      <c r="S96" s="40">
        <v>0.16999999999999998</v>
      </c>
      <c r="T96" s="40">
        <v>0.17249999999999999</v>
      </c>
      <c r="U96" s="40">
        <v>0.1653</v>
      </c>
      <c r="V96" s="40">
        <v>0.1948</v>
      </c>
      <c r="W96" s="40">
        <v>0.16949999999999998</v>
      </c>
      <c r="X96" s="40">
        <v>0.1661</v>
      </c>
      <c r="Y96" s="40">
        <v>0.1704</v>
      </c>
      <c r="Z96" s="40">
        <v>0.193</v>
      </c>
      <c r="AA96" s="40">
        <v>0.1852</v>
      </c>
      <c r="AB96" s="40">
        <v>0.18059999999999998</v>
      </c>
      <c r="AD96" s="54" t="s">
        <v>133</v>
      </c>
      <c r="AE96" s="32">
        <v>0.14334798094718307</v>
      </c>
      <c r="AF96" s="32">
        <v>0.12825563922836708</v>
      </c>
      <c r="AG96" s="32">
        <v>0.14545625503855891</v>
      </c>
      <c r="AH96" s="32">
        <v>0.1277218312416529</v>
      </c>
      <c r="AI96" s="32">
        <v>0.12066699823204938</v>
      </c>
      <c r="AJ96" s="32">
        <v>0.14139886375330063</v>
      </c>
      <c r="AK96" s="32">
        <v>0.10845063239314261</v>
      </c>
      <c r="AL96" s="32">
        <v>0.10620347926946155</v>
      </c>
      <c r="AM96" s="32">
        <v>0.12492638862908205</v>
      </c>
      <c r="AN96" s="32">
        <v>0.17667797203475197</v>
      </c>
      <c r="AO96" s="32">
        <v>0.18747524925318276</v>
      </c>
      <c r="AP96" s="32">
        <v>0.13995470351825651</v>
      </c>
      <c r="AQ96" s="32">
        <v>0.15660512971825755</v>
      </c>
      <c r="AR96" s="32">
        <v>0.15648807263619882</v>
      </c>
      <c r="AS96" s="32">
        <v>0.13514894031919375</v>
      </c>
      <c r="AT96" s="32">
        <v>0.14664445630028727</v>
      </c>
      <c r="AU96" s="32">
        <v>0.12215159104191443</v>
      </c>
      <c r="AV96" s="32">
        <v>0.10899299290253012</v>
      </c>
      <c r="AW96" s="32">
        <v>0.12887885109750652</v>
      </c>
      <c r="AX96" s="32">
        <v>0.11171447277420569</v>
      </c>
      <c r="AY96" s="32">
        <v>0.15268828491825653</v>
      </c>
      <c r="AZ96" s="32">
        <v>0.16114080640081793</v>
      </c>
      <c r="BA96" s="32">
        <v>0.13781939087886672</v>
      </c>
      <c r="BB96" s="32">
        <v>0.12479703534919573</v>
      </c>
      <c r="BC96" s="32">
        <v>0.11543998749429835</v>
      </c>
      <c r="BD96" s="32">
        <v>0.10730475846513234</v>
      </c>
      <c r="BF96" s="54" t="s">
        <v>133</v>
      </c>
      <c r="BG96" s="27" t="s">
        <v>38</v>
      </c>
      <c r="BH96" s="27" t="s">
        <v>37</v>
      </c>
      <c r="BI96" s="27" t="s">
        <v>33</v>
      </c>
      <c r="BJ96" s="27" t="s">
        <v>38</v>
      </c>
      <c r="BK96" s="27" t="s">
        <v>38</v>
      </c>
      <c r="BL96" s="27" t="s">
        <v>39</v>
      </c>
      <c r="BM96" s="27" t="s">
        <v>39</v>
      </c>
      <c r="BN96" s="27" t="s">
        <v>37</v>
      </c>
      <c r="BO96" s="27" t="s">
        <v>38</v>
      </c>
      <c r="BP96" s="27" t="s">
        <v>38</v>
      </c>
      <c r="BQ96" s="27" t="s">
        <v>22</v>
      </c>
      <c r="BR96" s="27" t="s">
        <v>21</v>
      </c>
      <c r="BS96" s="27" t="s">
        <v>39</v>
      </c>
      <c r="BT96" s="27" t="s">
        <v>22</v>
      </c>
      <c r="BU96" s="27" t="s">
        <v>33</v>
      </c>
      <c r="BV96" s="27" t="s">
        <v>38</v>
      </c>
      <c r="BW96" s="27" t="s">
        <v>21</v>
      </c>
      <c r="BX96" s="27" t="s">
        <v>28</v>
      </c>
      <c r="BY96" s="27" t="s">
        <v>37</v>
      </c>
      <c r="BZ96" s="27" t="s">
        <v>39</v>
      </c>
      <c r="CA96" s="27" t="s">
        <v>28</v>
      </c>
      <c r="CB96" s="27" t="s">
        <v>38</v>
      </c>
      <c r="CC96" s="27" t="s">
        <v>38</v>
      </c>
      <c r="CD96" s="27" t="s">
        <v>38</v>
      </c>
      <c r="CE96" s="27" t="s">
        <v>37</v>
      </c>
      <c r="CF96" s="27" t="s">
        <v>38</v>
      </c>
    </row>
    <row r="97" spans="1:84" s="27" customFormat="1" x14ac:dyDescent="0.35">
      <c r="A97"/>
      <c r="B97" s="54" t="s">
        <v>134</v>
      </c>
      <c r="C97" s="40">
        <v>0.13519999999999999</v>
      </c>
      <c r="D97" s="40">
        <v>0.13319999999999999</v>
      </c>
      <c r="E97" s="40">
        <v>0.1071</v>
      </c>
      <c r="F97" s="40">
        <v>0.1159</v>
      </c>
      <c r="G97" s="40">
        <v>0.1071</v>
      </c>
      <c r="H97" s="40">
        <v>0.11899999999999999</v>
      </c>
      <c r="I97" s="40">
        <v>0.10769999999999999</v>
      </c>
      <c r="J97" s="40">
        <v>0.1171</v>
      </c>
      <c r="K97" s="40">
        <v>0.111</v>
      </c>
      <c r="L97" s="40">
        <v>0.12709999999999999</v>
      </c>
      <c r="M97" s="40">
        <v>0.12609999999999999</v>
      </c>
      <c r="N97" s="40">
        <v>0.1336</v>
      </c>
      <c r="O97" s="40">
        <v>0.13250000000000001</v>
      </c>
      <c r="P97" s="40">
        <v>0.122</v>
      </c>
      <c r="Q97" s="40">
        <v>0.1085</v>
      </c>
      <c r="R97" s="40">
        <v>0.12479999999999999</v>
      </c>
      <c r="S97" s="40">
        <v>0.1176</v>
      </c>
      <c r="T97" s="40">
        <v>0.11449999999999999</v>
      </c>
      <c r="U97" s="40">
        <v>0.1363</v>
      </c>
      <c r="V97" s="40">
        <v>0.11409999999999999</v>
      </c>
      <c r="W97" s="40">
        <v>0.1101</v>
      </c>
      <c r="X97" s="40">
        <v>0.11359999999999999</v>
      </c>
      <c r="Y97" s="40">
        <v>0.1285</v>
      </c>
      <c r="Z97" s="40">
        <v>0.1244</v>
      </c>
      <c r="AA97" s="40">
        <v>0.111</v>
      </c>
      <c r="AB97" s="40">
        <v>0.12789999999999999</v>
      </c>
      <c r="AD97" s="54" t="s">
        <v>134</v>
      </c>
      <c r="AE97" s="32">
        <v>0.12234798094718306</v>
      </c>
      <c r="AF97" s="32">
        <v>0.1072556392283671</v>
      </c>
      <c r="AG97" s="32">
        <v>0.12445625503855891</v>
      </c>
      <c r="AH97" s="32">
        <v>0.10672183124165291</v>
      </c>
      <c r="AI97" s="32">
        <v>9.9666998232049386E-2</v>
      </c>
      <c r="AJ97" s="32">
        <v>0.12039886375330064</v>
      </c>
      <c r="AK97" s="32">
        <v>8.7450632393142616E-2</v>
      </c>
      <c r="AL97" s="32">
        <v>8.5203479269461563E-2</v>
      </c>
      <c r="AM97" s="32">
        <v>0.10392638862908206</v>
      </c>
      <c r="AN97" s="32">
        <v>0.15567797203475195</v>
      </c>
      <c r="AO97" s="32">
        <v>0.16647524925318277</v>
      </c>
      <c r="AP97" s="32">
        <v>0.11895470351825652</v>
      </c>
      <c r="AQ97" s="32">
        <v>0.13560512971825756</v>
      </c>
      <c r="AR97" s="32">
        <v>0.13548807263619883</v>
      </c>
      <c r="AS97" s="32">
        <v>0.11414894031919377</v>
      </c>
      <c r="AT97" s="32">
        <v>0.12564445630028731</v>
      </c>
      <c r="AU97" s="32">
        <v>0.10115159104191444</v>
      </c>
      <c r="AV97" s="32">
        <v>8.7992992902530126E-2</v>
      </c>
      <c r="AW97" s="32">
        <v>0.10787885109750654</v>
      </c>
      <c r="AX97" s="32">
        <v>9.0714472774205704E-2</v>
      </c>
      <c r="AY97" s="32">
        <v>0.13168828491825654</v>
      </c>
      <c r="AZ97" s="32">
        <v>0.14014080640081791</v>
      </c>
      <c r="BA97" s="32">
        <v>0.11681939087886672</v>
      </c>
      <c r="BB97" s="32">
        <v>0.10379703534919574</v>
      </c>
      <c r="BC97" s="32">
        <v>9.4439987494298355E-2</v>
      </c>
      <c r="BD97" s="32">
        <v>8.6304758465132345E-2</v>
      </c>
      <c r="BF97" s="54" t="s">
        <v>134</v>
      </c>
      <c r="BG97" s="27" t="s">
        <v>22</v>
      </c>
      <c r="BH97" s="27" t="s">
        <v>33</v>
      </c>
      <c r="BI97" s="27" t="s">
        <v>21</v>
      </c>
      <c r="BJ97" s="27" t="s">
        <v>21</v>
      </c>
      <c r="BK97" s="27" t="s">
        <v>38</v>
      </c>
      <c r="BL97" s="27" t="s">
        <v>22</v>
      </c>
      <c r="BM97" s="27" t="s">
        <v>38</v>
      </c>
      <c r="BN97" s="27" t="s">
        <v>28</v>
      </c>
      <c r="BO97" s="27" t="s">
        <v>37</v>
      </c>
      <c r="BP97" s="27" t="s">
        <v>37</v>
      </c>
      <c r="BQ97" s="27" t="s">
        <v>38</v>
      </c>
      <c r="BR97" s="27" t="s">
        <v>33</v>
      </c>
      <c r="BS97" s="27" t="s">
        <v>38</v>
      </c>
      <c r="BT97" s="27" t="s">
        <v>22</v>
      </c>
      <c r="BU97" s="27" t="s">
        <v>22</v>
      </c>
      <c r="BV97" s="27" t="s">
        <v>33</v>
      </c>
      <c r="BW97" s="27" t="s">
        <v>39</v>
      </c>
      <c r="BX97" s="27" t="s">
        <v>38</v>
      </c>
      <c r="BY97" s="27" t="s">
        <v>28</v>
      </c>
      <c r="BZ97" s="27" t="s">
        <v>28</v>
      </c>
      <c r="CA97" s="27" t="s">
        <v>37</v>
      </c>
      <c r="CB97" s="27" t="s">
        <v>38</v>
      </c>
      <c r="CC97" s="27" t="s">
        <v>33</v>
      </c>
      <c r="CD97" s="27" t="s">
        <v>21</v>
      </c>
      <c r="CE97" s="27" t="s">
        <v>39</v>
      </c>
      <c r="CF97" s="27" t="s">
        <v>21</v>
      </c>
    </row>
    <row r="98" spans="1:84" s="27" customFormat="1" x14ac:dyDescent="0.35">
      <c r="A98"/>
      <c r="B98" s="54" t="s">
        <v>135</v>
      </c>
      <c r="C98" s="40">
        <v>0.16789999999999994</v>
      </c>
      <c r="D98" s="40">
        <v>0.17169999999999994</v>
      </c>
      <c r="E98" s="40">
        <v>0.16359999999999994</v>
      </c>
      <c r="F98" s="40">
        <v>0.18599999999999994</v>
      </c>
      <c r="G98" s="40">
        <v>0.17109999999999995</v>
      </c>
      <c r="H98" s="40">
        <v>0.18379999999999994</v>
      </c>
      <c r="I98" s="40">
        <v>0.18879999999999994</v>
      </c>
      <c r="J98" s="40">
        <v>0.17229999999999993</v>
      </c>
      <c r="K98" s="40">
        <v>0.17399999999999993</v>
      </c>
      <c r="L98" s="40">
        <v>0.17229999999999993</v>
      </c>
      <c r="M98" s="40">
        <v>0.16689999999999994</v>
      </c>
      <c r="N98" s="40">
        <v>0.16299999999999992</v>
      </c>
      <c r="O98" s="40">
        <v>0.16169999999999993</v>
      </c>
      <c r="P98" s="40">
        <v>0.19529999999999995</v>
      </c>
      <c r="Q98" s="40">
        <v>0.16699999999999993</v>
      </c>
      <c r="R98" s="40">
        <v>0.17039999999999994</v>
      </c>
      <c r="S98" s="40">
        <v>0.18689999999999993</v>
      </c>
      <c r="T98" s="40">
        <v>0.18549999999999994</v>
      </c>
      <c r="U98" s="40">
        <v>0.17269999999999994</v>
      </c>
      <c r="V98" s="40">
        <v>0.19489999999999993</v>
      </c>
      <c r="W98" s="40">
        <v>0.17339999999999994</v>
      </c>
      <c r="X98" s="40">
        <v>0.16819999999999993</v>
      </c>
      <c r="Y98" s="40">
        <v>0.17689999999999995</v>
      </c>
      <c r="Z98" s="40">
        <v>0.17689999999999995</v>
      </c>
      <c r="AA98" s="40">
        <v>0.18739999999999993</v>
      </c>
      <c r="AB98" s="40">
        <v>0.17749999999999994</v>
      </c>
      <c r="AD98" s="54" t="s">
        <v>135</v>
      </c>
      <c r="AE98" s="32">
        <v>0.15234798094718308</v>
      </c>
      <c r="AF98" s="32">
        <v>0.13725563922836709</v>
      </c>
      <c r="AG98" s="32">
        <v>0.15445625503855892</v>
      </c>
      <c r="AH98" s="32">
        <v>0.13672183124165291</v>
      </c>
      <c r="AI98" s="32">
        <v>0.12966699823204939</v>
      </c>
      <c r="AJ98" s="32">
        <v>0.15039886375330064</v>
      </c>
      <c r="AK98" s="32">
        <v>0.11745063239314261</v>
      </c>
      <c r="AL98" s="32">
        <v>0.11520347926946156</v>
      </c>
      <c r="AM98" s="32">
        <v>0.13392638862908204</v>
      </c>
      <c r="AN98" s="32">
        <v>0.18567797203475198</v>
      </c>
      <c r="AO98" s="32">
        <v>0.19647524925318277</v>
      </c>
      <c r="AP98" s="32">
        <v>0.14895470351825651</v>
      </c>
      <c r="AQ98" s="32">
        <v>0.16560512971825755</v>
      </c>
      <c r="AR98" s="32">
        <v>0.16548807263619883</v>
      </c>
      <c r="AS98" s="32">
        <v>0.14414894031919376</v>
      </c>
      <c r="AT98" s="32">
        <v>0.15564445630028728</v>
      </c>
      <c r="AU98" s="32">
        <v>0.13115159104191443</v>
      </c>
      <c r="AV98" s="32">
        <v>0.11799299290253012</v>
      </c>
      <c r="AW98" s="32">
        <v>0.13787885109750656</v>
      </c>
      <c r="AX98" s="32">
        <v>0.1207144727742057</v>
      </c>
      <c r="AY98" s="32">
        <v>0.16168828491825654</v>
      </c>
      <c r="AZ98" s="32">
        <v>0.17014080640081794</v>
      </c>
      <c r="BA98" s="32">
        <v>0.14681939087886672</v>
      </c>
      <c r="BB98" s="32">
        <v>0.13379703534919574</v>
      </c>
      <c r="BC98" s="32">
        <v>0.12443998749429835</v>
      </c>
      <c r="BD98" s="32">
        <v>0.11630475846513234</v>
      </c>
      <c r="BF98" s="54" t="s">
        <v>135</v>
      </c>
      <c r="BG98" s="27" t="s">
        <v>21</v>
      </c>
      <c r="BH98" s="27" t="s">
        <v>33</v>
      </c>
      <c r="BI98" s="27" t="s">
        <v>21</v>
      </c>
      <c r="BJ98" s="27" t="s">
        <v>33</v>
      </c>
      <c r="BK98" s="27" t="s">
        <v>37</v>
      </c>
      <c r="BL98" s="27" t="s">
        <v>33</v>
      </c>
      <c r="BM98" s="27" t="s">
        <v>21</v>
      </c>
      <c r="BN98" s="27" t="s">
        <v>22</v>
      </c>
      <c r="BO98" s="27" t="s">
        <v>37</v>
      </c>
      <c r="BP98" s="27" t="s">
        <v>33</v>
      </c>
      <c r="BQ98" s="27" t="s">
        <v>38</v>
      </c>
      <c r="BR98" s="27" t="s">
        <v>28</v>
      </c>
      <c r="BS98" s="27" t="s">
        <v>38</v>
      </c>
      <c r="BT98" s="27" t="s">
        <v>38</v>
      </c>
      <c r="BU98" s="27" t="s">
        <v>38</v>
      </c>
      <c r="BV98" s="27" t="s">
        <v>39</v>
      </c>
      <c r="BW98" s="27" t="s">
        <v>28</v>
      </c>
      <c r="BX98" s="27" t="s">
        <v>39</v>
      </c>
      <c r="BY98" s="27" t="s">
        <v>28</v>
      </c>
      <c r="BZ98" s="27" t="s">
        <v>38</v>
      </c>
      <c r="CA98" s="27" t="s">
        <v>37</v>
      </c>
      <c r="CB98" s="27" t="s">
        <v>22</v>
      </c>
      <c r="CC98" s="27" t="s">
        <v>39</v>
      </c>
      <c r="CD98" s="27" t="s">
        <v>28</v>
      </c>
      <c r="CE98" s="27" t="s">
        <v>28</v>
      </c>
      <c r="CF98" s="27" t="s">
        <v>39</v>
      </c>
    </row>
    <row r="99" spans="1:84" x14ac:dyDescent="0.35">
      <c r="B99" t="s">
        <v>110</v>
      </c>
      <c r="C99" s="20">
        <f t="shared" ref="C99:AB99" si="33">C70</f>
        <v>0.33090000000000003</v>
      </c>
      <c r="D99" s="20">
        <f t="shared" si="33"/>
        <v>0.34600000000000003</v>
      </c>
      <c r="E99" s="20">
        <f t="shared" si="33"/>
        <v>0.3251</v>
      </c>
      <c r="F99" s="20">
        <f t="shared" si="33"/>
        <v>0.32670000000000005</v>
      </c>
      <c r="G99" s="20">
        <f t="shared" si="33"/>
        <v>0.34520000000000001</v>
      </c>
      <c r="H99" s="20">
        <f t="shared" si="33"/>
        <v>0.35520000000000002</v>
      </c>
      <c r="I99" s="20">
        <f t="shared" si="33"/>
        <v>0.33310000000000001</v>
      </c>
      <c r="J99" s="20">
        <f t="shared" si="33"/>
        <v>0.33169999999999999</v>
      </c>
      <c r="K99" s="20">
        <f t="shared" si="33"/>
        <v>0.34350000000000003</v>
      </c>
      <c r="L99" s="20">
        <f t="shared" si="33"/>
        <v>0.35040000000000004</v>
      </c>
      <c r="M99" s="20">
        <f t="shared" si="33"/>
        <v>0.34010000000000001</v>
      </c>
      <c r="N99" s="20">
        <f t="shared" si="33"/>
        <v>0.34960000000000002</v>
      </c>
      <c r="O99" s="20">
        <f t="shared" si="33"/>
        <v>0.33310000000000001</v>
      </c>
      <c r="P99" s="20">
        <f t="shared" si="33"/>
        <v>0.3296</v>
      </c>
      <c r="Q99" s="20">
        <f t="shared" si="33"/>
        <v>0.32550000000000001</v>
      </c>
      <c r="R99" s="20">
        <f t="shared" si="33"/>
        <v>0.32550000000000001</v>
      </c>
      <c r="S99" s="20">
        <f t="shared" si="33"/>
        <v>0.33180000000000004</v>
      </c>
      <c r="T99" s="20">
        <f t="shared" si="33"/>
        <v>0.32640000000000002</v>
      </c>
      <c r="U99" s="20">
        <f t="shared" si="33"/>
        <v>0.3427</v>
      </c>
      <c r="V99" s="20">
        <f t="shared" si="33"/>
        <v>0.34720000000000001</v>
      </c>
      <c r="W99" s="20">
        <f t="shared" si="33"/>
        <v>0.34900000000000003</v>
      </c>
      <c r="X99" s="20">
        <f t="shared" si="33"/>
        <v>0.35160000000000002</v>
      </c>
      <c r="Y99" s="20">
        <f t="shared" si="33"/>
        <v>0.35350000000000004</v>
      </c>
      <c r="Z99" s="20">
        <f t="shared" si="33"/>
        <v>0.35260000000000002</v>
      </c>
      <c r="AA99" s="20">
        <f t="shared" si="33"/>
        <v>0.35270000000000001</v>
      </c>
      <c r="AB99" s="20">
        <f t="shared" si="33"/>
        <v>0.32780000000000004</v>
      </c>
      <c r="AD99" t="s">
        <v>110</v>
      </c>
      <c r="AE99" s="20">
        <f>SUMPRODUCT(AE100:AE102,C100:C102)</f>
        <v>0.1037898271976349</v>
      </c>
      <c r="AF99" s="20">
        <f t="shared" ref="AF99:BD99" si="34">SUMPRODUCT(AF100:AF102,D100:D102)</f>
        <v>9.1275747245124411E-2</v>
      </c>
      <c r="AG99" s="20">
        <f t="shared" si="34"/>
        <v>0.10795049163135755</v>
      </c>
      <c r="AH99" s="20">
        <f t="shared" si="34"/>
        <v>9.1419587576864456E-2</v>
      </c>
      <c r="AI99" s="20">
        <f t="shared" si="34"/>
        <v>7.8790721023378502E-2</v>
      </c>
      <c r="AJ99" s="20">
        <f t="shared" si="34"/>
        <v>0.10070471384282878</v>
      </c>
      <c r="AK99" s="20">
        <f t="shared" si="34"/>
        <v>7.124954693424837E-2</v>
      </c>
      <c r="AL99" s="20">
        <f t="shared" si="34"/>
        <v>6.4191183896743262E-2</v>
      </c>
      <c r="AM99" s="20">
        <f t="shared" si="34"/>
        <v>8.4204419059452418E-2</v>
      </c>
      <c r="AN99" s="20">
        <f t="shared" si="34"/>
        <v>0.13513720335866222</v>
      </c>
      <c r="AO99" s="20">
        <f t="shared" si="34"/>
        <v>0.14146277448810726</v>
      </c>
      <c r="AP99" s="20">
        <f t="shared" si="34"/>
        <v>9.9517727733351227E-2</v>
      </c>
      <c r="AQ99" s="20">
        <f t="shared" si="34"/>
        <v>0.11513358762877909</v>
      </c>
      <c r="AR99" s="20">
        <f t="shared" si="34"/>
        <v>0.12313288701897257</v>
      </c>
      <c r="AS99" s="20">
        <f t="shared" si="34"/>
        <v>9.1587547317938708E-2</v>
      </c>
      <c r="AT99" s="20">
        <f t="shared" si="34"/>
        <v>0.10645992883043456</v>
      </c>
      <c r="AU99" s="20">
        <f t="shared" si="34"/>
        <v>8.1860769167298175E-2</v>
      </c>
      <c r="AV99" s="20">
        <f t="shared" si="34"/>
        <v>6.8091623554145331E-2</v>
      </c>
      <c r="AW99" s="20">
        <f t="shared" si="34"/>
        <v>9.0208439589004263E-2</v>
      </c>
      <c r="AX99" s="20">
        <f t="shared" si="34"/>
        <v>7.4881505071320256E-2</v>
      </c>
      <c r="AY99" s="20">
        <f t="shared" si="34"/>
        <v>0.10784286332994017</v>
      </c>
      <c r="AZ99" s="20">
        <f t="shared" si="34"/>
        <v>0.11934922777278995</v>
      </c>
      <c r="BA99" s="20">
        <f t="shared" si="34"/>
        <v>9.8214974391729881E-2</v>
      </c>
      <c r="BB99" s="20">
        <f t="shared" si="34"/>
        <v>8.599242316477379E-2</v>
      </c>
      <c r="BC99" s="20">
        <f t="shared" si="34"/>
        <v>7.9297702347509103E-2</v>
      </c>
      <c r="BD99" s="20">
        <f t="shared" si="34"/>
        <v>6.9480622519520585E-2</v>
      </c>
      <c r="BF99" t="s">
        <v>110</v>
      </c>
      <c r="BG99" t="s">
        <v>33</v>
      </c>
      <c r="BH99" t="s">
        <v>39</v>
      </c>
      <c r="BI99" t="s">
        <v>22</v>
      </c>
      <c r="BJ99" t="s">
        <v>28</v>
      </c>
      <c r="BK99" t="s">
        <v>21</v>
      </c>
      <c r="BL99" t="s">
        <v>38</v>
      </c>
      <c r="BM99" t="s">
        <v>37</v>
      </c>
      <c r="BN99" t="s">
        <v>28</v>
      </c>
      <c r="BO99" t="s">
        <v>37</v>
      </c>
      <c r="BP99" t="s">
        <v>38</v>
      </c>
      <c r="BQ99" t="s">
        <v>21</v>
      </c>
      <c r="BR99" t="s">
        <v>21</v>
      </c>
      <c r="BS99" t="s">
        <v>33</v>
      </c>
      <c r="BT99" t="s">
        <v>38</v>
      </c>
      <c r="BU99" t="s">
        <v>38</v>
      </c>
      <c r="BV99" t="s">
        <v>21</v>
      </c>
      <c r="BW99" t="s">
        <v>39</v>
      </c>
      <c r="BX99" t="s">
        <v>33</v>
      </c>
      <c r="BY99" t="s">
        <v>28</v>
      </c>
      <c r="BZ99" t="s">
        <v>39</v>
      </c>
      <c r="CA99" t="s">
        <v>37</v>
      </c>
      <c r="CB99" t="s">
        <v>37</v>
      </c>
      <c r="CC99" t="s">
        <v>38</v>
      </c>
      <c r="CD99" t="s">
        <v>37</v>
      </c>
      <c r="CE99" t="s">
        <v>33</v>
      </c>
      <c r="CF99" t="s">
        <v>33</v>
      </c>
    </row>
    <row r="100" spans="1:84" s="27" customFormat="1" x14ac:dyDescent="0.35">
      <c r="A100"/>
      <c r="B100" s="54" t="s">
        <v>136</v>
      </c>
      <c r="C100" s="40">
        <v>0.32550000000000001</v>
      </c>
      <c r="D100" s="40">
        <v>0.32440000000000002</v>
      </c>
      <c r="E100" s="40">
        <v>0.33979999999999999</v>
      </c>
      <c r="F100" s="40">
        <v>0.34650000000000003</v>
      </c>
      <c r="G100" s="40">
        <v>0.3337</v>
      </c>
      <c r="H100" s="40">
        <v>0.32370000000000004</v>
      </c>
      <c r="I100" s="40">
        <v>0.3236</v>
      </c>
      <c r="J100" s="40">
        <v>0.33979999999999999</v>
      </c>
      <c r="K100" s="40">
        <v>0.3286</v>
      </c>
      <c r="L100" s="40">
        <v>0.34750000000000003</v>
      </c>
      <c r="M100" s="40">
        <v>0.33190000000000003</v>
      </c>
      <c r="N100" s="40">
        <v>0.318</v>
      </c>
      <c r="O100" s="40">
        <v>0.34870000000000001</v>
      </c>
      <c r="P100" s="40">
        <v>0.3392</v>
      </c>
      <c r="Q100" s="40">
        <v>0.33410000000000001</v>
      </c>
      <c r="R100" s="40">
        <v>0.3407</v>
      </c>
      <c r="S100" s="40">
        <v>0.34870000000000001</v>
      </c>
      <c r="T100" s="40">
        <v>0.32650000000000001</v>
      </c>
      <c r="U100" s="40">
        <v>0.3478</v>
      </c>
      <c r="V100" s="40">
        <v>0.33950000000000002</v>
      </c>
      <c r="W100" s="40">
        <v>0.31820000000000004</v>
      </c>
      <c r="X100" s="40">
        <v>0.31890000000000002</v>
      </c>
      <c r="Y100" s="40">
        <v>0.34989999999999999</v>
      </c>
      <c r="Z100" s="40">
        <v>0.315</v>
      </c>
      <c r="AA100" s="40">
        <v>0.32980000000000004</v>
      </c>
      <c r="AB100" s="40">
        <v>0.32470000000000004</v>
      </c>
      <c r="AD100" s="54" t="s">
        <v>136</v>
      </c>
      <c r="AE100" s="32">
        <v>0.11684132223691308</v>
      </c>
      <c r="AF100" s="32">
        <v>0.1021638978526699</v>
      </c>
      <c r="AG100" s="32">
        <v>0.11866320244726476</v>
      </c>
      <c r="AH100" s="32">
        <v>9.943753678236536E-2</v>
      </c>
      <c r="AI100" s="32">
        <v>8.7172215070324327E-2</v>
      </c>
      <c r="AJ100" s="32">
        <v>0.11468000606668961</v>
      </c>
      <c r="AK100" s="32">
        <v>8.2120250059998359E-2</v>
      </c>
      <c r="AL100" s="32">
        <v>7.4129003381526393E-2</v>
      </c>
      <c r="AM100" s="32">
        <v>9.4143047402569333E-2</v>
      </c>
      <c r="AN100" s="32">
        <v>0.1421315385113478</v>
      </c>
      <c r="AO100" s="32">
        <v>0.14971690944679678</v>
      </c>
      <c r="AP100" s="32">
        <v>0.10933060775535001</v>
      </c>
      <c r="AQ100" s="32">
        <v>0.12044341058616373</v>
      </c>
      <c r="AR100" s="32">
        <v>0.13205056618724398</v>
      </c>
      <c r="AS100" s="32">
        <v>0.10267747704244809</v>
      </c>
      <c r="AT100" s="32">
        <v>0.11722982833696619</v>
      </c>
      <c r="AU100" s="32">
        <v>8.9801547237170834E-2</v>
      </c>
      <c r="AV100" s="32">
        <v>7.9263918411912104E-2</v>
      </c>
      <c r="AW100" s="32">
        <v>0.10022368432586944</v>
      </c>
      <c r="AX100" s="32">
        <v>8.3641997314027217E-2</v>
      </c>
      <c r="AY100" s="32">
        <v>0.1210212105624514</v>
      </c>
      <c r="AZ100" s="32">
        <v>0.13372259002047163</v>
      </c>
      <c r="BA100" s="32">
        <v>0.10652279149462025</v>
      </c>
      <c r="BB100" s="32">
        <v>9.7789411392626313E-2</v>
      </c>
      <c r="BC100" s="32">
        <v>9.1092164061552461E-2</v>
      </c>
      <c r="BD100" s="32">
        <v>7.9032982796714432E-2</v>
      </c>
      <c r="BF100" s="54" t="s">
        <v>136</v>
      </c>
      <c r="BG100" s="27" t="s">
        <v>39</v>
      </c>
      <c r="BH100" s="27" t="s">
        <v>39</v>
      </c>
      <c r="BI100" s="27" t="s">
        <v>28</v>
      </c>
      <c r="BJ100" s="27" t="s">
        <v>21</v>
      </c>
      <c r="BK100" s="27" t="s">
        <v>21</v>
      </c>
      <c r="BL100" s="27" t="s">
        <v>33</v>
      </c>
      <c r="BM100" s="27" t="s">
        <v>21</v>
      </c>
      <c r="BN100" s="27" t="s">
        <v>38</v>
      </c>
      <c r="BO100" s="27" t="s">
        <v>33</v>
      </c>
      <c r="BP100" s="27" t="s">
        <v>21</v>
      </c>
      <c r="BQ100" s="27" t="s">
        <v>33</v>
      </c>
      <c r="BR100" s="27" t="s">
        <v>22</v>
      </c>
      <c r="BS100" s="27" t="s">
        <v>39</v>
      </c>
      <c r="BT100" s="27" t="s">
        <v>37</v>
      </c>
      <c r="BU100" s="27" t="s">
        <v>28</v>
      </c>
      <c r="BV100" s="27" t="s">
        <v>28</v>
      </c>
      <c r="BW100" s="27" t="s">
        <v>28</v>
      </c>
      <c r="BX100" s="27" t="s">
        <v>38</v>
      </c>
      <c r="BY100" s="27" t="s">
        <v>22</v>
      </c>
      <c r="BZ100" s="27" t="s">
        <v>22</v>
      </c>
      <c r="CA100" s="27" t="s">
        <v>37</v>
      </c>
      <c r="CB100" s="27" t="s">
        <v>39</v>
      </c>
      <c r="CC100" s="27" t="s">
        <v>33</v>
      </c>
      <c r="CD100" s="27" t="s">
        <v>28</v>
      </c>
      <c r="CE100" s="27" t="s">
        <v>28</v>
      </c>
      <c r="CF100" s="27" t="s">
        <v>39</v>
      </c>
    </row>
    <row r="101" spans="1:84" s="27" customFormat="1" x14ac:dyDescent="0.35">
      <c r="A101"/>
      <c r="B101" s="54" t="s">
        <v>137</v>
      </c>
      <c r="C101" s="40">
        <v>0.37919999999999998</v>
      </c>
      <c r="D101" s="40">
        <v>0.39229999999999998</v>
      </c>
      <c r="E101" s="40">
        <v>0.37619999999999998</v>
      </c>
      <c r="F101" s="40">
        <v>0.38219999999999998</v>
      </c>
      <c r="G101" s="40">
        <v>0.3861</v>
      </c>
      <c r="H101" s="40">
        <v>0.36920000000000003</v>
      </c>
      <c r="I101" s="40">
        <v>0.36630000000000001</v>
      </c>
      <c r="J101" s="40">
        <v>0.39269999999999999</v>
      </c>
      <c r="K101" s="40">
        <v>0.376</v>
      </c>
      <c r="L101" s="40">
        <v>0.39069999999999999</v>
      </c>
      <c r="M101" s="40">
        <v>0.39019999999999999</v>
      </c>
      <c r="N101" s="40">
        <v>0.38919999999999999</v>
      </c>
      <c r="O101" s="40">
        <v>0.4002</v>
      </c>
      <c r="P101" s="40">
        <v>0.39069999999999999</v>
      </c>
      <c r="Q101" s="40">
        <v>0.37090000000000001</v>
      </c>
      <c r="R101" s="40">
        <v>0.3654</v>
      </c>
      <c r="S101" s="40">
        <v>0.39400000000000002</v>
      </c>
      <c r="T101" s="40">
        <v>0.38159999999999999</v>
      </c>
      <c r="U101" s="40">
        <v>0.38019999999999998</v>
      </c>
      <c r="V101" s="40">
        <v>0.377</v>
      </c>
      <c r="W101" s="40">
        <v>0.38250000000000001</v>
      </c>
      <c r="X101" s="40">
        <v>0.37709999999999999</v>
      </c>
      <c r="Y101" s="40">
        <v>0.38100000000000001</v>
      </c>
      <c r="Z101" s="40">
        <v>0.36570000000000003</v>
      </c>
      <c r="AA101" s="40">
        <v>0.37840000000000001</v>
      </c>
      <c r="AB101" s="40">
        <v>0.39079999999999998</v>
      </c>
      <c r="AD101" s="54" t="s">
        <v>137</v>
      </c>
      <c r="AE101" s="32">
        <v>9.4841322236913092E-2</v>
      </c>
      <c r="AF101" s="32">
        <v>8.0163897852669891E-2</v>
      </c>
      <c r="AG101" s="32">
        <v>9.6663202447264771E-2</v>
      </c>
      <c r="AH101" s="32">
        <v>7.7437536782365354E-2</v>
      </c>
      <c r="AI101" s="32">
        <v>6.5172215070324321E-2</v>
      </c>
      <c r="AJ101" s="32">
        <v>9.2680006066689608E-2</v>
      </c>
      <c r="AK101" s="32">
        <v>6.0120250059998354E-2</v>
      </c>
      <c r="AL101" s="32">
        <v>5.2129003381526387E-2</v>
      </c>
      <c r="AM101" s="32">
        <v>7.2143047402569327E-2</v>
      </c>
      <c r="AN101" s="32">
        <v>0.12013153851134781</v>
      </c>
      <c r="AO101" s="32">
        <v>0.12771690944679676</v>
      </c>
      <c r="AP101" s="32">
        <v>8.7330607755350009E-2</v>
      </c>
      <c r="AQ101" s="32">
        <v>9.8443410586163724E-2</v>
      </c>
      <c r="AR101" s="32">
        <v>0.11005056618724396</v>
      </c>
      <c r="AS101" s="32">
        <v>8.0677477042448084E-2</v>
      </c>
      <c r="AT101" s="32">
        <v>9.5229828336966166E-2</v>
      </c>
      <c r="AU101" s="32">
        <v>6.7801547237170828E-2</v>
      </c>
      <c r="AV101" s="32">
        <v>5.7263918411912099E-2</v>
      </c>
      <c r="AW101" s="32">
        <v>7.822368432586943E-2</v>
      </c>
      <c r="AX101" s="32">
        <v>6.1641997314027211E-2</v>
      </c>
      <c r="AY101" s="32">
        <v>9.9021210562451389E-2</v>
      </c>
      <c r="AZ101" s="32">
        <v>0.11172259002047163</v>
      </c>
      <c r="BA101" s="32">
        <v>8.4522791494620247E-2</v>
      </c>
      <c r="BB101" s="32">
        <v>7.5789411392626307E-2</v>
      </c>
      <c r="BC101" s="32">
        <v>6.9092164061552455E-2</v>
      </c>
      <c r="BD101" s="32">
        <v>5.7032982796714426E-2</v>
      </c>
      <c r="BF101" s="54" t="s">
        <v>137</v>
      </c>
      <c r="BG101" s="27" t="s">
        <v>38</v>
      </c>
      <c r="BH101" s="27" t="s">
        <v>21</v>
      </c>
      <c r="BI101" s="27" t="s">
        <v>38</v>
      </c>
      <c r="BJ101" s="27" t="s">
        <v>37</v>
      </c>
      <c r="BK101" s="27" t="s">
        <v>38</v>
      </c>
      <c r="BL101" s="27" t="s">
        <v>39</v>
      </c>
      <c r="BM101" s="27" t="s">
        <v>37</v>
      </c>
      <c r="BN101" s="27" t="s">
        <v>28</v>
      </c>
      <c r="BO101" s="27" t="s">
        <v>21</v>
      </c>
      <c r="BP101" s="27" t="s">
        <v>39</v>
      </c>
      <c r="BQ101" s="27" t="s">
        <v>37</v>
      </c>
      <c r="BR101" s="27" t="s">
        <v>38</v>
      </c>
      <c r="BS101" s="27" t="s">
        <v>33</v>
      </c>
      <c r="BT101" s="27" t="s">
        <v>21</v>
      </c>
      <c r="BU101" s="27" t="s">
        <v>33</v>
      </c>
      <c r="BV101" s="27" t="s">
        <v>38</v>
      </c>
      <c r="BW101" s="27" t="s">
        <v>33</v>
      </c>
      <c r="BX101" s="27" t="s">
        <v>22</v>
      </c>
      <c r="BY101" s="27" t="s">
        <v>22</v>
      </c>
      <c r="BZ101" s="27" t="s">
        <v>38</v>
      </c>
      <c r="CA101" s="27" t="s">
        <v>22</v>
      </c>
      <c r="CB101" s="27" t="s">
        <v>37</v>
      </c>
      <c r="CC101" s="27" t="s">
        <v>33</v>
      </c>
      <c r="CD101" s="27" t="s">
        <v>37</v>
      </c>
      <c r="CE101" s="27" t="s">
        <v>39</v>
      </c>
      <c r="CF101" s="27" t="s">
        <v>21</v>
      </c>
    </row>
    <row r="102" spans="1:84" s="27" customFormat="1" x14ac:dyDescent="0.35">
      <c r="A102"/>
      <c r="B102" s="54" t="s">
        <v>138</v>
      </c>
      <c r="C102" s="40">
        <v>0.26880000000000004</v>
      </c>
      <c r="D102" s="40">
        <v>0.27750000000000002</v>
      </c>
      <c r="E102" s="40">
        <v>0.27750000000000002</v>
      </c>
      <c r="F102" s="40">
        <v>0.29290000000000005</v>
      </c>
      <c r="G102" s="40">
        <v>0.30230000000000001</v>
      </c>
      <c r="H102" s="40">
        <v>0.27020000000000005</v>
      </c>
      <c r="I102" s="40">
        <v>0.29760000000000003</v>
      </c>
      <c r="J102" s="40">
        <v>0.27200000000000002</v>
      </c>
      <c r="K102" s="40">
        <v>0.29660000000000003</v>
      </c>
      <c r="L102" s="40">
        <v>0.28510000000000002</v>
      </c>
      <c r="M102" s="40">
        <v>0.29180000000000006</v>
      </c>
      <c r="N102" s="40">
        <v>0.29770000000000002</v>
      </c>
      <c r="O102" s="40">
        <v>0.29480000000000001</v>
      </c>
      <c r="P102" s="40">
        <v>0.28040000000000004</v>
      </c>
      <c r="Q102" s="40">
        <v>0.28300000000000003</v>
      </c>
      <c r="R102" s="40">
        <v>0.28520000000000001</v>
      </c>
      <c r="S102" s="40">
        <v>0.28440000000000004</v>
      </c>
      <c r="T102" s="40">
        <v>0.27790000000000004</v>
      </c>
      <c r="U102" s="40">
        <v>0.27180000000000004</v>
      </c>
      <c r="V102" s="40">
        <v>0.29940000000000005</v>
      </c>
      <c r="W102" s="40">
        <v>0.27350000000000002</v>
      </c>
      <c r="X102" s="40">
        <v>0.27070000000000005</v>
      </c>
      <c r="Y102" s="40">
        <v>0.28590000000000004</v>
      </c>
      <c r="Z102" s="40">
        <v>0.29930000000000001</v>
      </c>
      <c r="AA102" s="40">
        <v>0.27160000000000001</v>
      </c>
      <c r="AB102" s="40">
        <v>0.29480000000000001</v>
      </c>
      <c r="AD102" s="54" t="s">
        <v>138</v>
      </c>
      <c r="AE102" s="32">
        <v>0.11084132223691309</v>
      </c>
      <c r="AF102" s="32">
        <v>9.6163897852669891E-2</v>
      </c>
      <c r="AG102" s="32">
        <v>0.11266320244726477</v>
      </c>
      <c r="AH102" s="32">
        <v>9.3437536782365355E-2</v>
      </c>
      <c r="AI102" s="32">
        <v>8.1172215070324322E-2</v>
      </c>
      <c r="AJ102" s="32">
        <v>0.10868000606668961</v>
      </c>
      <c r="AK102" s="32">
        <v>7.6120250059998354E-2</v>
      </c>
      <c r="AL102" s="32">
        <v>6.8129003381526387E-2</v>
      </c>
      <c r="AM102" s="32">
        <v>8.8143047402569327E-2</v>
      </c>
      <c r="AN102" s="32">
        <v>0.13613153851134779</v>
      </c>
      <c r="AO102" s="32">
        <v>0.14371690944679677</v>
      </c>
      <c r="AP102" s="32">
        <v>0.10333060775535001</v>
      </c>
      <c r="AQ102" s="32">
        <v>0.11444341058616372</v>
      </c>
      <c r="AR102" s="32">
        <v>0.12605056618724397</v>
      </c>
      <c r="AS102" s="32">
        <v>9.6677477042448084E-2</v>
      </c>
      <c r="AT102" s="32">
        <v>0.11122982833696617</v>
      </c>
      <c r="AU102" s="32">
        <v>8.3801547237170829E-2</v>
      </c>
      <c r="AV102" s="32">
        <v>7.3263918411912099E-2</v>
      </c>
      <c r="AW102" s="32">
        <v>9.4223684325869431E-2</v>
      </c>
      <c r="AX102" s="32">
        <v>7.7641997314027211E-2</v>
      </c>
      <c r="AY102" s="32">
        <v>0.11502121056245139</v>
      </c>
      <c r="AZ102" s="32">
        <v>0.12772259002047162</v>
      </c>
      <c r="BA102" s="32">
        <v>0.10052279149462025</v>
      </c>
      <c r="BB102" s="32">
        <v>9.1789411392626308E-2</v>
      </c>
      <c r="BC102" s="32">
        <v>8.5092164061552455E-2</v>
      </c>
      <c r="BD102" s="32">
        <v>7.3032982796714427E-2</v>
      </c>
      <c r="BF102" s="54" t="s">
        <v>138</v>
      </c>
      <c r="BG102" s="27" t="s">
        <v>33</v>
      </c>
      <c r="BH102" s="27" t="s">
        <v>37</v>
      </c>
      <c r="BI102" s="27" t="s">
        <v>33</v>
      </c>
      <c r="BJ102" s="27" t="s">
        <v>39</v>
      </c>
      <c r="BK102" s="27" t="s">
        <v>39</v>
      </c>
      <c r="BL102" s="27" t="s">
        <v>22</v>
      </c>
      <c r="BM102" s="27" t="s">
        <v>22</v>
      </c>
      <c r="BN102" s="27" t="s">
        <v>39</v>
      </c>
      <c r="BO102" s="27" t="s">
        <v>21</v>
      </c>
      <c r="BP102" s="27" t="s">
        <v>33</v>
      </c>
      <c r="BQ102" s="27" t="s">
        <v>28</v>
      </c>
      <c r="BR102" s="27" t="s">
        <v>37</v>
      </c>
      <c r="BS102" s="27" t="s">
        <v>33</v>
      </c>
      <c r="BT102" s="27" t="s">
        <v>22</v>
      </c>
      <c r="BU102" s="27" t="s">
        <v>28</v>
      </c>
      <c r="BV102" s="27" t="s">
        <v>33</v>
      </c>
      <c r="BW102" s="27" t="s">
        <v>33</v>
      </c>
      <c r="BX102" s="27" t="s">
        <v>38</v>
      </c>
      <c r="BY102" s="27" t="s">
        <v>28</v>
      </c>
      <c r="BZ102" s="27" t="s">
        <v>22</v>
      </c>
      <c r="CA102" s="27" t="s">
        <v>39</v>
      </c>
      <c r="CB102" s="27" t="s">
        <v>22</v>
      </c>
      <c r="CC102" s="27" t="s">
        <v>22</v>
      </c>
      <c r="CD102" s="27" t="s">
        <v>33</v>
      </c>
      <c r="CE102" s="27" t="s">
        <v>39</v>
      </c>
      <c r="CF102" s="27" t="s">
        <v>38</v>
      </c>
    </row>
    <row r="103" spans="1:84" x14ac:dyDescent="0.35">
      <c r="B103" t="s">
        <v>119</v>
      </c>
      <c r="C103" s="20">
        <f t="shared" ref="C103:AB103" si="35">C79</f>
        <v>0.1159</v>
      </c>
      <c r="D103" s="20">
        <f t="shared" si="35"/>
        <v>0.1293</v>
      </c>
      <c r="E103" s="20">
        <f t="shared" si="35"/>
        <v>0.14530000000000001</v>
      </c>
      <c r="F103" s="20">
        <f t="shared" si="35"/>
        <v>0.1313</v>
      </c>
      <c r="G103" s="20">
        <f t="shared" si="35"/>
        <v>0.1313</v>
      </c>
      <c r="H103" s="20">
        <f t="shared" si="35"/>
        <v>0.1384</v>
      </c>
      <c r="I103" s="20">
        <f t="shared" si="35"/>
        <v>0.11860000000000001</v>
      </c>
      <c r="J103" s="20">
        <f t="shared" si="35"/>
        <v>0.14910000000000001</v>
      </c>
      <c r="K103" s="20">
        <f t="shared" si="35"/>
        <v>0.12100000000000001</v>
      </c>
      <c r="L103" s="20">
        <f t="shared" si="35"/>
        <v>0.15010000000000001</v>
      </c>
      <c r="M103" s="20">
        <f t="shared" si="35"/>
        <v>0.1313</v>
      </c>
      <c r="N103" s="20">
        <f t="shared" si="35"/>
        <v>0.1363</v>
      </c>
      <c r="O103" s="20">
        <f t="shared" si="35"/>
        <v>0.1328</v>
      </c>
      <c r="P103" s="20">
        <f t="shared" si="35"/>
        <v>0.1444</v>
      </c>
      <c r="Q103" s="20">
        <f t="shared" si="35"/>
        <v>0.14660000000000001</v>
      </c>
      <c r="R103" s="20">
        <f t="shared" si="35"/>
        <v>0.14030000000000001</v>
      </c>
      <c r="S103" s="20">
        <f t="shared" si="35"/>
        <v>0.12390000000000001</v>
      </c>
      <c r="T103" s="20">
        <f t="shared" si="35"/>
        <v>0.1464</v>
      </c>
      <c r="U103" s="20">
        <f t="shared" si="35"/>
        <v>0.1381</v>
      </c>
      <c r="V103" s="20">
        <f t="shared" si="35"/>
        <v>0.1221</v>
      </c>
      <c r="W103" s="20">
        <f t="shared" si="35"/>
        <v>0.1303</v>
      </c>
      <c r="X103" s="20">
        <f t="shared" si="35"/>
        <v>0.1462</v>
      </c>
      <c r="Y103" s="20">
        <f t="shared" si="35"/>
        <v>0.14180000000000001</v>
      </c>
      <c r="Z103" s="20">
        <f t="shared" si="35"/>
        <v>0.1328</v>
      </c>
      <c r="AA103" s="20">
        <f t="shared" si="35"/>
        <v>0.14990000000000001</v>
      </c>
      <c r="AB103" s="20">
        <f t="shared" si="35"/>
        <v>0.13420000000000001</v>
      </c>
      <c r="AD103" t="s">
        <v>119</v>
      </c>
      <c r="AE103" s="20">
        <f>SUMPRODUCT(AE104:AE106,C104:C106)</f>
        <v>0.1199375814582653</v>
      </c>
      <c r="AF103" s="20">
        <f t="shared" ref="AF103:BD103" si="36">SUMPRODUCT(AF104:AF106,D104:D106)</f>
        <v>0.10672481051104633</v>
      </c>
      <c r="AG103" s="20">
        <f t="shared" si="36"/>
        <v>0.12218666837081658</v>
      </c>
      <c r="AH103" s="20">
        <f t="shared" si="36"/>
        <v>0.10853210042737674</v>
      </c>
      <c r="AI103" s="20">
        <f t="shared" si="36"/>
        <v>9.52853788880271E-2</v>
      </c>
      <c r="AJ103" s="20">
        <f t="shared" si="36"/>
        <v>0.11759743231007774</v>
      </c>
      <c r="AK103" s="20">
        <f t="shared" si="36"/>
        <v>8.6178438345296621E-2</v>
      </c>
      <c r="AL103" s="20">
        <f t="shared" si="36"/>
        <v>8.0375156764201067E-2</v>
      </c>
      <c r="AM103" s="20">
        <f t="shared" si="36"/>
        <v>0.10113891051656342</v>
      </c>
      <c r="AN103" s="20">
        <f t="shared" si="36"/>
        <v>0.15076181413595136</v>
      </c>
      <c r="AO103" s="20">
        <f t="shared" si="36"/>
        <v>0.15864726308003041</v>
      </c>
      <c r="AP103" s="20">
        <f t="shared" si="36"/>
        <v>0.11639916512813443</v>
      </c>
      <c r="AQ103" s="20">
        <f t="shared" si="36"/>
        <v>0.13115188988304738</v>
      </c>
      <c r="AR103" s="20">
        <f t="shared" si="36"/>
        <v>0.13875650718083743</v>
      </c>
      <c r="AS103" s="20">
        <f t="shared" si="36"/>
        <v>0.10801636783423313</v>
      </c>
      <c r="AT103" s="20">
        <f t="shared" si="36"/>
        <v>0.1236566461132339</v>
      </c>
      <c r="AU103" s="20">
        <f t="shared" si="36"/>
        <v>9.7556788331302283E-2</v>
      </c>
      <c r="AV103" s="20">
        <f t="shared" si="36"/>
        <v>8.3470763718032678E-2</v>
      </c>
      <c r="AW103" s="20">
        <f t="shared" si="36"/>
        <v>0.10574613783588827</v>
      </c>
      <c r="AX103" s="20">
        <f t="shared" si="36"/>
        <v>9.0964348590035424E-2</v>
      </c>
      <c r="AY103" s="20">
        <f t="shared" si="36"/>
        <v>0.12431001117491966</v>
      </c>
      <c r="AZ103" s="20">
        <f t="shared" si="36"/>
        <v>0.1342610218727277</v>
      </c>
      <c r="BA103" s="20">
        <f t="shared" si="36"/>
        <v>0.11364382618673745</v>
      </c>
      <c r="BB103" s="20">
        <f t="shared" si="36"/>
        <v>0.10113912147376425</v>
      </c>
      <c r="BC103" s="20">
        <f t="shared" si="36"/>
        <v>9.4557880142286097E-2</v>
      </c>
      <c r="BD103" s="20">
        <f t="shared" si="36"/>
        <v>8.5404741880714091E-2</v>
      </c>
      <c r="BF103" t="s">
        <v>119</v>
      </c>
      <c r="BG103" t="s">
        <v>21</v>
      </c>
      <c r="BH103" t="s">
        <v>28</v>
      </c>
      <c r="BI103" t="s">
        <v>22</v>
      </c>
      <c r="BJ103" t="s">
        <v>39</v>
      </c>
      <c r="BK103" t="s">
        <v>21</v>
      </c>
      <c r="BL103" t="s">
        <v>33</v>
      </c>
      <c r="BM103" t="s">
        <v>38</v>
      </c>
      <c r="BN103" t="s">
        <v>21</v>
      </c>
      <c r="BO103" t="s">
        <v>21</v>
      </c>
      <c r="BP103" t="s">
        <v>33</v>
      </c>
      <c r="BQ103" t="s">
        <v>21</v>
      </c>
      <c r="BR103" t="s">
        <v>21</v>
      </c>
      <c r="BS103" t="s">
        <v>28</v>
      </c>
      <c r="BT103" t="s">
        <v>21</v>
      </c>
      <c r="BU103" t="s">
        <v>39</v>
      </c>
      <c r="BV103" t="s">
        <v>22</v>
      </c>
      <c r="BW103" t="s">
        <v>22</v>
      </c>
      <c r="BX103" t="s">
        <v>37</v>
      </c>
      <c r="BY103" t="s">
        <v>33</v>
      </c>
      <c r="BZ103" t="s">
        <v>33</v>
      </c>
      <c r="CA103" t="s">
        <v>38</v>
      </c>
      <c r="CB103" t="s">
        <v>22</v>
      </c>
      <c r="CC103" t="s">
        <v>33</v>
      </c>
      <c r="CD103" t="s">
        <v>28</v>
      </c>
      <c r="CE103" t="s">
        <v>37</v>
      </c>
      <c r="CF103" t="s">
        <v>38</v>
      </c>
    </row>
    <row r="104" spans="1:84" s="27" customFormat="1" x14ac:dyDescent="0.35">
      <c r="A104"/>
      <c r="B104" s="54" t="s">
        <v>139</v>
      </c>
      <c r="C104" s="40">
        <v>0.53780000000000006</v>
      </c>
      <c r="D104" s="40">
        <v>0.5181</v>
      </c>
      <c r="E104" s="40">
        <v>0.53439999999999999</v>
      </c>
      <c r="F104" s="40">
        <v>0.5323</v>
      </c>
      <c r="G104" s="40">
        <v>0.52700000000000002</v>
      </c>
      <c r="H104" s="40">
        <v>0.50980000000000003</v>
      </c>
      <c r="I104" s="40">
        <v>0.53590000000000004</v>
      </c>
      <c r="J104" s="40">
        <v>0.5181</v>
      </c>
      <c r="K104" s="40">
        <v>0.53710000000000002</v>
      </c>
      <c r="L104" s="40">
        <v>0.52649999999999997</v>
      </c>
      <c r="M104" s="40">
        <v>0.53870000000000007</v>
      </c>
      <c r="N104" s="40">
        <v>0.50450000000000006</v>
      </c>
      <c r="O104" s="40">
        <v>0.53200000000000003</v>
      </c>
      <c r="P104" s="40">
        <v>0.53900000000000003</v>
      </c>
      <c r="Q104" s="40">
        <v>0.5373</v>
      </c>
      <c r="R104" s="40">
        <v>0.53749999999999998</v>
      </c>
      <c r="S104" s="40">
        <v>0.51480000000000004</v>
      </c>
      <c r="T104" s="40">
        <v>0.51800000000000002</v>
      </c>
      <c r="U104" s="40">
        <v>0.50419999999999998</v>
      </c>
      <c r="V104" s="40">
        <v>0.53380000000000005</v>
      </c>
      <c r="W104" s="40">
        <v>0.53839999999999999</v>
      </c>
      <c r="X104" s="40">
        <v>0.53780000000000006</v>
      </c>
      <c r="Y104" s="40">
        <v>0.52190000000000003</v>
      </c>
      <c r="Z104" s="40">
        <v>0.53459999999999996</v>
      </c>
      <c r="AA104" s="40">
        <v>0.51300000000000001</v>
      </c>
      <c r="AB104" s="40">
        <v>0.50560000000000005</v>
      </c>
      <c r="AD104" s="54" t="s">
        <v>139</v>
      </c>
      <c r="AE104" s="32">
        <v>0.1107840682301231</v>
      </c>
      <c r="AF104" s="32">
        <v>0.10113485470078888</v>
      </c>
      <c r="AG104" s="32">
        <v>0.11439437536904518</v>
      </c>
      <c r="AH104" s="32">
        <v>9.6680575949522063E-2</v>
      </c>
      <c r="AI104" s="32">
        <v>8.7016210300897776E-2</v>
      </c>
      <c r="AJ104" s="32">
        <v>0.11074570654937399</v>
      </c>
      <c r="AK104" s="32">
        <v>7.8257438219281883E-2</v>
      </c>
      <c r="AL104" s="32">
        <v>7.2453120854476097E-2</v>
      </c>
      <c r="AM104" s="32">
        <v>9.4943703851224442E-2</v>
      </c>
      <c r="AN104" s="32">
        <v>0.14081502518513742</v>
      </c>
      <c r="AO104" s="32">
        <v>0.14856391043549469</v>
      </c>
      <c r="AP104" s="32">
        <v>0.11100027009793646</v>
      </c>
      <c r="AQ104" s="32">
        <v>0.12211494955895737</v>
      </c>
      <c r="AR104" s="32">
        <v>0.12682480400158236</v>
      </c>
      <c r="AS104" s="32">
        <v>9.8124224943170912E-2</v>
      </c>
      <c r="AT104" s="32">
        <v>0.11385787290923081</v>
      </c>
      <c r="AU104" s="32">
        <v>9.0790479785759756E-2</v>
      </c>
      <c r="AV104" s="32">
        <v>7.6392835120176888E-2</v>
      </c>
      <c r="AW104" s="32">
        <v>9.8931471844430408E-2</v>
      </c>
      <c r="AX104" s="32">
        <v>8.1850474619722668E-2</v>
      </c>
      <c r="AY104" s="32">
        <v>0.1141041856953957</v>
      </c>
      <c r="AZ104" s="32">
        <v>0.12440335806940894</v>
      </c>
      <c r="BA104" s="32">
        <v>0.10533947460009664</v>
      </c>
      <c r="BB104" s="32">
        <v>9.0312219140864958E-2</v>
      </c>
      <c r="BC104" s="32">
        <v>8.7723030568492955E-2</v>
      </c>
      <c r="BD104" s="32">
        <v>7.8536173390412731E-2</v>
      </c>
      <c r="BF104" s="54" t="s">
        <v>139</v>
      </c>
      <c r="BG104" s="27" t="s">
        <v>22</v>
      </c>
      <c r="BH104" s="27" t="s">
        <v>33</v>
      </c>
      <c r="BI104" s="27" t="s">
        <v>21</v>
      </c>
      <c r="BJ104" s="27" t="s">
        <v>38</v>
      </c>
      <c r="BK104" s="27" t="s">
        <v>28</v>
      </c>
      <c r="BL104" s="27" t="s">
        <v>37</v>
      </c>
      <c r="BM104" s="27" t="s">
        <v>37</v>
      </c>
      <c r="BN104" s="27" t="s">
        <v>28</v>
      </c>
      <c r="BO104" s="27" t="s">
        <v>33</v>
      </c>
      <c r="BP104" s="27" t="s">
        <v>28</v>
      </c>
      <c r="BQ104" s="27" t="s">
        <v>33</v>
      </c>
      <c r="BR104" s="27" t="s">
        <v>22</v>
      </c>
      <c r="BS104" s="27" t="s">
        <v>21</v>
      </c>
      <c r="BT104" s="27" t="s">
        <v>21</v>
      </c>
      <c r="BU104" s="27" t="s">
        <v>33</v>
      </c>
      <c r="BV104" s="27" t="s">
        <v>39</v>
      </c>
      <c r="BW104" s="27" t="s">
        <v>33</v>
      </c>
      <c r="BX104" s="27" t="s">
        <v>28</v>
      </c>
      <c r="BY104" s="27" t="s">
        <v>39</v>
      </c>
      <c r="BZ104" s="27" t="s">
        <v>21</v>
      </c>
      <c r="CA104" s="27" t="s">
        <v>22</v>
      </c>
      <c r="CB104" s="27" t="s">
        <v>33</v>
      </c>
      <c r="CC104" s="27" t="s">
        <v>22</v>
      </c>
      <c r="CD104" s="27" t="s">
        <v>38</v>
      </c>
      <c r="CE104" s="27" t="s">
        <v>33</v>
      </c>
      <c r="CF104" s="27" t="s">
        <v>28</v>
      </c>
    </row>
    <row r="105" spans="1:84" s="27" customFormat="1" x14ac:dyDescent="0.35">
      <c r="A105"/>
      <c r="B105" s="54" t="s">
        <v>140</v>
      </c>
      <c r="C105" s="40">
        <v>0.3165</v>
      </c>
      <c r="D105" s="40">
        <v>0.32800000000000001</v>
      </c>
      <c r="E105" s="40">
        <v>0.32919999999999999</v>
      </c>
      <c r="F105" s="40">
        <v>0.34760000000000002</v>
      </c>
      <c r="G105" s="40">
        <v>0.33169999999999999</v>
      </c>
      <c r="H105" s="40">
        <v>0.34390000000000004</v>
      </c>
      <c r="I105" s="40">
        <v>0.31759999999999999</v>
      </c>
      <c r="J105" s="40">
        <v>0.3347</v>
      </c>
      <c r="K105" s="40">
        <v>0.32270000000000004</v>
      </c>
      <c r="L105" s="40">
        <v>0.3322</v>
      </c>
      <c r="M105" s="40">
        <v>0.31709999999999999</v>
      </c>
      <c r="N105" s="40">
        <v>0.34179999999999999</v>
      </c>
      <c r="O105" s="40">
        <v>0.33590000000000003</v>
      </c>
      <c r="P105" s="40">
        <v>0.33730000000000004</v>
      </c>
      <c r="Q105" s="40">
        <v>0.33280000000000004</v>
      </c>
      <c r="R105" s="40">
        <v>0.32520000000000004</v>
      </c>
      <c r="S105" s="40">
        <v>0.33950000000000002</v>
      </c>
      <c r="T105" s="40">
        <v>0.317</v>
      </c>
      <c r="U105" s="40">
        <v>0.3387</v>
      </c>
      <c r="V105" s="40">
        <v>0.34760000000000002</v>
      </c>
      <c r="W105" s="40">
        <v>0.32690000000000002</v>
      </c>
      <c r="X105" s="40">
        <v>0.34379999999999999</v>
      </c>
      <c r="Y105" s="40">
        <v>0.33450000000000002</v>
      </c>
      <c r="Z105" s="40">
        <v>0.3372</v>
      </c>
      <c r="AA105" s="40">
        <v>0.34390000000000004</v>
      </c>
      <c r="AB105" s="40">
        <v>0.3296</v>
      </c>
      <c r="AD105" s="54" t="s">
        <v>140</v>
      </c>
      <c r="AE105" s="32">
        <v>0.12978406823012309</v>
      </c>
      <c r="AF105" s="32">
        <v>0.12013485470078888</v>
      </c>
      <c r="AG105" s="32">
        <v>0.13339437536904517</v>
      </c>
      <c r="AH105" s="32">
        <v>0.11568057594952207</v>
      </c>
      <c r="AI105" s="32">
        <v>0.10601621030089778</v>
      </c>
      <c r="AJ105" s="32">
        <v>0.12974570654937401</v>
      </c>
      <c r="AK105" s="32">
        <v>9.7257438219281886E-2</v>
      </c>
      <c r="AL105" s="32">
        <v>9.14531208544761E-2</v>
      </c>
      <c r="AM105" s="32">
        <v>0.11394370385122445</v>
      </c>
      <c r="AN105" s="32">
        <v>0.1598150251851374</v>
      </c>
      <c r="AO105" s="32">
        <v>0.16756391043549471</v>
      </c>
      <c r="AP105" s="32">
        <v>0.13000027009793647</v>
      </c>
      <c r="AQ105" s="32">
        <v>0.14111494955895737</v>
      </c>
      <c r="AR105" s="32">
        <v>0.14582480400158238</v>
      </c>
      <c r="AS105" s="32">
        <v>0.11712422494317092</v>
      </c>
      <c r="AT105" s="32">
        <v>0.13285787290923085</v>
      </c>
      <c r="AU105" s="32">
        <v>0.10979047978575976</v>
      </c>
      <c r="AV105" s="32">
        <v>9.5392835120176891E-2</v>
      </c>
      <c r="AW105" s="32">
        <v>0.11793147184443041</v>
      </c>
      <c r="AX105" s="32">
        <v>0.10085047461972267</v>
      </c>
      <c r="AY105" s="32">
        <v>0.1331041856953957</v>
      </c>
      <c r="AZ105" s="32">
        <v>0.14340335806940893</v>
      </c>
      <c r="BA105" s="32">
        <v>0.12433947460009664</v>
      </c>
      <c r="BB105" s="32">
        <v>0.10931221914086496</v>
      </c>
      <c r="BC105" s="32">
        <v>0.10672303056849296</v>
      </c>
      <c r="BD105" s="32">
        <v>9.7536173390412734E-2</v>
      </c>
      <c r="BF105" s="54" t="s">
        <v>140</v>
      </c>
      <c r="BG105" s="27" t="s">
        <v>21</v>
      </c>
      <c r="BH105" s="27" t="s">
        <v>21</v>
      </c>
      <c r="BI105" s="27" t="s">
        <v>21</v>
      </c>
      <c r="BJ105" s="27" t="s">
        <v>33</v>
      </c>
      <c r="BK105" s="27" t="s">
        <v>37</v>
      </c>
      <c r="BL105" s="27" t="s">
        <v>21</v>
      </c>
      <c r="BM105" s="27" t="s">
        <v>33</v>
      </c>
      <c r="BN105" s="27" t="s">
        <v>38</v>
      </c>
      <c r="BO105" s="27" t="s">
        <v>39</v>
      </c>
      <c r="BP105" s="27" t="s">
        <v>37</v>
      </c>
      <c r="BQ105" s="27" t="s">
        <v>37</v>
      </c>
      <c r="BR105" s="27" t="s">
        <v>38</v>
      </c>
      <c r="BS105" s="27" t="s">
        <v>21</v>
      </c>
      <c r="BT105" s="27" t="s">
        <v>28</v>
      </c>
      <c r="BU105" s="27" t="s">
        <v>33</v>
      </c>
      <c r="BV105" s="27" t="s">
        <v>37</v>
      </c>
      <c r="BW105" s="27" t="s">
        <v>21</v>
      </c>
      <c r="BX105" s="27" t="s">
        <v>37</v>
      </c>
      <c r="BY105" s="27" t="s">
        <v>28</v>
      </c>
      <c r="BZ105" s="27" t="s">
        <v>21</v>
      </c>
      <c r="CA105" s="27" t="s">
        <v>38</v>
      </c>
      <c r="CB105" s="27" t="s">
        <v>39</v>
      </c>
      <c r="CC105" s="27" t="s">
        <v>21</v>
      </c>
      <c r="CD105" s="27" t="s">
        <v>33</v>
      </c>
      <c r="CE105" s="27" t="s">
        <v>39</v>
      </c>
      <c r="CF105" s="27" t="s">
        <v>38</v>
      </c>
    </row>
    <row r="106" spans="1:84" s="27" customFormat="1" x14ac:dyDescent="0.35">
      <c r="A106"/>
      <c r="B106" s="54" t="s">
        <v>141</v>
      </c>
      <c r="C106" s="40">
        <v>0.1636999999999999</v>
      </c>
      <c r="D106" s="40">
        <v>0.1379999999999999</v>
      </c>
      <c r="E106" s="40">
        <v>0.14119999999999991</v>
      </c>
      <c r="F106" s="40">
        <v>0.16259999999999991</v>
      </c>
      <c r="G106" s="40">
        <v>0.15169999999999992</v>
      </c>
      <c r="H106" s="40">
        <v>0.1402999999999999</v>
      </c>
      <c r="I106" s="40">
        <v>0.15659999999999991</v>
      </c>
      <c r="J106" s="40">
        <v>0.1538999999999999</v>
      </c>
      <c r="K106" s="40">
        <v>0.1311999999999999</v>
      </c>
      <c r="L106" s="40">
        <v>0.1591999999999999</v>
      </c>
      <c r="M106" s="40">
        <v>0.16379999999999992</v>
      </c>
      <c r="N106" s="40">
        <v>0.13529999999999992</v>
      </c>
      <c r="O106" s="40">
        <v>0.14549999999999991</v>
      </c>
      <c r="P106" s="40">
        <v>0.15849999999999992</v>
      </c>
      <c r="Q106" s="40">
        <v>0.15519999999999992</v>
      </c>
      <c r="R106" s="40">
        <v>0.15929999999999991</v>
      </c>
      <c r="S106" s="40">
        <v>0.1384999999999999</v>
      </c>
      <c r="T106" s="40">
        <v>0.16379999999999992</v>
      </c>
      <c r="U106" s="40">
        <v>0.15029999999999991</v>
      </c>
      <c r="V106" s="40">
        <v>0.1374999999999999</v>
      </c>
      <c r="W106" s="40">
        <v>0.1598999999999999</v>
      </c>
      <c r="X106" s="40">
        <v>0.13739999999999991</v>
      </c>
      <c r="Y106" s="40">
        <v>0.15199999999999991</v>
      </c>
      <c r="Z106" s="40">
        <v>0.16439999999999991</v>
      </c>
      <c r="AA106" s="40">
        <v>0.1356999999999999</v>
      </c>
      <c r="AB106" s="40">
        <v>0.1583999999999999</v>
      </c>
      <c r="AD106" s="54" t="s">
        <v>141</v>
      </c>
      <c r="AE106" s="32">
        <v>0.11778406823012309</v>
      </c>
      <c r="AF106" s="32">
        <v>0.10813485470078887</v>
      </c>
      <c r="AG106" s="32">
        <v>0.12139437536904517</v>
      </c>
      <c r="AH106" s="32">
        <v>0.10368057594952206</v>
      </c>
      <c r="AI106" s="32">
        <v>9.4016210300897768E-2</v>
      </c>
      <c r="AJ106" s="32">
        <v>0.11774570654937398</v>
      </c>
      <c r="AK106" s="32">
        <v>8.5257438219281875E-2</v>
      </c>
      <c r="AL106" s="32">
        <v>7.9453120854476089E-2</v>
      </c>
      <c r="AM106" s="32">
        <v>0.10194370385122443</v>
      </c>
      <c r="AN106" s="32">
        <v>0.14781502518513739</v>
      </c>
      <c r="AO106" s="32">
        <v>0.1555639104354947</v>
      </c>
      <c r="AP106" s="32">
        <v>0.11800027009793645</v>
      </c>
      <c r="AQ106" s="32">
        <v>0.12911494955895736</v>
      </c>
      <c r="AR106" s="32">
        <v>0.13382480400158236</v>
      </c>
      <c r="AS106" s="32">
        <v>0.1051242249431709</v>
      </c>
      <c r="AT106" s="32">
        <v>0.12085787290923081</v>
      </c>
      <c r="AU106" s="32">
        <v>9.7790479785759749E-2</v>
      </c>
      <c r="AV106" s="32">
        <v>8.3392835120176881E-2</v>
      </c>
      <c r="AW106" s="32">
        <v>0.1059314718444304</v>
      </c>
      <c r="AX106" s="32">
        <v>8.8850474619722661E-2</v>
      </c>
      <c r="AY106" s="32">
        <v>0.12110418569539569</v>
      </c>
      <c r="AZ106" s="32">
        <v>0.13140335806940892</v>
      </c>
      <c r="BA106" s="32">
        <v>0.11233947460009663</v>
      </c>
      <c r="BB106" s="32">
        <v>9.731221914086495E-2</v>
      </c>
      <c r="BC106" s="32">
        <v>9.4723030568492947E-2</v>
      </c>
      <c r="BD106" s="32">
        <v>8.5536173390412723E-2</v>
      </c>
      <c r="BF106" s="54" t="s">
        <v>141</v>
      </c>
      <c r="BG106" s="27" t="s">
        <v>21</v>
      </c>
      <c r="BH106" s="27" t="s">
        <v>37</v>
      </c>
      <c r="BI106" s="27" t="s">
        <v>21</v>
      </c>
      <c r="BJ106" s="27" t="s">
        <v>37</v>
      </c>
      <c r="BK106" s="27" t="s">
        <v>39</v>
      </c>
      <c r="BL106" s="27" t="s">
        <v>21</v>
      </c>
      <c r="BM106" s="27" t="s">
        <v>37</v>
      </c>
      <c r="BN106" s="27" t="s">
        <v>38</v>
      </c>
      <c r="BO106" s="27" t="s">
        <v>37</v>
      </c>
      <c r="BP106" s="27" t="s">
        <v>21</v>
      </c>
      <c r="BQ106" s="27" t="s">
        <v>33</v>
      </c>
      <c r="BR106" s="27" t="s">
        <v>39</v>
      </c>
      <c r="BS106" s="27" t="s">
        <v>33</v>
      </c>
      <c r="BT106" s="27" t="s">
        <v>21</v>
      </c>
      <c r="BU106" s="27" t="s">
        <v>21</v>
      </c>
      <c r="BV106" s="27" t="s">
        <v>22</v>
      </c>
      <c r="BW106" s="27" t="s">
        <v>37</v>
      </c>
      <c r="BX106" s="27" t="s">
        <v>22</v>
      </c>
      <c r="BY106" s="27" t="s">
        <v>39</v>
      </c>
      <c r="BZ106" s="27" t="s">
        <v>22</v>
      </c>
      <c r="CA106" s="27" t="s">
        <v>37</v>
      </c>
      <c r="CB106" s="27" t="s">
        <v>38</v>
      </c>
      <c r="CC106" s="27" t="s">
        <v>28</v>
      </c>
      <c r="CD106" s="27" t="s">
        <v>22</v>
      </c>
      <c r="CE106" s="27" t="s">
        <v>21</v>
      </c>
      <c r="CF106" s="27" t="s">
        <v>28</v>
      </c>
    </row>
    <row r="107" spans="1:84" x14ac:dyDescent="0.35">
      <c r="B107" t="s">
        <v>142</v>
      </c>
      <c r="C107" s="12">
        <v>7.2300000000000003E-2</v>
      </c>
      <c r="D107" s="12">
        <v>9.2499999999999999E-2</v>
      </c>
      <c r="E107" s="12">
        <v>8.8099999999999998E-2</v>
      </c>
      <c r="F107" s="12">
        <v>9.2200000000000004E-2</v>
      </c>
      <c r="G107" s="12">
        <v>7.8600000000000003E-2</v>
      </c>
      <c r="H107" s="12">
        <v>8.1799999999999998E-2</v>
      </c>
      <c r="I107" s="12">
        <v>7.0599999999999996E-2</v>
      </c>
      <c r="J107" s="12">
        <v>7.3400000000000007E-2</v>
      </c>
      <c r="K107" s="12">
        <v>7.7300000000000008E-2</v>
      </c>
      <c r="L107" s="12">
        <v>8.1499999999999989E-2</v>
      </c>
      <c r="M107" s="12">
        <v>8.7499999999999994E-2</v>
      </c>
      <c r="N107" s="12">
        <v>9.1200000000000003E-2</v>
      </c>
      <c r="O107" s="12">
        <v>7.2800000000000004E-2</v>
      </c>
      <c r="P107" s="12">
        <v>8.8300000000000003E-2</v>
      </c>
      <c r="Q107" s="12">
        <v>8.1499999999999989E-2</v>
      </c>
      <c r="R107" s="12">
        <v>9.1700000000000004E-2</v>
      </c>
      <c r="S107" s="12">
        <v>8.5099999999999995E-2</v>
      </c>
      <c r="T107" s="12">
        <v>9.01E-2</v>
      </c>
      <c r="U107" s="12">
        <v>7.0500000000000007E-2</v>
      </c>
      <c r="V107" s="12">
        <v>7.8300000000000008E-2</v>
      </c>
      <c r="W107" s="12">
        <v>9.01E-2</v>
      </c>
      <c r="X107" s="12">
        <v>7.2800000000000004E-2</v>
      </c>
      <c r="Y107" s="12">
        <v>8.1600000000000006E-2</v>
      </c>
      <c r="Z107" s="12">
        <v>9.2100000000000001E-2</v>
      </c>
      <c r="AA107" s="12">
        <v>8.0900000000000014E-2</v>
      </c>
      <c r="AB107" s="12">
        <v>7.6200000000000004E-2</v>
      </c>
      <c r="AD107" t="s">
        <v>142</v>
      </c>
      <c r="AE107" s="20">
        <f>SUMPRODUCT(AE108:AE110,C108:C110)</f>
        <v>0.11202550796777441</v>
      </c>
      <c r="AF107" s="20">
        <f t="shared" ref="AF107:BD107" si="37">SUMPRODUCT(AF108:AF110,D108:D110)</f>
        <v>0.10051660186162552</v>
      </c>
      <c r="AG107" s="20">
        <f t="shared" si="37"/>
        <v>0.12152136924860253</v>
      </c>
      <c r="AH107" s="20">
        <f t="shared" si="37"/>
        <v>0.10340648165161684</v>
      </c>
      <c r="AI107" s="20">
        <f t="shared" si="37"/>
        <v>9.1019077236486071E-2</v>
      </c>
      <c r="AJ107" s="20">
        <f t="shared" si="37"/>
        <v>0.11383347873409112</v>
      </c>
      <c r="AK107" s="20">
        <f t="shared" si="37"/>
        <v>7.9434858934937125E-2</v>
      </c>
      <c r="AL107" s="20">
        <f t="shared" si="37"/>
        <v>7.6238471352731138E-2</v>
      </c>
      <c r="AM107" s="20">
        <f t="shared" si="37"/>
        <v>9.817342375526808E-2</v>
      </c>
      <c r="AN107" s="20">
        <f t="shared" si="37"/>
        <v>0.14538130773222668</v>
      </c>
      <c r="AO107" s="20">
        <f t="shared" si="37"/>
        <v>0.15542714871211355</v>
      </c>
      <c r="AP107" s="20">
        <f t="shared" si="37"/>
        <v>0.11067142472947626</v>
      </c>
      <c r="AQ107" s="20">
        <f t="shared" si="37"/>
        <v>0.12830528754200204</v>
      </c>
      <c r="AR107" s="20">
        <f t="shared" si="37"/>
        <v>0.13456496848880123</v>
      </c>
      <c r="AS107" s="20">
        <f t="shared" si="37"/>
        <v>0.1014424663712889</v>
      </c>
      <c r="AT107" s="20">
        <f t="shared" si="37"/>
        <v>0.11998365323956924</v>
      </c>
      <c r="AU107" s="20">
        <f t="shared" si="37"/>
        <v>9.4220712980770963E-2</v>
      </c>
      <c r="AV107" s="20">
        <f t="shared" si="37"/>
        <v>8.0400512240574651E-2</v>
      </c>
      <c r="AW107" s="20">
        <f t="shared" si="37"/>
        <v>0.10353080278989675</v>
      </c>
      <c r="AX107" s="20">
        <f t="shared" si="37"/>
        <v>8.6802090913228575E-2</v>
      </c>
      <c r="AY107" s="20">
        <f t="shared" si="37"/>
        <v>0.11769729183615008</v>
      </c>
      <c r="AZ107" s="20">
        <f t="shared" si="37"/>
        <v>0.1292556478412441</v>
      </c>
      <c r="BA107" s="20">
        <f t="shared" si="37"/>
        <v>0.10764253427828206</v>
      </c>
      <c r="BB107" s="20">
        <f t="shared" si="37"/>
        <v>9.872389172529028E-2</v>
      </c>
      <c r="BC107" s="20">
        <f t="shared" si="37"/>
        <v>8.7739036027832978E-2</v>
      </c>
      <c r="BD107" s="20">
        <f t="shared" si="37"/>
        <v>8.1371719606649379E-2</v>
      </c>
      <c r="BF107" t="s">
        <v>142</v>
      </c>
      <c r="BG107" t="s">
        <v>38</v>
      </c>
      <c r="BH107" t="s">
        <v>37</v>
      </c>
      <c r="BI107" t="s">
        <v>38</v>
      </c>
      <c r="BJ107" t="s">
        <v>33</v>
      </c>
      <c r="BK107" t="s">
        <v>33</v>
      </c>
      <c r="BL107" t="s">
        <v>22</v>
      </c>
      <c r="BM107" t="s">
        <v>21</v>
      </c>
      <c r="BN107" t="s">
        <v>33</v>
      </c>
      <c r="BO107" t="s">
        <v>38</v>
      </c>
      <c r="BP107" t="s">
        <v>33</v>
      </c>
      <c r="BQ107" t="s">
        <v>21</v>
      </c>
      <c r="BR107" t="s">
        <v>28</v>
      </c>
      <c r="BS107" t="s">
        <v>33</v>
      </c>
      <c r="BT107" t="s">
        <v>39</v>
      </c>
      <c r="BU107" t="s">
        <v>39</v>
      </c>
      <c r="BV107" t="s">
        <v>33</v>
      </c>
      <c r="BW107" t="s">
        <v>39</v>
      </c>
      <c r="BX107" t="s">
        <v>38</v>
      </c>
      <c r="BY107" t="s">
        <v>33</v>
      </c>
      <c r="BZ107" t="s">
        <v>37</v>
      </c>
      <c r="CA107" t="s">
        <v>38</v>
      </c>
      <c r="CB107" t="s">
        <v>21</v>
      </c>
      <c r="CC107" t="s">
        <v>38</v>
      </c>
      <c r="CD107" t="s">
        <v>38</v>
      </c>
      <c r="CE107" t="s">
        <v>22</v>
      </c>
      <c r="CF107" t="s">
        <v>21</v>
      </c>
    </row>
    <row r="108" spans="1:84" s="27" customFormat="1" x14ac:dyDescent="0.35">
      <c r="A108"/>
      <c r="B108" s="54" t="s">
        <v>143</v>
      </c>
      <c r="C108" s="40">
        <v>0.35809999999999997</v>
      </c>
      <c r="D108" s="40">
        <v>0.33559999999999995</v>
      </c>
      <c r="E108" s="40">
        <v>0.3654</v>
      </c>
      <c r="F108" s="40">
        <v>0.35</v>
      </c>
      <c r="G108" s="40">
        <v>0.35389999999999999</v>
      </c>
      <c r="H108" s="40">
        <v>0.35869999999999996</v>
      </c>
      <c r="I108" s="40">
        <v>0.33889999999999998</v>
      </c>
      <c r="J108" s="40">
        <v>0.34969999999999996</v>
      </c>
      <c r="K108" s="40">
        <v>0.36229999999999996</v>
      </c>
      <c r="L108" s="40">
        <v>0.3589</v>
      </c>
      <c r="M108" s="40">
        <v>0.35209999999999997</v>
      </c>
      <c r="N108" s="40">
        <v>0.33859999999999996</v>
      </c>
      <c r="O108" s="40">
        <v>0.35780000000000001</v>
      </c>
      <c r="P108" s="40">
        <v>0.36149999999999999</v>
      </c>
      <c r="Q108" s="40">
        <v>0.33579999999999999</v>
      </c>
      <c r="R108" s="40">
        <v>0.36909999999999998</v>
      </c>
      <c r="S108" s="40">
        <v>0.35309999999999997</v>
      </c>
      <c r="T108" s="40">
        <v>0.34209999999999996</v>
      </c>
      <c r="U108" s="40">
        <v>0.36849999999999999</v>
      </c>
      <c r="V108" s="40">
        <v>0.35409999999999997</v>
      </c>
      <c r="W108" s="40">
        <v>0.34769999999999995</v>
      </c>
      <c r="X108" s="40">
        <v>0.34520000000000001</v>
      </c>
      <c r="Y108" s="40">
        <v>0.3468</v>
      </c>
      <c r="Z108" s="40">
        <v>0.36099999999999999</v>
      </c>
      <c r="AA108" s="40">
        <v>0.35239999999999999</v>
      </c>
      <c r="AB108" s="40">
        <v>0.35299999999999998</v>
      </c>
      <c r="AD108" s="54" t="s">
        <v>143</v>
      </c>
      <c r="AE108" s="32">
        <v>0.10491560315143338</v>
      </c>
      <c r="AF108" s="32">
        <v>9.2084751073650398E-2</v>
      </c>
      <c r="AG108" s="32">
        <v>0.10803691773730778</v>
      </c>
      <c r="AH108" s="32">
        <v>9.5123957580763321E-2</v>
      </c>
      <c r="AI108" s="32">
        <v>8.2001284429290083E-2</v>
      </c>
      <c r="AJ108" s="32">
        <v>0.10265104791064045</v>
      </c>
      <c r="AK108" s="32">
        <v>7.1711071361990508E-2</v>
      </c>
      <c r="AL108" s="32">
        <v>6.6644320328501191E-2</v>
      </c>
      <c r="AM108" s="32">
        <v>8.6519067615067141E-2</v>
      </c>
      <c r="AN108" s="32">
        <v>0.13744067892887271</v>
      </c>
      <c r="AO108" s="32">
        <v>0.14390886961583871</v>
      </c>
      <c r="AP108" s="32">
        <v>0.10310145232362514</v>
      </c>
      <c r="AQ108" s="32">
        <v>0.11711983750815337</v>
      </c>
      <c r="AR108" s="32">
        <v>0.12484220518102969</v>
      </c>
      <c r="AS108" s="32">
        <v>9.3995160383691739E-2</v>
      </c>
      <c r="AT108" s="32">
        <v>0.10908526417513763</v>
      </c>
      <c r="AU108" s="32">
        <v>8.4908994673846966E-2</v>
      </c>
      <c r="AV108" s="32">
        <v>6.9967118042776819E-2</v>
      </c>
      <c r="AW108" s="32">
        <v>9.0660016267703453E-2</v>
      </c>
      <c r="AX108" s="32">
        <v>7.6438271164284297E-2</v>
      </c>
      <c r="AY108" s="32">
        <v>0.11137490171185666</v>
      </c>
      <c r="AZ108" s="32">
        <v>0.11943662952648085</v>
      </c>
      <c r="BA108" s="32">
        <v>0.1001110553860021</v>
      </c>
      <c r="BB108" s="32">
        <v>8.7329460278363233E-2</v>
      </c>
      <c r="BC108" s="32">
        <v>8.1150760359331581E-2</v>
      </c>
      <c r="BD108" s="32">
        <v>7.1740927368649801E-2</v>
      </c>
      <c r="BF108" s="54" t="s">
        <v>143</v>
      </c>
      <c r="BG108" s="27" t="s">
        <v>39</v>
      </c>
      <c r="BH108" s="27" t="s">
        <v>28</v>
      </c>
      <c r="BI108" s="27" t="s">
        <v>37</v>
      </c>
      <c r="BJ108" s="27" t="s">
        <v>37</v>
      </c>
      <c r="BK108" s="27" t="s">
        <v>37</v>
      </c>
      <c r="BL108" s="27" t="s">
        <v>21</v>
      </c>
      <c r="BM108" s="27" t="s">
        <v>37</v>
      </c>
      <c r="BN108" s="27" t="s">
        <v>33</v>
      </c>
      <c r="BO108" s="27" t="s">
        <v>38</v>
      </c>
      <c r="BP108" s="27" t="s">
        <v>39</v>
      </c>
      <c r="BQ108" s="27" t="s">
        <v>37</v>
      </c>
      <c r="BR108" s="27" t="s">
        <v>39</v>
      </c>
      <c r="BS108" s="27" t="s">
        <v>38</v>
      </c>
      <c r="BT108" s="27" t="s">
        <v>28</v>
      </c>
      <c r="BU108" s="27" t="s">
        <v>21</v>
      </c>
      <c r="BV108" s="27" t="s">
        <v>38</v>
      </c>
      <c r="BW108" s="27" t="s">
        <v>37</v>
      </c>
      <c r="BX108" s="27" t="s">
        <v>22</v>
      </c>
      <c r="BY108" s="27" t="s">
        <v>39</v>
      </c>
      <c r="BZ108" s="27" t="s">
        <v>38</v>
      </c>
      <c r="CA108" s="27" t="s">
        <v>33</v>
      </c>
      <c r="CB108" s="27" t="s">
        <v>33</v>
      </c>
      <c r="CC108" s="27" t="s">
        <v>38</v>
      </c>
      <c r="CD108" s="27" t="s">
        <v>33</v>
      </c>
      <c r="CE108" s="27" t="s">
        <v>22</v>
      </c>
      <c r="CF108" s="27" t="s">
        <v>39</v>
      </c>
    </row>
    <row r="109" spans="1:84" s="27" customFormat="1" x14ac:dyDescent="0.35">
      <c r="A109"/>
      <c r="B109" s="54" t="s">
        <v>144</v>
      </c>
      <c r="C109" s="40">
        <v>0.36659999999999998</v>
      </c>
      <c r="D109" s="40">
        <v>0.36959999999999998</v>
      </c>
      <c r="E109" s="40">
        <v>0.38740000000000002</v>
      </c>
      <c r="F109" s="40">
        <v>0.36699999999999999</v>
      </c>
      <c r="G109" s="40">
        <v>0.37559999999999999</v>
      </c>
      <c r="H109" s="40">
        <v>0.37959999999999999</v>
      </c>
      <c r="I109" s="40">
        <v>0.36859999999999998</v>
      </c>
      <c r="J109" s="40">
        <v>0.37609999999999999</v>
      </c>
      <c r="K109" s="40">
        <v>0.39050000000000001</v>
      </c>
      <c r="L109" s="40">
        <v>0.37430000000000002</v>
      </c>
      <c r="M109" s="40">
        <v>0.38580000000000003</v>
      </c>
      <c r="N109" s="40">
        <v>0.37830000000000003</v>
      </c>
      <c r="O109" s="40">
        <v>0.38950000000000001</v>
      </c>
      <c r="P109" s="40">
        <v>0.37969999999999998</v>
      </c>
      <c r="Q109" s="40">
        <v>0.37680000000000002</v>
      </c>
      <c r="R109" s="40">
        <v>0.38519999999999999</v>
      </c>
      <c r="S109" s="40">
        <v>0.36990000000000001</v>
      </c>
      <c r="T109" s="40">
        <v>0.38530000000000003</v>
      </c>
      <c r="U109" s="40">
        <v>0.39860000000000001</v>
      </c>
      <c r="V109" s="40">
        <v>0.38090000000000002</v>
      </c>
      <c r="W109" s="40">
        <v>0.3695</v>
      </c>
      <c r="X109" s="40">
        <v>0.38850000000000001</v>
      </c>
      <c r="Y109" s="40">
        <v>0.38230000000000003</v>
      </c>
      <c r="Z109" s="40">
        <v>0.39390000000000003</v>
      </c>
      <c r="AA109" s="40">
        <v>0.36609999999999998</v>
      </c>
      <c r="AB109" s="40">
        <v>0.3931</v>
      </c>
      <c r="AD109" s="54" t="s">
        <v>144</v>
      </c>
      <c r="AE109" s="32">
        <v>0.12591560315143338</v>
      </c>
      <c r="AF109" s="32">
        <v>0.1130847510736504</v>
      </c>
      <c r="AG109" s="32">
        <v>0.1290369177373078</v>
      </c>
      <c r="AH109" s="32">
        <v>0.11612395758076333</v>
      </c>
      <c r="AI109" s="32">
        <v>0.10300128442929009</v>
      </c>
      <c r="AJ109" s="32">
        <v>0.12365104791064045</v>
      </c>
      <c r="AK109" s="32">
        <v>9.2711071361990513E-2</v>
      </c>
      <c r="AL109" s="32">
        <v>8.7644320328501196E-2</v>
      </c>
      <c r="AM109" s="32">
        <v>0.10751906761506715</v>
      </c>
      <c r="AN109" s="32">
        <v>0.1584406789288727</v>
      </c>
      <c r="AO109" s="32">
        <v>0.16490886961583873</v>
      </c>
      <c r="AP109" s="32">
        <v>0.12410145232362514</v>
      </c>
      <c r="AQ109" s="32">
        <v>0.13811983750815338</v>
      </c>
      <c r="AR109" s="32">
        <v>0.14584220518102969</v>
      </c>
      <c r="AS109" s="32">
        <v>0.11499516038369174</v>
      </c>
      <c r="AT109" s="32">
        <v>0.13008526417513766</v>
      </c>
      <c r="AU109" s="32">
        <v>0.10590899467384697</v>
      </c>
      <c r="AV109" s="32">
        <v>9.0967118042776823E-2</v>
      </c>
      <c r="AW109" s="32">
        <v>0.11166001626770346</v>
      </c>
      <c r="AX109" s="32">
        <v>9.7438271164284301E-2</v>
      </c>
      <c r="AY109" s="32">
        <v>0.13237490171185667</v>
      </c>
      <c r="AZ109" s="32">
        <v>0.14043662952648084</v>
      </c>
      <c r="BA109" s="32">
        <v>0.1211110553860021</v>
      </c>
      <c r="BB109" s="32">
        <v>0.10832946027836324</v>
      </c>
      <c r="BC109" s="32">
        <v>0.10215076035933159</v>
      </c>
      <c r="BD109" s="32">
        <v>9.2740927368649806E-2</v>
      </c>
      <c r="BF109" s="54" t="s">
        <v>144</v>
      </c>
      <c r="BG109" s="27" t="s">
        <v>33</v>
      </c>
      <c r="BH109" s="27" t="s">
        <v>38</v>
      </c>
      <c r="BI109" s="27" t="s">
        <v>38</v>
      </c>
      <c r="BJ109" s="27" t="s">
        <v>37</v>
      </c>
      <c r="BK109" s="27" t="s">
        <v>33</v>
      </c>
      <c r="BL109" s="27" t="s">
        <v>33</v>
      </c>
      <c r="BM109" s="27" t="s">
        <v>22</v>
      </c>
      <c r="BN109" s="27" t="s">
        <v>37</v>
      </c>
      <c r="BO109" s="27" t="s">
        <v>37</v>
      </c>
      <c r="BP109" s="27" t="s">
        <v>39</v>
      </c>
      <c r="BQ109" s="27" t="s">
        <v>33</v>
      </c>
      <c r="BR109" s="27" t="s">
        <v>28</v>
      </c>
      <c r="BS109" s="27" t="s">
        <v>21</v>
      </c>
      <c r="BT109" s="27" t="s">
        <v>28</v>
      </c>
      <c r="BU109" s="27" t="s">
        <v>38</v>
      </c>
      <c r="BV109" s="27" t="s">
        <v>38</v>
      </c>
      <c r="BW109" s="27" t="s">
        <v>37</v>
      </c>
      <c r="BX109" s="27" t="s">
        <v>22</v>
      </c>
      <c r="BY109" s="27" t="s">
        <v>21</v>
      </c>
      <c r="BZ109" s="27" t="s">
        <v>33</v>
      </c>
      <c r="CA109" s="27" t="s">
        <v>37</v>
      </c>
      <c r="CB109" s="27" t="s">
        <v>37</v>
      </c>
      <c r="CC109" s="27" t="s">
        <v>38</v>
      </c>
      <c r="CD109" s="27" t="s">
        <v>22</v>
      </c>
      <c r="CE109" s="27" t="s">
        <v>21</v>
      </c>
      <c r="CF109" s="27" t="s">
        <v>39</v>
      </c>
    </row>
    <row r="110" spans="1:84" s="27" customFormat="1" x14ac:dyDescent="0.35">
      <c r="A110"/>
      <c r="B110" s="54" t="s">
        <v>145</v>
      </c>
      <c r="C110" s="40">
        <v>0.25509999999999999</v>
      </c>
      <c r="D110" s="40">
        <v>0.28360000000000002</v>
      </c>
      <c r="E110" s="40">
        <v>0.28110000000000002</v>
      </c>
      <c r="F110" s="40">
        <v>0.27190000000000003</v>
      </c>
      <c r="G110" s="40">
        <v>0.26490000000000002</v>
      </c>
      <c r="H110" s="40">
        <v>0.27679999999999999</v>
      </c>
      <c r="I110" s="40">
        <v>0.2697</v>
      </c>
      <c r="J110" s="40">
        <v>0.27490000000000003</v>
      </c>
      <c r="K110" s="40">
        <v>0.26850000000000002</v>
      </c>
      <c r="L110" s="40">
        <v>0.25620000000000004</v>
      </c>
      <c r="M110" s="40">
        <v>0.27440000000000003</v>
      </c>
      <c r="N110" s="40">
        <v>0.2641</v>
      </c>
      <c r="O110" s="40">
        <v>0.26480000000000004</v>
      </c>
      <c r="P110" s="40">
        <v>0.26030000000000003</v>
      </c>
      <c r="Q110" s="40">
        <v>0.26550000000000001</v>
      </c>
      <c r="R110" s="40">
        <v>0.25730000000000003</v>
      </c>
      <c r="S110" s="40">
        <v>0.2757</v>
      </c>
      <c r="T110" s="40">
        <v>0.28190000000000004</v>
      </c>
      <c r="U110" s="40">
        <v>0.26500000000000001</v>
      </c>
      <c r="V110" s="40">
        <v>0.27440000000000003</v>
      </c>
      <c r="W110" s="40">
        <v>0.25609999999999999</v>
      </c>
      <c r="X110" s="40">
        <v>0.26680000000000004</v>
      </c>
      <c r="Y110" s="40">
        <v>0.25090000000000001</v>
      </c>
      <c r="Z110" s="40">
        <v>0.26280000000000003</v>
      </c>
      <c r="AA110" s="40">
        <v>0.2495</v>
      </c>
      <c r="AB110" s="40">
        <v>0.252</v>
      </c>
      <c r="AD110" s="54" t="s">
        <v>145</v>
      </c>
      <c r="AE110" s="32">
        <v>0.11091560315143338</v>
      </c>
      <c r="AF110" s="32">
        <v>9.8084751073650403E-2</v>
      </c>
      <c r="AG110" s="32">
        <v>0.11403691773730779</v>
      </c>
      <c r="AH110" s="32">
        <v>0.10112395758076333</v>
      </c>
      <c r="AI110" s="32">
        <v>8.8001284429290089E-2</v>
      </c>
      <c r="AJ110" s="32">
        <v>0.10865104791064045</v>
      </c>
      <c r="AK110" s="32">
        <v>7.7711071361990514E-2</v>
      </c>
      <c r="AL110" s="32">
        <v>7.2644320328501197E-2</v>
      </c>
      <c r="AM110" s="32">
        <v>9.2519067615067146E-2</v>
      </c>
      <c r="AN110" s="32">
        <v>0.14344067892887272</v>
      </c>
      <c r="AO110" s="32">
        <v>0.14990886961583871</v>
      </c>
      <c r="AP110" s="32">
        <v>0.10910145232362514</v>
      </c>
      <c r="AQ110" s="32">
        <v>0.12311983750815338</v>
      </c>
      <c r="AR110" s="32">
        <v>0.13084220518102971</v>
      </c>
      <c r="AS110" s="32">
        <v>9.9995160383691745E-2</v>
      </c>
      <c r="AT110" s="32">
        <v>0.11508526417513763</v>
      </c>
      <c r="AU110" s="32">
        <v>9.0908994673846971E-2</v>
      </c>
      <c r="AV110" s="32">
        <v>7.5967118042776824E-2</v>
      </c>
      <c r="AW110" s="32">
        <v>9.6660016267703458E-2</v>
      </c>
      <c r="AX110" s="32">
        <v>8.2438271164284302E-2</v>
      </c>
      <c r="AY110" s="32">
        <v>0.11737490171185666</v>
      </c>
      <c r="AZ110" s="32">
        <v>0.12543662952648085</v>
      </c>
      <c r="BA110" s="32">
        <v>0.1061110553860021</v>
      </c>
      <c r="BB110" s="32">
        <v>9.3329460278363238E-2</v>
      </c>
      <c r="BC110" s="32">
        <v>8.7150760359331586E-2</v>
      </c>
      <c r="BD110" s="32">
        <v>7.7740927368649806E-2</v>
      </c>
      <c r="BF110" s="54" t="s">
        <v>145</v>
      </c>
      <c r="BG110" s="27" t="s">
        <v>33</v>
      </c>
      <c r="BH110" s="27" t="s">
        <v>39</v>
      </c>
      <c r="BI110" s="27" t="s">
        <v>38</v>
      </c>
      <c r="BJ110" s="27" t="s">
        <v>39</v>
      </c>
      <c r="BK110" s="27" t="s">
        <v>21</v>
      </c>
      <c r="BL110" s="27" t="s">
        <v>21</v>
      </c>
      <c r="BM110" s="27" t="s">
        <v>39</v>
      </c>
      <c r="BN110" s="27" t="s">
        <v>28</v>
      </c>
      <c r="BO110" s="27" t="s">
        <v>38</v>
      </c>
      <c r="BP110" s="27" t="s">
        <v>21</v>
      </c>
      <c r="BQ110" s="27" t="s">
        <v>38</v>
      </c>
      <c r="BR110" s="27" t="s">
        <v>33</v>
      </c>
      <c r="BS110" s="27" t="s">
        <v>22</v>
      </c>
      <c r="BT110" s="27" t="s">
        <v>38</v>
      </c>
      <c r="BU110" s="27" t="s">
        <v>39</v>
      </c>
      <c r="BV110" s="27" t="s">
        <v>21</v>
      </c>
      <c r="BW110" s="27" t="s">
        <v>28</v>
      </c>
      <c r="BX110" s="27" t="s">
        <v>38</v>
      </c>
      <c r="BY110" s="27" t="s">
        <v>21</v>
      </c>
      <c r="BZ110" s="27" t="s">
        <v>33</v>
      </c>
      <c r="CA110" s="27" t="s">
        <v>22</v>
      </c>
      <c r="CB110" s="27" t="s">
        <v>39</v>
      </c>
      <c r="CC110" s="27" t="s">
        <v>28</v>
      </c>
      <c r="CD110" s="27" t="s">
        <v>38</v>
      </c>
      <c r="CE110" s="27" t="s">
        <v>22</v>
      </c>
      <c r="CF110" s="27" t="s">
        <v>21</v>
      </c>
    </row>
    <row r="111" spans="1:84" x14ac:dyDescent="0.35">
      <c r="B111" t="s">
        <v>146</v>
      </c>
      <c r="C111" s="12">
        <v>6.7500000000000004E-2</v>
      </c>
      <c r="D111" s="12">
        <v>5.9899999999999995E-2</v>
      </c>
      <c r="E111" s="12">
        <v>6.7999999999999991E-2</v>
      </c>
      <c r="F111" s="12">
        <v>6.3399999999999998E-2</v>
      </c>
      <c r="G111" s="12">
        <v>5.1200000000000002E-2</v>
      </c>
      <c r="H111" s="12">
        <v>5.2900000000000003E-2</v>
      </c>
      <c r="I111" s="12">
        <v>5.8799999999999998E-2</v>
      </c>
      <c r="J111" s="12">
        <v>6.6400000000000001E-2</v>
      </c>
      <c r="K111" s="12">
        <v>5.33E-2</v>
      </c>
      <c r="L111" s="12">
        <v>6.8599999999999994E-2</v>
      </c>
      <c r="M111" s="12">
        <v>6.359999999999999E-2</v>
      </c>
      <c r="N111" s="12">
        <v>5.74E-2</v>
      </c>
      <c r="O111" s="12">
        <v>5.0800000000000005E-2</v>
      </c>
      <c r="P111" s="12">
        <v>5.6799999999999996E-2</v>
      </c>
      <c r="Q111" s="12">
        <v>5.2199999999999996E-2</v>
      </c>
      <c r="R111" s="12">
        <v>6.8199999999999997E-2</v>
      </c>
      <c r="S111" s="12">
        <v>5.9500000000000011E-2</v>
      </c>
      <c r="T111" s="12">
        <v>5.1200000000000002E-2</v>
      </c>
      <c r="U111" s="12">
        <v>5.8199999999999995E-2</v>
      </c>
      <c r="V111" s="12">
        <v>6.8199999999999997E-2</v>
      </c>
      <c r="W111" s="12">
        <v>6.3099999999999989E-2</v>
      </c>
      <c r="X111" s="12">
        <v>5.5299999999999995E-2</v>
      </c>
      <c r="Y111" s="12">
        <v>6.1200000000000004E-2</v>
      </c>
      <c r="Z111" s="12">
        <v>5.11E-2</v>
      </c>
      <c r="AA111" s="12">
        <v>5.7099999999999998E-2</v>
      </c>
      <c r="AB111" s="12">
        <v>5.2200000000000003E-2</v>
      </c>
      <c r="AD111" t="s">
        <v>146</v>
      </c>
      <c r="AE111" s="20">
        <f>SUMPRODUCT(AE112:AE113,C112:C113)</f>
        <v>0.12128404926173354</v>
      </c>
      <c r="AF111" s="20">
        <f t="shared" ref="AF111:BD111" si="38">SUMPRODUCT(AF112:AF113,D112:D113)</f>
        <v>0.10727511562860526</v>
      </c>
      <c r="AG111" s="20">
        <f t="shared" si="38"/>
        <v>0.11958228515556277</v>
      </c>
      <c r="AH111" s="20">
        <f t="shared" si="38"/>
        <v>0.10598216925585878</v>
      </c>
      <c r="AI111" s="20">
        <f t="shared" si="38"/>
        <v>9.1539645382639673E-2</v>
      </c>
      <c r="AJ111" s="20">
        <f t="shared" si="38"/>
        <v>0.11481938798546046</v>
      </c>
      <c r="AK111" s="20">
        <f t="shared" si="38"/>
        <v>8.5068442111384632E-2</v>
      </c>
      <c r="AL111" s="20">
        <f t="shared" si="38"/>
        <v>7.761719779544228E-2</v>
      </c>
      <c r="AM111" s="20">
        <f t="shared" si="38"/>
        <v>9.9154756174498107E-2</v>
      </c>
      <c r="AN111" s="20">
        <f t="shared" si="38"/>
        <v>0.15377589759941671</v>
      </c>
      <c r="AO111" s="20">
        <f t="shared" si="38"/>
        <v>0.15848284846869096</v>
      </c>
      <c r="AP111" s="20">
        <f t="shared" si="38"/>
        <v>0.11421864939794486</v>
      </c>
      <c r="AQ111" s="20">
        <f t="shared" si="38"/>
        <v>0.12678899282298706</v>
      </c>
      <c r="AR111" s="20">
        <f t="shared" si="38"/>
        <v>0.13965393331532444</v>
      </c>
      <c r="AS111" s="20">
        <f t="shared" si="38"/>
        <v>0.10712633037807064</v>
      </c>
      <c r="AT111" s="20">
        <f t="shared" si="38"/>
        <v>0.12224842691869356</v>
      </c>
      <c r="AU111" s="20">
        <f t="shared" si="38"/>
        <v>9.5158705785696185E-2</v>
      </c>
      <c r="AV111" s="20">
        <f t="shared" si="38"/>
        <v>8.3085471428097663E-2</v>
      </c>
      <c r="AW111" s="20">
        <f t="shared" si="38"/>
        <v>0.1054929286451142</v>
      </c>
      <c r="AX111" s="20">
        <f t="shared" si="38"/>
        <v>8.8603284743914296E-2</v>
      </c>
      <c r="AY111" s="20">
        <f t="shared" si="38"/>
        <v>0.12508196343538036</v>
      </c>
      <c r="AZ111" s="20">
        <f t="shared" si="38"/>
        <v>0.13566372277160674</v>
      </c>
      <c r="BA111" s="20">
        <f t="shared" si="38"/>
        <v>0.11227825538600208</v>
      </c>
      <c r="BB111" s="20">
        <f t="shared" si="38"/>
        <v>9.7945391237742402E-2</v>
      </c>
      <c r="BC111" s="20">
        <f t="shared" si="38"/>
        <v>9.5490350946697888E-2</v>
      </c>
      <c r="BD111" s="20">
        <f t="shared" si="38"/>
        <v>8.4607223739597268E-2</v>
      </c>
      <c r="BF111" t="s">
        <v>146</v>
      </c>
      <c r="BG111" t="s">
        <v>28</v>
      </c>
      <c r="BH111" t="s">
        <v>38</v>
      </c>
      <c r="BI111" t="s">
        <v>37</v>
      </c>
      <c r="BJ111" t="s">
        <v>22</v>
      </c>
      <c r="BK111" t="s">
        <v>33</v>
      </c>
      <c r="BL111" t="s">
        <v>28</v>
      </c>
      <c r="BM111" t="s">
        <v>21</v>
      </c>
      <c r="BN111" t="s">
        <v>28</v>
      </c>
      <c r="BO111" t="s">
        <v>33</v>
      </c>
      <c r="BP111" t="s">
        <v>28</v>
      </c>
      <c r="BQ111" t="s">
        <v>37</v>
      </c>
      <c r="BR111" t="s">
        <v>22</v>
      </c>
      <c r="BS111" t="s">
        <v>28</v>
      </c>
      <c r="BT111" t="s">
        <v>28</v>
      </c>
      <c r="BU111" t="s">
        <v>28</v>
      </c>
      <c r="BV111" t="s">
        <v>33</v>
      </c>
      <c r="BW111" t="s">
        <v>28</v>
      </c>
      <c r="BX111" t="s">
        <v>37</v>
      </c>
      <c r="BY111" t="s">
        <v>33</v>
      </c>
      <c r="BZ111" t="s">
        <v>33</v>
      </c>
      <c r="CA111" t="s">
        <v>22</v>
      </c>
      <c r="CB111" t="s">
        <v>37</v>
      </c>
      <c r="CC111" t="s">
        <v>22</v>
      </c>
      <c r="CD111" t="s">
        <v>39</v>
      </c>
      <c r="CE111" t="s">
        <v>38</v>
      </c>
      <c r="CF111" t="s">
        <v>33</v>
      </c>
    </row>
    <row r="112" spans="1:84" s="27" customFormat="1" x14ac:dyDescent="0.35">
      <c r="A112"/>
      <c r="B112" s="54" t="s">
        <v>147</v>
      </c>
      <c r="C112" s="40">
        <v>0.60129999999999995</v>
      </c>
      <c r="D112" s="40">
        <v>0.59759999999999991</v>
      </c>
      <c r="E112" s="40">
        <v>0.5786</v>
      </c>
      <c r="F112" s="40">
        <v>0.56709999999999994</v>
      </c>
      <c r="G112" s="40">
        <v>0.56819999999999993</v>
      </c>
      <c r="H112" s="40">
        <v>0.59399999999999997</v>
      </c>
      <c r="I112" s="40">
        <v>0.59789999999999999</v>
      </c>
      <c r="J112" s="40">
        <v>0.56919999999999993</v>
      </c>
      <c r="K112" s="40">
        <v>0.59589999999999999</v>
      </c>
      <c r="L112" s="40">
        <v>0.59519999999999995</v>
      </c>
      <c r="M112" s="40">
        <v>0.59639999999999993</v>
      </c>
      <c r="N112" s="40">
        <v>0.57139999999999991</v>
      </c>
      <c r="O112" s="40">
        <v>0.5706</v>
      </c>
      <c r="P112" s="40">
        <v>0.59329999999999994</v>
      </c>
      <c r="Q112" s="40">
        <v>0.59189999999999998</v>
      </c>
      <c r="R112" s="40">
        <v>0.58819999999999995</v>
      </c>
      <c r="S112" s="40">
        <v>0.5696</v>
      </c>
      <c r="T112" s="40">
        <v>0.59370000000000001</v>
      </c>
      <c r="U112" s="40">
        <v>0.6008</v>
      </c>
      <c r="V112" s="40">
        <v>0.57369999999999999</v>
      </c>
      <c r="W112" s="40">
        <v>0.60209999999999997</v>
      </c>
      <c r="X112" s="40">
        <v>0.60159999999999991</v>
      </c>
      <c r="Y112" s="40">
        <v>0.57739999999999991</v>
      </c>
      <c r="Z112" s="40">
        <v>0.57139999999999991</v>
      </c>
      <c r="AA112" s="40">
        <v>0.59849999999999992</v>
      </c>
      <c r="AB112" s="40">
        <v>0.60139999999999993</v>
      </c>
      <c r="AD112" s="54" t="s">
        <v>147</v>
      </c>
      <c r="AE112" s="32">
        <v>0.12891560315143338</v>
      </c>
      <c r="AF112" s="32">
        <v>0.11608475107365041</v>
      </c>
      <c r="AG112" s="32">
        <v>0.1320369177373078</v>
      </c>
      <c r="AH112" s="32">
        <v>0.11912395758076333</v>
      </c>
      <c r="AI112" s="32">
        <v>0.10600128442929009</v>
      </c>
      <c r="AJ112" s="32">
        <v>0.12665104791064047</v>
      </c>
      <c r="AK112" s="32">
        <v>9.5711071361990516E-2</v>
      </c>
      <c r="AL112" s="32">
        <v>9.0644320328501199E-2</v>
      </c>
      <c r="AM112" s="32">
        <v>0.11051906761506715</v>
      </c>
      <c r="AN112" s="32">
        <v>0.16144067892887271</v>
      </c>
      <c r="AO112" s="32">
        <v>0.16790886961583873</v>
      </c>
      <c r="AP112" s="32">
        <v>0.12710145232362513</v>
      </c>
      <c r="AQ112" s="32">
        <v>0.14111983750815338</v>
      </c>
      <c r="AR112" s="32">
        <v>0.1488422051810297</v>
      </c>
      <c r="AS112" s="32">
        <v>0.11799516038369175</v>
      </c>
      <c r="AT112" s="32">
        <v>0.13308526417513766</v>
      </c>
      <c r="AU112" s="32">
        <v>0.10890899467384697</v>
      </c>
      <c r="AV112" s="32">
        <v>9.3967118042776826E-2</v>
      </c>
      <c r="AW112" s="32">
        <v>0.11466001626770346</v>
      </c>
      <c r="AX112" s="32">
        <v>0.1004382711642843</v>
      </c>
      <c r="AY112" s="32">
        <v>0.13537490171185668</v>
      </c>
      <c r="AZ112" s="32">
        <v>0.14343662952648084</v>
      </c>
      <c r="BA112" s="32">
        <v>0.1241110553860021</v>
      </c>
      <c r="BB112" s="32">
        <v>0.11132946027836324</v>
      </c>
      <c r="BC112" s="32">
        <v>0.10515076035933159</v>
      </c>
      <c r="BD112" s="32">
        <v>9.5740927368649809E-2</v>
      </c>
      <c r="BF112" s="54" t="s">
        <v>147</v>
      </c>
      <c r="BG112" s="27" t="s">
        <v>28</v>
      </c>
      <c r="BH112" s="27" t="s">
        <v>38</v>
      </c>
      <c r="BI112" s="27" t="s">
        <v>28</v>
      </c>
      <c r="BJ112" s="27" t="s">
        <v>33</v>
      </c>
      <c r="BK112" s="27" t="s">
        <v>38</v>
      </c>
      <c r="BL112" s="27" t="s">
        <v>38</v>
      </c>
      <c r="BM112" s="27" t="s">
        <v>37</v>
      </c>
      <c r="BN112" s="27" t="s">
        <v>21</v>
      </c>
      <c r="BO112" s="27" t="s">
        <v>38</v>
      </c>
      <c r="BP112" s="27" t="s">
        <v>37</v>
      </c>
      <c r="BQ112" s="27" t="s">
        <v>22</v>
      </c>
      <c r="BR112" s="27" t="s">
        <v>37</v>
      </c>
      <c r="BS112" s="27" t="s">
        <v>38</v>
      </c>
      <c r="BT112" s="27" t="s">
        <v>21</v>
      </c>
      <c r="BU112" s="27" t="s">
        <v>21</v>
      </c>
      <c r="BV112" s="27" t="s">
        <v>22</v>
      </c>
      <c r="BW112" s="27" t="s">
        <v>38</v>
      </c>
      <c r="BX112" s="27" t="s">
        <v>28</v>
      </c>
      <c r="BY112" s="27" t="s">
        <v>22</v>
      </c>
      <c r="BZ112" s="27" t="s">
        <v>28</v>
      </c>
      <c r="CA112" s="27" t="s">
        <v>37</v>
      </c>
      <c r="CB112" s="27" t="s">
        <v>21</v>
      </c>
      <c r="CC112" s="27" t="s">
        <v>38</v>
      </c>
      <c r="CD112" s="27" t="s">
        <v>39</v>
      </c>
      <c r="CE112" s="27" t="s">
        <v>33</v>
      </c>
      <c r="CF112" s="27" t="s">
        <v>39</v>
      </c>
    </row>
    <row r="113" spans="1:84" s="27" customFormat="1" x14ac:dyDescent="0.35">
      <c r="A113"/>
      <c r="B113" s="54" t="s">
        <v>148</v>
      </c>
      <c r="C113" s="40">
        <v>0.43370000000000003</v>
      </c>
      <c r="D113" s="40">
        <v>0.43030000000000002</v>
      </c>
      <c r="E113" s="40">
        <v>0.41510000000000002</v>
      </c>
      <c r="F113" s="40">
        <v>0.42170000000000002</v>
      </c>
      <c r="G113" s="40">
        <v>0.40140000000000003</v>
      </c>
      <c r="H113" s="40">
        <v>0.40130000000000005</v>
      </c>
      <c r="I113" s="40">
        <v>0.41120000000000001</v>
      </c>
      <c r="J113" s="40">
        <v>0.41540000000000005</v>
      </c>
      <c r="K113" s="40">
        <v>0.40350000000000003</v>
      </c>
      <c r="L113" s="40">
        <v>0.43230000000000002</v>
      </c>
      <c r="M113" s="40">
        <v>0.41700000000000004</v>
      </c>
      <c r="N113" s="40">
        <v>0.41970000000000002</v>
      </c>
      <c r="O113" s="40">
        <v>0.40900000000000003</v>
      </c>
      <c r="P113" s="40">
        <v>0.42490000000000006</v>
      </c>
      <c r="Q113" s="40">
        <v>0.41430000000000006</v>
      </c>
      <c r="R113" s="40">
        <v>0.41840000000000005</v>
      </c>
      <c r="S113" s="40">
        <v>0.40940000000000004</v>
      </c>
      <c r="T113" s="40">
        <v>0.41380000000000006</v>
      </c>
      <c r="U113" s="40">
        <v>0.42240000000000005</v>
      </c>
      <c r="V113" s="40">
        <v>0.42770000000000002</v>
      </c>
      <c r="W113" s="40">
        <v>0.40580000000000005</v>
      </c>
      <c r="X113" s="40">
        <v>0.42770000000000002</v>
      </c>
      <c r="Y113" s="40">
        <v>0.42260000000000003</v>
      </c>
      <c r="Z113" s="40">
        <v>0.41200000000000003</v>
      </c>
      <c r="AA113" s="40">
        <v>0.42200000000000004</v>
      </c>
      <c r="AB113" s="40">
        <v>0.39900000000000002</v>
      </c>
      <c r="AD113" s="54" t="s">
        <v>148</v>
      </c>
      <c r="AE113" s="32">
        <v>0.10091560315143339</v>
      </c>
      <c r="AF113" s="32">
        <v>8.8084751073650408E-2</v>
      </c>
      <c r="AG113" s="32">
        <v>0.10403691773730779</v>
      </c>
      <c r="AH113" s="32">
        <v>9.1123957580763332E-2</v>
      </c>
      <c r="AI113" s="32">
        <v>7.8001284429290094E-2</v>
      </c>
      <c r="AJ113" s="32">
        <v>9.8651047910640458E-2</v>
      </c>
      <c r="AK113" s="32">
        <v>6.7711071361990519E-2</v>
      </c>
      <c r="AL113" s="32">
        <v>6.2644320328501202E-2</v>
      </c>
      <c r="AM113" s="32">
        <v>8.2519067615067151E-2</v>
      </c>
      <c r="AN113" s="32">
        <v>0.13344067892887274</v>
      </c>
      <c r="AO113" s="32">
        <v>0.13990886961583873</v>
      </c>
      <c r="AP113" s="32">
        <v>9.9101452323625147E-2</v>
      </c>
      <c r="AQ113" s="32">
        <v>0.11311983750815338</v>
      </c>
      <c r="AR113" s="32">
        <v>0.1208422051810297</v>
      </c>
      <c r="AS113" s="32">
        <v>8.999516038369175E-2</v>
      </c>
      <c r="AT113" s="32">
        <v>0.10508526417513764</v>
      </c>
      <c r="AU113" s="32">
        <v>8.0908994673846976E-2</v>
      </c>
      <c r="AV113" s="32">
        <v>6.5967118042776829E-2</v>
      </c>
      <c r="AW113" s="32">
        <v>8.6660016267703463E-2</v>
      </c>
      <c r="AX113" s="32">
        <v>7.2438271164284307E-2</v>
      </c>
      <c r="AY113" s="32">
        <v>0.10737490171185667</v>
      </c>
      <c r="AZ113" s="32">
        <v>0.11543662952648086</v>
      </c>
      <c r="BA113" s="32">
        <v>9.6111055386002106E-2</v>
      </c>
      <c r="BB113" s="32">
        <v>8.3329460278363243E-2</v>
      </c>
      <c r="BC113" s="32">
        <v>7.7150760359331591E-2</v>
      </c>
      <c r="BD113" s="32">
        <v>6.7740927368649811E-2</v>
      </c>
      <c r="BF113" s="54" t="s">
        <v>148</v>
      </c>
      <c r="BG113" s="27" t="s">
        <v>33</v>
      </c>
      <c r="BH113" s="27" t="s">
        <v>22</v>
      </c>
      <c r="BI113" s="27" t="s">
        <v>38</v>
      </c>
      <c r="BJ113" s="27" t="s">
        <v>39</v>
      </c>
      <c r="BK113" s="27" t="s">
        <v>33</v>
      </c>
      <c r="BL113" s="27" t="s">
        <v>21</v>
      </c>
      <c r="BM113" s="27" t="s">
        <v>39</v>
      </c>
      <c r="BN113" s="27" t="s">
        <v>38</v>
      </c>
      <c r="BO113" s="27" t="s">
        <v>21</v>
      </c>
      <c r="BP113" s="27" t="s">
        <v>22</v>
      </c>
      <c r="BQ113" s="27" t="s">
        <v>37</v>
      </c>
      <c r="BR113" s="27" t="s">
        <v>37</v>
      </c>
      <c r="BS113" s="27" t="s">
        <v>22</v>
      </c>
      <c r="BT113" s="27" t="s">
        <v>39</v>
      </c>
      <c r="BU113" s="27" t="s">
        <v>38</v>
      </c>
      <c r="BV113" s="27" t="s">
        <v>28</v>
      </c>
      <c r="BW113" s="27" t="s">
        <v>28</v>
      </c>
      <c r="BX113" s="27" t="s">
        <v>22</v>
      </c>
      <c r="BY113" s="27" t="s">
        <v>38</v>
      </c>
      <c r="BZ113" s="27" t="s">
        <v>39</v>
      </c>
      <c r="CA113" s="27" t="s">
        <v>39</v>
      </c>
      <c r="CB113" s="27" t="s">
        <v>21</v>
      </c>
      <c r="CC113" s="27" t="s">
        <v>22</v>
      </c>
      <c r="CD113" s="27" t="s">
        <v>33</v>
      </c>
      <c r="CE113" s="27" t="s">
        <v>39</v>
      </c>
      <c r="CF113" s="27" t="s">
        <v>38</v>
      </c>
    </row>
    <row r="114" spans="1:84" x14ac:dyDescent="0.35">
      <c r="B114" t="s">
        <v>149</v>
      </c>
      <c r="C114" s="20">
        <f t="shared" ref="C114:AB114" si="39">C90</f>
        <v>7.85E-2</v>
      </c>
      <c r="D114" s="20">
        <f t="shared" si="39"/>
        <v>7.8399999999999997E-2</v>
      </c>
      <c r="E114" s="20">
        <f t="shared" si="39"/>
        <v>5.7600000000000005E-2</v>
      </c>
      <c r="F114" s="20">
        <f t="shared" si="39"/>
        <v>6.770000000000001E-2</v>
      </c>
      <c r="G114" s="20">
        <f t="shared" si="39"/>
        <v>5.6000000000000008E-2</v>
      </c>
      <c r="H114" s="20">
        <f t="shared" si="39"/>
        <v>6.3200000000000006E-2</v>
      </c>
      <c r="I114" s="20">
        <f t="shared" si="39"/>
        <v>5.9300000000000005E-2</v>
      </c>
      <c r="J114" s="20">
        <f t="shared" si="39"/>
        <v>7.0199999999999999E-2</v>
      </c>
      <c r="K114" s="20">
        <f t="shared" si="39"/>
        <v>5.8800000000000005E-2</v>
      </c>
      <c r="L114" s="20">
        <f t="shared" si="39"/>
        <v>6.4700000000000008E-2</v>
      </c>
      <c r="M114" s="20">
        <f t="shared" si="39"/>
        <v>7.8899999999999998E-2</v>
      </c>
      <c r="N114" s="20">
        <f t="shared" si="39"/>
        <v>6.1700000000000005E-2</v>
      </c>
      <c r="O114" s="20">
        <f t="shared" si="39"/>
        <v>6.8200000000000011E-2</v>
      </c>
      <c r="P114" s="20">
        <f t="shared" si="39"/>
        <v>5.7500000000000002E-2</v>
      </c>
      <c r="Q114" s="20">
        <f t="shared" si="39"/>
        <v>6.7600000000000007E-2</v>
      </c>
      <c r="R114" s="20">
        <f t="shared" si="39"/>
        <v>6.1300000000000007E-2</v>
      </c>
      <c r="S114" s="20">
        <f t="shared" si="39"/>
        <v>7.400000000000001E-2</v>
      </c>
      <c r="T114" s="20">
        <f t="shared" si="39"/>
        <v>7.9699999999999993E-2</v>
      </c>
      <c r="U114" s="20">
        <f t="shared" si="39"/>
        <v>7.4700000000000003E-2</v>
      </c>
      <c r="V114" s="20">
        <f t="shared" si="39"/>
        <v>6.3000000000000014E-2</v>
      </c>
      <c r="W114" s="20">
        <f t="shared" si="39"/>
        <v>5.7400000000000007E-2</v>
      </c>
      <c r="X114" s="20">
        <f t="shared" si="39"/>
        <v>7.7499999999999999E-2</v>
      </c>
      <c r="Y114" s="20">
        <f t="shared" si="39"/>
        <v>5.5900000000000005E-2</v>
      </c>
      <c r="Z114" s="20">
        <f t="shared" si="39"/>
        <v>6.3200000000000006E-2</v>
      </c>
      <c r="AA114" s="20">
        <f t="shared" si="39"/>
        <v>6.88E-2</v>
      </c>
      <c r="AB114" s="20">
        <f t="shared" si="39"/>
        <v>5.7100000000000005E-2</v>
      </c>
      <c r="AD114" t="s">
        <v>149</v>
      </c>
      <c r="AE114" s="20">
        <f>AE90</f>
        <v>9.3080594226083099E-2</v>
      </c>
      <c r="AF114" s="20">
        <f t="shared" ref="AF114:BD114" si="40">AF90</f>
        <v>8.0500755685883621E-2</v>
      </c>
      <c r="AG114" s="20">
        <f t="shared" si="40"/>
        <v>9.6270037491166305E-2</v>
      </c>
      <c r="AH114" s="20">
        <f t="shared" si="40"/>
        <v>8.1929068052100928E-2</v>
      </c>
      <c r="AI114" s="20">
        <f t="shared" si="40"/>
        <v>6.9057136366301217E-2</v>
      </c>
      <c r="AJ114" s="20">
        <f t="shared" si="40"/>
        <v>9.1191727168140474E-2</v>
      </c>
      <c r="AK114" s="20">
        <f t="shared" si="40"/>
        <v>5.999468738901538E-2</v>
      </c>
      <c r="AL114" s="20">
        <f t="shared" si="40"/>
        <v>5.4133117960665195E-2</v>
      </c>
      <c r="AM114" s="20">
        <f t="shared" si="40"/>
        <v>7.4436187632489062E-2</v>
      </c>
      <c r="AN114" s="20">
        <f t="shared" si="40"/>
        <v>0.1245457932553026</v>
      </c>
      <c r="AO114" s="20">
        <f t="shared" si="40"/>
        <v>0.13240886724090206</v>
      </c>
      <c r="AP114" s="20">
        <f t="shared" si="40"/>
        <v>8.9449750803154537E-2</v>
      </c>
      <c r="AQ114" s="20">
        <f t="shared" si="40"/>
        <v>0.10467181813175787</v>
      </c>
      <c r="AR114" s="20">
        <f t="shared" si="40"/>
        <v>0.11251033524946459</v>
      </c>
      <c r="AS114" s="20">
        <f t="shared" si="40"/>
        <v>8.1491611615216078E-2</v>
      </c>
      <c r="AT114" s="20">
        <f t="shared" si="40"/>
        <v>9.6787974314466813E-2</v>
      </c>
      <c r="AU114" s="20">
        <f t="shared" si="40"/>
        <v>7.1311796914689515E-2</v>
      </c>
      <c r="AV114" s="20">
        <f t="shared" si="40"/>
        <v>5.7236842071552774E-2</v>
      </c>
      <c r="AW114" s="20">
        <f t="shared" si="40"/>
        <v>7.9789121152976913E-2</v>
      </c>
      <c r="AX114" s="20">
        <f t="shared" si="40"/>
        <v>6.4300009023866872E-2</v>
      </c>
      <c r="AY114" s="20">
        <f t="shared" si="40"/>
        <v>9.8030713463769792E-2</v>
      </c>
      <c r="AZ114" s="20">
        <f t="shared" si="40"/>
        <v>0.10809687495525298</v>
      </c>
      <c r="BA114" s="20">
        <f t="shared" si="40"/>
        <v>8.7426538548934812E-2</v>
      </c>
      <c r="BB114" s="20">
        <f t="shared" si="40"/>
        <v>7.4640214052606027E-2</v>
      </c>
      <c r="BC114" s="20">
        <f t="shared" si="40"/>
        <v>6.8418406269724688E-2</v>
      </c>
      <c r="BD114" s="20">
        <f t="shared" si="40"/>
        <v>5.9028801860577407E-2</v>
      </c>
      <c r="BF114" t="s">
        <v>149</v>
      </c>
      <c r="BG114" t="s">
        <v>33</v>
      </c>
      <c r="BH114" t="s">
        <v>38</v>
      </c>
      <c r="BI114" t="s">
        <v>22</v>
      </c>
      <c r="BJ114" t="s">
        <v>28</v>
      </c>
      <c r="BK114" t="s">
        <v>22</v>
      </c>
      <c r="BL114" t="s">
        <v>33</v>
      </c>
      <c r="BM114" t="s">
        <v>39</v>
      </c>
      <c r="BN114" t="s">
        <v>39</v>
      </c>
      <c r="BO114" t="s">
        <v>22</v>
      </c>
      <c r="BP114" t="s">
        <v>21</v>
      </c>
      <c r="BQ114" t="s">
        <v>21</v>
      </c>
      <c r="BR114" t="s">
        <v>38</v>
      </c>
      <c r="BS114" t="s">
        <v>37</v>
      </c>
      <c r="BT114" t="s">
        <v>37</v>
      </c>
      <c r="BU114" t="s">
        <v>28</v>
      </c>
      <c r="BV114" t="s">
        <v>39</v>
      </c>
      <c r="BW114" t="s">
        <v>38</v>
      </c>
      <c r="BX114" t="s">
        <v>21</v>
      </c>
      <c r="BY114" t="s">
        <v>38</v>
      </c>
      <c r="BZ114" t="s">
        <v>39</v>
      </c>
      <c r="CA114" t="s">
        <v>28</v>
      </c>
      <c r="CB114" t="s">
        <v>38</v>
      </c>
      <c r="CC114" t="s">
        <v>38</v>
      </c>
      <c r="CD114" t="s">
        <v>38</v>
      </c>
      <c r="CE114" t="s">
        <v>33</v>
      </c>
      <c r="CF114" t="s">
        <v>22</v>
      </c>
    </row>
    <row r="115" spans="1:84" x14ac:dyDescent="0.35">
      <c r="B115" t="s">
        <v>150</v>
      </c>
      <c r="C115" s="12">
        <f t="shared" ref="C115" si="41">1-SUM(C114,C111,C107,C103,C99,C94)</f>
        <v>7.3100000000000054E-2</v>
      </c>
      <c r="D115" s="12">
        <f t="shared" ref="D115" si="42">1-SUM(D114,D111,D107,D103,D99,D94)</f>
        <v>7.3400000000000132E-2</v>
      </c>
      <c r="E115" s="12">
        <f t="shared" ref="E115" si="43">1-SUM(E114,E111,E107,E103,E99,E94)</f>
        <v>8.2200000000000051E-2</v>
      </c>
      <c r="F115" s="12">
        <f t="shared" ref="F115" si="44">1-SUM(F114,F111,F107,F103,F99,F94)</f>
        <v>7.8300000000000036E-2</v>
      </c>
      <c r="G115" s="12">
        <f t="shared" ref="G115" si="45">1-SUM(G114,G111,G107,G103,G99,G94)</f>
        <v>9.6400000000000041E-2</v>
      </c>
      <c r="H115" s="12">
        <f t="shared" ref="H115" si="46">1-SUM(H114,H111,H107,H103,H99,H94)</f>
        <v>0.10550000000000015</v>
      </c>
      <c r="I115" s="12">
        <f t="shared" ref="I115" si="47">1-SUM(I114,I111,I107,I103,I99,I94)</f>
        <v>9.8699999999999899E-2</v>
      </c>
      <c r="J115" s="12">
        <f t="shared" ref="J115" si="48">1-SUM(J114,J111,J107,J103,J99,J94)</f>
        <v>8.5799999999999987E-2</v>
      </c>
      <c r="K115" s="12">
        <f t="shared" ref="K115" si="49">1-SUM(K114,K111,K107,K103,K99,K94)</f>
        <v>8.7799999999999989E-2</v>
      </c>
      <c r="L115" s="12">
        <f t="shared" ref="L115" si="50">1-SUM(L114,L111,L107,L103,L99,L94)</f>
        <v>8.550000000000002E-2</v>
      </c>
      <c r="M115" s="12">
        <f t="shared" ref="M115" si="51">1-SUM(M114,M111,M107,M103,M99,M94)</f>
        <v>8.9600000000000013E-2</v>
      </c>
      <c r="N115" s="12">
        <f t="shared" ref="N115" si="52">1-SUM(N114,N111,N107,N103,N99,N94)</f>
        <v>8.1499999999999906E-2</v>
      </c>
      <c r="O115" s="12">
        <f t="shared" ref="O115" si="53">1-SUM(O114,O111,O107,O103,O99,O94)</f>
        <v>0.11870000000000014</v>
      </c>
      <c r="P115" s="12">
        <f t="shared" ref="P115" si="54">1-SUM(P114,P111,P107,P103,P99,P94)</f>
        <v>0.10070000000000001</v>
      </c>
      <c r="Q115" s="12">
        <f t="shared" ref="Q115" si="55">1-SUM(Q114,Q111,Q107,Q103,Q99,Q94)</f>
        <v>8.8100000000000067E-2</v>
      </c>
      <c r="R115" s="12">
        <f t="shared" ref="R115" si="56">1-SUM(R114,R111,R107,R103,R99,R94)</f>
        <v>9.6099999999999963E-2</v>
      </c>
      <c r="S115" s="12">
        <f t="shared" ref="S115" si="57">1-SUM(S114,S111,S107,S103,S99,S94)</f>
        <v>8.9199999999999946E-2</v>
      </c>
      <c r="T115" s="12">
        <f t="shared" ref="T115" si="58">1-SUM(T114,T111,T107,T103,T99,T94)</f>
        <v>0.11280000000000001</v>
      </c>
      <c r="U115" s="12">
        <f t="shared" ref="U115" si="59">1-SUM(U114,U111,U107,U103,U99,U94)</f>
        <v>8.109999999999995E-2</v>
      </c>
      <c r="V115" s="12">
        <f t="shared" ref="V115" si="60">1-SUM(V114,V111,V107,V103,V99,V94)</f>
        <v>0.10029999999999994</v>
      </c>
      <c r="W115" s="12">
        <f t="shared" ref="W115" si="61">1-SUM(W114,W111,W107,W103,W99,W94)</f>
        <v>7.0800000000000085E-2</v>
      </c>
      <c r="X115" s="12">
        <f t="shared" ref="X115" si="62">1-SUM(X114,X111,X107,X103,X99,X94)</f>
        <v>0.11539999999999995</v>
      </c>
      <c r="Y115" s="12">
        <f t="shared" ref="Y115" si="63">1-SUM(Y114,Y111,Y107,Y103,Y99,Y94)</f>
        <v>9.2400000000000038E-2</v>
      </c>
      <c r="Z115" s="12">
        <f t="shared" ref="Z115" si="64">1-SUM(Z114,Z111,Z107,Z103,Z99,Z94)</f>
        <v>0.10570000000000002</v>
      </c>
      <c r="AA115" s="12">
        <f t="shared" ref="AA115" si="65">1-SUM(AA114,AA111,AA107,AA103,AA99,AA94)</f>
        <v>9.4600000000000017E-2</v>
      </c>
      <c r="AB115" s="12">
        <f t="shared" ref="AB115" si="66">1-SUM(AB114,AB111,AB107,AB103,AB99,AB94)</f>
        <v>0.11780000000000013</v>
      </c>
      <c r="AD115" t="s">
        <v>150</v>
      </c>
      <c r="AE115" s="20">
        <v>0.12091560315143338</v>
      </c>
      <c r="AF115" s="20">
        <v>0.1080847510736504</v>
      </c>
      <c r="AG115" s="20">
        <v>0.12403691773730778</v>
      </c>
      <c r="AH115" s="20">
        <v>0.11112395758076332</v>
      </c>
      <c r="AI115" s="20">
        <v>9.8001284429290084E-2</v>
      </c>
      <c r="AJ115" s="20">
        <v>0.11865104791064045</v>
      </c>
      <c r="AK115" s="20">
        <v>8.7711071361990509E-2</v>
      </c>
      <c r="AL115" s="20">
        <v>8.2644320328501192E-2</v>
      </c>
      <c r="AM115" s="20">
        <v>0.10251906761506714</v>
      </c>
      <c r="AN115" s="20">
        <v>0.1534406789288727</v>
      </c>
      <c r="AO115" s="20">
        <v>0.15990886961583872</v>
      </c>
      <c r="AP115" s="20">
        <v>0.11910145232362514</v>
      </c>
      <c r="AQ115" s="20">
        <v>0.13311983750815337</v>
      </c>
      <c r="AR115" s="20">
        <v>0.14084220518102969</v>
      </c>
      <c r="AS115" s="20">
        <v>0.10999516038369174</v>
      </c>
      <c r="AT115" s="20">
        <v>0.12508526417513763</v>
      </c>
      <c r="AU115" s="20">
        <v>0.10090899467384697</v>
      </c>
      <c r="AV115" s="20">
        <v>8.5967118042776819E-2</v>
      </c>
      <c r="AW115" s="20">
        <v>0.10666001626770345</v>
      </c>
      <c r="AX115" s="20">
        <v>9.2438271164284297E-2</v>
      </c>
      <c r="AY115" s="20">
        <v>0.12737490171185667</v>
      </c>
      <c r="AZ115" s="20">
        <v>0.13543662952648083</v>
      </c>
      <c r="BA115" s="20">
        <v>0.1161110553860021</v>
      </c>
      <c r="BB115" s="20">
        <v>0.10332946027836323</v>
      </c>
      <c r="BC115" s="20">
        <v>9.7150760359331581E-2</v>
      </c>
      <c r="BD115" s="20">
        <v>8.7740927368649801E-2</v>
      </c>
      <c r="BF115" t="s">
        <v>150</v>
      </c>
      <c r="BG115" t="s">
        <v>22</v>
      </c>
      <c r="BH115" t="s">
        <v>21</v>
      </c>
      <c r="BI115" t="s">
        <v>28</v>
      </c>
      <c r="BJ115" t="s">
        <v>21</v>
      </c>
      <c r="BK115" t="s">
        <v>33</v>
      </c>
      <c r="BL115" t="s">
        <v>38</v>
      </c>
      <c r="BM115" t="s">
        <v>39</v>
      </c>
      <c r="BN115" t="s">
        <v>39</v>
      </c>
      <c r="BO115" t="s">
        <v>28</v>
      </c>
      <c r="BP115" t="s">
        <v>28</v>
      </c>
      <c r="BQ115" t="s">
        <v>21</v>
      </c>
      <c r="BR115" t="s">
        <v>33</v>
      </c>
      <c r="BS115" t="s">
        <v>37</v>
      </c>
      <c r="BT115" t="s">
        <v>38</v>
      </c>
      <c r="BU115" t="s">
        <v>28</v>
      </c>
      <c r="BV115" t="s">
        <v>21</v>
      </c>
      <c r="BW115" t="s">
        <v>28</v>
      </c>
      <c r="BX115" t="s">
        <v>39</v>
      </c>
      <c r="BY115" t="s">
        <v>38</v>
      </c>
      <c r="BZ115" t="s">
        <v>22</v>
      </c>
      <c r="CA115" t="s">
        <v>28</v>
      </c>
      <c r="CB115" t="s">
        <v>38</v>
      </c>
      <c r="CC115" t="s">
        <v>22</v>
      </c>
      <c r="CD115" t="s">
        <v>33</v>
      </c>
      <c r="CE115" t="s">
        <v>21</v>
      </c>
      <c r="CF115" t="s">
        <v>33</v>
      </c>
    </row>
    <row r="118" spans="1:84" x14ac:dyDescent="0.35">
      <c r="B118" s="3" t="s">
        <v>0</v>
      </c>
      <c r="C118" s="13" t="s">
        <v>13</v>
      </c>
      <c r="D118" s="13" t="s">
        <v>26</v>
      </c>
    </row>
    <row r="119" spans="1:84" x14ac:dyDescent="0.35">
      <c r="B119" s="5" t="s">
        <v>25</v>
      </c>
      <c r="C119" s="2">
        <v>1</v>
      </c>
      <c r="D119" s="12"/>
      <c r="E119" s="43">
        <v>24810.3</v>
      </c>
    </row>
    <row r="120" spans="1:84" x14ac:dyDescent="0.35">
      <c r="B120" s="6" t="s">
        <v>2</v>
      </c>
      <c r="C120" s="9">
        <v>0.27400000000000002</v>
      </c>
      <c r="D120" s="9">
        <v>0.11899999999999999</v>
      </c>
      <c r="E120" s="43">
        <f>C120*$E$119</f>
        <v>6798.0222000000003</v>
      </c>
    </row>
    <row r="121" spans="1:84" x14ac:dyDescent="0.35">
      <c r="B121" s="27" t="s">
        <v>15</v>
      </c>
      <c r="C121" s="30">
        <v>0.876</v>
      </c>
      <c r="D121" s="30">
        <v>0.120736</v>
      </c>
      <c r="E121" s="43">
        <f>C121*$E$120</f>
        <v>5955.0674472000001</v>
      </c>
    </row>
    <row r="122" spans="1:84" x14ac:dyDescent="0.35">
      <c r="B122" s="27" t="s">
        <v>3</v>
      </c>
      <c r="C122" s="30">
        <v>0.124</v>
      </c>
      <c r="D122" s="30">
        <v>0.10673599999999998</v>
      </c>
      <c r="E122" s="43">
        <f>C122*$E$120</f>
        <v>842.95475280000005</v>
      </c>
    </row>
    <row r="123" spans="1:84" x14ac:dyDescent="0.35">
      <c r="B123" s="7" t="s">
        <v>18</v>
      </c>
      <c r="C123" s="9">
        <v>0.216</v>
      </c>
      <c r="D123" s="9">
        <v>0.106</v>
      </c>
      <c r="E123" s="43">
        <f>C123*$E$119</f>
        <v>5359.0248000000001</v>
      </c>
    </row>
    <row r="124" spans="1:84" x14ac:dyDescent="0.35">
      <c r="B124" s="27" t="s">
        <v>32</v>
      </c>
      <c r="C124" s="30">
        <v>0.27800000000000002</v>
      </c>
      <c r="D124" s="30">
        <v>0.10898555105335037</v>
      </c>
      <c r="E124" s="43">
        <f>C124*$E$123</f>
        <v>1489.8088944000001</v>
      </c>
    </row>
    <row r="125" spans="1:84" x14ac:dyDescent="0.35">
      <c r="B125" s="27" t="s">
        <v>31</v>
      </c>
      <c r="C125" s="30">
        <v>0.157</v>
      </c>
      <c r="D125" s="30">
        <v>0.12416181507716476</v>
      </c>
      <c r="E125" s="43">
        <f t="shared" ref="E125:E130" si="67">C125*$E$123</f>
        <v>841.36689360000003</v>
      </c>
    </row>
    <row r="126" spans="1:84" x14ac:dyDescent="0.35">
      <c r="B126" s="27" t="s">
        <v>7</v>
      </c>
      <c r="C126" s="30">
        <v>0.13600000000000001</v>
      </c>
      <c r="D126" s="30">
        <v>0.11689586075896066</v>
      </c>
      <c r="E126" s="43">
        <f t="shared" si="67"/>
        <v>728.82737280000003</v>
      </c>
    </row>
    <row r="127" spans="1:84" x14ac:dyDescent="0.35">
      <c r="B127" s="27" t="s">
        <v>8</v>
      </c>
      <c r="C127" s="30">
        <v>9.4E-2</v>
      </c>
      <c r="D127" s="30">
        <v>9.6482248132077009E-2</v>
      </c>
      <c r="E127" s="43">
        <f t="shared" si="67"/>
        <v>503.7483312</v>
      </c>
    </row>
    <row r="128" spans="1:84" x14ac:dyDescent="0.35">
      <c r="B128" s="27" t="s">
        <v>29</v>
      </c>
      <c r="C128" s="30">
        <v>7.8E-2</v>
      </c>
      <c r="D128" s="30">
        <v>8.8281078907236757E-2</v>
      </c>
      <c r="E128" s="43">
        <f t="shared" si="67"/>
        <v>418.00393439999999</v>
      </c>
    </row>
    <row r="129" spans="2:5" x14ac:dyDescent="0.35">
      <c r="B129" s="27" t="s">
        <v>16</v>
      </c>
      <c r="C129" s="30">
        <v>8.8999999999999996E-2</v>
      </c>
      <c r="D129" s="30">
        <v>8.0810922543196675E-2</v>
      </c>
      <c r="E129" s="43">
        <f t="shared" si="67"/>
        <v>476.95320720000001</v>
      </c>
    </row>
    <row r="130" spans="2:5" x14ac:dyDescent="0.35">
      <c r="B130" s="27" t="s">
        <v>17</v>
      </c>
      <c r="C130" s="30">
        <v>0.16800000000000001</v>
      </c>
      <c r="D130" s="30">
        <v>0.10216278090065987</v>
      </c>
      <c r="E130" s="43">
        <f t="shared" si="67"/>
        <v>900.31616640000004</v>
      </c>
    </row>
    <row r="131" spans="2:5" x14ac:dyDescent="0.35">
      <c r="B131" s="3" t="s">
        <v>19</v>
      </c>
      <c r="C131" s="9">
        <v>0.33700000000000002</v>
      </c>
      <c r="D131" s="9">
        <v>0.13900000000000001</v>
      </c>
      <c r="E131" s="43">
        <f>C131*$E$119</f>
        <v>8361.071100000001</v>
      </c>
    </row>
    <row r="132" spans="2:5" x14ac:dyDescent="0.35">
      <c r="B132" s="27" t="s">
        <v>9</v>
      </c>
      <c r="C132" s="29">
        <v>0.41599999999999998</v>
      </c>
      <c r="D132" s="30">
        <v>0.15093915780217626</v>
      </c>
      <c r="E132" s="43">
        <f>C132*$E$131</f>
        <v>3478.2055776000002</v>
      </c>
    </row>
    <row r="133" spans="2:5" x14ac:dyDescent="0.35">
      <c r="B133" s="27" t="s">
        <v>10</v>
      </c>
      <c r="C133" s="29">
        <v>0.13800000000000001</v>
      </c>
      <c r="D133" s="30">
        <v>0.11593915780217627</v>
      </c>
      <c r="E133" s="43">
        <f t="shared" ref="E133:E138" si="68">C133*$E$131</f>
        <v>1153.8278118000003</v>
      </c>
    </row>
    <row r="134" spans="2:5" x14ac:dyDescent="0.35">
      <c r="B134" s="27" t="s">
        <v>23</v>
      </c>
      <c r="C134" s="29">
        <v>9.7000000000000003E-2</v>
      </c>
      <c r="D134" s="30">
        <v>0.13193915780217627</v>
      </c>
      <c r="E134" s="43">
        <f t="shared" si="68"/>
        <v>811.02389670000014</v>
      </c>
    </row>
    <row r="135" spans="2:5" x14ac:dyDescent="0.35">
      <c r="B135" s="27" t="s">
        <v>11</v>
      </c>
      <c r="C135" s="29">
        <v>8.4000000000000005E-2</v>
      </c>
      <c r="D135" s="30">
        <v>0.15795415780217625</v>
      </c>
      <c r="E135" s="43">
        <f t="shared" si="68"/>
        <v>702.32997240000009</v>
      </c>
    </row>
    <row r="136" spans="2:5" x14ac:dyDescent="0.35">
      <c r="B136" s="27" t="s">
        <v>24</v>
      </c>
      <c r="C136" s="29">
        <v>0.123</v>
      </c>
      <c r="D136" s="30">
        <v>0.13993915780217628</v>
      </c>
      <c r="E136" s="43">
        <f t="shared" si="68"/>
        <v>1028.4117453000001</v>
      </c>
    </row>
    <row r="137" spans="2:5" x14ac:dyDescent="0.35">
      <c r="B137" s="27" t="s">
        <v>34</v>
      </c>
      <c r="C137" s="29">
        <v>4.2000000000000003E-2</v>
      </c>
      <c r="D137" s="30">
        <v>0.10893915780217626</v>
      </c>
      <c r="E137" s="43">
        <f t="shared" si="68"/>
        <v>351.16498620000004</v>
      </c>
    </row>
    <row r="138" spans="2:5" x14ac:dyDescent="0.35">
      <c r="B138" s="27" t="s">
        <v>35</v>
      </c>
      <c r="C138" s="29">
        <v>0.1</v>
      </c>
      <c r="D138" s="30">
        <v>0.12355497978041369</v>
      </c>
      <c r="E138" s="43">
        <f t="shared" si="68"/>
        <v>836.10711000000015</v>
      </c>
    </row>
    <row r="139" spans="2:5" x14ac:dyDescent="0.35">
      <c r="B139" s="3" t="s">
        <v>4</v>
      </c>
      <c r="C139" s="11">
        <v>7.0999999999999994E-2</v>
      </c>
      <c r="D139" s="11">
        <v>9.8000000000000004E-2</v>
      </c>
      <c r="E139" s="43">
        <f>C139*$E$119</f>
        <v>1761.5312999999999</v>
      </c>
    </row>
    <row r="140" spans="2:5" x14ac:dyDescent="0.35">
      <c r="B140" s="28" t="s">
        <v>27</v>
      </c>
      <c r="C140" s="29">
        <v>0.379</v>
      </c>
      <c r="D140" s="30">
        <v>9.8378367543335551E-2</v>
      </c>
      <c r="E140" s="43">
        <f>C140*$E$139</f>
        <v>667.62036269999999</v>
      </c>
    </row>
    <row r="141" spans="2:5" x14ac:dyDescent="0.35">
      <c r="B141" s="28" t="s">
        <v>5</v>
      </c>
      <c r="C141" s="29">
        <v>0.316</v>
      </c>
      <c r="D141" s="30">
        <v>0.10648886754333556</v>
      </c>
      <c r="E141" s="43">
        <f t="shared" ref="E141:E143" si="69">C141*$E$139</f>
        <v>556.64389080000001</v>
      </c>
    </row>
    <row r="142" spans="2:5" x14ac:dyDescent="0.35">
      <c r="B142" s="28" t="s">
        <v>20</v>
      </c>
      <c r="C142" s="29">
        <v>9.8000000000000004E-2</v>
      </c>
      <c r="D142" s="30">
        <v>8.2983657513340567E-2</v>
      </c>
      <c r="E142" s="43">
        <f t="shared" si="69"/>
        <v>172.6300674</v>
      </c>
    </row>
    <row r="143" spans="2:5" x14ac:dyDescent="0.35">
      <c r="B143" s="28" t="s">
        <v>6</v>
      </c>
      <c r="C143" s="29">
        <v>0.20699999999999999</v>
      </c>
      <c r="D143" s="30">
        <v>9.1457575464127638E-2</v>
      </c>
      <c r="E143" s="43">
        <f t="shared" si="69"/>
        <v>364.63697909999996</v>
      </c>
    </row>
    <row r="144" spans="2:5" x14ac:dyDescent="0.35">
      <c r="B144" s="3" t="s">
        <v>51</v>
      </c>
      <c r="C144" s="11">
        <v>0.06</v>
      </c>
      <c r="D144" s="11">
        <v>0.125</v>
      </c>
      <c r="E144" s="43">
        <f>C144*$E$119</f>
        <v>1488.6179999999999</v>
      </c>
    </row>
    <row r="145" spans="2:5" x14ac:dyDescent="0.35">
      <c r="B145" s="27" t="s">
        <v>30</v>
      </c>
      <c r="C145" s="29">
        <v>0.47299999999999998</v>
      </c>
      <c r="D145" s="30">
        <v>0.12494447718765922</v>
      </c>
      <c r="E145" s="43">
        <f>C145*$E$144</f>
        <v>704.11631399999999</v>
      </c>
    </row>
    <row r="146" spans="2:5" x14ac:dyDescent="0.35">
      <c r="B146" s="27" t="s">
        <v>50</v>
      </c>
      <c r="C146" s="29">
        <v>0.318</v>
      </c>
      <c r="D146" s="30">
        <v>0.1329815223723666</v>
      </c>
      <c r="E146" s="43">
        <f t="shared" ref="E146:E147" si="70">C146*$E$144</f>
        <v>473.38052399999998</v>
      </c>
    </row>
    <row r="147" spans="2:5" x14ac:dyDescent="0.35">
      <c r="B147" s="27" t="s">
        <v>54</v>
      </c>
      <c r="C147" s="29">
        <v>0.20899999999999999</v>
      </c>
      <c r="D147" s="30">
        <v>0.11411133759609027</v>
      </c>
      <c r="E147" s="43">
        <f t="shared" si="70"/>
        <v>311.12116199999997</v>
      </c>
    </row>
    <row r="148" spans="2:5" x14ac:dyDescent="0.35">
      <c r="B148" s="3" t="s">
        <v>48</v>
      </c>
      <c r="C148" s="2">
        <v>4.2000000000000037E-2</v>
      </c>
      <c r="D148" s="1">
        <v>9.5000000000000001E-2</v>
      </c>
      <c r="E148" s="43">
        <f>C148*$E$119</f>
        <v>1042.0326000000009</v>
      </c>
    </row>
    <row r="149" spans="2:5" x14ac:dyDescent="0.35">
      <c r="B149" s="27" t="s">
        <v>12</v>
      </c>
      <c r="C149" s="29">
        <v>0.41699999999999998</v>
      </c>
      <c r="D149" s="30">
        <v>0.10100149658064456</v>
      </c>
      <c r="E149" s="43">
        <f>C149*$E$148</f>
        <v>434.52759420000035</v>
      </c>
    </row>
    <row r="150" spans="2:5" x14ac:dyDescent="0.35">
      <c r="B150" s="27" t="s">
        <v>52</v>
      </c>
      <c r="C150" s="30">
        <v>0.32600000000000001</v>
      </c>
      <c r="D150" s="30">
        <v>9.400149658064455E-2</v>
      </c>
      <c r="E150" s="43">
        <f t="shared" ref="E150:E151" si="71">C150*$E$148</f>
        <v>339.70262760000031</v>
      </c>
    </row>
    <row r="151" spans="2:5" x14ac:dyDescent="0.35">
      <c r="B151" s="27" t="s">
        <v>53</v>
      </c>
      <c r="C151" s="30">
        <v>0.25700000000000001</v>
      </c>
      <c r="D151" s="30">
        <v>8.6528747239615192E-2</v>
      </c>
      <c r="E151" s="43">
        <f t="shared" si="71"/>
        <v>267.80237820000025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12A0-9B68-4291-B43B-D87C151B2D9D}">
  <sheetPr codeName="Sheet2"/>
  <dimension ref="A1:BD89"/>
  <sheetViews>
    <sheetView workbookViewId="0"/>
  </sheetViews>
  <sheetFormatPr defaultRowHeight="14.5" x14ac:dyDescent="0.35"/>
  <cols>
    <col min="2" max="2" width="18.1796875" customWidth="1"/>
    <col min="3" max="3" width="13.1796875" bestFit="1" customWidth="1"/>
    <col min="4" max="4" width="12.26953125" bestFit="1" customWidth="1"/>
    <col min="5" max="5" width="12.1796875" bestFit="1" customWidth="1"/>
    <col min="6" max="6" width="12.26953125" bestFit="1" customWidth="1"/>
    <col min="7" max="9" width="12.1796875" bestFit="1" customWidth="1"/>
    <col min="10" max="10" width="13.1796875" bestFit="1" customWidth="1"/>
    <col min="11" max="12" width="12.1796875" bestFit="1" customWidth="1"/>
    <col min="13" max="13" width="12.26953125" bestFit="1" customWidth="1"/>
    <col min="14" max="14" width="12.1796875" bestFit="1" customWidth="1"/>
    <col min="15" max="15" width="10.7265625" bestFit="1" customWidth="1"/>
    <col min="16" max="25" width="12.1796875" bestFit="1" customWidth="1"/>
    <col min="26" max="30" width="9.7265625" bestFit="1" customWidth="1"/>
  </cols>
  <sheetData>
    <row r="1" spans="1:56" x14ac:dyDescent="0.35">
      <c r="B1">
        <v>121</v>
      </c>
      <c r="E1" s="59"/>
      <c r="F1" s="59"/>
    </row>
    <row r="2" spans="1:56" x14ac:dyDescent="0.35">
      <c r="A2" s="19"/>
      <c r="B2" s="53">
        <f>B70</f>
        <v>121144</v>
      </c>
      <c r="C2" s="53">
        <f t="shared" ref="C2:AB2" si="0">C70</f>
        <v>26369</v>
      </c>
      <c r="D2" s="53">
        <f t="shared" si="0"/>
        <v>4069</v>
      </c>
      <c r="E2" s="53">
        <f t="shared" si="0"/>
        <v>3937</v>
      </c>
      <c r="F2" s="53">
        <f t="shared" si="0"/>
        <v>6571</v>
      </c>
      <c r="G2" s="53">
        <f t="shared" si="0"/>
        <v>2464</v>
      </c>
      <c r="H2" s="53">
        <f t="shared" si="0"/>
        <v>3415</v>
      </c>
      <c r="I2" s="53">
        <f t="shared" si="0"/>
        <v>2098</v>
      </c>
      <c r="J2" s="53">
        <f t="shared" si="0"/>
        <v>2479</v>
      </c>
      <c r="K2" s="53">
        <f t="shared" si="0"/>
        <v>4504</v>
      </c>
      <c r="L2" s="53">
        <f t="shared" si="0"/>
        <v>18740</v>
      </c>
      <c r="M2" s="53">
        <f t="shared" si="0"/>
        <v>3895</v>
      </c>
      <c r="N2" s="53">
        <f t="shared" si="0"/>
        <v>5473</v>
      </c>
      <c r="O2" s="53">
        <f t="shared" si="0"/>
        <v>3897</v>
      </c>
      <c r="P2" s="53">
        <f t="shared" si="0"/>
        <v>5267</v>
      </c>
      <c r="Q2" s="53">
        <f t="shared" si="0"/>
        <v>1744</v>
      </c>
      <c r="R2" s="53">
        <f t="shared" si="0"/>
        <v>4298</v>
      </c>
      <c r="S2" s="53">
        <f t="shared" si="0"/>
        <v>3427</v>
      </c>
      <c r="T2" s="53">
        <f t="shared" si="0"/>
        <v>915</v>
      </c>
      <c r="U2" s="53">
        <f t="shared" si="0"/>
        <v>2725</v>
      </c>
      <c r="V2" s="53">
        <f t="shared" si="0"/>
        <v>1968</v>
      </c>
      <c r="W2" s="53">
        <f t="shared" si="0"/>
        <v>3427</v>
      </c>
      <c r="X2" s="53">
        <f t="shared" si="0"/>
        <v>2214</v>
      </c>
      <c r="Y2" s="53">
        <f t="shared" si="0"/>
        <v>1578</v>
      </c>
      <c r="Z2" s="53">
        <f t="shared" si="0"/>
        <v>2244</v>
      </c>
      <c r="AA2" s="53">
        <f t="shared" si="0"/>
        <v>1908</v>
      </c>
      <c r="AB2" s="53">
        <f t="shared" si="0"/>
        <v>1518</v>
      </c>
      <c r="AX2" s="4"/>
      <c r="AY2" s="4"/>
      <c r="AZ2" s="4"/>
      <c r="BA2" s="4"/>
      <c r="BB2" s="4"/>
      <c r="BC2" s="4"/>
    </row>
    <row r="3" spans="1:56" ht="15.5" x14ac:dyDescent="0.35">
      <c r="A3" s="31"/>
      <c r="B3" t="s">
        <v>1</v>
      </c>
      <c r="C3" s="10" t="s">
        <v>15</v>
      </c>
      <c r="D3" s="10" t="s">
        <v>3</v>
      </c>
      <c r="E3" s="10" t="s">
        <v>31</v>
      </c>
      <c r="F3" s="10" t="s">
        <v>32</v>
      </c>
      <c r="G3" s="10" t="s">
        <v>8</v>
      </c>
      <c r="H3" s="10" t="s">
        <v>7</v>
      </c>
      <c r="I3" s="10" t="s">
        <v>29</v>
      </c>
      <c r="J3" s="10" t="s">
        <v>16</v>
      </c>
      <c r="K3" s="14" t="s">
        <v>17</v>
      </c>
      <c r="L3" s="10" t="s">
        <v>9</v>
      </c>
      <c r="M3" s="10" t="s">
        <v>11</v>
      </c>
      <c r="N3" s="10" t="s">
        <v>10</v>
      </c>
      <c r="O3" s="10" t="s">
        <v>23</v>
      </c>
      <c r="P3" s="10" t="s">
        <v>24</v>
      </c>
      <c r="Q3" s="10" t="s">
        <v>34</v>
      </c>
      <c r="R3" s="10" t="s">
        <v>35</v>
      </c>
      <c r="S3" s="10" t="s">
        <v>27</v>
      </c>
      <c r="T3" s="10" t="s">
        <v>20</v>
      </c>
      <c r="U3" s="10" t="s">
        <v>5</v>
      </c>
      <c r="V3" s="10" t="s">
        <v>6</v>
      </c>
      <c r="W3" s="10" t="s">
        <v>30</v>
      </c>
      <c r="X3" s="10" t="s">
        <v>50</v>
      </c>
      <c r="Y3" s="10" t="s">
        <v>54</v>
      </c>
      <c r="Z3" s="10" t="s">
        <v>12</v>
      </c>
      <c r="AA3" s="10" t="s">
        <v>52</v>
      </c>
      <c r="AB3" s="10" t="s">
        <v>53</v>
      </c>
      <c r="AC3" s="21"/>
      <c r="AD3" s="21"/>
      <c r="AE3" s="10" t="s">
        <v>15</v>
      </c>
      <c r="AF3" s="10" t="s">
        <v>3</v>
      </c>
      <c r="AG3" s="10" t="s">
        <v>31</v>
      </c>
      <c r="AH3" s="10" t="s">
        <v>32</v>
      </c>
      <c r="AI3" s="10" t="s">
        <v>8</v>
      </c>
      <c r="AJ3" s="10" t="s">
        <v>7</v>
      </c>
      <c r="AK3" s="10" t="s">
        <v>29</v>
      </c>
      <c r="AL3" s="10" t="s">
        <v>16</v>
      </c>
      <c r="AM3" s="14" t="s">
        <v>17</v>
      </c>
      <c r="AN3" s="10" t="s">
        <v>9</v>
      </c>
      <c r="AO3" s="10" t="s">
        <v>11</v>
      </c>
      <c r="AP3" s="10" t="s">
        <v>10</v>
      </c>
      <c r="AQ3" s="10" t="s">
        <v>23</v>
      </c>
      <c r="AR3" s="10" t="s">
        <v>24</v>
      </c>
      <c r="AS3" s="10" t="s">
        <v>34</v>
      </c>
      <c r="AT3" s="10" t="s">
        <v>35</v>
      </c>
      <c r="AU3" s="10" t="s">
        <v>27</v>
      </c>
      <c r="AV3" s="10" t="s">
        <v>20</v>
      </c>
      <c r="AW3" s="10" t="s">
        <v>5</v>
      </c>
      <c r="AX3" s="10" t="s">
        <v>6</v>
      </c>
      <c r="AY3" s="10" t="s">
        <v>30</v>
      </c>
      <c r="AZ3" s="10" t="s">
        <v>50</v>
      </c>
      <c r="BA3" s="10" t="s">
        <v>54</v>
      </c>
      <c r="BB3" s="10" t="s">
        <v>12</v>
      </c>
      <c r="BC3" s="10" t="s">
        <v>52</v>
      </c>
      <c r="BD3" s="10" t="s">
        <v>53</v>
      </c>
    </row>
    <row r="4" spans="1:56" ht="15.5" x14ac:dyDescent="0.35">
      <c r="A4" s="31"/>
      <c r="B4" s="31" t="s">
        <v>55</v>
      </c>
      <c r="C4" s="55"/>
      <c r="D4" s="55"/>
      <c r="E4" s="55"/>
      <c r="F4" s="55"/>
      <c r="G4" s="55"/>
      <c r="H4" s="55"/>
      <c r="I4" s="55"/>
      <c r="J4" s="55"/>
      <c r="K4" s="56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7"/>
      <c r="AD4" s="31" t="s">
        <v>55</v>
      </c>
      <c r="AE4" s="57"/>
      <c r="AF4" s="57"/>
      <c r="AG4" s="57"/>
      <c r="AH4" s="57"/>
      <c r="AI4" s="58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4"/>
      <c r="AY4" s="4"/>
      <c r="AZ4" s="4"/>
      <c r="BA4" s="4"/>
      <c r="BB4" s="4"/>
      <c r="BC4" s="4"/>
    </row>
    <row r="5" spans="1:56" x14ac:dyDescent="0.35">
      <c r="B5" t="s">
        <v>56</v>
      </c>
      <c r="AC5" s="4"/>
      <c r="AD5" t="s">
        <v>56</v>
      </c>
      <c r="AE5" s="4" t="s">
        <v>158</v>
      </c>
      <c r="AF5" s="4" t="s">
        <v>158</v>
      </c>
      <c r="AG5" s="4" t="s">
        <v>158</v>
      </c>
      <c r="AH5" s="4" t="s">
        <v>160</v>
      </c>
      <c r="AI5" s="4" t="s">
        <v>160</v>
      </c>
      <c r="AJ5" s="4" t="s">
        <v>160</v>
      </c>
      <c r="AK5" s="4" t="s">
        <v>155</v>
      </c>
      <c r="AL5" s="4" t="s">
        <v>160</v>
      </c>
      <c r="AM5" s="4" t="s">
        <v>157</v>
      </c>
      <c r="AN5" s="4" t="s">
        <v>158</v>
      </c>
      <c r="AO5" s="4" t="s">
        <v>158</v>
      </c>
      <c r="AP5" s="4" t="s">
        <v>156</v>
      </c>
      <c r="AQ5" s="4" t="s">
        <v>158</v>
      </c>
      <c r="AR5" s="4" t="s">
        <v>155</v>
      </c>
      <c r="AS5" s="4" t="s">
        <v>158</v>
      </c>
      <c r="AT5" s="4" t="s">
        <v>160</v>
      </c>
      <c r="AU5" s="4" t="s">
        <v>161</v>
      </c>
      <c r="AV5" s="4" t="s">
        <v>161</v>
      </c>
      <c r="AW5" s="4" t="s">
        <v>162</v>
      </c>
      <c r="AX5" s="4" t="s">
        <v>154</v>
      </c>
      <c r="AY5" s="4" t="s">
        <v>159</v>
      </c>
      <c r="AZ5" s="4" t="s">
        <v>155</v>
      </c>
      <c r="BA5" s="4" t="s">
        <v>159</v>
      </c>
      <c r="BB5" s="4" t="s">
        <v>156</v>
      </c>
      <c r="BC5" s="4" t="s">
        <v>156</v>
      </c>
      <c r="BD5" s="4" t="s">
        <v>158</v>
      </c>
    </row>
    <row r="6" spans="1:56" s="34" customFormat="1" x14ac:dyDescent="0.35">
      <c r="A6" s="27"/>
      <c r="B6" s="54" t="s">
        <v>57</v>
      </c>
      <c r="C6" s="35">
        <v>249258.56214813833</v>
      </c>
      <c r="D6" s="35">
        <v>233052.89711683526</v>
      </c>
      <c r="E6" s="35">
        <v>240866.34275692789</v>
      </c>
      <c r="F6" s="35">
        <v>245882.38193328358</v>
      </c>
      <c r="G6" s="35">
        <v>224564.21543377184</v>
      </c>
      <c r="H6" s="35">
        <v>237586.62483392603</v>
      </c>
      <c r="I6" s="35">
        <v>217908.31729591507</v>
      </c>
      <c r="J6" s="35">
        <v>210866.56999064653</v>
      </c>
      <c r="K6" s="35">
        <v>229097.94315086253</v>
      </c>
      <c r="L6" s="35">
        <v>207008.07831652669</v>
      </c>
      <c r="M6" s="35">
        <v>198037.08517419826</v>
      </c>
      <c r="N6" s="35">
        <v>239419.40837913298</v>
      </c>
      <c r="O6" s="35">
        <v>230255.49065309844</v>
      </c>
      <c r="P6" s="35">
        <v>211638.2683254705</v>
      </c>
      <c r="Q6" s="35">
        <v>228519.16939974445</v>
      </c>
      <c r="R6" s="35">
        <v>214725.06166476637</v>
      </c>
      <c r="S6" s="35">
        <v>213953.36332994234</v>
      </c>
      <c r="T6" s="35">
        <v>202281.42601572999</v>
      </c>
      <c r="U6" s="35">
        <v>218390.62875518011</v>
      </c>
      <c r="V6" s="35">
        <v>205946.99310614378</v>
      </c>
      <c r="W6" s="35">
        <v>225335.91376859572</v>
      </c>
      <c r="X6" s="35">
        <v>237104.31337466105</v>
      </c>
      <c r="Y6" s="35">
        <v>216750.76979367915</v>
      </c>
      <c r="Z6" s="35">
        <v>210191.33394767551</v>
      </c>
      <c r="AA6" s="35">
        <v>199484.0195519932</v>
      </c>
      <c r="AB6" s="35">
        <v>191381.18703634164</v>
      </c>
      <c r="AC6" s="36"/>
      <c r="AD6" s="54" t="s">
        <v>57</v>
      </c>
      <c r="AE6" s="36" t="s">
        <v>161</v>
      </c>
      <c r="AF6" s="36" t="s">
        <v>161</v>
      </c>
      <c r="AG6" s="36" t="s">
        <v>158</v>
      </c>
      <c r="AH6" s="36" t="s">
        <v>157</v>
      </c>
      <c r="AI6" s="36" t="s">
        <v>159</v>
      </c>
      <c r="AJ6" s="36" t="s">
        <v>161</v>
      </c>
      <c r="AK6" s="36" t="s">
        <v>158</v>
      </c>
      <c r="AL6" s="36" t="s">
        <v>157</v>
      </c>
      <c r="AM6" s="36" t="s">
        <v>162</v>
      </c>
      <c r="AN6" s="36" t="s">
        <v>159</v>
      </c>
      <c r="AO6" s="36" t="s">
        <v>156</v>
      </c>
      <c r="AP6" s="36" t="s">
        <v>157</v>
      </c>
      <c r="AQ6" s="36" t="s">
        <v>154</v>
      </c>
      <c r="AR6" s="36" t="s">
        <v>156</v>
      </c>
      <c r="AS6" s="36" t="s">
        <v>154</v>
      </c>
      <c r="AT6" s="36" t="s">
        <v>161</v>
      </c>
      <c r="AU6" s="36" t="s">
        <v>155</v>
      </c>
      <c r="AV6" s="36" t="s">
        <v>160</v>
      </c>
      <c r="AW6" s="36" t="s">
        <v>155</v>
      </c>
      <c r="AX6" s="36" t="s">
        <v>162</v>
      </c>
      <c r="AY6" s="36" t="s">
        <v>154</v>
      </c>
      <c r="AZ6" s="36" t="s">
        <v>157</v>
      </c>
      <c r="BA6" s="36" t="s">
        <v>157</v>
      </c>
      <c r="BB6" s="36" t="s">
        <v>162</v>
      </c>
      <c r="BC6" s="36" t="s">
        <v>156</v>
      </c>
      <c r="BD6" s="34" t="s">
        <v>161</v>
      </c>
    </row>
    <row r="7" spans="1:56" s="34" customFormat="1" x14ac:dyDescent="0.35">
      <c r="A7" s="27"/>
      <c r="B7" s="54" t="s">
        <v>58</v>
      </c>
      <c r="C7" s="35">
        <v>320833.58270306047</v>
      </c>
      <c r="D7" s="35">
        <v>298454.33099316561</v>
      </c>
      <c r="E7" s="35">
        <v>310415.65518293704</v>
      </c>
      <c r="F7" s="35">
        <v>316589.24186152889</v>
      </c>
      <c r="G7" s="35">
        <v>286975.31826265936</v>
      </c>
      <c r="H7" s="35">
        <v>303470.37016952154</v>
      </c>
      <c r="I7" s="35">
        <v>279065.41033071373</v>
      </c>
      <c r="J7" s="35">
        <v>267007.62384908943</v>
      </c>
      <c r="K7" s="35">
        <v>292184.28202272119</v>
      </c>
      <c r="L7" s="35">
        <v>267104.08614094259</v>
      </c>
      <c r="M7" s="35">
        <v>254853.37507561207</v>
      </c>
      <c r="N7" s="35">
        <v>307135.93725993508</v>
      </c>
      <c r="O7" s="35">
        <v>294017.06556792802</v>
      </c>
      <c r="P7" s="35">
        <v>271637.81385803322</v>
      </c>
      <c r="Q7" s="35">
        <v>290544.42306122003</v>
      </c>
      <c r="R7" s="35">
        <v>277329.08907735988</v>
      </c>
      <c r="S7" s="35">
        <v>276171.54157512402</v>
      </c>
      <c r="T7" s="35">
        <v>261798.66008902754</v>
      </c>
      <c r="U7" s="35">
        <v>283406.21346409852</v>
      </c>
      <c r="V7" s="35">
        <v>269033.33197800239</v>
      </c>
      <c r="W7" s="35">
        <v>291701.97056345601</v>
      </c>
      <c r="X7" s="35">
        <v>305013.76683916943</v>
      </c>
      <c r="Y7" s="35">
        <v>279451.2594981257</v>
      </c>
      <c r="Z7" s="35">
        <v>269708.5680209733</v>
      </c>
      <c r="AA7" s="35">
        <v>256493.23403711294</v>
      </c>
      <c r="AB7" s="35">
        <v>243760.21151251774</v>
      </c>
      <c r="AC7" s="36"/>
      <c r="AD7" s="54" t="s">
        <v>58</v>
      </c>
      <c r="AE7" s="36" t="s">
        <v>159</v>
      </c>
      <c r="AF7" s="36" t="s">
        <v>155</v>
      </c>
      <c r="AG7" s="36" t="s">
        <v>157</v>
      </c>
      <c r="AH7" s="36" t="s">
        <v>161</v>
      </c>
      <c r="AI7" s="36" t="s">
        <v>159</v>
      </c>
      <c r="AJ7" s="36" t="s">
        <v>158</v>
      </c>
      <c r="AK7" s="36" t="s">
        <v>162</v>
      </c>
      <c r="AL7" s="36" t="s">
        <v>160</v>
      </c>
      <c r="AM7" s="36" t="s">
        <v>154</v>
      </c>
      <c r="AN7" s="36" t="s">
        <v>156</v>
      </c>
      <c r="AO7" s="36" t="s">
        <v>157</v>
      </c>
      <c r="AP7" s="36" t="s">
        <v>155</v>
      </c>
      <c r="AQ7" s="36" t="s">
        <v>158</v>
      </c>
      <c r="AR7" s="36" t="s">
        <v>159</v>
      </c>
      <c r="AS7" s="36" t="s">
        <v>157</v>
      </c>
      <c r="AT7" s="36" t="s">
        <v>162</v>
      </c>
      <c r="AU7" s="36" t="s">
        <v>155</v>
      </c>
      <c r="AV7" s="36" t="s">
        <v>159</v>
      </c>
      <c r="AW7" s="36" t="s">
        <v>156</v>
      </c>
      <c r="AX7" s="36" t="s">
        <v>159</v>
      </c>
      <c r="AY7" s="36" t="s">
        <v>161</v>
      </c>
      <c r="AZ7" s="36" t="s">
        <v>158</v>
      </c>
      <c r="BA7" s="36" t="s">
        <v>160</v>
      </c>
      <c r="BB7" s="36" t="s">
        <v>154</v>
      </c>
      <c r="BC7" s="36" t="s">
        <v>156</v>
      </c>
      <c r="BD7" s="34" t="s">
        <v>154</v>
      </c>
    </row>
    <row r="8" spans="1:56" s="34" customFormat="1" x14ac:dyDescent="0.35">
      <c r="A8" s="27"/>
      <c r="B8" s="54" t="s">
        <v>59</v>
      </c>
      <c r="C8" s="35">
        <v>285721.30846857035</v>
      </c>
      <c r="D8" s="35">
        <v>265078.37801202969</v>
      </c>
      <c r="E8" s="35">
        <v>273856.44657065195</v>
      </c>
      <c r="F8" s="35">
        <v>279258.33491441974</v>
      </c>
      <c r="G8" s="35">
        <v>256010.92257784796</v>
      </c>
      <c r="H8" s="35">
        <v>269708.5680209733</v>
      </c>
      <c r="I8" s="35">
        <v>249547.94902369738</v>
      </c>
      <c r="J8" s="35">
        <v>239515.8706709859</v>
      </c>
      <c r="K8" s="35">
        <v>260255.26341937986</v>
      </c>
      <c r="L8" s="35">
        <v>239033.55921172103</v>
      </c>
      <c r="M8" s="35">
        <v>228133.32023233257</v>
      </c>
      <c r="N8" s="35">
        <v>279354.79720627278</v>
      </c>
      <c r="O8" s="35">
        <v>267489.93530835438</v>
      </c>
      <c r="P8" s="35">
        <v>246654.08026810753</v>
      </c>
      <c r="Q8" s="35">
        <v>261798.66008902754</v>
      </c>
      <c r="R8" s="35">
        <v>250609.03423408032</v>
      </c>
      <c r="S8" s="35">
        <v>249065.63756443246</v>
      </c>
      <c r="T8" s="35">
        <v>236043.22816427812</v>
      </c>
      <c r="U8" s="35">
        <v>256879.083204525</v>
      </c>
      <c r="V8" s="35">
        <v>242699.12630213486</v>
      </c>
      <c r="W8" s="35">
        <v>261219.88633790967</v>
      </c>
      <c r="X8" s="35">
        <v>274435.22032177012</v>
      </c>
      <c r="Y8" s="35">
        <v>250994.88340149241</v>
      </c>
      <c r="Z8" s="35">
        <v>242795.58859398775</v>
      </c>
      <c r="AA8" s="35">
        <v>231316.57586348135</v>
      </c>
      <c r="AB8" s="35">
        <v>219548.17625741608</v>
      </c>
      <c r="AC8" s="36"/>
      <c r="AD8" s="54" t="s">
        <v>59</v>
      </c>
      <c r="AE8" s="36" t="s">
        <v>158</v>
      </c>
      <c r="AF8" s="36" t="s">
        <v>162</v>
      </c>
      <c r="AG8" s="36" t="s">
        <v>155</v>
      </c>
      <c r="AH8" s="36" t="s">
        <v>162</v>
      </c>
      <c r="AI8" s="36" t="s">
        <v>157</v>
      </c>
      <c r="AJ8" s="36" t="s">
        <v>160</v>
      </c>
      <c r="AK8" s="36" t="s">
        <v>157</v>
      </c>
      <c r="AL8" s="36" t="s">
        <v>161</v>
      </c>
      <c r="AM8" s="36" t="s">
        <v>156</v>
      </c>
      <c r="AN8" s="36" t="s">
        <v>158</v>
      </c>
      <c r="AO8" s="36" t="s">
        <v>158</v>
      </c>
      <c r="AP8" s="36" t="s">
        <v>154</v>
      </c>
      <c r="AQ8" s="36" t="s">
        <v>158</v>
      </c>
      <c r="AR8" s="36" t="s">
        <v>159</v>
      </c>
      <c r="AS8" s="36" t="s">
        <v>156</v>
      </c>
      <c r="AT8" s="36" t="s">
        <v>159</v>
      </c>
      <c r="AU8" s="36" t="s">
        <v>162</v>
      </c>
      <c r="AV8" s="36" t="s">
        <v>159</v>
      </c>
      <c r="AW8" s="36" t="s">
        <v>158</v>
      </c>
      <c r="AX8" s="36" t="s">
        <v>161</v>
      </c>
      <c r="AY8" s="36" t="s">
        <v>155</v>
      </c>
      <c r="AZ8" s="36" t="s">
        <v>155</v>
      </c>
      <c r="BA8" s="36" t="s">
        <v>159</v>
      </c>
      <c r="BB8" s="36" t="s">
        <v>156</v>
      </c>
      <c r="BC8" s="36" t="s">
        <v>160</v>
      </c>
      <c r="BD8" s="34" t="s">
        <v>161</v>
      </c>
    </row>
    <row r="9" spans="1:56" s="34" customFormat="1" x14ac:dyDescent="0.35">
      <c r="A9" s="27"/>
      <c r="B9" s="54" t="s">
        <v>60</v>
      </c>
      <c r="C9" s="35">
        <v>239901.71983839793</v>
      </c>
      <c r="D9" s="35">
        <v>223696.05480709483</v>
      </c>
      <c r="E9" s="35">
        <v>231316.57586348135</v>
      </c>
      <c r="F9" s="35">
        <v>235560.91670501317</v>
      </c>
      <c r="G9" s="35">
        <v>213760.43874623632</v>
      </c>
      <c r="H9" s="35">
        <v>227072.23502194954</v>
      </c>
      <c r="I9" s="35">
        <v>209226.71102914563</v>
      </c>
      <c r="J9" s="35">
        <v>201123.87851349407</v>
      </c>
      <c r="K9" s="35">
        <v>218680.01563073907</v>
      </c>
      <c r="L9" s="35">
        <v>201027.41622164115</v>
      </c>
      <c r="M9" s="35">
        <v>191863.49849560656</v>
      </c>
      <c r="N9" s="35">
        <v>234499.83149463017</v>
      </c>
      <c r="O9" s="35">
        <v>224467.75314191877</v>
      </c>
      <c r="P9" s="35">
        <v>207972.70123505659</v>
      </c>
      <c r="Q9" s="35">
        <v>220705.723759652</v>
      </c>
      <c r="R9" s="35">
        <v>211541.8060336175</v>
      </c>
      <c r="S9" s="35">
        <v>210963.03228249945</v>
      </c>
      <c r="T9" s="35">
        <v>200062.79330311107</v>
      </c>
      <c r="U9" s="35">
        <v>216171.99604256116</v>
      </c>
      <c r="V9" s="35">
        <v>203824.82268537791</v>
      </c>
      <c r="W9" s="35">
        <v>219837.56313297505</v>
      </c>
      <c r="X9" s="35">
        <v>230930.72669606947</v>
      </c>
      <c r="Y9" s="35">
        <v>212795.81582770639</v>
      </c>
      <c r="Z9" s="35">
        <v>205657.60623058482</v>
      </c>
      <c r="AA9" s="35">
        <v>194950.29183490231</v>
      </c>
      <c r="AB9" s="35">
        <v>184725.28889848484</v>
      </c>
      <c r="AC9" s="36"/>
      <c r="AD9" s="54" t="s">
        <v>60</v>
      </c>
      <c r="AE9" s="36" t="s">
        <v>157</v>
      </c>
      <c r="AF9" s="36" t="s">
        <v>160</v>
      </c>
      <c r="AG9" s="36" t="s">
        <v>161</v>
      </c>
      <c r="AH9" s="36" t="s">
        <v>156</v>
      </c>
      <c r="AI9" s="36" t="s">
        <v>157</v>
      </c>
      <c r="AJ9" s="36" t="s">
        <v>160</v>
      </c>
      <c r="AK9" s="36" t="s">
        <v>159</v>
      </c>
      <c r="AL9" s="36" t="s">
        <v>162</v>
      </c>
      <c r="AM9" s="36" t="s">
        <v>157</v>
      </c>
      <c r="AN9" s="36" t="s">
        <v>162</v>
      </c>
      <c r="AO9" s="36" t="s">
        <v>158</v>
      </c>
      <c r="AP9" s="36" t="s">
        <v>161</v>
      </c>
      <c r="AQ9" s="36" t="s">
        <v>159</v>
      </c>
      <c r="AR9" s="36" t="s">
        <v>159</v>
      </c>
      <c r="AS9" s="36" t="s">
        <v>162</v>
      </c>
      <c r="AT9" s="36" t="s">
        <v>156</v>
      </c>
      <c r="AU9" s="36" t="s">
        <v>154</v>
      </c>
      <c r="AV9" s="36" t="s">
        <v>154</v>
      </c>
      <c r="AW9" s="36" t="s">
        <v>160</v>
      </c>
      <c r="AX9" s="36" t="s">
        <v>161</v>
      </c>
      <c r="AY9" s="36" t="s">
        <v>162</v>
      </c>
      <c r="AZ9" s="36" t="s">
        <v>157</v>
      </c>
      <c r="BA9" s="36" t="s">
        <v>160</v>
      </c>
      <c r="BB9" s="36" t="s">
        <v>156</v>
      </c>
      <c r="BC9" s="36" t="s">
        <v>159</v>
      </c>
      <c r="BD9" s="34" t="s">
        <v>161</v>
      </c>
    </row>
    <row r="10" spans="1:56" s="34" customFormat="1" x14ac:dyDescent="0.35">
      <c r="A10" s="27"/>
      <c r="B10" s="54" t="s">
        <v>61</v>
      </c>
      <c r="C10" s="35">
        <v>452311.68649869243</v>
      </c>
      <c r="D10" s="35">
        <v>427038.56603320775</v>
      </c>
      <c r="E10" s="35">
        <v>437745.88042889012</v>
      </c>
      <c r="F10" s="35">
        <v>444884.09002601175</v>
      </c>
      <c r="G10" s="35">
        <v>406685.02245222579</v>
      </c>
      <c r="H10" s="35">
        <v>430125.35937250365</v>
      </c>
      <c r="I10" s="35">
        <v>395302.47201357241</v>
      </c>
      <c r="J10" s="35">
        <v>378518.03323115123</v>
      </c>
      <c r="K10" s="35">
        <v>415366.62871899537</v>
      </c>
      <c r="L10" s="35">
        <v>378807.42010671063</v>
      </c>
      <c r="M10" s="35">
        <v>361347.74528131844</v>
      </c>
      <c r="N10" s="35">
        <v>436298.94605109538</v>
      </c>
      <c r="O10" s="35">
        <v>418453.42205829127</v>
      </c>
      <c r="P10" s="35">
        <v>387392.56408162712</v>
      </c>
      <c r="Q10" s="35">
        <v>410639.97641819855</v>
      </c>
      <c r="R10" s="35">
        <v>394723.69826245465</v>
      </c>
      <c r="S10" s="35">
        <v>394144.92451133655</v>
      </c>
      <c r="T10" s="35">
        <v>373212.60717923648</v>
      </c>
      <c r="U10" s="35">
        <v>405913.32411740202</v>
      </c>
      <c r="V10" s="35">
        <v>383437.61011565418</v>
      </c>
      <c r="W10" s="35">
        <v>413437.38288193545</v>
      </c>
      <c r="X10" s="35">
        <v>432826.30354438734</v>
      </c>
      <c r="Y10" s="35">
        <v>397810.49160175043</v>
      </c>
      <c r="Z10" s="35">
        <v>387585.48866533296</v>
      </c>
      <c r="AA10" s="35">
        <v>368196.56800288107</v>
      </c>
      <c r="AB10" s="35">
        <v>350061.65713451774</v>
      </c>
      <c r="AC10" s="36"/>
      <c r="AD10" s="54" t="s">
        <v>61</v>
      </c>
      <c r="AE10" s="36" t="s">
        <v>157</v>
      </c>
      <c r="AF10" s="36" t="s">
        <v>154</v>
      </c>
      <c r="AG10" s="36" t="s">
        <v>159</v>
      </c>
      <c r="AH10" s="36" t="s">
        <v>161</v>
      </c>
      <c r="AI10" s="36" t="s">
        <v>159</v>
      </c>
      <c r="AJ10" s="36" t="s">
        <v>161</v>
      </c>
      <c r="AK10" s="36" t="s">
        <v>160</v>
      </c>
      <c r="AL10" s="36" t="s">
        <v>157</v>
      </c>
      <c r="AM10" s="36" t="s">
        <v>159</v>
      </c>
      <c r="AN10" s="36" t="s">
        <v>158</v>
      </c>
      <c r="AO10" s="36" t="s">
        <v>160</v>
      </c>
      <c r="AP10" s="36" t="s">
        <v>160</v>
      </c>
      <c r="AQ10" s="36" t="s">
        <v>160</v>
      </c>
      <c r="AR10" s="36" t="s">
        <v>154</v>
      </c>
      <c r="AS10" s="36" t="s">
        <v>158</v>
      </c>
      <c r="AT10" s="36" t="s">
        <v>161</v>
      </c>
      <c r="AU10" s="36" t="s">
        <v>160</v>
      </c>
      <c r="AV10" s="36" t="s">
        <v>154</v>
      </c>
      <c r="AW10" s="36" t="s">
        <v>160</v>
      </c>
      <c r="AX10" s="36" t="s">
        <v>162</v>
      </c>
      <c r="AY10" s="36" t="s">
        <v>157</v>
      </c>
      <c r="AZ10" s="36" t="s">
        <v>162</v>
      </c>
      <c r="BA10" s="36" t="s">
        <v>154</v>
      </c>
      <c r="BB10" s="36" t="s">
        <v>158</v>
      </c>
      <c r="BC10" s="36" t="s">
        <v>159</v>
      </c>
      <c r="BD10" s="34" t="s">
        <v>161</v>
      </c>
    </row>
    <row r="11" spans="1:56" x14ac:dyDescent="0.35">
      <c r="B11" t="s">
        <v>62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4"/>
      <c r="AD11" t="s">
        <v>62</v>
      </c>
      <c r="AE11" s="4" t="s">
        <v>159</v>
      </c>
      <c r="AF11" s="4" t="s">
        <v>161</v>
      </c>
      <c r="AG11" s="4" t="s">
        <v>161</v>
      </c>
      <c r="AH11" s="4" t="s">
        <v>162</v>
      </c>
      <c r="AI11" s="4" t="s">
        <v>160</v>
      </c>
      <c r="AJ11" s="4" t="s">
        <v>159</v>
      </c>
      <c r="AK11" s="4" t="s">
        <v>161</v>
      </c>
      <c r="AL11" s="4" t="s">
        <v>155</v>
      </c>
      <c r="AM11" s="4" t="s">
        <v>156</v>
      </c>
      <c r="AN11" s="4" t="s">
        <v>157</v>
      </c>
      <c r="AO11" s="4" t="s">
        <v>162</v>
      </c>
      <c r="AP11" s="4" t="s">
        <v>157</v>
      </c>
      <c r="AQ11" s="4" t="s">
        <v>161</v>
      </c>
      <c r="AR11" s="4" t="s">
        <v>162</v>
      </c>
      <c r="AS11" s="4" t="s">
        <v>156</v>
      </c>
      <c r="AT11" s="4" t="s">
        <v>161</v>
      </c>
      <c r="AU11" s="4" t="s">
        <v>159</v>
      </c>
      <c r="AV11" s="4" t="s">
        <v>161</v>
      </c>
      <c r="AW11" s="4" t="s">
        <v>160</v>
      </c>
      <c r="AX11" s="4" t="s">
        <v>154</v>
      </c>
      <c r="AY11" s="4" t="s">
        <v>157</v>
      </c>
      <c r="AZ11" s="4" t="s">
        <v>159</v>
      </c>
      <c r="BA11" s="4" t="s">
        <v>162</v>
      </c>
      <c r="BB11" s="4" t="s">
        <v>160</v>
      </c>
      <c r="BC11" s="4" t="s">
        <v>161</v>
      </c>
      <c r="BD11" t="s">
        <v>155</v>
      </c>
    </row>
    <row r="12" spans="1:56" s="27" customFormat="1" x14ac:dyDescent="0.35">
      <c r="B12" s="54" t="s">
        <v>63</v>
      </c>
      <c r="C12" s="37">
        <v>185979.29869257388</v>
      </c>
      <c r="D12" s="37">
        <v>172571.0401250076</v>
      </c>
      <c r="E12" s="37">
        <v>179902.17430583513</v>
      </c>
      <c r="F12" s="37">
        <v>183664.20368810193</v>
      </c>
      <c r="G12" s="37">
        <v>166204.52886270994</v>
      </c>
      <c r="H12" s="37">
        <v>176718.91867468646</v>
      </c>
      <c r="I12" s="37">
        <v>161863.7257293252</v>
      </c>
      <c r="J12" s="37">
        <v>155014.90300776256</v>
      </c>
      <c r="K12" s="37">
        <v>169387.78449385875</v>
      </c>
      <c r="L12" s="37">
        <v>152989.19487884961</v>
      </c>
      <c r="M12" s="37">
        <v>144500.51319578613</v>
      </c>
      <c r="N12" s="37">
        <v>176911.8432583923</v>
      </c>
      <c r="O12" s="37">
        <v>169966.55824497659</v>
      </c>
      <c r="P12" s="37">
        <v>156172.45050999851</v>
      </c>
      <c r="Q12" s="37">
        <v>167458.53865679883</v>
      </c>
      <c r="R12" s="37">
        <v>159934.47989226528</v>
      </c>
      <c r="S12" s="37">
        <v>158873.39468188235</v>
      </c>
      <c r="T12" s="37">
        <v>150288.25070696577</v>
      </c>
      <c r="U12" s="37">
        <v>163214.19781526705</v>
      </c>
      <c r="V12" s="37">
        <v>154725.51613220366</v>
      </c>
      <c r="W12" s="37">
        <v>165722.21740344493</v>
      </c>
      <c r="X12" s="37">
        <v>174500.28596206746</v>
      </c>
      <c r="Y12" s="37">
        <v>160416.79135153024</v>
      </c>
      <c r="Z12" s="37">
        <v>155497.21446702749</v>
      </c>
      <c r="AA12" s="37">
        <v>147008.53278396401</v>
      </c>
      <c r="AB12" s="37">
        <v>140449.09693796028</v>
      </c>
      <c r="AC12" s="38"/>
      <c r="AD12" s="54" t="s">
        <v>63</v>
      </c>
      <c r="AE12" s="38" t="s">
        <v>160</v>
      </c>
      <c r="AF12" s="38" t="s">
        <v>154</v>
      </c>
      <c r="AG12" s="38" t="s">
        <v>162</v>
      </c>
      <c r="AH12" s="38" t="s">
        <v>156</v>
      </c>
      <c r="AI12" s="38" t="s">
        <v>155</v>
      </c>
      <c r="AJ12" s="38" t="s">
        <v>158</v>
      </c>
      <c r="AK12" s="38" t="s">
        <v>157</v>
      </c>
      <c r="AL12" s="38" t="s">
        <v>159</v>
      </c>
      <c r="AM12" s="38" t="s">
        <v>158</v>
      </c>
      <c r="AN12" s="38" t="s">
        <v>162</v>
      </c>
      <c r="AO12" s="38" t="s">
        <v>155</v>
      </c>
      <c r="AP12" s="38" t="s">
        <v>162</v>
      </c>
      <c r="AQ12" s="38" t="s">
        <v>157</v>
      </c>
      <c r="AR12" s="38" t="s">
        <v>162</v>
      </c>
      <c r="AS12" s="38" t="s">
        <v>159</v>
      </c>
      <c r="AT12" s="38" t="s">
        <v>159</v>
      </c>
      <c r="AU12" s="38" t="s">
        <v>160</v>
      </c>
      <c r="AV12" s="38" t="s">
        <v>155</v>
      </c>
      <c r="AW12" s="38" t="s">
        <v>158</v>
      </c>
      <c r="AX12" s="38" t="s">
        <v>157</v>
      </c>
      <c r="AY12" s="38" t="s">
        <v>157</v>
      </c>
      <c r="AZ12" s="38" t="s">
        <v>154</v>
      </c>
      <c r="BA12" s="38" t="s">
        <v>160</v>
      </c>
      <c r="BB12" s="38" t="s">
        <v>154</v>
      </c>
      <c r="BC12" s="38" t="s">
        <v>159</v>
      </c>
      <c r="BD12" s="27" t="s">
        <v>157</v>
      </c>
    </row>
    <row r="13" spans="1:56" s="27" customFormat="1" x14ac:dyDescent="0.35">
      <c r="B13" s="54" t="s">
        <v>64</v>
      </c>
      <c r="C13" s="37">
        <v>249258.56214813833</v>
      </c>
      <c r="D13" s="37">
        <v>231220.1135716284</v>
      </c>
      <c r="E13" s="37">
        <v>240094.64442210397</v>
      </c>
      <c r="F13" s="37">
        <v>245592.99505772465</v>
      </c>
      <c r="G13" s="37">
        <v>223599.59251524188</v>
      </c>
      <c r="H13" s="37">
        <v>235560.91670501317</v>
      </c>
      <c r="I13" s="37">
        <v>216943.69437738511</v>
      </c>
      <c r="J13" s="37">
        <v>206718.69144096773</v>
      </c>
      <c r="K13" s="37">
        <v>228326.24481603855</v>
      </c>
      <c r="L13" s="37">
        <v>213856.90103808942</v>
      </c>
      <c r="M13" s="37">
        <v>202860.19976684789</v>
      </c>
      <c r="N13" s="37">
        <v>238068.93629319101</v>
      </c>
      <c r="O13" s="37">
        <v>229001.48085900955</v>
      </c>
      <c r="P13" s="37">
        <v>216171.99604256116</v>
      </c>
      <c r="Q13" s="37">
        <v>227458.08418936163</v>
      </c>
      <c r="R13" s="37">
        <v>220126.95000853401</v>
      </c>
      <c r="S13" s="37">
        <v>219065.86479815119</v>
      </c>
      <c r="T13" s="37">
        <v>207201.00290023274</v>
      </c>
      <c r="U13" s="37">
        <v>223406.66793153586</v>
      </c>
      <c r="V13" s="37">
        <v>212120.57978473543</v>
      </c>
      <c r="W13" s="37">
        <v>225432.37606044867</v>
      </c>
      <c r="X13" s="37">
        <v>236911.38879095504</v>
      </c>
      <c r="Y13" s="37">
        <v>219837.56313297505</v>
      </c>
      <c r="Z13" s="37">
        <v>213567.51416253028</v>
      </c>
      <c r="AA13" s="37">
        <v>202184.96372387695</v>
      </c>
      <c r="AB13" s="37">
        <v>192249.34766301853</v>
      </c>
      <c r="AC13" s="38"/>
      <c r="AD13" s="54" t="s">
        <v>64</v>
      </c>
      <c r="AE13" s="38" t="s">
        <v>157</v>
      </c>
      <c r="AF13" s="38" t="s">
        <v>156</v>
      </c>
      <c r="AG13" s="38" t="s">
        <v>154</v>
      </c>
      <c r="AH13" s="38" t="s">
        <v>157</v>
      </c>
      <c r="AI13" s="38" t="s">
        <v>160</v>
      </c>
      <c r="AJ13" s="38" t="s">
        <v>158</v>
      </c>
      <c r="AK13" s="38" t="s">
        <v>161</v>
      </c>
      <c r="AL13" s="38" t="s">
        <v>154</v>
      </c>
      <c r="AM13" s="38" t="s">
        <v>154</v>
      </c>
      <c r="AN13" s="38" t="s">
        <v>156</v>
      </c>
      <c r="AO13" s="38" t="s">
        <v>154</v>
      </c>
      <c r="AP13" s="38" t="s">
        <v>162</v>
      </c>
      <c r="AQ13" s="38" t="s">
        <v>162</v>
      </c>
      <c r="AR13" s="38" t="s">
        <v>160</v>
      </c>
      <c r="AS13" s="38" t="s">
        <v>157</v>
      </c>
      <c r="AT13" s="38" t="s">
        <v>162</v>
      </c>
      <c r="AU13" s="38" t="s">
        <v>157</v>
      </c>
      <c r="AV13" s="38" t="s">
        <v>162</v>
      </c>
      <c r="AW13" s="38" t="s">
        <v>161</v>
      </c>
      <c r="AX13" s="38" t="s">
        <v>161</v>
      </c>
      <c r="AY13" s="38" t="s">
        <v>160</v>
      </c>
      <c r="AZ13" s="38" t="s">
        <v>159</v>
      </c>
      <c r="BA13" s="38" t="s">
        <v>161</v>
      </c>
      <c r="BB13" s="38" t="s">
        <v>156</v>
      </c>
      <c r="BC13" s="38" t="s">
        <v>162</v>
      </c>
      <c r="BD13" s="27" t="s">
        <v>157</v>
      </c>
    </row>
    <row r="14" spans="1:56" s="27" customFormat="1" x14ac:dyDescent="0.35">
      <c r="B14" s="54" t="s">
        <v>65</v>
      </c>
      <c r="C14" s="37">
        <v>509899.67473493033</v>
      </c>
      <c r="D14" s="37">
        <v>479224.66592567792</v>
      </c>
      <c r="E14" s="37">
        <v>494562.17033030395</v>
      </c>
      <c r="F14" s="37">
        <v>502954.3897215146</v>
      </c>
      <c r="G14" s="37">
        <v>454916.16837872326</v>
      </c>
      <c r="H14" s="37">
        <v>481250.37405459071</v>
      </c>
      <c r="I14" s="37">
        <v>443051.30648080481</v>
      </c>
      <c r="J14" s="37">
        <v>427038.56603320775</v>
      </c>
      <c r="K14" s="37">
        <v>461861.45339213894</v>
      </c>
      <c r="L14" s="37">
        <v>427135.02832506056</v>
      </c>
      <c r="M14" s="37">
        <v>406685.02245222579</v>
      </c>
      <c r="N14" s="37">
        <v>490896.60323989025</v>
      </c>
      <c r="O14" s="37">
        <v>470060.74819964357</v>
      </c>
      <c r="P14" s="37">
        <v>438614.0410555671</v>
      </c>
      <c r="Q14" s="37">
        <v>459932.20755507884</v>
      </c>
      <c r="R14" s="37">
        <v>444884.09002601175</v>
      </c>
      <c r="S14" s="37">
        <v>443533.61794006987</v>
      </c>
      <c r="T14" s="37">
        <v>422022.52685685211</v>
      </c>
      <c r="U14" s="37">
        <v>451636.45045572129</v>
      </c>
      <c r="V14" s="37">
        <v>431089.98229103355</v>
      </c>
      <c r="W14" s="37">
        <v>461379.14193287387</v>
      </c>
      <c r="X14" s="37">
        <v>483469.00676720968</v>
      </c>
      <c r="Y14" s="37">
        <v>449224.89315939642</v>
      </c>
      <c r="Z14" s="37">
        <v>437552.95584518439</v>
      </c>
      <c r="AA14" s="37">
        <v>414594.93038417143</v>
      </c>
      <c r="AB14" s="37">
        <v>394723.69826245465</v>
      </c>
      <c r="AC14" s="38"/>
      <c r="AD14" s="54" t="s">
        <v>65</v>
      </c>
      <c r="AE14" s="38" t="s">
        <v>156</v>
      </c>
      <c r="AF14" s="38" t="s">
        <v>155</v>
      </c>
      <c r="AG14" s="38" t="s">
        <v>161</v>
      </c>
      <c r="AH14" s="38" t="s">
        <v>155</v>
      </c>
      <c r="AI14" s="38" t="s">
        <v>156</v>
      </c>
      <c r="AJ14" s="38" t="s">
        <v>156</v>
      </c>
      <c r="AK14" s="38" t="s">
        <v>157</v>
      </c>
      <c r="AL14" s="38" t="s">
        <v>155</v>
      </c>
      <c r="AM14" s="38" t="s">
        <v>160</v>
      </c>
      <c r="AN14" s="38" t="s">
        <v>155</v>
      </c>
      <c r="AO14" s="38" t="s">
        <v>154</v>
      </c>
      <c r="AP14" s="38" t="s">
        <v>160</v>
      </c>
      <c r="AQ14" s="38" t="s">
        <v>160</v>
      </c>
      <c r="AR14" s="38" t="s">
        <v>161</v>
      </c>
      <c r="AS14" s="38" t="s">
        <v>159</v>
      </c>
      <c r="AT14" s="38" t="s">
        <v>155</v>
      </c>
      <c r="AU14" s="38" t="s">
        <v>162</v>
      </c>
      <c r="AV14" s="38" t="s">
        <v>154</v>
      </c>
      <c r="AW14" s="38" t="s">
        <v>162</v>
      </c>
      <c r="AX14" s="38" t="s">
        <v>161</v>
      </c>
      <c r="AY14" s="38" t="s">
        <v>155</v>
      </c>
      <c r="AZ14" s="38" t="s">
        <v>157</v>
      </c>
      <c r="BA14" s="38" t="s">
        <v>160</v>
      </c>
      <c r="BB14" s="38" t="s">
        <v>158</v>
      </c>
      <c r="BC14" s="38" t="s">
        <v>154</v>
      </c>
      <c r="BD14" s="27" t="s">
        <v>161</v>
      </c>
    </row>
    <row r="15" spans="1:56" s="27" customFormat="1" x14ac:dyDescent="0.35">
      <c r="B15" s="54" t="s">
        <v>66</v>
      </c>
      <c r="C15" s="37">
        <v>317264.4779044998</v>
      </c>
      <c r="D15" s="37">
        <v>295849.84911313484</v>
      </c>
      <c r="E15" s="37">
        <v>306171.31434140541</v>
      </c>
      <c r="F15" s="37">
        <v>313116.59935482097</v>
      </c>
      <c r="G15" s="37">
        <v>285335.45930115849</v>
      </c>
      <c r="H15" s="37">
        <v>300480.03912207863</v>
      </c>
      <c r="I15" s="37">
        <v>277039.70220180071</v>
      </c>
      <c r="J15" s="37">
        <v>265850.07634685369</v>
      </c>
      <c r="K15" s="37">
        <v>290255.03618566116</v>
      </c>
      <c r="L15" s="37">
        <v>268551.02051873732</v>
      </c>
      <c r="M15" s="37">
        <v>256300.30945340707</v>
      </c>
      <c r="N15" s="37">
        <v>301541.12433246156</v>
      </c>
      <c r="O15" s="37">
        <v>287843.47888933646</v>
      </c>
      <c r="P15" s="37">
        <v>271927.20073359204</v>
      </c>
      <c r="Q15" s="37">
        <v>285142.53471745254</v>
      </c>
      <c r="R15" s="37">
        <v>276171.54157512402</v>
      </c>
      <c r="S15" s="37">
        <v>275110.45636474108</v>
      </c>
      <c r="T15" s="37">
        <v>261219.88633790967</v>
      </c>
      <c r="U15" s="37">
        <v>281091.1184596268</v>
      </c>
      <c r="V15" s="37">
        <v>267104.08614094259</v>
      </c>
      <c r="W15" s="37">
        <v>284370.83638262836</v>
      </c>
      <c r="X15" s="37">
        <v>298743.71786872461</v>
      </c>
      <c r="Y15" s="37">
        <v>278390.17428774276</v>
      </c>
      <c r="Z15" s="37">
        <v>269612.1057291202</v>
      </c>
      <c r="AA15" s="37">
        <v>256396.77174525999</v>
      </c>
      <c r="AB15" s="37">
        <v>243470.82463695871</v>
      </c>
      <c r="AC15" s="38"/>
      <c r="AD15" s="54" t="s">
        <v>66</v>
      </c>
      <c r="AE15" s="38" t="s">
        <v>156</v>
      </c>
      <c r="AF15" s="38" t="s">
        <v>154</v>
      </c>
      <c r="AG15" s="38" t="s">
        <v>159</v>
      </c>
      <c r="AH15" s="38" t="s">
        <v>155</v>
      </c>
      <c r="AI15" s="38" t="s">
        <v>156</v>
      </c>
      <c r="AJ15" s="38" t="s">
        <v>156</v>
      </c>
      <c r="AK15" s="38" t="s">
        <v>159</v>
      </c>
      <c r="AL15" s="38" t="s">
        <v>159</v>
      </c>
      <c r="AM15" s="38" t="s">
        <v>155</v>
      </c>
      <c r="AN15" s="38" t="s">
        <v>160</v>
      </c>
      <c r="AO15" s="38" t="s">
        <v>154</v>
      </c>
      <c r="AP15" s="38" t="s">
        <v>155</v>
      </c>
      <c r="AQ15" s="38" t="s">
        <v>158</v>
      </c>
      <c r="AR15" s="38" t="s">
        <v>161</v>
      </c>
      <c r="AS15" s="38" t="s">
        <v>159</v>
      </c>
      <c r="AT15" s="38" t="s">
        <v>162</v>
      </c>
      <c r="AU15" s="38" t="s">
        <v>154</v>
      </c>
      <c r="AV15" s="38" t="s">
        <v>161</v>
      </c>
      <c r="AW15" s="38" t="s">
        <v>154</v>
      </c>
      <c r="AX15" s="38" t="s">
        <v>161</v>
      </c>
      <c r="AY15" s="38" t="s">
        <v>159</v>
      </c>
      <c r="AZ15" s="38" t="s">
        <v>161</v>
      </c>
      <c r="BA15" s="38" t="s">
        <v>161</v>
      </c>
      <c r="BB15" s="38" t="s">
        <v>159</v>
      </c>
      <c r="BC15" s="38" t="s">
        <v>160</v>
      </c>
      <c r="BD15" s="27" t="s">
        <v>159</v>
      </c>
    </row>
    <row r="16" spans="1:56" x14ac:dyDescent="0.35">
      <c r="B16" t="s">
        <v>67</v>
      </c>
      <c r="C16" s="33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4"/>
      <c r="AD16" t="s">
        <v>67</v>
      </c>
      <c r="AE16" s="4" t="s">
        <v>162</v>
      </c>
      <c r="AF16" s="4" t="s">
        <v>161</v>
      </c>
      <c r="AG16" s="4" t="s">
        <v>154</v>
      </c>
      <c r="AH16" s="4" t="s">
        <v>156</v>
      </c>
      <c r="AI16" s="4" t="s">
        <v>155</v>
      </c>
      <c r="AJ16" s="4" t="s">
        <v>157</v>
      </c>
      <c r="AK16" s="4" t="s">
        <v>158</v>
      </c>
      <c r="AL16" s="4" t="s">
        <v>159</v>
      </c>
      <c r="AM16" s="4" t="s">
        <v>159</v>
      </c>
      <c r="AN16" s="4" t="s">
        <v>161</v>
      </c>
      <c r="AO16" s="4" t="s">
        <v>154</v>
      </c>
      <c r="AP16" s="4" t="s">
        <v>161</v>
      </c>
      <c r="AQ16" s="4" t="s">
        <v>158</v>
      </c>
      <c r="AR16" s="4" t="s">
        <v>162</v>
      </c>
      <c r="AS16" s="4" t="s">
        <v>159</v>
      </c>
      <c r="AT16" s="4" t="s">
        <v>162</v>
      </c>
      <c r="AU16" s="4" t="s">
        <v>154</v>
      </c>
      <c r="AV16" s="4" t="s">
        <v>157</v>
      </c>
      <c r="AW16" s="4" t="s">
        <v>161</v>
      </c>
      <c r="AX16" s="4" t="s">
        <v>155</v>
      </c>
      <c r="AY16" s="4" t="s">
        <v>159</v>
      </c>
      <c r="AZ16" s="4" t="s">
        <v>158</v>
      </c>
      <c r="BA16" s="4" t="s">
        <v>160</v>
      </c>
      <c r="BB16" s="4" t="s">
        <v>160</v>
      </c>
      <c r="BC16" s="4" t="s">
        <v>156</v>
      </c>
      <c r="BD16" t="s">
        <v>158</v>
      </c>
    </row>
    <row r="17" spans="2:56" s="27" customFormat="1" x14ac:dyDescent="0.35">
      <c r="B17" s="54" t="s">
        <v>151</v>
      </c>
      <c r="C17" s="37">
        <v>13311796.275713276</v>
      </c>
      <c r="D17" s="37">
        <v>12250711.065330332</v>
      </c>
      <c r="E17" s="37">
        <v>12154248.77347734</v>
      </c>
      <c r="F17" s="37">
        <v>12347173.357183324</v>
      </c>
      <c r="G17" s="37">
        <v>11575475.022359367</v>
      </c>
      <c r="H17" s="37">
        <v>12057786.481624343</v>
      </c>
      <c r="I17" s="37">
        <v>11382550.438653382</v>
      </c>
      <c r="J17" s="37">
        <v>10128540.644564446</v>
      </c>
      <c r="K17" s="37">
        <v>10803776.687535416</v>
      </c>
      <c r="L17" s="37">
        <v>9839153.7690054588</v>
      </c>
      <c r="M17" s="37">
        <v>8874530.8504755162</v>
      </c>
      <c r="N17" s="37">
        <v>12347173.357183324</v>
      </c>
      <c r="O17" s="37">
        <v>11575475.022359367</v>
      </c>
      <c r="P17" s="37">
        <v>9163917.7260344978</v>
      </c>
      <c r="Q17" s="37">
        <v>11768399.606065359</v>
      </c>
      <c r="R17" s="37">
        <v>9453304.601593487</v>
      </c>
      <c r="S17" s="37">
        <v>9646229.1852994747</v>
      </c>
      <c r="T17" s="37">
        <v>8874530.8504755162</v>
      </c>
      <c r="U17" s="37">
        <v>9839153.7690054588</v>
      </c>
      <c r="V17" s="37">
        <v>9163917.7260344978</v>
      </c>
      <c r="W17" s="37">
        <v>12057786.481624343</v>
      </c>
      <c r="X17" s="37">
        <v>13022409.400154293</v>
      </c>
      <c r="Y17" s="37">
        <v>10128540.644564446</v>
      </c>
      <c r="Z17" s="37">
        <v>9453304.601593487</v>
      </c>
      <c r="AA17" s="37">
        <v>8874530.8504755162</v>
      </c>
      <c r="AB17" s="37">
        <v>8199294.8075045524</v>
      </c>
      <c r="AC17" s="38"/>
      <c r="AD17" s="54" t="s">
        <v>151</v>
      </c>
      <c r="AE17" s="38" t="s">
        <v>157</v>
      </c>
      <c r="AF17" s="38" t="s">
        <v>156</v>
      </c>
      <c r="AG17" s="38" t="s">
        <v>154</v>
      </c>
      <c r="AH17" s="38" t="s">
        <v>157</v>
      </c>
      <c r="AI17" s="38" t="s">
        <v>154</v>
      </c>
      <c r="AJ17" s="38" t="s">
        <v>158</v>
      </c>
      <c r="AK17" s="38" t="s">
        <v>157</v>
      </c>
      <c r="AL17" s="38" t="s">
        <v>156</v>
      </c>
      <c r="AM17" s="38" t="s">
        <v>159</v>
      </c>
      <c r="AN17" s="38" t="s">
        <v>159</v>
      </c>
      <c r="AO17" s="38" t="s">
        <v>158</v>
      </c>
      <c r="AP17" s="38" t="s">
        <v>155</v>
      </c>
      <c r="AQ17" s="38" t="s">
        <v>155</v>
      </c>
      <c r="AR17" s="38" t="s">
        <v>162</v>
      </c>
      <c r="AS17" s="38" t="s">
        <v>156</v>
      </c>
      <c r="AT17" s="38" t="s">
        <v>161</v>
      </c>
      <c r="AU17" s="38" t="s">
        <v>156</v>
      </c>
      <c r="AV17" s="38" t="s">
        <v>159</v>
      </c>
      <c r="AW17" s="38" t="s">
        <v>156</v>
      </c>
      <c r="AX17" s="38" t="s">
        <v>161</v>
      </c>
      <c r="AY17" s="38" t="s">
        <v>154</v>
      </c>
      <c r="AZ17" s="38" t="s">
        <v>158</v>
      </c>
      <c r="BA17" s="38" t="s">
        <v>162</v>
      </c>
      <c r="BB17" s="38" t="s">
        <v>158</v>
      </c>
      <c r="BC17" s="38" t="s">
        <v>158</v>
      </c>
      <c r="BD17" s="27" t="s">
        <v>161</v>
      </c>
    </row>
    <row r="18" spans="2:56" s="27" customFormat="1" x14ac:dyDescent="0.35">
      <c r="B18" s="54" t="s">
        <v>68</v>
      </c>
      <c r="C18" s="37">
        <v>463019.0008943748</v>
      </c>
      <c r="D18" s="37">
        <v>434080.31333847623</v>
      </c>
      <c r="E18" s="37">
        <v>434080.31333847623</v>
      </c>
      <c r="F18" s="37">
        <v>438903.42793112609</v>
      </c>
      <c r="G18" s="37">
        <v>414787.85496787756</v>
      </c>
      <c r="H18" s="37">
        <v>429257.19874582661</v>
      </c>
      <c r="I18" s="37">
        <v>405141.62578257784</v>
      </c>
      <c r="J18" s="37">
        <v>366556.70904138015</v>
      </c>
      <c r="K18" s="37">
        <v>385849.16741197888</v>
      </c>
      <c r="L18" s="37">
        <v>356910.47985608043</v>
      </c>
      <c r="M18" s="37">
        <v>318325.56311488262</v>
      </c>
      <c r="N18" s="37">
        <v>438903.42793112609</v>
      </c>
      <c r="O18" s="37">
        <v>414787.85496787756</v>
      </c>
      <c r="P18" s="37">
        <v>327971.79230018222</v>
      </c>
      <c r="Q18" s="37">
        <v>424434.08415317687</v>
      </c>
      <c r="R18" s="37">
        <v>337618.02148548176</v>
      </c>
      <c r="S18" s="37">
        <v>347264.25067078101</v>
      </c>
      <c r="T18" s="37">
        <v>318325.56311488262</v>
      </c>
      <c r="U18" s="37">
        <v>356910.47985608043</v>
      </c>
      <c r="V18" s="37">
        <v>327971.79230018222</v>
      </c>
      <c r="W18" s="37">
        <v>434080.31333847623</v>
      </c>
      <c r="X18" s="37">
        <v>453372.77170907531</v>
      </c>
      <c r="Y18" s="37">
        <v>366556.70904138015</v>
      </c>
      <c r="Z18" s="37">
        <v>337618.02148548176</v>
      </c>
      <c r="AA18" s="37">
        <v>318325.56311488262</v>
      </c>
      <c r="AB18" s="37">
        <v>289386.87555898429</v>
      </c>
      <c r="AC18" s="38"/>
      <c r="AD18" s="54" t="s">
        <v>68</v>
      </c>
      <c r="AE18" s="38" t="s">
        <v>162</v>
      </c>
      <c r="AF18" s="38" t="s">
        <v>159</v>
      </c>
      <c r="AG18" s="38" t="s">
        <v>158</v>
      </c>
      <c r="AH18" s="38" t="s">
        <v>157</v>
      </c>
      <c r="AI18" s="38" t="s">
        <v>154</v>
      </c>
      <c r="AJ18" s="38" t="s">
        <v>161</v>
      </c>
      <c r="AK18" s="38" t="s">
        <v>157</v>
      </c>
      <c r="AL18" s="38" t="s">
        <v>158</v>
      </c>
      <c r="AM18" s="38" t="s">
        <v>160</v>
      </c>
      <c r="AN18" s="38" t="s">
        <v>155</v>
      </c>
      <c r="AO18" s="38" t="s">
        <v>159</v>
      </c>
      <c r="AP18" s="38" t="s">
        <v>159</v>
      </c>
      <c r="AQ18" s="38" t="s">
        <v>157</v>
      </c>
      <c r="AR18" s="38" t="s">
        <v>156</v>
      </c>
      <c r="AS18" s="38" t="s">
        <v>156</v>
      </c>
      <c r="AT18" s="38" t="s">
        <v>156</v>
      </c>
      <c r="AU18" s="38" t="s">
        <v>158</v>
      </c>
      <c r="AV18" s="38" t="s">
        <v>156</v>
      </c>
      <c r="AW18" s="38" t="s">
        <v>154</v>
      </c>
      <c r="AX18" s="38" t="s">
        <v>155</v>
      </c>
      <c r="AY18" s="38" t="s">
        <v>160</v>
      </c>
      <c r="AZ18" s="38" t="s">
        <v>158</v>
      </c>
      <c r="BA18" s="38" t="s">
        <v>160</v>
      </c>
      <c r="BB18" s="38" t="s">
        <v>159</v>
      </c>
      <c r="BC18" s="38" t="s">
        <v>162</v>
      </c>
      <c r="BD18" s="27" t="s">
        <v>159</v>
      </c>
    </row>
    <row r="19" spans="2:56" s="27" customFormat="1" x14ac:dyDescent="0.35">
      <c r="B19" s="54" t="s">
        <v>152</v>
      </c>
      <c r="C19" s="37">
        <v>299033.10474428389</v>
      </c>
      <c r="D19" s="37">
        <v>279740.64637368469</v>
      </c>
      <c r="E19" s="37">
        <v>279740.64637368469</v>
      </c>
      <c r="F19" s="37">
        <v>284563.76096633455</v>
      </c>
      <c r="G19" s="37">
        <v>265271.30259573547</v>
      </c>
      <c r="H19" s="37">
        <v>274917.53178103495</v>
      </c>
      <c r="I19" s="37">
        <v>260448.18800308599</v>
      </c>
      <c r="J19" s="37">
        <v>231509.5004471874</v>
      </c>
      <c r="K19" s="37">
        <v>245978.84422513659</v>
      </c>
      <c r="L19" s="37">
        <v>221863.27126188786</v>
      </c>
      <c r="M19" s="37">
        <v>202570.81289128892</v>
      </c>
      <c r="N19" s="37">
        <v>284563.76096633455</v>
      </c>
      <c r="O19" s="37">
        <v>270094.41718838509</v>
      </c>
      <c r="P19" s="37">
        <v>207393.92748393878</v>
      </c>
      <c r="Q19" s="37">
        <v>274917.53178103495</v>
      </c>
      <c r="R19" s="37">
        <v>212217.04207658843</v>
      </c>
      <c r="S19" s="37">
        <v>221863.27126188786</v>
      </c>
      <c r="T19" s="37">
        <v>202570.81289128892</v>
      </c>
      <c r="U19" s="37">
        <v>226686.38585453766</v>
      </c>
      <c r="V19" s="37">
        <v>212217.04207658843</v>
      </c>
      <c r="W19" s="37">
        <v>279740.64637368469</v>
      </c>
      <c r="X19" s="37">
        <v>294209.99015163403</v>
      </c>
      <c r="Y19" s="37">
        <v>231509.5004471874</v>
      </c>
      <c r="Z19" s="37">
        <v>217040.15666923812</v>
      </c>
      <c r="AA19" s="37">
        <v>202570.81289128892</v>
      </c>
      <c r="AB19" s="37">
        <v>183278.35452069007</v>
      </c>
      <c r="AC19" s="38"/>
      <c r="AD19" s="54" t="s">
        <v>152</v>
      </c>
      <c r="AE19" s="38" t="s">
        <v>161</v>
      </c>
      <c r="AF19" s="38" t="s">
        <v>160</v>
      </c>
      <c r="AG19" s="38" t="s">
        <v>162</v>
      </c>
      <c r="AH19" s="38" t="s">
        <v>160</v>
      </c>
      <c r="AI19" s="38" t="s">
        <v>159</v>
      </c>
      <c r="AJ19" s="38" t="s">
        <v>158</v>
      </c>
      <c r="AK19" s="38" t="s">
        <v>155</v>
      </c>
      <c r="AL19" s="38" t="s">
        <v>158</v>
      </c>
      <c r="AM19" s="38" t="s">
        <v>160</v>
      </c>
      <c r="AN19" s="38" t="s">
        <v>158</v>
      </c>
      <c r="AO19" s="38" t="s">
        <v>157</v>
      </c>
      <c r="AP19" s="38" t="s">
        <v>154</v>
      </c>
      <c r="AQ19" s="38" t="s">
        <v>162</v>
      </c>
      <c r="AR19" s="38" t="s">
        <v>154</v>
      </c>
      <c r="AS19" s="38" t="s">
        <v>156</v>
      </c>
      <c r="AT19" s="38" t="s">
        <v>158</v>
      </c>
      <c r="AU19" s="38" t="s">
        <v>162</v>
      </c>
      <c r="AV19" s="38" t="s">
        <v>156</v>
      </c>
      <c r="AW19" s="38" t="s">
        <v>154</v>
      </c>
      <c r="AX19" s="38" t="s">
        <v>159</v>
      </c>
      <c r="AY19" s="38" t="s">
        <v>155</v>
      </c>
      <c r="AZ19" s="38" t="s">
        <v>155</v>
      </c>
      <c r="BA19" s="38" t="s">
        <v>161</v>
      </c>
      <c r="BB19" s="38" t="s">
        <v>161</v>
      </c>
      <c r="BC19" s="38" t="s">
        <v>155</v>
      </c>
      <c r="BD19" s="27" t="s">
        <v>156</v>
      </c>
    </row>
    <row r="20" spans="2:56" x14ac:dyDescent="0.35">
      <c r="B20" t="s">
        <v>69</v>
      </c>
      <c r="C20" s="33">
        <v>105079.58992519557</v>
      </c>
      <c r="D20" s="33">
        <v>97909.22623078966</v>
      </c>
      <c r="E20" s="33">
        <v>101639.10151577213</v>
      </c>
      <c r="F20" s="33">
        <v>103922.0424229597</v>
      </c>
      <c r="G20" s="33">
        <v>94918.895183346816</v>
      </c>
      <c r="H20" s="33">
        <v>100095.70484612421</v>
      </c>
      <c r="I20" s="33">
        <v>92057.180525041302</v>
      </c>
      <c r="J20" s="33">
        <v>88391.613434627521</v>
      </c>
      <c r="K20" s="33">
        <v>96558.754144847728</v>
      </c>
      <c r="L20" s="33">
        <v>90224.396979834419</v>
      </c>
      <c r="M20" s="33">
        <v>85433.436484468984</v>
      </c>
      <c r="N20" s="33">
        <v>101414.02283478179</v>
      </c>
      <c r="O20" s="33">
        <v>97459.06886880903</v>
      </c>
      <c r="P20" s="33">
        <v>92057.180525041302</v>
      </c>
      <c r="Q20" s="33">
        <v>95979.980393729755</v>
      </c>
      <c r="R20" s="33">
        <v>93021.803443571305</v>
      </c>
      <c r="S20" s="33">
        <v>92121.488719609959</v>
      </c>
      <c r="T20" s="33">
        <v>87523.45280795054</v>
      </c>
      <c r="U20" s="33">
        <v>94179.350945807237</v>
      </c>
      <c r="V20" s="33">
        <v>89484.852742294825</v>
      </c>
      <c r="W20" s="33">
        <v>96526.600047563421</v>
      </c>
      <c r="X20" s="33">
        <v>100674.47859724215</v>
      </c>
      <c r="Y20" s="33">
        <v>94082.888653954156</v>
      </c>
      <c r="Z20" s="33">
        <v>92378.721497884631</v>
      </c>
      <c r="AA20" s="33">
        <v>87780.685586225241</v>
      </c>
      <c r="AB20" s="33">
        <v>83729.269328399416</v>
      </c>
      <c r="AC20" s="4"/>
      <c r="AD20" t="s">
        <v>69</v>
      </c>
      <c r="AE20" s="4" t="s">
        <v>155</v>
      </c>
      <c r="AF20" s="4" t="s">
        <v>154</v>
      </c>
      <c r="AG20" s="4" t="s">
        <v>154</v>
      </c>
      <c r="AH20" s="4" t="s">
        <v>158</v>
      </c>
      <c r="AI20" s="4" t="s">
        <v>154</v>
      </c>
      <c r="AJ20" s="4" t="s">
        <v>156</v>
      </c>
      <c r="AK20" s="4" t="s">
        <v>162</v>
      </c>
      <c r="AL20" s="4" t="s">
        <v>160</v>
      </c>
      <c r="AM20" s="4" t="s">
        <v>157</v>
      </c>
      <c r="AN20" s="4" t="s">
        <v>156</v>
      </c>
      <c r="AO20" s="4" t="s">
        <v>157</v>
      </c>
      <c r="AP20" s="4" t="s">
        <v>161</v>
      </c>
      <c r="AQ20" s="4" t="s">
        <v>161</v>
      </c>
      <c r="AR20" s="4" t="s">
        <v>154</v>
      </c>
      <c r="AS20" s="4" t="s">
        <v>162</v>
      </c>
      <c r="AT20" s="4" t="s">
        <v>159</v>
      </c>
      <c r="AU20" s="4" t="s">
        <v>160</v>
      </c>
      <c r="AV20" s="4" t="s">
        <v>156</v>
      </c>
      <c r="AW20" s="4" t="s">
        <v>161</v>
      </c>
      <c r="AX20" s="4" t="s">
        <v>157</v>
      </c>
      <c r="AY20" s="4" t="s">
        <v>158</v>
      </c>
      <c r="AZ20" s="4" t="s">
        <v>157</v>
      </c>
      <c r="BA20" s="4" t="s">
        <v>157</v>
      </c>
      <c r="BB20" s="4" t="s">
        <v>156</v>
      </c>
      <c r="BC20" s="4" t="s">
        <v>155</v>
      </c>
      <c r="BD20" t="s">
        <v>155</v>
      </c>
    </row>
    <row r="21" spans="2:56" x14ac:dyDescent="0.35">
      <c r="B21" t="s">
        <v>163</v>
      </c>
      <c r="C21" s="33">
        <v>672269.82749648334</v>
      </c>
      <c r="D21" s="33">
        <v>632093.28293971124</v>
      </c>
      <c r="E21" s="33">
        <v>650324.65609992703</v>
      </c>
      <c r="F21" s="33">
        <v>662720.06060303736</v>
      </c>
      <c r="G21" s="33">
        <v>606144.92643125553</v>
      </c>
      <c r="H21" s="33">
        <v>644946.88332912256</v>
      </c>
      <c r="I21" s="33">
        <v>590807.42202662944</v>
      </c>
      <c r="J21" s="33">
        <v>569875.10469452979</v>
      </c>
      <c r="K21" s="33">
        <v>619263.79812326259</v>
      </c>
      <c r="L21" s="33">
        <v>572793.0890230824</v>
      </c>
      <c r="M21" s="33">
        <v>547592.31527648785</v>
      </c>
      <c r="N21" s="33">
        <v>650131.73151622119</v>
      </c>
      <c r="O21" s="33">
        <v>625750.88725037687</v>
      </c>
      <c r="P21" s="33">
        <v>585381.41810989892</v>
      </c>
      <c r="Q21" s="33">
        <v>614585.37696839275</v>
      </c>
      <c r="R21" s="33">
        <v>600357.18892007589</v>
      </c>
      <c r="S21" s="33">
        <v>598017.9783426408</v>
      </c>
      <c r="T21" s="33">
        <v>573564.78735790693</v>
      </c>
      <c r="U21" s="33">
        <v>612318.51310984767</v>
      </c>
      <c r="V21" s="33">
        <v>589071.1007732756</v>
      </c>
      <c r="W21" s="33">
        <v>618516.21536140202</v>
      </c>
      <c r="X21" s="33">
        <v>644657.49645356392</v>
      </c>
      <c r="Y21" s="33">
        <v>604553.29861568124</v>
      </c>
      <c r="Z21" s="33">
        <v>593098.40145813802</v>
      </c>
      <c r="AA21" s="33">
        <v>570646.80302935385</v>
      </c>
      <c r="AB21" s="33">
        <v>547833.47100612044</v>
      </c>
      <c r="AC21" s="4"/>
      <c r="AD21" t="s">
        <v>163</v>
      </c>
      <c r="AE21" s="4" t="s">
        <v>156</v>
      </c>
      <c r="AF21" s="4" t="s">
        <v>156</v>
      </c>
      <c r="AG21" s="4" t="s">
        <v>161</v>
      </c>
      <c r="AH21" s="4" t="s">
        <v>157</v>
      </c>
      <c r="AI21" s="4" t="s">
        <v>154</v>
      </c>
      <c r="AJ21" s="4" t="s">
        <v>159</v>
      </c>
      <c r="AK21" s="4" t="s">
        <v>155</v>
      </c>
      <c r="AL21" s="4" t="s">
        <v>159</v>
      </c>
      <c r="AM21" s="4" t="s">
        <v>157</v>
      </c>
      <c r="AN21" s="4" t="s">
        <v>158</v>
      </c>
      <c r="AO21" s="4" t="s">
        <v>162</v>
      </c>
      <c r="AP21" s="4" t="s">
        <v>160</v>
      </c>
      <c r="AQ21" s="4" t="s">
        <v>159</v>
      </c>
      <c r="AR21" s="4" t="s">
        <v>155</v>
      </c>
      <c r="AS21" s="4" t="s">
        <v>154</v>
      </c>
      <c r="AT21" s="4" t="s">
        <v>159</v>
      </c>
      <c r="AU21" s="4" t="s">
        <v>161</v>
      </c>
      <c r="AV21" s="4" t="s">
        <v>154</v>
      </c>
      <c r="AW21" s="4" t="s">
        <v>156</v>
      </c>
      <c r="AX21" s="4" t="s">
        <v>156</v>
      </c>
      <c r="AY21" s="4" t="s">
        <v>156</v>
      </c>
      <c r="AZ21" s="4" t="s">
        <v>162</v>
      </c>
      <c r="BA21" s="4" t="s">
        <v>155</v>
      </c>
      <c r="BB21" s="4" t="s">
        <v>160</v>
      </c>
      <c r="BC21" s="4" t="s">
        <v>158</v>
      </c>
      <c r="BD21" t="s">
        <v>156</v>
      </c>
    </row>
    <row r="22" spans="2:56" x14ac:dyDescent="0.35"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2:56" x14ac:dyDescent="0.35"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2:56" x14ac:dyDescent="0.35">
      <c r="E24" s="9"/>
      <c r="F24" s="9"/>
      <c r="G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2:56" x14ac:dyDescent="0.35">
      <c r="C25" s="10" t="s">
        <v>15</v>
      </c>
      <c r="D25" s="10" t="s">
        <v>3</v>
      </c>
      <c r="E25" s="10" t="s">
        <v>31</v>
      </c>
      <c r="F25" s="10" t="s">
        <v>32</v>
      </c>
      <c r="G25" s="10" t="s">
        <v>8</v>
      </c>
      <c r="H25" s="10" t="s">
        <v>7</v>
      </c>
      <c r="I25" s="10" t="s">
        <v>29</v>
      </c>
      <c r="J25" s="10" t="s">
        <v>16</v>
      </c>
      <c r="K25" s="14" t="s">
        <v>17</v>
      </c>
      <c r="L25" s="10" t="s">
        <v>9</v>
      </c>
      <c r="M25" s="10" t="s">
        <v>11</v>
      </c>
      <c r="N25" s="10" t="s">
        <v>10</v>
      </c>
      <c r="O25" s="10" t="s">
        <v>23</v>
      </c>
      <c r="P25" s="10" t="s">
        <v>24</v>
      </c>
      <c r="Q25" s="10" t="s">
        <v>34</v>
      </c>
      <c r="R25" s="10" t="s">
        <v>35</v>
      </c>
      <c r="S25" s="10" t="s">
        <v>27</v>
      </c>
      <c r="T25" s="10" t="s">
        <v>20</v>
      </c>
      <c r="U25" s="10" t="s">
        <v>5</v>
      </c>
      <c r="V25" s="10" t="s">
        <v>6</v>
      </c>
      <c r="W25" s="10" t="s">
        <v>30</v>
      </c>
      <c r="X25" s="10" t="s">
        <v>50</v>
      </c>
      <c r="Y25" s="10" t="s">
        <v>54</v>
      </c>
      <c r="Z25" s="10" t="s">
        <v>12</v>
      </c>
      <c r="AA25" s="10" t="s">
        <v>52</v>
      </c>
      <c r="AB25" s="10" t="s">
        <v>53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2:56" ht="15.5" x14ac:dyDescent="0.35">
      <c r="B26" s="31" t="s">
        <v>55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2:56" x14ac:dyDescent="0.35">
      <c r="B27" t="s">
        <v>56</v>
      </c>
      <c r="C27" s="12">
        <f>1-C33-C38-C42-C43</f>
        <v>0.26709999999999989</v>
      </c>
      <c r="D27" s="12">
        <f t="shared" ref="D27:AB27" si="1">1-D33-D38-D42-D43</f>
        <v>0.22439999999999996</v>
      </c>
      <c r="E27" s="12">
        <f t="shared" si="1"/>
        <v>0.20769999999999983</v>
      </c>
      <c r="F27" s="12">
        <f t="shared" si="1"/>
        <v>0.23579999999999995</v>
      </c>
      <c r="G27" s="12">
        <f t="shared" si="1"/>
        <v>0.29489999999999988</v>
      </c>
      <c r="H27" s="12">
        <f t="shared" si="1"/>
        <v>0.26599999999999996</v>
      </c>
      <c r="I27" s="12">
        <f t="shared" si="1"/>
        <v>0.26579999999999987</v>
      </c>
      <c r="J27" s="12">
        <f t="shared" si="1"/>
        <v>0.2593999999999998</v>
      </c>
      <c r="K27" s="12">
        <f t="shared" si="1"/>
        <v>0.25519999999999987</v>
      </c>
      <c r="L27" s="12">
        <f t="shared" si="1"/>
        <v>0.24919999999999987</v>
      </c>
      <c r="M27" s="12">
        <f t="shared" si="1"/>
        <v>0.25359999999999994</v>
      </c>
      <c r="N27" s="12">
        <f t="shared" si="1"/>
        <v>0.2846999999999999</v>
      </c>
      <c r="O27" s="12">
        <f t="shared" si="1"/>
        <v>0.23229999999999995</v>
      </c>
      <c r="P27" s="12">
        <f t="shared" si="1"/>
        <v>0.2636</v>
      </c>
      <c r="Q27" s="12">
        <f t="shared" si="1"/>
        <v>0.24399999999999988</v>
      </c>
      <c r="R27" s="12">
        <f t="shared" si="1"/>
        <v>0.24329999999999991</v>
      </c>
      <c r="S27" s="12">
        <f t="shared" si="1"/>
        <v>0.24449999999999986</v>
      </c>
      <c r="T27" s="12">
        <f t="shared" si="1"/>
        <v>0.28489999999999982</v>
      </c>
      <c r="U27" s="12">
        <f t="shared" si="1"/>
        <v>0.27979999999999994</v>
      </c>
      <c r="V27" s="12">
        <f t="shared" si="1"/>
        <v>0.24199999999999991</v>
      </c>
      <c r="W27" s="12">
        <f t="shared" si="1"/>
        <v>0.25369999999999993</v>
      </c>
      <c r="X27" s="12">
        <f t="shared" si="1"/>
        <v>0.24629999999999985</v>
      </c>
      <c r="Y27" s="12">
        <f t="shared" si="1"/>
        <v>0.28979999999999984</v>
      </c>
      <c r="Z27" s="12">
        <f t="shared" si="1"/>
        <v>0.27810000000000001</v>
      </c>
      <c r="AA27" s="12">
        <f t="shared" si="1"/>
        <v>0.24269999999999989</v>
      </c>
      <c r="AB27" s="12">
        <f t="shared" si="1"/>
        <v>0.25029999999999986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2:56" x14ac:dyDescent="0.35">
      <c r="B28" s="27" t="s">
        <v>57</v>
      </c>
      <c r="C28" s="40">
        <v>0.3785</v>
      </c>
      <c r="D28" s="40">
        <v>0.38550000000000001</v>
      </c>
      <c r="E28" s="40">
        <v>0.3841</v>
      </c>
      <c r="F28" s="40">
        <v>0.3881</v>
      </c>
      <c r="G28" s="40">
        <v>0.40590000000000004</v>
      </c>
      <c r="H28" s="40">
        <v>0.39500000000000002</v>
      </c>
      <c r="I28" s="40">
        <v>0.39560000000000001</v>
      </c>
      <c r="J28" s="40">
        <v>0.39800000000000002</v>
      </c>
      <c r="K28" s="40">
        <v>0.3856</v>
      </c>
      <c r="L28" s="40">
        <v>0.38490000000000002</v>
      </c>
      <c r="M28" s="40">
        <v>0.38500000000000001</v>
      </c>
      <c r="N28" s="40">
        <v>0.37920000000000004</v>
      </c>
      <c r="O28" s="40">
        <v>0.40490000000000004</v>
      </c>
      <c r="P28" s="40">
        <v>0.37740000000000001</v>
      </c>
      <c r="Q28" s="40">
        <v>0.37959999999999999</v>
      </c>
      <c r="R28" s="40">
        <v>0.3805</v>
      </c>
      <c r="S28" s="40">
        <v>0.39090000000000003</v>
      </c>
      <c r="T28" s="40">
        <v>0.37880000000000003</v>
      </c>
      <c r="U28" s="40">
        <v>0.39100000000000001</v>
      </c>
      <c r="V28" s="40">
        <v>0.39740000000000003</v>
      </c>
      <c r="W28" s="40">
        <v>0.40400000000000003</v>
      </c>
      <c r="X28" s="40">
        <v>0.39730000000000004</v>
      </c>
      <c r="Y28" s="40">
        <v>0.38130000000000003</v>
      </c>
      <c r="Z28" s="40">
        <v>0.39740000000000003</v>
      </c>
      <c r="AA28" s="40">
        <v>0.40529999999999999</v>
      </c>
      <c r="AB28" s="40">
        <v>0.39730000000000004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2:56" x14ac:dyDescent="0.35">
      <c r="B29" s="27" t="s">
        <v>58</v>
      </c>
      <c r="C29" s="40">
        <v>0.24109999999999998</v>
      </c>
      <c r="D29" s="40">
        <v>0.24939999999999998</v>
      </c>
      <c r="E29" s="40">
        <v>0.2407</v>
      </c>
      <c r="F29" s="40">
        <v>0.2303</v>
      </c>
      <c r="G29" s="40">
        <v>0.23069999999999999</v>
      </c>
      <c r="H29" s="40">
        <v>0.22849999999999998</v>
      </c>
      <c r="I29" s="40">
        <v>0.255</v>
      </c>
      <c r="J29" s="40">
        <v>0.22969999999999999</v>
      </c>
      <c r="K29" s="40">
        <v>0.25409999999999999</v>
      </c>
      <c r="L29" s="40">
        <v>0.2336</v>
      </c>
      <c r="M29" s="40">
        <v>0.23269999999999999</v>
      </c>
      <c r="N29" s="40">
        <v>0.24709999999999999</v>
      </c>
      <c r="O29" s="40">
        <v>0.23429999999999998</v>
      </c>
      <c r="P29" s="40">
        <v>0.22399999999999998</v>
      </c>
      <c r="Q29" s="40">
        <v>0.245</v>
      </c>
      <c r="R29" s="40">
        <v>0.2266</v>
      </c>
      <c r="S29" s="40">
        <v>0.23199999999999998</v>
      </c>
      <c r="T29" s="40">
        <v>0.25569999999999998</v>
      </c>
      <c r="U29" s="40">
        <v>0.23809999999999998</v>
      </c>
      <c r="V29" s="40">
        <v>0.22999999999999998</v>
      </c>
      <c r="W29" s="40">
        <v>0.2581</v>
      </c>
      <c r="X29" s="40">
        <v>0.22749999999999998</v>
      </c>
      <c r="Y29" s="40">
        <v>0.2412</v>
      </c>
      <c r="Z29" s="40">
        <v>0.2311</v>
      </c>
      <c r="AA29" s="40">
        <v>0.22559999999999999</v>
      </c>
      <c r="AB29" s="40">
        <v>0.24390000000000001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2:56" x14ac:dyDescent="0.35">
      <c r="B30" s="27" t="s">
        <v>59</v>
      </c>
      <c r="C30" s="40">
        <v>8.9499999999999996E-2</v>
      </c>
      <c r="D30" s="40">
        <v>0.10439999999999999</v>
      </c>
      <c r="E30" s="40">
        <v>9.1700000000000004E-2</v>
      </c>
      <c r="F30" s="40">
        <v>8.6199999999999999E-2</v>
      </c>
      <c r="G30" s="40">
        <v>8.8200000000000001E-2</v>
      </c>
      <c r="H30" s="40">
        <v>8.0299999999999996E-2</v>
      </c>
      <c r="I30" s="40">
        <v>9.1399999999999995E-2</v>
      </c>
      <c r="J30" s="40">
        <v>8.1500000000000003E-2</v>
      </c>
      <c r="K30" s="40">
        <v>8.6400000000000005E-2</v>
      </c>
      <c r="L30" s="40">
        <v>9.01E-2</v>
      </c>
      <c r="M30" s="40">
        <v>0.10189999999999999</v>
      </c>
      <c r="N30" s="40">
        <v>8.8200000000000001E-2</v>
      </c>
      <c r="O30" s="40">
        <v>0.1042</v>
      </c>
      <c r="P30" s="40">
        <v>9.5600000000000004E-2</v>
      </c>
      <c r="Q30" s="40">
        <v>8.5699999999999998E-2</v>
      </c>
      <c r="R30" s="40">
        <v>0.08</v>
      </c>
      <c r="S30" s="40">
        <v>9.2600000000000002E-2</v>
      </c>
      <c r="T30" s="40">
        <v>0.1013</v>
      </c>
      <c r="U30" s="40">
        <v>0.1033</v>
      </c>
      <c r="V30" s="40">
        <v>9.6899999999999986E-2</v>
      </c>
      <c r="W30" s="40">
        <v>8.1299999999999997E-2</v>
      </c>
      <c r="X30" s="40">
        <v>8.48E-2</v>
      </c>
      <c r="Y30" s="40">
        <v>8.9900000000000008E-2</v>
      </c>
      <c r="Z30" s="40">
        <v>9.1999999999999998E-2</v>
      </c>
      <c r="AA30" s="40">
        <v>9.9199999999999997E-2</v>
      </c>
      <c r="AB30" s="40">
        <v>8.8800000000000004E-2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2:56" x14ac:dyDescent="0.35">
      <c r="B31" s="27" t="s">
        <v>60</v>
      </c>
      <c r="C31" s="40">
        <v>9.8500000000000004E-2</v>
      </c>
      <c r="D31" s="40">
        <v>0.10579999999999999</v>
      </c>
      <c r="E31" s="40">
        <v>0.10829999999999999</v>
      </c>
      <c r="F31" s="40">
        <v>9.6299999999999997E-2</v>
      </c>
      <c r="G31" s="40">
        <v>0.1152</v>
      </c>
      <c r="H31" s="40">
        <v>0.1148</v>
      </c>
      <c r="I31" s="40">
        <v>9.5600000000000004E-2</v>
      </c>
      <c r="J31" s="40">
        <v>0.1154</v>
      </c>
      <c r="K31" s="40">
        <v>0.1074</v>
      </c>
      <c r="L31" s="40">
        <v>9.9700000000000011E-2</v>
      </c>
      <c r="M31" s="40">
        <v>0.11059999999999999</v>
      </c>
      <c r="N31" s="40">
        <v>0.11649999999999999</v>
      </c>
      <c r="O31" s="40">
        <v>9.9099999999999994E-2</v>
      </c>
      <c r="P31" s="40">
        <v>0.10769999999999999</v>
      </c>
      <c r="Q31" s="40">
        <v>0.1012</v>
      </c>
      <c r="R31" s="40">
        <v>9.7299999999999998E-2</v>
      </c>
      <c r="S31" s="40">
        <v>0.11639999999999999</v>
      </c>
      <c r="T31" s="40">
        <v>0.10880000000000001</v>
      </c>
      <c r="U31" s="40">
        <v>0.11349999999999999</v>
      </c>
      <c r="V31" s="40">
        <v>0.1017</v>
      </c>
      <c r="W31" s="40">
        <v>0.1154</v>
      </c>
      <c r="X31" s="40">
        <v>0.1113</v>
      </c>
      <c r="Y31" s="40">
        <v>0.1071</v>
      </c>
      <c r="Z31" s="40">
        <v>9.9599999999999994E-2</v>
      </c>
      <c r="AA31" s="40">
        <v>0.11109999999999999</v>
      </c>
      <c r="AB31" s="40">
        <v>0.11359999999999999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2:56" x14ac:dyDescent="0.35">
      <c r="B32" s="27" t="s">
        <v>61</v>
      </c>
      <c r="C32" s="32">
        <f t="shared" ref="C32:AB32" si="2">1-SUM(C28:C31)</f>
        <v>0.19240000000000002</v>
      </c>
      <c r="D32" s="32">
        <f t="shared" si="2"/>
        <v>0.15489999999999993</v>
      </c>
      <c r="E32" s="32">
        <f t="shared" si="2"/>
        <v>0.17520000000000002</v>
      </c>
      <c r="F32" s="32">
        <f t="shared" si="2"/>
        <v>0.19909999999999983</v>
      </c>
      <c r="G32" s="32">
        <f t="shared" si="2"/>
        <v>0.15999999999999992</v>
      </c>
      <c r="H32" s="32">
        <f t="shared" si="2"/>
        <v>0.18140000000000001</v>
      </c>
      <c r="I32" s="32">
        <f t="shared" si="2"/>
        <v>0.16239999999999988</v>
      </c>
      <c r="J32" s="32">
        <f t="shared" si="2"/>
        <v>0.1754</v>
      </c>
      <c r="K32" s="32">
        <f t="shared" si="2"/>
        <v>0.16650000000000009</v>
      </c>
      <c r="L32" s="32">
        <f t="shared" si="2"/>
        <v>0.19169999999999998</v>
      </c>
      <c r="M32" s="32">
        <f t="shared" si="2"/>
        <v>0.16979999999999995</v>
      </c>
      <c r="N32" s="32">
        <f t="shared" si="2"/>
        <v>0.16899999999999982</v>
      </c>
      <c r="O32" s="32">
        <f t="shared" si="2"/>
        <v>0.15750000000000008</v>
      </c>
      <c r="P32" s="32">
        <f t="shared" si="2"/>
        <v>0.19530000000000003</v>
      </c>
      <c r="Q32" s="32">
        <f t="shared" si="2"/>
        <v>0.1885</v>
      </c>
      <c r="R32" s="32">
        <f t="shared" si="2"/>
        <v>0.21560000000000001</v>
      </c>
      <c r="S32" s="32">
        <f t="shared" si="2"/>
        <v>0.16810000000000003</v>
      </c>
      <c r="T32" s="32">
        <f t="shared" si="2"/>
        <v>0.15539999999999998</v>
      </c>
      <c r="U32" s="32">
        <f t="shared" si="2"/>
        <v>0.15410000000000013</v>
      </c>
      <c r="V32" s="32">
        <f t="shared" si="2"/>
        <v>0.17400000000000004</v>
      </c>
      <c r="W32" s="32">
        <f t="shared" si="2"/>
        <v>0.14119999999999999</v>
      </c>
      <c r="X32" s="32">
        <f t="shared" si="2"/>
        <v>0.17910000000000004</v>
      </c>
      <c r="Y32" s="32">
        <f t="shared" si="2"/>
        <v>0.18049999999999999</v>
      </c>
      <c r="Z32" s="32">
        <f t="shared" si="2"/>
        <v>0.17989999999999995</v>
      </c>
      <c r="AA32" s="32">
        <f t="shared" si="2"/>
        <v>0.15880000000000005</v>
      </c>
      <c r="AB32" s="32">
        <f t="shared" si="2"/>
        <v>0.15639999999999998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2:55" x14ac:dyDescent="0.35">
      <c r="B33" t="s">
        <v>62</v>
      </c>
      <c r="C33" s="12">
        <v>0.3599</v>
      </c>
      <c r="D33" s="12">
        <v>0.36529999999999996</v>
      </c>
      <c r="E33" s="12">
        <v>0.36459999999999998</v>
      </c>
      <c r="F33" s="12">
        <v>0.35339999999999999</v>
      </c>
      <c r="G33" s="12">
        <v>0.34719999999999995</v>
      </c>
      <c r="H33" s="12">
        <v>0.34919999999999995</v>
      </c>
      <c r="I33" s="12">
        <v>0.33889999999999998</v>
      </c>
      <c r="J33" s="12">
        <v>0.3503</v>
      </c>
      <c r="K33" s="12">
        <v>0.34499999999999997</v>
      </c>
      <c r="L33" s="12">
        <v>0.35459999999999997</v>
      </c>
      <c r="M33" s="12">
        <v>0.36549999999999999</v>
      </c>
      <c r="N33" s="12">
        <v>0.33139999999999997</v>
      </c>
      <c r="O33" s="12">
        <v>0.34559999999999996</v>
      </c>
      <c r="P33" s="12">
        <v>0.3352</v>
      </c>
      <c r="Q33" s="12">
        <v>0.36519999999999997</v>
      </c>
      <c r="R33" s="12">
        <v>0.36359999999999998</v>
      </c>
      <c r="S33" s="12">
        <v>0.33459999999999995</v>
      </c>
      <c r="T33" s="12">
        <v>0.34229999999999999</v>
      </c>
      <c r="U33" s="12">
        <v>0.3352</v>
      </c>
      <c r="V33" s="12">
        <v>0.34499999999999997</v>
      </c>
      <c r="W33" s="12">
        <v>0.34759999999999996</v>
      </c>
      <c r="X33" s="12">
        <v>0.35799999999999998</v>
      </c>
      <c r="Y33" s="12">
        <v>0.3397</v>
      </c>
      <c r="Z33" s="12">
        <v>0.33739999999999998</v>
      </c>
      <c r="AA33" s="12">
        <v>0.3448</v>
      </c>
      <c r="AB33" s="12">
        <v>0.35659999999999997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2:55" x14ac:dyDescent="0.35">
      <c r="B34" s="27" t="s">
        <v>63</v>
      </c>
      <c r="C34" s="40">
        <v>0.47689999999999999</v>
      </c>
      <c r="D34" s="40">
        <v>0.46909999999999996</v>
      </c>
      <c r="E34" s="40">
        <v>0.49179999999999996</v>
      </c>
      <c r="F34" s="40">
        <v>0.4713</v>
      </c>
      <c r="G34" s="40">
        <v>0.46859999999999996</v>
      </c>
      <c r="H34" s="40">
        <v>0.47749999999999998</v>
      </c>
      <c r="I34" s="40">
        <v>0.4844</v>
      </c>
      <c r="J34" s="40">
        <v>0.4652</v>
      </c>
      <c r="K34" s="40">
        <v>0.48519999999999996</v>
      </c>
      <c r="L34" s="40">
        <v>0.4672</v>
      </c>
      <c r="M34" s="40">
        <v>0.48699999999999999</v>
      </c>
      <c r="N34" s="40">
        <v>0.49619999999999997</v>
      </c>
      <c r="O34" s="40">
        <v>0.4899</v>
      </c>
      <c r="P34" s="40">
        <v>0.46920000000000001</v>
      </c>
      <c r="Q34" s="40">
        <v>0.47859999999999997</v>
      </c>
      <c r="R34" s="40">
        <v>0.49049999999999999</v>
      </c>
      <c r="S34" s="40">
        <v>0.4723</v>
      </c>
      <c r="T34" s="40">
        <v>0.47149999999999997</v>
      </c>
      <c r="U34" s="40">
        <v>0.46909999999999996</v>
      </c>
      <c r="V34" s="40">
        <v>0.49759999999999999</v>
      </c>
      <c r="W34" s="40">
        <v>0.49049999999999999</v>
      </c>
      <c r="X34" s="40">
        <v>0.4672</v>
      </c>
      <c r="Y34" s="40">
        <v>0.4798</v>
      </c>
      <c r="Z34" s="40">
        <v>0.48659999999999998</v>
      </c>
      <c r="AA34" s="40">
        <v>0.48949999999999999</v>
      </c>
      <c r="AB34" s="40">
        <v>0.47449999999999998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2:55" x14ac:dyDescent="0.35">
      <c r="B35" s="27" t="s">
        <v>64</v>
      </c>
      <c r="C35" s="40">
        <v>0.2331</v>
      </c>
      <c r="D35" s="40">
        <v>0.25919999999999999</v>
      </c>
      <c r="E35" s="40">
        <v>0.2354</v>
      </c>
      <c r="F35" s="40">
        <v>0.22889999999999999</v>
      </c>
      <c r="G35" s="40">
        <v>0.24809999999999999</v>
      </c>
      <c r="H35" s="40">
        <v>0.23569999999999999</v>
      </c>
      <c r="I35" s="40">
        <v>0.23799999999999999</v>
      </c>
      <c r="J35" s="40">
        <v>0.24409999999999998</v>
      </c>
      <c r="K35" s="40">
        <v>0.24839999999999998</v>
      </c>
      <c r="L35" s="40">
        <v>0.23449999999999999</v>
      </c>
      <c r="M35" s="40">
        <v>0.2492</v>
      </c>
      <c r="N35" s="40">
        <v>0.25069999999999998</v>
      </c>
      <c r="O35" s="40">
        <v>0.24789999999999998</v>
      </c>
      <c r="P35" s="40">
        <v>0.24859999999999999</v>
      </c>
      <c r="Q35" s="40">
        <v>0.24759999999999999</v>
      </c>
      <c r="R35" s="40">
        <v>0.22639999999999999</v>
      </c>
      <c r="S35" s="40">
        <v>0.23419999999999999</v>
      </c>
      <c r="T35" s="40">
        <v>0.24459999999999998</v>
      </c>
      <c r="U35" s="40">
        <v>0.24359999999999998</v>
      </c>
      <c r="V35" s="40">
        <v>0.22549999999999998</v>
      </c>
      <c r="W35" s="40">
        <v>0.23809999999999998</v>
      </c>
      <c r="X35" s="40">
        <v>0.25429999999999997</v>
      </c>
      <c r="Y35" s="40">
        <v>0.2334</v>
      </c>
      <c r="Z35" s="40">
        <v>0.24409999999999998</v>
      </c>
      <c r="AA35" s="40">
        <v>0.24029999999999999</v>
      </c>
      <c r="AB35" s="40">
        <v>0.2261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</row>
    <row r="36" spans="2:55" x14ac:dyDescent="0.35">
      <c r="B36" s="27" t="s">
        <v>65</v>
      </c>
      <c r="C36" s="40">
        <v>6.6199999999999995E-2</v>
      </c>
      <c r="D36" s="40">
        <v>7.4999999999999997E-2</v>
      </c>
      <c r="E36" s="40">
        <v>6.5000000000000002E-2</v>
      </c>
      <c r="F36" s="40">
        <v>6.8600000000000008E-2</v>
      </c>
      <c r="G36" s="40">
        <v>7.3799999999999991E-2</v>
      </c>
      <c r="H36" s="40">
        <v>8.2599999999999993E-2</v>
      </c>
      <c r="I36" s="40">
        <v>6.7699999999999996E-2</v>
      </c>
      <c r="J36" s="40">
        <v>6.989999999999999E-2</v>
      </c>
      <c r="K36" s="40">
        <v>7.909999999999999E-2</v>
      </c>
      <c r="L36" s="40">
        <v>8.3299999999999999E-2</v>
      </c>
      <c r="M36" s="40">
        <v>7.9100000000000004E-2</v>
      </c>
      <c r="N36" s="40">
        <v>6.5799999999999997E-2</v>
      </c>
      <c r="O36" s="40">
        <v>7.5200000000000003E-2</v>
      </c>
      <c r="P36" s="40">
        <v>8.3799999999999999E-2</v>
      </c>
      <c r="Q36" s="40">
        <v>7.1499999999999994E-2</v>
      </c>
      <c r="R36" s="40">
        <v>7.4700000000000003E-2</v>
      </c>
      <c r="S36" s="40">
        <v>6.5699999999999995E-2</v>
      </c>
      <c r="T36" s="40">
        <v>6.6500000000000004E-2</v>
      </c>
      <c r="U36" s="40">
        <v>8.4799999999999986E-2</v>
      </c>
      <c r="V36" s="40">
        <v>6.8400000000000002E-2</v>
      </c>
      <c r="W36" s="40">
        <v>7.7499999999999999E-2</v>
      </c>
      <c r="X36" s="40">
        <v>8.3699999999999997E-2</v>
      </c>
      <c r="Y36" s="40">
        <v>7.8499999999999986E-2</v>
      </c>
      <c r="Z36" s="40">
        <v>7.3999999999999982E-2</v>
      </c>
      <c r="AA36" s="40">
        <v>6.7600000000000007E-2</v>
      </c>
      <c r="AB36" s="40">
        <v>8.4399999999999989E-2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</row>
    <row r="37" spans="2:55" x14ac:dyDescent="0.35">
      <c r="B37" s="27" t="s">
        <v>66</v>
      </c>
      <c r="C37" s="32">
        <f t="shared" ref="C37:AB37" si="3">1-SUM(C34:C36)</f>
        <v>0.2238</v>
      </c>
      <c r="D37" s="32">
        <f t="shared" si="3"/>
        <v>0.1967000000000001</v>
      </c>
      <c r="E37" s="32">
        <f t="shared" si="3"/>
        <v>0.20779999999999998</v>
      </c>
      <c r="F37" s="32">
        <f t="shared" si="3"/>
        <v>0.23120000000000007</v>
      </c>
      <c r="G37" s="32">
        <f t="shared" si="3"/>
        <v>0.20950000000000013</v>
      </c>
      <c r="H37" s="32">
        <f t="shared" si="3"/>
        <v>0.20420000000000005</v>
      </c>
      <c r="I37" s="32">
        <f t="shared" si="3"/>
        <v>0.20990000000000009</v>
      </c>
      <c r="J37" s="32">
        <f t="shared" si="3"/>
        <v>0.2208</v>
      </c>
      <c r="K37" s="32">
        <f t="shared" si="3"/>
        <v>0.18730000000000013</v>
      </c>
      <c r="L37" s="32">
        <f t="shared" si="3"/>
        <v>0.21499999999999997</v>
      </c>
      <c r="M37" s="32">
        <f t="shared" si="3"/>
        <v>0.18470000000000009</v>
      </c>
      <c r="N37" s="32">
        <f t="shared" si="3"/>
        <v>0.18730000000000013</v>
      </c>
      <c r="O37" s="32">
        <f t="shared" si="3"/>
        <v>0.18699999999999994</v>
      </c>
      <c r="P37" s="32">
        <f t="shared" si="3"/>
        <v>0.19840000000000002</v>
      </c>
      <c r="Q37" s="32">
        <f t="shared" si="3"/>
        <v>0.20230000000000004</v>
      </c>
      <c r="R37" s="32">
        <f t="shared" si="3"/>
        <v>0.20840000000000003</v>
      </c>
      <c r="S37" s="32">
        <f t="shared" si="3"/>
        <v>0.2278</v>
      </c>
      <c r="T37" s="32">
        <f t="shared" si="3"/>
        <v>0.21740000000000004</v>
      </c>
      <c r="U37" s="32">
        <f t="shared" si="3"/>
        <v>0.20250000000000012</v>
      </c>
      <c r="V37" s="32">
        <f t="shared" si="3"/>
        <v>0.20850000000000002</v>
      </c>
      <c r="W37" s="32">
        <f t="shared" si="3"/>
        <v>0.19390000000000007</v>
      </c>
      <c r="X37" s="32">
        <f t="shared" si="3"/>
        <v>0.19479999999999997</v>
      </c>
      <c r="Y37" s="32">
        <f t="shared" si="3"/>
        <v>0.20829999999999993</v>
      </c>
      <c r="Z37" s="32">
        <f t="shared" si="3"/>
        <v>0.19530000000000014</v>
      </c>
      <c r="AA37" s="32">
        <f t="shared" si="3"/>
        <v>0.2026</v>
      </c>
      <c r="AB37" s="32">
        <f t="shared" si="3"/>
        <v>0.21499999999999997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2:55" x14ac:dyDescent="0.35">
      <c r="B38" t="s">
        <v>67</v>
      </c>
      <c r="C38" s="12">
        <v>7.9700000000000007E-2</v>
      </c>
      <c r="D38" s="12">
        <v>9.06E-2</v>
      </c>
      <c r="E38" s="12">
        <v>8.77E-2</v>
      </c>
      <c r="F38" s="12">
        <v>9.1499999999999998E-2</v>
      </c>
      <c r="G38" s="12">
        <v>7.0400000000000004E-2</v>
      </c>
      <c r="H38" s="12">
        <v>7.2800000000000004E-2</v>
      </c>
      <c r="I38" s="12">
        <v>9.0499999999999997E-2</v>
      </c>
      <c r="J38" s="12">
        <v>7.110000000000001E-2</v>
      </c>
      <c r="K38" s="12">
        <v>7.5200000000000003E-2</v>
      </c>
      <c r="L38" s="12">
        <v>8.1500000000000003E-2</v>
      </c>
      <c r="M38" s="12">
        <v>7.740000000000001E-2</v>
      </c>
      <c r="N38" s="12">
        <v>7.2400000000000006E-2</v>
      </c>
      <c r="O38" s="12">
        <v>8.8400000000000006E-2</v>
      </c>
      <c r="P38" s="12">
        <v>7.0900000000000005E-2</v>
      </c>
      <c r="Q38" s="12">
        <v>7.8399999999999997E-2</v>
      </c>
      <c r="R38" s="12">
        <v>7.1199999999999999E-2</v>
      </c>
      <c r="S38" s="12">
        <v>8.2699999999999996E-2</v>
      </c>
      <c r="T38" s="12">
        <v>7.5600000000000001E-2</v>
      </c>
      <c r="U38" s="12">
        <v>7.3800000000000004E-2</v>
      </c>
      <c r="V38" s="12">
        <v>8.8800000000000004E-2</v>
      </c>
      <c r="W38" s="12">
        <v>8.6500000000000007E-2</v>
      </c>
      <c r="X38" s="12">
        <v>7.8100000000000017E-2</v>
      </c>
      <c r="Y38" s="12">
        <v>7.2300000000000003E-2</v>
      </c>
      <c r="Z38" s="12">
        <v>8.4000000000000005E-2</v>
      </c>
      <c r="AA38" s="12">
        <v>8.9899999999999994E-2</v>
      </c>
      <c r="AB38" s="12">
        <v>8.3199999999999996E-2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2:55" x14ac:dyDescent="0.35">
      <c r="B39" s="27" t="s">
        <v>151</v>
      </c>
      <c r="C39" s="40">
        <v>0.44820000000000004</v>
      </c>
      <c r="D39" s="40">
        <v>0.46529999999999999</v>
      </c>
      <c r="E39" s="40">
        <v>0.46970000000000001</v>
      </c>
      <c r="F39" s="40">
        <v>0.46010000000000001</v>
      </c>
      <c r="G39" s="40">
        <v>0.47150000000000003</v>
      </c>
      <c r="H39" s="40">
        <v>0.45890000000000003</v>
      </c>
      <c r="I39" s="40">
        <v>0.44640000000000002</v>
      </c>
      <c r="J39" s="40">
        <v>0.44450000000000001</v>
      </c>
      <c r="K39" s="40">
        <v>0.4511</v>
      </c>
      <c r="L39" s="40">
        <v>0.45130000000000003</v>
      </c>
      <c r="M39" s="40">
        <v>0.4385</v>
      </c>
      <c r="N39" s="40">
        <v>0.46460000000000001</v>
      </c>
      <c r="O39" s="40">
        <v>0.44640000000000002</v>
      </c>
      <c r="P39" s="40">
        <v>0.44830000000000003</v>
      </c>
      <c r="Q39" s="40">
        <v>0.46870000000000001</v>
      </c>
      <c r="R39" s="40">
        <v>0.44500000000000001</v>
      </c>
      <c r="S39" s="40">
        <v>0.44130000000000003</v>
      </c>
      <c r="T39" s="40">
        <v>0.44500000000000001</v>
      </c>
      <c r="U39" s="40">
        <v>0.46500000000000002</v>
      </c>
      <c r="V39" s="40">
        <v>0.46450000000000002</v>
      </c>
      <c r="W39" s="40">
        <v>0.45</v>
      </c>
      <c r="X39" s="40">
        <v>0.4582</v>
      </c>
      <c r="Y39" s="40">
        <v>0.45330000000000004</v>
      </c>
      <c r="Z39" s="40">
        <v>0.44620000000000004</v>
      </c>
      <c r="AA39" s="40">
        <v>0.43870000000000003</v>
      </c>
      <c r="AB39" s="40">
        <v>0.44359999999999999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2:55" x14ac:dyDescent="0.35">
      <c r="B40" s="27" t="s">
        <v>68</v>
      </c>
      <c r="C40" s="40">
        <v>0.24080000000000001</v>
      </c>
      <c r="D40" s="40">
        <v>0.26640000000000003</v>
      </c>
      <c r="E40" s="40">
        <v>0.24790000000000001</v>
      </c>
      <c r="F40" s="40">
        <v>0.26979999999999998</v>
      </c>
      <c r="G40" s="40">
        <v>0.26469999999999999</v>
      </c>
      <c r="H40" s="40">
        <v>0.2505</v>
      </c>
      <c r="I40" s="40">
        <v>0.26519999999999999</v>
      </c>
      <c r="J40" s="40">
        <v>0.24610000000000001</v>
      </c>
      <c r="K40" s="40">
        <v>0.2467</v>
      </c>
      <c r="L40" s="40">
        <v>0.25070000000000003</v>
      </c>
      <c r="M40" s="40">
        <v>0.249</v>
      </c>
      <c r="N40" s="40">
        <v>0.27490000000000003</v>
      </c>
      <c r="O40" s="40">
        <v>0.24180000000000001</v>
      </c>
      <c r="P40" s="40">
        <v>0.2482</v>
      </c>
      <c r="Q40" s="40">
        <v>0.249</v>
      </c>
      <c r="R40" s="40">
        <v>0.25480000000000003</v>
      </c>
      <c r="S40" s="40">
        <v>0.26800000000000002</v>
      </c>
      <c r="T40" s="40">
        <v>0.26419999999999999</v>
      </c>
      <c r="U40" s="40">
        <v>0.2631</v>
      </c>
      <c r="V40" s="40">
        <v>0.26529999999999998</v>
      </c>
      <c r="W40" s="40">
        <v>0.26579999999999998</v>
      </c>
      <c r="X40" s="40">
        <v>0.26450000000000001</v>
      </c>
      <c r="Y40" s="40">
        <v>0.25719999999999998</v>
      </c>
      <c r="Z40" s="40">
        <v>0.2732</v>
      </c>
      <c r="AA40" s="40">
        <v>0.25819999999999999</v>
      </c>
      <c r="AB40" s="40">
        <v>0.24160000000000001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2:55" x14ac:dyDescent="0.35">
      <c r="B41" s="27" t="s">
        <v>152</v>
      </c>
      <c r="C41" s="32">
        <f t="shared" ref="C41:AB41" si="4">1-SUM(C39:C40)</f>
        <v>0.31099999999999994</v>
      </c>
      <c r="D41" s="32">
        <f t="shared" si="4"/>
        <v>0.26829999999999998</v>
      </c>
      <c r="E41" s="32">
        <f t="shared" si="4"/>
        <v>0.28239999999999998</v>
      </c>
      <c r="F41" s="32">
        <f t="shared" si="4"/>
        <v>0.27010000000000001</v>
      </c>
      <c r="G41" s="32">
        <f t="shared" si="4"/>
        <v>0.26380000000000003</v>
      </c>
      <c r="H41" s="32">
        <f t="shared" si="4"/>
        <v>0.29059999999999997</v>
      </c>
      <c r="I41" s="32">
        <f t="shared" si="4"/>
        <v>0.28839999999999999</v>
      </c>
      <c r="J41" s="32">
        <f t="shared" si="4"/>
        <v>0.30940000000000001</v>
      </c>
      <c r="K41" s="32">
        <f t="shared" si="4"/>
        <v>0.30220000000000002</v>
      </c>
      <c r="L41" s="32">
        <f t="shared" si="4"/>
        <v>0.29799999999999993</v>
      </c>
      <c r="M41" s="32">
        <f t="shared" si="4"/>
        <v>0.3125</v>
      </c>
      <c r="N41" s="32">
        <f t="shared" si="4"/>
        <v>0.26049999999999995</v>
      </c>
      <c r="O41" s="32">
        <f t="shared" si="4"/>
        <v>0.31179999999999997</v>
      </c>
      <c r="P41" s="32">
        <f t="shared" si="4"/>
        <v>0.30349999999999999</v>
      </c>
      <c r="Q41" s="32">
        <f t="shared" si="4"/>
        <v>0.2823</v>
      </c>
      <c r="R41" s="32">
        <f t="shared" si="4"/>
        <v>0.30020000000000002</v>
      </c>
      <c r="S41" s="32">
        <f t="shared" si="4"/>
        <v>0.29069999999999996</v>
      </c>
      <c r="T41" s="32">
        <f t="shared" si="4"/>
        <v>0.29079999999999995</v>
      </c>
      <c r="U41" s="32">
        <f t="shared" si="4"/>
        <v>0.27190000000000003</v>
      </c>
      <c r="V41" s="32">
        <f t="shared" si="4"/>
        <v>0.2702</v>
      </c>
      <c r="W41" s="32">
        <f t="shared" si="4"/>
        <v>0.28420000000000001</v>
      </c>
      <c r="X41" s="32">
        <f t="shared" si="4"/>
        <v>0.27729999999999999</v>
      </c>
      <c r="Y41" s="32">
        <f t="shared" si="4"/>
        <v>0.28949999999999998</v>
      </c>
      <c r="Z41" s="32">
        <f t="shared" si="4"/>
        <v>0.28059999999999996</v>
      </c>
      <c r="AA41" s="32">
        <f t="shared" si="4"/>
        <v>0.30309999999999993</v>
      </c>
      <c r="AB41" s="32">
        <f t="shared" si="4"/>
        <v>0.31479999999999997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2:55" x14ac:dyDescent="0.35">
      <c r="B42" t="s">
        <v>69</v>
      </c>
      <c r="C42" s="12">
        <v>0.17329999999999998</v>
      </c>
      <c r="D42" s="12">
        <v>0.18989999999999999</v>
      </c>
      <c r="E42" s="12">
        <v>0.1953</v>
      </c>
      <c r="F42" s="12">
        <v>0.17479999999999998</v>
      </c>
      <c r="G42" s="12">
        <v>0.1668</v>
      </c>
      <c r="H42" s="12">
        <v>0.18</v>
      </c>
      <c r="I42" s="12">
        <v>0.1734</v>
      </c>
      <c r="J42" s="12">
        <v>0.1686</v>
      </c>
      <c r="K42" s="12">
        <v>0.19739999999999999</v>
      </c>
      <c r="L42" s="12">
        <v>0.19469999999999998</v>
      </c>
      <c r="M42" s="12">
        <v>0.17080000000000001</v>
      </c>
      <c r="N42" s="12">
        <v>0.1923</v>
      </c>
      <c r="O42" s="12">
        <v>0.18359999999999999</v>
      </c>
      <c r="P42" s="12">
        <v>0.1787</v>
      </c>
      <c r="Q42" s="12">
        <v>0.1885</v>
      </c>
      <c r="R42" s="12">
        <v>0.18390000000000001</v>
      </c>
      <c r="S42" s="12">
        <v>0.18839999999999998</v>
      </c>
      <c r="T42" s="12">
        <v>0.16399999999999998</v>
      </c>
      <c r="U42" s="12">
        <v>0.16789999999999999</v>
      </c>
      <c r="V42" s="12">
        <v>0.1961</v>
      </c>
      <c r="W42" s="12">
        <v>0.17710000000000001</v>
      </c>
      <c r="X42" s="12">
        <v>0.1827</v>
      </c>
      <c r="Y42" s="12">
        <v>0.17909999999999998</v>
      </c>
      <c r="Z42" s="12">
        <v>0.17479999999999998</v>
      </c>
      <c r="AA42" s="12">
        <v>0.19650000000000001</v>
      </c>
      <c r="AB42" s="12">
        <v>0.1721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2:55" x14ac:dyDescent="0.35">
      <c r="B43" t="s">
        <v>163</v>
      </c>
      <c r="C43" s="12">
        <v>0.12000000000000012</v>
      </c>
      <c r="D43" s="12">
        <v>0.12980000000000011</v>
      </c>
      <c r="E43" s="12">
        <v>0.14470000000000011</v>
      </c>
      <c r="F43" s="12">
        <v>0.14450000000000013</v>
      </c>
      <c r="G43" s="12">
        <v>0.12070000000000013</v>
      </c>
      <c r="H43" s="12">
        <v>0.13200000000000012</v>
      </c>
      <c r="I43" s="12">
        <v>0.13140000000000013</v>
      </c>
      <c r="J43" s="12">
        <v>0.15060000000000012</v>
      </c>
      <c r="K43" s="12">
        <v>0.12720000000000012</v>
      </c>
      <c r="L43" s="12">
        <v>0.12000000000000012</v>
      </c>
      <c r="M43" s="12">
        <v>0.13270000000000012</v>
      </c>
      <c r="N43" s="12">
        <v>0.11920000000000013</v>
      </c>
      <c r="O43" s="12">
        <v>0.15010000000000012</v>
      </c>
      <c r="P43" s="12">
        <v>0.15160000000000012</v>
      </c>
      <c r="Q43" s="12">
        <v>0.12390000000000012</v>
      </c>
      <c r="R43" s="12">
        <v>0.13800000000000012</v>
      </c>
      <c r="S43" s="12">
        <v>0.14980000000000013</v>
      </c>
      <c r="T43" s="12">
        <v>0.13320000000000012</v>
      </c>
      <c r="U43" s="12">
        <v>0.14330000000000012</v>
      </c>
      <c r="V43" s="12">
        <v>0.12810000000000013</v>
      </c>
      <c r="W43" s="12">
        <v>0.13510000000000011</v>
      </c>
      <c r="X43" s="12">
        <v>0.13490000000000013</v>
      </c>
      <c r="Y43" s="12">
        <v>0.11910000000000012</v>
      </c>
      <c r="Z43" s="12">
        <v>0.12570000000000012</v>
      </c>
      <c r="AA43" s="12">
        <v>0.12610000000000013</v>
      </c>
      <c r="AB43" s="12">
        <v>0.13780000000000012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2:55" x14ac:dyDescent="0.3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2:55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2:55" x14ac:dyDescent="0.35">
      <c r="C46" s="45">
        <f>VLOOKUP(C47,Data!$B$119:$E$151,4,0)</f>
        <v>5955.0674472000001</v>
      </c>
      <c r="D46" s="45">
        <f>VLOOKUP(D47,Data!$B$119:$E$151,4,0)</f>
        <v>842.95475280000005</v>
      </c>
      <c r="E46" s="45">
        <f>VLOOKUP(E47,Data!$B$119:$E$151,4,0)</f>
        <v>841.36689360000003</v>
      </c>
      <c r="F46" s="45">
        <f>VLOOKUP(F47,Data!$B$119:$E$151,4,0)</f>
        <v>1489.8088944000001</v>
      </c>
      <c r="G46" s="45">
        <f>VLOOKUP(G47,Data!$B$119:$E$151,4,0)</f>
        <v>503.7483312</v>
      </c>
      <c r="H46" s="45">
        <f>VLOOKUP(H47,Data!$B$119:$E$151,4,0)</f>
        <v>728.82737280000003</v>
      </c>
      <c r="I46" s="45">
        <f>VLOOKUP(I47,Data!$B$119:$E$151,4,0)</f>
        <v>418.00393439999999</v>
      </c>
      <c r="J46" s="45">
        <f>VLOOKUP(J47,Data!$B$119:$E$151,4,0)</f>
        <v>476.95320720000001</v>
      </c>
      <c r="K46" s="45">
        <f>VLOOKUP(K47,Data!$B$119:$E$151,4,0)</f>
        <v>900.31616640000004</v>
      </c>
      <c r="L46" s="45">
        <f>VLOOKUP(L47,Data!$B$119:$E$151,4,0)</f>
        <v>3478.2055776000002</v>
      </c>
      <c r="M46" s="45">
        <f>VLOOKUP(M47,Data!$B$119:$E$151,4,0)</f>
        <v>702.32997240000009</v>
      </c>
      <c r="N46" s="45">
        <f>VLOOKUP(N47,Data!$B$119:$E$151,4,0)</f>
        <v>1153.8278118000003</v>
      </c>
      <c r="O46" s="45">
        <f>VLOOKUP(O47,Data!$B$119:$E$151,4,0)</f>
        <v>811.02389670000014</v>
      </c>
      <c r="P46" s="45">
        <f>VLOOKUP(P47,Data!$B$119:$E$151,4,0)</f>
        <v>1028.4117453000001</v>
      </c>
      <c r="Q46" s="45">
        <f>VLOOKUP(Q47,Data!$B$119:$E$151,4,0)</f>
        <v>351.16498620000004</v>
      </c>
      <c r="R46" s="45">
        <f>VLOOKUP(R47,Data!$B$119:$E$151,4,0)</f>
        <v>836.10711000000015</v>
      </c>
      <c r="S46" s="45">
        <f>VLOOKUP(S47,Data!$B$119:$E$151,4,0)</f>
        <v>667.62036269999999</v>
      </c>
      <c r="T46" s="45">
        <f>VLOOKUP(T47,Data!$B$119:$E$151,4,0)</f>
        <v>172.6300674</v>
      </c>
      <c r="U46" s="45">
        <f>VLOOKUP(U47,Data!$B$119:$E$151,4,0)</f>
        <v>556.64389080000001</v>
      </c>
      <c r="V46" s="45">
        <f>VLOOKUP(V47,Data!$B$119:$E$151,4,0)</f>
        <v>364.63697909999996</v>
      </c>
      <c r="W46" s="45">
        <f>VLOOKUP(W47,Data!$B$119:$E$151,4,0)</f>
        <v>704.11631399999999</v>
      </c>
      <c r="X46" s="45">
        <f>VLOOKUP(X47,Data!$B$119:$E$151,4,0)</f>
        <v>473.38052399999998</v>
      </c>
      <c r="Y46" s="45">
        <f>VLOOKUP(Y47,Data!$B$119:$E$151,4,0)</f>
        <v>311.12116199999997</v>
      </c>
      <c r="Z46" s="45">
        <f>VLOOKUP(Z47,Data!$B$119:$E$151,4,0)</f>
        <v>434.52759420000035</v>
      </c>
      <c r="AA46" s="45">
        <f>VLOOKUP(AA47,Data!$B$119:$E$151,4,0)</f>
        <v>339.70262760000031</v>
      </c>
      <c r="AB46" s="45">
        <f>VLOOKUP(AB47,Data!$B$119:$E$151,4,0)</f>
        <v>267.80237820000025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2:55" x14ac:dyDescent="0.35">
      <c r="C47" s="10" t="s">
        <v>15</v>
      </c>
      <c r="D47" s="10" t="s">
        <v>3</v>
      </c>
      <c r="E47" s="10" t="s">
        <v>31</v>
      </c>
      <c r="F47" s="10" t="s">
        <v>32</v>
      </c>
      <c r="G47" s="10" t="s">
        <v>8</v>
      </c>
      <c r="H47" s="10" t="s">
        <v>7</v>
      </c>
      <c r="I47" s="10" t="s">
        <v>29</v>
      </c>
      <c r="J47" s="10" t="s">
        <v>16</v>
      </c>
      <c r="K47" s="14" t="s">
        <v>17</v>
      </c>
      <c r="L47" s="10" t="s">
        <v>9</v>
      </c>
      <c r="M47" s="10" t="s">
        <v>11</v>
      </c>
      <c r="N47" s="10" t="s">
        <v>10</v>
      </c>
      <c r="O47" s="10" t="s">
        <v>23</v>
      </c>
      <c r="P47" s="10" t="s">
        <v>24</v>
      </c>
      <c r="Q47" s="10" t="s">
        <v>34</v>
      </c>
      <c r="R47" s="10" t="s">
        <v>35</v>
      </c>
      <c r="S47" s="10" t="s">
        <v>27</v>
      </c>
      <c r="T47" s="10" t="s">
        <v>20</v>
      </c>
      <c r="U47" s="10" t="s">
        <v>5</v>
      </c>
      <c r="V47" s="10" t="s">
        <v>6</v>
      </c>
      <c r="W47" s="10" t="s">
        <v>30</v>
      </c>
      <c r="X47" s="10" t="s">
        <v>50</v>
      </c>
      <c r="Y47" s="10" t="s">
        <v>54</v>
      </c>
      <c r="Z47" s="10" t="s">
        <v>12</v>
      </c>
      <c r="AA47" s="10" t="s">
        <v>52</v>
      </c>
      <c r="AB47" s="10" t="s">
        <v>53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2:55" ht="15.5" x14ac:dyDescent="0.35">
      <c r="B48" s="31" t="s">
        <v>55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2:55" x14ac:dyDescent="0.35">
      <c r="B49" t="s">
        <v>56</v>
      </c>
      <c r="C49" s="42">
        <f>C$46*C27</f>
        <v>1590.5985151471193</v>
      </c>
      <c r="D49" s="42">
        <f t="shared" ref="D49:AB49" si="5">D$46*D27</f>
        <v>189.15904652831998</v>
      </c>
      <c r="E49" s="42">
        <f t="shared" si="5"/>
        <v>174.75190380071987</v>
      </c>
      <c r="F49" s="42">
        <f t="shared" si="5"/>
        <v>351.29693729951998</v>
      </c>
      <c r="G49" s="42">
        <f t="shared" si="5"/>
        <v>148.55538287087995</v>
      </c>
      <c r="H49" s="42">
        <f t="shared" si="5"/>
        <v>193.86808116479997</v>
      </c>
      <c r="I49" s="42">
        <f t="shared" si="5"/>
        <v>111.10544576351994</v>
      </c>
      <c r="J49" s="42">
        <f t="shared" si="5"/>
        <v>123.72166194767991</v>
      </c>
      <c r="K49" s="42">
        <f t="shared" si="5"/>
        <v>229.76068566527991</v>
      </c>
      <c r="L49" s="42">
        <f t="shared" si="5"/>
        <v>866.76882993791958</v>
      </c>
      <c r="M49" s="42">
        <f t="shared" si="5"/>
        <v>178.11088100063998</v>
      </c>
      <c r="N49" s="42">
        <f t="shared" si="5"/>
        <v>328.49477801945994</v>
      </c>
      <c r="O49" s="42">
        <f t="shared" si="5"/>
        <v>188.40085120340999</v>
      </c>
      <c r="P49" s="42">
        <f t="shared" si="5"/>
        <v>271.08933606108002</v>
      </c>
      <c r="Q49" s="42">
        <f t="shared" si="5"/>
        <v>85.684256632799972</v>
      </c>
      <c r="R49" s="42">
        <f t="shared" si="5"/>
        <v>203.42485986299997</v>
      </c>
      <c r="S49" s="42">
        <f t="shared" si="5"/>
        <v>163.2331786801499</v>
      </c>
      <c r="T49" s="42">
        <f t="shared" si="5"/>
        <v>49.182306202259973</v>
      </c>
      <c r="U49" s="42">
        <f t="shared" si="5"/>
        <v>155.74896064583996</v>
      </c>
      <c r="V49" s="42">
        <f t="shared" si="5"/>
        <v>88.242148942199961</v>
      </c>
      <c r="W49" s="42">
        <f t="shared" si="5"/>
        <v>178.63430886179995</v>
      </c>
      <c r="X49" s="42">
        <f t="shared" si="5"/>
        <v>116.59362306119992</v>
      </c>
      <c r="Y49" s="42">
        <f t="shared" si="5"/>
        <v>90.162912747599947</v>
      </c>
      <c r="Z49" s="42">
        <f t="shared" si="5"/>
        <v>120.8421239470201</v>
      </c>
      <c r="AA49" s="42">
        <f t="shared" si="5"/>
        <v>82.445827718520036</v>
      </c>
      <c r="AB49" s="42">
        <f t="shared" si="5"/>
        <v>67.030935263460023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2:55" x14ac:dyDescent="0.35">
      <c r="B50" s="27" t="s">
        <v>57</v>
      </c>
      <c r="C50" s="44">
        <f>C$49*C28</f>
        <v>602.04153798318464</v>
      </c>
      <c r="D50" s="44">
        <f t="shared" ref="D50:AB54" si="6">D$49*D28</f>
        <v>72.920812436667347</v>
      </c>
      <c r="E50" s="44">
        <f t="shared" si="6"/>
        <v>67.122206249856504</v>
      </c>
      <c r="F50" s="44">
        <f t="shared" si="6"/>
        <v>136.33834136594371</v>
      </c>
      <c r="G50" s="44">
        <f t="shared" si="6"/>
        <v>60.298629907290177</v>
      </c>
      <c r="H50" s="44">
        <f t="shared" si="6"/>
        <v>76.577892060095991</v>
      </c>
      <c r="I50" s="44">
        <f t="shared" si="6"/>
        <v>43.953314344048486</v>
      </c>
      <c r="J50" s="44">
        <f t="shared" si="6"/>
        <v>49.241221455176607</v>
      </c>
      <c r="K50" s="44">
        <f t="shared" si="6"/>
        <v>88.595720392531931</v>
      </c>
      <c r="L50" s="44">
        <f t="shared" si="6"/>
        <v>333.61932264310525</v>
      </c>
      <c r="M50" s="44">
        <f t="shared" si="6"/>
        <v>68.572689185246389</v>
      </c>
      <c r="N50" s="44">
        <f t="shared" si="6"/>
        <v>124.56521982497922</v>
      </c>
      <c r="O50" s="44">
        <f t="shared" si="6"/>
        <v>76.283504652260703</v>
      </c>
      <c r="P50" s="44">
        <f t="shared" si="6"/>
        <v>102.30911542945161</v>
      </c>
      <c r="Q50" s="44">
        <f t="shared" si="6"/>
        <v>32.52574381781087</v>
      </c>
      <c r="R50" s="44">
        <f t="shared" si="6"/>
        <v>77.403159177871487</v>
      </c>
      <c r="S50" s="44">
        <f t="shared" si="6"/>
        <v>63.807849546070599</v>
      </c>
      <c r="T50" s="44">
        <f t="shared" si="6"/>
        <v>18.630257589416079</v>
      </c>
      <c r="U50" s="44">
        <f t="shared" si="6"/>
        <v>60.897843612523424</v>
      </c>
      <c r="V50" s="44">
        <f t="shared" si="6"/>
        <v>35.06742998963027</v>
      </c>
      <c r="W50" s="44">
        <f t="shared" si="6"/>
        <v>72.168260780167188</v>
      </c>
      <c r="X50" s="44">
        <f t="shared" si="6"/>
        <v>46.322646442214733</v>
      </c>
      <c r="Y50" s="44">
        <f t="shared" si="6"/>
        <v>34.37911863065986</v>
      </c>
      <c r="Z50" s="44">
        <f t="shared" si="6"/>
        <v>48.022660056545789</v>
      </c>
      <c r="AA50" s="44">
        <f t="shared" si="6"/>
        <v>33.415293974316171</v>
      </c>
      <c r="AB50" s="44">
        <f t="shared" si="6"/>
        <v>26.63139058017267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2:55" x14ac:dyDescent="0.35">
      <c r="B51" s="27" t="s">
        <v>58</v>
      </c>
      <c r="C51" s="44">
        <f t="shared" ref="C51:R54" si="7">C$49*C29</f>
        <v>383.49330200197045</v>
      </c>
      <c r="D51" s="44">
        <f t="shared" si="7"/>
        <v>47.176266204162999</v>
      </c>
      <c r="E51" s="44">
        <f t="shared" si="7"/>
        <v>42.06278324483327</v>
      </c>
      <c r="F51" s="44">
        <f t="shared" si="7"/>
        <v>80.903684660079449</v>
      </c>
      <c r="G51" s="44">
        <f t="shared" si="7"/>
        <v>34.271726828312005</v>
      </c>
      <c r="H51" s="44">
        <f t="shared" si="7"/>
        <v>44.298856546156792</v>
      </c>
      <c r="I51" s="44">
        <f t="shared" si="7"/>
        <v>28.331888669697584</v>
      </c>
      <c r="J51" s="44">
        <f t="shared" si="7"/>
        <v>28.418865749382071</v>
      </c>
      <c r="K51" s="44">
        <f t="shared" si="7"/>
        <v>58.382190227547625</v>
      </c>
      <c r="L51" s="44">
        <f t="shared" si="7"/>
        <v>202.47719867349801</v>
      </c>
      <c r="M51" s="44">
        <f t="shared" si="7"/>
        <v>41.446402008848921</v>
      </c>
      <c r="N51" s="44">
        <f t="shared" si="7"/>
        <v>81.171059648608548</v>
      </c>
      <c r="O51" s="44">
        <f t="shared" si="7"/>
        <v>44.142319436958957</v>
      </c>
      <c r="P51" s="44">
        <f t="shared" si="7"/>
        <v>60.724011277681917</v>
      </c>
      <c r="Q51" s="44">
        <f t="shared" si="7"/>
        <v>20.992642875035994</v>
      </c>
      <c r="R51" s="44">
        <f t="shared" si="7"/>
        <v>46.09607324495579</v>
      </c>
      <c r="S51" s="44">
        <f t="shared" si="6"/>
        <v>37.870097453794777</v>
      </c>
      <c r="T51" s="44">
        <f t="shared" si="6"/>
        <v>12.575915695917875</v>
      </c>
      <c r="U51" s="44">
        <f t="shared" si="6"/>
        <v>37.083827529774489</v>
      </c>
      <c r="V51" s="44">
        <f t="shared" si="6"/>
        <v>20.295694256705989</v>
      </c>
      <c r="W51" s="44">
        <f t="shared" si="6"/>
        <v>46.105515117230567</v>
      </c>
      <c r="X51" s="44">
        <f t="shared" si="6"/>
        <v>26.525049246422981</v>
      </c>
      <c r="Y51" s="44">
        <f t="shared" si="6"/>
        <v>21.747294554721108</v>
      </c>
      <c r="Z51" s="44">
        <f t="shared" si="6"/>
        <v>27.926614844156344</v>
      </c>
      <c r="AA51" s="44">
        <f t="shared" si="6"/>
        <v>18.59977873329812</v>
      </c>
      <c r="AB51" s="44">
        <f t="shared" si="6"/>
        <v>16.3488451107579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2:55" x14ac:dyDescent="0.35">
      <c r="B52" s="27" t="s">
        <v>59</v>
      </c>
      <c r="C52" s="44">
        <f t="shared" si="7"/>
        <v>142.35856710566716</v>
      </c>
      <c r="D52" s="44">
        <f t="shared" si="6"/>
        <v>19.748204457556604</v>
      </c>
      <c r="E52" s="44">
        <f t="shared" si="6"/>
        <v>16.024749578526013</v>
      </c>
      <c r="F52" s="44">
        <f t="shared" si="6"/>
        <v>30.281795995218623</v>
      </c>
      <c r="G52" s="44">
        <f t="shared" si="6"/>
        <v>13.102584769211612</v>
      </c>
      <c r="H52" s="44">
        <f t="shared" si="6"/>
        <v>15.567606917533437</v>
      </c>
      <c r="I52" s="44">
        <f t="shared" si="6"/>
        <v>10.155037742785721</v>
      </c>
      <c r="J52" s="44">
        <f t="shared" si="6"/>
        <v>10.083315448735913</v>
      </c>
      <c r="K52" s="44">
        <f t="shared" si="6"/>
        <v>19.851323241480184</v>
      </c>
      <c r="L52" s="44">
        <f t="shared" si="6"/>
        <v>78.095871577406555</v>
      </c>
      <c r="M52" s="44">
        <f t="shared" si="6"/>
        <v>18.149498773965213</v>
      </c>
      <c r="N52" s="44">
        <f t="shared" si="6"/>
        <v>28.973239421316368</v>
      </c>
      <c r="O52" s="44">
        <f t="shared" si="6"/>
        <v>19.63136869539532</v>
      </c>
      <c r="P52" s="44">
        <f t="shared" si="6"/>
        <v>25.91614052743925</v>
      </c>
      <c r="Q52" s="44">
        <f t="shared" si="6"/>
        <v>7.3431407934309574</v>
      </c>
      <c r="R52" s="44">
        <f t="shared" si="6"/>
        <v>16.273988789039997</v>
      </c>
      <c r="S52" s="44">
        <f t="shared" si="6"/>
        <v>15.115392345781881</v>
      </c>
      <c r="T52" s="44">
        <f t="shared" si="6"/>
        <v>4.9821676182889352</v>
      </c>
      <c r="U52" s="44">
        <f t="shared" si="6"/>
        <v>16.088867634715267</v>
      </c>
      <c r="V52" s="44">
        <f t="shared" si="6"/>
        <v>8.5506642324991748</v>
      </c>
      <c r="W52" s="44">
        <f t="shared" si="6"/>
        <v>14.522969310464335</v>
      </c>
      <c r="X52" s="44">
        <f t="shared" si="6"/>
        <v>9.8871392355897534</v>
      </c>
      <c r="Y52" s="44">
        <f t="shared" si="6"/>
        <v>8.1056458560092359</v>
      </c>
      <c r="Z52" s="44">
        <f t="shared" si="6"/>
        <v>11.117475403125848</v>
      </c>
      <c r="AA52" s="44">
        <f t="shared" si="6"/>
        <v>8.1786261096771877</v>
      </c>
      <c r="AB52" s="44">
        <f t="shared" si="6"/>
        <v>5.9523470513952503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2:55" x14ac:dyDescent="0.35">
      <c r="B53" s="27" t="s">
        <v>60</v>
      </c>
      <c r="C53" s="44">
        <f t="shared" si="7"/>
        <v>156.67395374199126</v>
      </c>
      <c r="D53" s="44">
        <f t="shared" si="6"/>
        <v>20.013027122696251</v>
      </c>
      <c r="E53" s="44">
        <f t="shared" si="6"/>
        <v>18.925631181617963</v>
      </c>
      <c r="F53" s="44">
        <f t="shared" si="6"/>
        <v>33.829895061943773</v>
      </c>
      <c r="G53" s="44">
        <f t="shared" si="6"/>
        <v>17.113580106725369</v>
      </c>
      <c r="H53" s="44">
        <f t="shared" si="6"/>
        <v>22.256055717719036</v>
      </c>
      <c r="I53" s="44">
        <f t="shared" si="6"/>
        <v>10.621680614992506</v>
      </c>
      <c r="J53" s="44">
        <f t="shared" si="6"/>
        <v>14.277479788762262</v>
      </c>
      <c r="K53" s="44">
        <f t="shared" si="6"/>
        <v>24.676297640451061</v>
      </c>
      <c r="L53" s="44">
        <f t="shared" si="6"/>
        <v>86.416852344810593</v>
      </c>
      <c r="M53" s="44">
        <f t="shared" si="6"/>
        <v>19.69906343867078</v>
      </c>
      <c r="N53" s="44">
        <f t="shared" si="6"/>
        <v>38.269641639267078</v>
      </c>
      <c r="O53" s="44">
        <f t="shared" si="6"/>
        <v>18.670524354257928</v>
      </c>
      <c r="P53" s="44">
        <f t="shared" si="6"/>
        <v>29.196321493778317</v>
      </c>
      <c r="Q53" s="44">
        <f t="shared" si="6"/>
        <v>8.6712467712393568</v>
      </c>
      <c r="R53" s="44">
        <f t="shared" si="6"/>
        <v>19.793238864669895</v>
      </c>
      <c r="S53" s="44">
        <f t="shared" si="6"/>
        <v>19.000341998369446</v>
      </c>
      <c r="T53" s="44">
        <f t="shared" si="6"/>
        <v>5.3510349148058856</v>
      </c>
      <c r="U53" s="44">
        <f t="shared" si="6"/>
        <v>17.677507033302835</v>
      </c>
      <c r="V53" s="44">
        <f t="shared" si="6"/>
        <v>8.9742265474217362</v>
      </c>
      <c r="W53" s="44">
        <f t="shared" si="6"/>
        <v>20.614399242651714</v>
      </c>
      <c r="X53" s="44">
        <f t="shared" si="6"/>
        <v>12.976870246711551</v>
      </c>
      <c r="Y53" s="44">
        <f t="shared" si="6"/>
        <v>9.6564479552679536</v>
      </c>
      <c r="Z53" s="44">
        <f t="shared" si="6"/>
        <v>12.035875545123201</v>
      </c>
      <c r="AA53" s="44">
        <f t="shared" si="6"/>
        <v>9.1597314595275758</v>
      </c>
      <c r="AB53" s="44">
        <f t="shared" si="6"/>
        <v>7.6147142459290578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2:55" x14ac:dyDescent="0.35">
      <c r="B54" s="27" t="s">
        <v>61</v>
      </c>
      <c r="C54" s="44">
        <f t="shared" si="7"/>
        <v>306.03115431430581</v>
      </c>
      <c r="D54" s="44">
        <f t="shared" si="6"/>
        <v>29.30073630723675</v>
      </c>
      <c r="E54" s="44">
        <f t="shared" si="6"/>
        <v>30.616533545886124</v>
      </c>
      <c r="F54" s="44">
        <f t="shared" si="6"/>
        <v>69.943220216334367</v>
      </c>
      <c r="G54" s="44">
        <f t="shared" si="6"/>
        <v>23.768861259340781</v>
      </c>
      <c r="H54" s="44">
        <f t="shared" si="6"/>
        <v>35.167669923294717</v>
      </c>
      <c r="I54" s="44">
        <f t="shared" si="6"/>
        <v>18.043524391995625</v>
      </c>
      <c r="J54" s="44">
        <f t="shared" si="6"/>
        <v>21.700779505623057</v>
      </c>
      <c r="K54" s="44">
        <f t="shared" si="6"/>
        <v>38.255154163269125</v>
      </c>
      <c r="L54" s="44">
        <f t="shared" si="6"/>
        <v>166.15958469909916</v>
      </c>
      <c r="M54" s="44">
        <f t="shared" si="6"/>
        <v>30.24322759390866</v>
      </c>
      <c r="N54" s="44">
        <f t="shared" si="6"/>
        <v>55.515617485288672</v>
      </c>
      <c r="O54" s="44">
        <f t="shared" si="6"/>
        <v>29.673134064537088</v>
      </c>
      <c r="P54" s="44">
        <f t="shared" si="6"/>
        <v>52.943747332728933</v>
      </c>
      <c r="Q54" s="44">
        <f t="shared" si="6"/>
        <v>16.151482375282797</v>
      </c>
      <c r="R54" s="44">
        <f t="shared" si="6"/>
        <v>43.858399786462797</v>
      </c>
      <c r="S54" s="44">
        <f t="shared" si="6"/>
        <v>27.439497336133204</v>
      </c>
      <c r="T54" s="44">
        <f t="shared" si="6"/>
        <v>7.6429303838311986</v>
      </c>
      <c r="U54" s="44">
        <f t="shared" si="6"/>
        <v>24.000914835523957</v>
      </c>
      <c r="V54" s="44">
        <f t="shared" si="6"/>
        <v>15.354133915942796</v>
      </c>
      <c r="W54" s="44">
        <f t="shared" si="6"/>
        <v>25.223164411286152</v>
      </c>
      <c r="X54" s="44">
        <f t="shared" si="6"/>
        <v>20.881917890260912</v>
      </c>
      <c r="Y54" s="44">
        <f t="shared" si="6"/>
        <v>16.274405750941789</v>
      </c>
      <c r="Z54" s="44">
        <f t="shared" si="6"/>
        <v>21.739498098068911</v>
      </c>
      <c r="AA54" s="44">
        <f t="shared" si="6"/>
        <v>13.092397441700985</v>
      </c>
      <c r="AB54" s="44">
        <f t="shared" si="6"/>
        <v>10.483638275205147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2:55" x14ac:dyDescent="0.35">
      <c r="B55" t="s">
        <v>62</v>
      </c>
      <c r="C55" s="42">
        <f>C$46*C33</f>
        <v>2143.2287742472799</v>
      </c>
      <c r="D55" s="42">
        <f t="shared" ref="D55:AB55" si="8">D$46*D33</f>
        <v>307.93137119784001</v>
      </c>
      <c r="E55" s="42">
        <f t="shared" si="8"/>
        <v>306.76236940655997</v>
      </c>
      <c r="F55" s="42">
        <f t="shared" si="8"/>
        <v>526.49846328095998</v>
      </c>
      <c r="G55" s="42">
        <f t="shared" si="8"/>
        <v>174.90142059263997</v>
      </c>
      <c r="H55" s="42">
        <f t="shared" si="8"/>
        <v>254.50651858175999</v>
      </c>
      <c r="I55" s="42">
        <f t="shared" si="8"/>
        <v>141.66153336815998</v>
      </c>
      <c r="J55" s="42">
        <f t="shared" si="8"/>
        <v>167.07670848216</v>
      </c>
      <c r="K55" s="42">
        <f t="shared" si="8"/>
        <v>310.60907740800002</v>
      </c>
      <c r="L55" s="42">
        <f t="shared" si="8"/>
        <v>1233.37169781696</v>
      </c>
      <c r="M55" s="42">
        <f t="shared" si="8"/>
        <v>256.70160491220003</v>
      </c>
      <c r="N55" s="42">
        <f t="shared" si="8"/>
        <v>382.37853683052009</v>
      </c>
      <c r="O55" s="42">
        <f t="shared" si="8"/>
        <v>280.28985869952004</v>
      </c>
      <c r="P55" s="42">
        <f t="shared" si="8"/>
        <v>344.72361702456004</v>
      </c>
      <c r="Q55" s="42">
        <f t="shared" si="8"/>
        <v>128.24545296024002</v>
      </c>
      <c r="R55" s="42">
        <f t="shared" si="8"/>
        <v>304.00854519600006</v>
      </c>
      <c r="S55" s="42">
        <f t="shared" si="8"/>
        <v>223.38577335941997</v>
      </c>
      <c r="T55" s="42">
        <f t="shared" si="8"/>
        <v>59.091272071020001</v>
      </c>
      <c r="U55" s="42">
        <f t="shared" si="8"/>
        <v>186.58703219616001</v>
      </c>
      <c r="V55" s="42">
        <f t="shared" si="8"/>
        <v>125.79975778949998</v>
      </c>
      <c r="W55" s="42">
        <f t="shared" si="8"/>
        <v>244.75083074639997</v>
      </c>
      <c r="X55" s="42">
        <f t="shared" si="8"/>
        <v>169.47022759199999</v>
      </c>
      <c r="Y55" s="42">
        <f t="shared" si="8"/>
        <v>105.68785873139998</v>
      </c>
      <c r="Z55" s="42">
        <f t="shared" si="8"/>
        <v>146.60961028308012</v>
      </c>
      <c r="AA55" s="42">
        <f t="shared" si="8"/>
        <v>117.12946599648011</v>
      </c>
      <c r="AB55" s="42">
        <f t="shared" si="8"/>
        <v>95.498328066120081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2:55" x14ac:dyDescent="0.35">
      <c r="B56" s="27" t="s">
        <v>63</v>
      </c>
      <c r="C56" s="44">
        <f>C$55*C34</f>
        <v>1022.1058024385278</v>
      </c>
      <c r="D56" s="44">
        <f t="shared" ref="D56:AB59" si="9">D$55*D34</f>
        <v>144.45060622890674</v>
      </c>
      <c r="E56" s="44">
        <f t="shared" si="9"/>
        <v>150.86573327414618</v>
      </c>
      <c r="F56" s="44">
        <f t="shared" si="9"/>
        <v>248.13872574431645</v>
      </c>
      <c r="G56" s="44">
        <f t="shared" si="9"/>
        <v>81.958805689711085</v>
      </c>
      <c r="H56" s="44">
        <f t="shared" si="9"/>
        <v>121.52686262279039</v>
      </c>
      <c r="I56" s="44">
        <f t="shared" si="9"/>
        <v>68.62084676353669</v>
      </c>
      <c r="J56" s="44">
        <f t="shared" si="9"/>
        <v>77.724084785900828</v>
      </c>
      <c r="K56" s="44">
        <f t="shared" si="9"/>
        <v>150.70752435836161</v>
      </c>
      <c r="L56" s="44">
        <f t="shared" si="9"/>
        <v>576.23125722008376</v>
      </c>
      <c r="M56" s="44">
        <f t="shared" si="9"/>
        <v>125.01368159224141</v>
      </c>
      <c r="N56" s="44">
        <f t="shared" si="9"/>
        <v>189.73622997530407</v>
      </c>
      <c r="O56" s="44">
        <f t="shared" si="9"/>
        <v>137.31400177689486</v>
      </c>
      <c r="P56" s="44">
        <f t="shared" si="9"/>
        <v>161.74432110792358</v>
      </c>
      <c r="Q56" s="44">
        <f t="shared" si="9"/>
        <v>61.378273786770869</v>
      </c>
      <c r="R56" s="44">
        <f t="shared" si="9"/>
        <v>149.11619141863804</v>
      </c>
      <c r="S56" s="44">
        <f t="shared" si="9"/>
        <v>105.50510075765405</v>
      </c>
      <c r="T56" s="44">
        <f t="shared" si="9"/>
        <v>27.861534781485929</v>
      </c>
      <c r="U56" s="44">
        <f t="shared" si="9"/>
        <v>87.52797680321865</v>
      </c>
      <c r="V56" s="44">
        <f t="shared" si="9"/>
        <v>62.597959476055188</v>
      </c>
      <c r="W56" s="44">
        <f t="shared" si="9"/>
        <v>120.05028248110918</v>
      </c>
      <c r="X56" s="44">
        <f t="shared" si="9"/>
        <v>79.176490330982389</v>
      </c>
      <c r="Y56" s="44">
        <f t="shared" si="9"/>
        <v>50.709034619325713</v>
      </c>
      <c r="Z56" s="44">
        <f t="shared" si="9"/>
        <v>71.340236363746783</v>
      </c>
      <c r="AA56" s="44">
        <f t="shared" si="9"/>
        <v>57.334873605277011</v>
      </c>
      <c r="AB56" s="44">
        <f t="shared" si="9"/>
        <v>45.313956667373979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2:55" x14ac:dyDescent="0.35">
      <c r="B57" s="27" t="s">
        <v>64</v>
      </c>
      <c r="C57" s="44">
        <f>C$55*C35</f>
        <v>499.58662727704098</v>
      </c>
      <c r="D57" s="44">
        <f t="shared" ref="D57:R57" si="10">D$55*D35</f>
        <v>79.815811414480123</v>
      </c>
      <c r="E57" s="44">
        <f t="shared" si="10"/>
        <v>72.21186175830421</v>
      </c>
      <c r="F57" s="44">
        <f t="shared" si="10"/>
        <v>120.51549824501174</v>
      </c>
      <c r="G57" s="44">
        <f t="shared" si="10"/>
        <v>43.39304244903397</v>
      </c>
      <c r="H57" s="44">
        <f t="shared" si="10"/>
        <v>59.987186429720829</v>
      </c>
      <c r="I57" s="44">
        <f t="shared" si="10"/>
        <v>33.715444941622074</v>
      </c>
      <c r="J57" s="44">
        <f t="shared" si="10"/>
        <v>40.783424540495254</v>
      </c>
      <c r="K57" s="44">
        <f t="shared" si="10"/>
        <v>77.155294828147206</v>
      </c>
      <c r="L57" s="44">
        <f t="shared" si="10"/>
        <v>289.2256631380771</v>
      </c>
      <c r="M57" s="44">
        <f t="shared" si="10"/>
        <v>63.970039944120245</v>
      </c>
      <c r="N57" s="44">
        <f t="shared" si="10"/>
        <v>95.86229918341138</v>
      </c>
      <c r="O57" s="44">
        <f t="shared" si="10"/>
        <v>69.483855971611007</v>
      </c>
      <c r="P57" s="44">
        <f t="shared" si="10"/>
        <v>85.698291192305618</v>
      </c>
      <c r="Q57" s="44">
        <f t="shared" si="10"/>
        <v>31.753574152955427</v>
      </c>
      <c r="R57" s="44">
        <f t="shared" si="10"/>
        <v>68.827534632374409</v>
      </c>
      <c r="S57" s="44">
        <f t="shared" si="9"/>
        <v>52.316948120776154</v>
      </c>
      <c r="T57" s="44">
        <f t="shared" si="9"/>
        <v>14.453725148571491</v>
      </c>
      <c r="U57" s="44">
        <f t="shared" si="9"/>
        <v>45.452601042984575</v>
      </c>
      <c r="V57" s="44">
        <f t="shared" si="9"/>
        <v>28.367845381532241</v>
      </c>
      <c r="W57" s="44">
        <f t="shared" si="9"/>
        <v>58.275172800717826</v>
      </c>
      <c r="X57" s="44">
        <f t="shared" si="9"/>
        <v>43.096278876645592</v>
      </c>
      <c r="Y57" s="44">
        <f t="shared" si="9"/>
        <v>24.667546227908755</v>
      </c>
      <c r="Z57" s="44">
        <f t="shared" si="9"/>
        <v>35.787405870099853</v>
      </c>
      <c r="AA57" s="44">
        <f t="shared" si="9"/>
        <v>28.146210678954169</v>
      </c>
      <c r="AB57" s="44">
        <f t="shared" si="9"/>
        <v>21.59217197574975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2:55" x14ac:dyDescent="0.35">
      <c r="B58" s="27" t="s">
        <v>65</v>
      </c>
      <c r="C58" s="44">
        <f>C$55*C36</f>
        <v>141.88174485516993</v>
      </c>
      <c r="D58" s="44">
        <f t="shared" si="9"/>
        <v>23.094852839838001</v>
      </c>
      <c r="E58" s="44">
        <f t="shared" si="9"/>
        <v>19.939554011426399</v>
      </c>
      <c r="F58" s="44">
        <f t="shared" si="9"/>
        <v>36.117794581073859</v>
      </c>
      <c r="G58" s="44">
        <f t="shared" si="9"/>
        <v>12.907724839736828</v>
      </c>
      <c r="H58" s="44">
        <f t="shared" si="9"/>
        <v>21.022238434853374</v>
      </c>
      <c r="I58" s="44">
        <f t="shared" si="9"/>
        <v>9.5904858090244307</v>
      </c>
      <c r="J58" s="44">
        <f t="shared" si="9"/>
        <v>11.678661922902982</v>
      </c>
      <c r="K58" s="44">
        <f t="shared" si="9"/>
        <v>24.5691780229728</v>
      </c>
      <c r="L58" s="44">
        <f t="shared" si="9"/>
        <v>102.73986242815276</v>
      </c>
      <c r="M58" s="44">
        <f t="shared" si="9"/>
        <v>20.305096948555022</v>
      </c>
      <c r="N58" s="44">
        <f t="shared" si="9"/>
        <v>25.16050772344822</v>
      </c>
      <c r="O58" s="44">
        <f t="shared" si="9"/>
        <v>21.077797374203907</v>
      </c>
      <c r="P58" s="44">
        <f t="shared" si="9"/>
        <v>28.887839106658131</v>
      </c>
      <c r="Q58" s="44">
        <f t="shared" si="9"/>
        <v>9.1695498866571601</v>
      </c>
      <c r="R58" s="44">
        <f t="shared" si="9"/>
        <v>22.709438326141203</v>
      </c>
      <c r="S58" s="44">
        <f t="shared" si="9"/>
        <v>14.676445309713891</v>
      </c>
      <c r="T58" s="44">
        <f t="shared" si="9"/>
        <v>3.9295695927228302</v>
      </c>
      <c r="U58" s="44">
        <f t="shared" si="9"/>
        <v>15.822580330234366</v>
      </c>
      <c r="V58" s="44">
        <f t="shared" si="9"/>
        <v>8.6047034328017986</v>
      </c>
      <c r="W58" s="44">
        <f t="shared" si="9"/>
        <v>18.968189382845999</v>
      </c>
      <c r="X58" s="44">
        <f t="shared" si="9"/>
        <v>14.184658049450398</v>
      </c>
      <c r="Y58" s="44">
        <f t="shared" si="9"/>
        <v>8.2964969104148967</v>
      </c>
      <c r="Z58" s="44">
        <f t="shared" si="9"/>
        <v>10.849111160947926</v>
      </c>
      <c r="AA58" s="44">
        <f t="shared" si="9"/>
        <v>7.9179519013620565</v>
      </c>
      <c r="AB58" s="44">
        <f t="shared" si="9"/>
        <v>8.0600588887805333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2:55" x14ac:dyDescent="0.35">
      <c r="B59" s="27" t="s">
        <v>66</v>
      </c>
      <c r="C59" s="44">
        <f>C$55*C37</f>
        <v>479.65459967654124</v>
      </c>
      <c r="D59" s="44">
        <f t="shared" si="9"/>
        <v>60.570100714615158</v>
      </c>
      <c r="E59" s="44">
        <f t="shared" si="9"/>
        <v>63.745220362683156</v>
      </c>
      <c r="F59" s="44">
        <f t="shared" si="9"/>
        <v>121.72644471055798</v>
      </c>
      <c r="G59" s="44">
        <f t="shared" si="9"/>
        <v>36.641847614158095</v>
      </c>
      <c r="H59" s="44">
        <f t="shared" si="9"/>
        <v>51.970231094395402</v>
      </c>
      <c r="I59" s="44">
        <f t="shared" si="9"/>
        <v>29.734755853976793</v>
      </c>
      <c r="J59" s="44">
        <f t="shared" si="9"/>
        <v>36.890537232860929</v>
      </c>
      <c r="K59" s="44">
        <f t="shared" si="9"/>
        <v>58.177080198518446</v>
      </c>
      <c r="L59" s="44">
        <f t="shared" si="9"/>
        <v>265.17491503064639</v>
      </c>
      <c r="M59" s="44">
        <f t="shared" si="9"/>
        <v>47.412786427283365</v>
      </c>
      <c r="N59" s="44">
        <f t="shared" si="9"/>
        <v>71.619499948356463</v>
      </c>
      <c r="O59" s="44">
        <f t="shared" si="9"/>
        <v>52.41420357681023</v>
      </c>
      <c r="P59" s="44">
        <f t="shared" si="9"/>
        <v>68.393165617672722</v>
      </c>
      <c r="Q59" s="44">
        <f t="shared" si="9"/>
        <v>25.944055133856558</v>
      </c>
      <c r="R59" s="44">
        <f t="shared" si="9"/>
        <v>63.35538081884642</v>
      </c>
      <c r="S59" s="44">
        <f t="shared" si="9"/>
        <v>50.887279171275871</v>
      </c>
      <c r="T59" s="44">
        <f t="shared" si="9"/>
        <v>12.84644254823975</v>
      </c>
      <c r="U59" s="44">
        <f t="shared" si="9"/>
        <v>37.783874019722425</v>
      </c>
      <c r="V59" s="44">
        <f t="shared" si="9"/>
        <v>26.229249499110747</v>
      </c>
      <c r="W59" s="44">
        <f t="shared" si="9"/>
        <v>47.457186081726974</v>
      </c>
      <c r="X59" s="44">
        <f t="shared" si="9"/>
        <v>33.012800334921593</v>
      </c>
      <c r="Y59" s="44">
        <f t="shared" si="9"/>
        <v>22.014780973750611</v>
      </c>
      <c r="Z59" s="44">
        <f t="shared" si="9"/>
        <v>28.632856888285566</v>
      </c>
      <c r="AA59" s="44">
        <f t="shared" si="9"/>
        <v>23.730429810886871</v>
      </c>
      <c r="AB59" s="44">
        <f t="shared" si="9"/>
        <v>20.532140534215813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2:55" x14ac:dyDescent="0.35">
      <c r="B60" t="s">
        <v>67</v>
      </c>
      <c r="C60" s="42">
        <f>C$46*C38</f>
        <v>474.61887554184005</v>
      </c>
      <c r="D60" s="42">
        <f t="shared" ref="D60:AB60" si="11">D$46*D38</f>
        <v>76.371700603680011</v>
      </c>
      <c r="E60" s="42">
        <f t="shared" si="11"/>
        <v>73.787876568720009</v>
      </c>
      <c r="F60" s="42">
        <f t="shared" si="11"/>
        <v>136.31751383760002</v>
      </c>
      <c r="G60" s="42">
        <f t="shared" si="11"/>
        <v>35.463882516480005</v>
      </c>
      <c r="H60" s="42">
        <f t="shared" si="11"/>
        <v>53.058632739840007</v>
      </c>
      <c r="I60" s="42">
        <f t="shared" si="11"/>
        <v>37.829356063199995</v>
      </c>
      <c r="J60" s="42">
        <f t="shared" si="11"/>
        <v>33.911373031920007</v>
      </c>
      <c r="K60" s="42">
        <f t="shared" si="11"/>
        <v>67.70377571328001</v>
      </c>
      <c r="L60" s="42">
        <f t="shared" si="11"/>
        <v>283.4737545744</v>
      </c>
      <c r="M60" s="42">
        <f t="shared" si="11"/>
        <v>54.360339863760011</v>
      </c>
      <c r="N60" s="42">
        <f t="shared" si="11"/>
        <v>83.537133574320023</v>
      </c>
      <c r="O60" s="42">
        <f t="shared" si="11"/>
        <v>71.694512468280024</v>
      </c>
      <c r="P60" s="42">
        <f t="shared" si="11"/>
        <v>72.914392741770016</v>
      </c>
      <c r="Q60" s="42">
        <f t="shared" si="11"/>
        <v>27.531334918080002</v>
      </c>
      <c r="R60" s="42">
        <f t="shared" si="11"/>
        <v>59.53082623200001</v>
      </c>
      <c r="S60" s="42">
        <f t="shared" si="11"/>
        <v>55.212203995289997</v>
      </c>
      <c r="T60" s="42">
        <f t="shared" si="11"/>
        <v>13.05083309544</v>
      </c>
      <c r="U60" s="42">
        <f t="shared" si="11"/>
        <v>41.08031914104</v>
      </c>
      <c r="V60" s="42">
        <f t="shared" si="11"/>
        <v>32.379763744079995</v>
      </c>
      <c r="W60" s="42">
        <f t="shared" si="11"/>
        <v>60.906061161000004</v>
      </c>
      <c r="X60" s="42">
        <f t="shared" si="11"/>
        <v>36.971018924400006</v>
      </c>
      <c r="Y60" s="42">
        <f t="shared" si="11"/>
        <v>22.494060012599999</v>
      </c>
      <c r="Z60" s="42">
        <f t="shared" si="11"/>
        <v>36.500317912800028</v>
      </c>
      <c r="AA60" s="42">
        <f t="shared" si="11"/>
        <v>30.539266221240027</v>
      </c>
      <c r="AB60" s="42">
        <f t="shared" si="11"/>
        <v>22.281157866240019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2:55" x14ac:dyDescent="0.35">
      <c r="B61" s="27" t="s">
        <v>151</v>
      </c>
      <c r="C61" s="44">
        <f>C$60*C39</f>
        <v>212.72418001785275</v>
      </c>
      <c r="D61" s="44">
        <f t="shared" ref="D61:AB63" si="12">D$60*D39</f>
        <v>35.535752290892312</v>
      </c>
      <c r="E61" s="44">
        <f t="shared" si="12"/>
        <v>34.658165624327786</v>
      </c>
      <c r="F61" s="44">
        <f t="shared" si="12"/>
        <v>62.71968811667977</v>
      </c>
      <c r="G61" s="44">
        <f t="shared" si="12"/>
        <v>16.721220606520323</v>
      </c>
      <c r="H61" s="44">
        <f t="shared" si="12"/>
        <v>24.348606564312583</v>
      </c>
      <c r="I61" s="44">
        <f t="shared" si="12"/>
        <v>16.88702454661248</v>
      </c>
      <c r="J61" s="44">
        <f t="shared" si="12"/>
        <v>15.073605312688443</v>
      </c>
      <c r="K61" s="44">
        <f t="shared" si="12"/>
        <v>30.541173224260611</v>
      </c>
      <c r="L61" s="44">
        <f t="shared" si="12"/>
        <v>127.93170543942674</v>
      </c>
      <c r="M61" s="44">
        <f t="shared" si="12"/>
        <v>23.837009030258766</v>
      </c>
      <c r="N61" s="44">
        <f t="shared" si="12"/>
        <v>38.811352258629086</v>
      </c>
      <c r="O61" s="44">
        <f t="shared" si="12"/>
        <v>32.004430365840207</v>
      </c>
      <c r="P61" s="44">
        <f t="shared" si="12"/>
        <v>32.687522266135502</v>
      </c>
      <c r="Q61" s="44">
        <f t="shared" si="12"/>
        <v>12.903936676104097</v>
      </c>
      <c r="R61" s="44">
        <f t="shared" si="12"/>
        <v>26.491217673240005</v>
      </c>
      <c r="S61" s="44">
        <f t="shared" si="12"/>
        <v>24.365145623121478</v>
      </c>
      <c r="T61" s="44">
        <f t="shared" si="12"/>
        <v>5.8076207274708</v>
      </c>
      <c r="U61" s="44">
        <f t="shared" si="12"/>
        <v>19.102348400583601</v>
      </c>
      <c r="V61" s="44">
        <f t="shared" si="12"/>
        <v>15.040400259125159</v>
      </c>
      <c r="W61" s="44">
        <f t="shared" si="12"/>
        <v>27.407727522450003</v>
      </c>
      <c r="X61" s="44">
        <f t="shared" si="12"/>
        <v>16.940120871160083</v>
      </c>
      <c r="Y61" s="44">
        <f t="shared" si="12"/>
        <v>10.19655740371158</v>
      </c>
      <c r="Z61" s="44">
        <f t="shared" si="12"/>
        <v>16.286441852691375</v>
      </c>
      <c r="AA61" s="44">
        <f t="shared" si="12"/>
        <v>13.397576091258001</v>
      </c>
      <c r="AB61" s="44">
        <f t="shared" si="12"/>
        <v>9.8839216294640728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2:55" x14ac:dyDescent="0.35">
      <c r="B62" s="27" t="s">
        <v>68</v>
      </c>
      <c r="C62" s="44">
        <f t="shared" ref="C62:R63" si="13">C$60*C40</f>
        <v>114.28822523047509</v>
      </c>
      <c r="D62" s="44">
        <f t="shared" si="13"/>
        <v>20.345421040820359</v>
      </c>
      <c r="E62" s="44">
        <f t="shared" si="13"/>
        <v>18.292014601385691</v>
      </c>
      <c r="F62" s="44">
        <f t="shared" si="13"/>
        <v>36.77846523338448</v>
      </c>
      <c r="G62" s="44">
        <f t="shared" si="13"/>
        <v>9.3872897021122572</v>
      </c>
      <c r="H62" s="44">
        <f t="shared" si="13"/>
        <v>13.291187501329922</v>
      </c>
      <c r="I62" s="44">
        <f t="shared" si="13"/>
        <v>10.032345227960638</v>
      </c>
      <c r="J62" s="44">
        <f t="shared" si="13"/>
        <v>8.3455889031555142</v>
      </c>
      <c r="K62" s="44">
        <f t="shared" si="13"/>
        <v>16.702521468466177</v>
      </c>
      <c r="L62" s="44">
        <f t="shared" si="13"/>
        <v>71.066870271802088</v>
      </c>
      <c r="M62" s="44">
        <f t="shared" si="13"/>
        <v>13.535724626076243</v>
      </c>
      <c r="N62" s="44">
        <f t="shared" si="13"/>
        <v>22.964358019580576</v>
      </c>
      <c r="O62" s="44">
        <f t="shared" si="13"/>
        <v>17.335733114830109</v>
      </c>
      <c r="P62" s="44">
        <f t="shared" si="13"/>
        <v>18.097352278507319</v>
      </c>
      <c r="Q62" s="44">
        <f t="shared" si="13"/>
        <v>6.8553023946019209</v>
      </c>
      <c r="R62" s="44">
        <f t="shared" si="13"/>
        <v>15.168454523913605</v>
      </c>
      <c r="S62" s="44">
        <f t="shared" si="12"/>
        <v>14.79687067073772</v>
      </c>
      <c r="T62" s="44">
        <f t="shared" si="12"/>
        <v>3.4480301038152477</v>
      </c>
      <c r="U62" s="44">
        <f t="shared" si="12"/>
        <v>10.808231966007623</v>
      </c>
      <c r="V62" s="44">
        <f t="shared" si="12"/>
        <v>8.5903513213044214</v>
      </c>
      <c r="W62" s="44">
        <f t="shared" si="12"/>
        <v>16.188831056593799</v>
      </c>
      <c r="X62" s="44">
        <f t="shared" si="12"/>
        <v>9.7788345055038022</v>
      </c>
      <c r="Y62" s="44">
        <f t="shared" si="12"/>
        <v>5.7854722352407189</v>
      </c>
      <c r="Z62" s="44">
        <f t="shared" si="12"/>
        <v>9.9718868537769669</v>
      </c>
      <c r="AA62" s="44">
        <f t="shared" si="12"/>
        <v>7.8852385383241748</v>
      </c>
      <c r="AB62" s="44">
        <f t="shared" si="12"/>
        <v>5.3831277404835891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spans="2:55" x14ac:dyDescent="0.35">
      <c r="B63" s="27" t="s">
        <v>152</v>
      </c>
      <c r="C63" s="44">
        <f t="shared" si="13"/>
        <v>147.60647029351222</v>
      </c>
      <c r="D63" s="44">
        <f t="shared" si="12"/>
        <v>20.490527271967345</v>
      </c>
      <c r="E63" s="44">
        <f t="shared" si="12"/>
        <v>20.837696343006531</v>
      </c>
      <c r="F63" s="44">
        <f t="shared" si="12"/>
        <v>36.819360487535768</v>
      </c>
      <c r="G63" s="44">
        <f t="shared" si="12"/>
        <v>9.3553722078474273</v>
      </c>
      <c r="H63" s="44">
        <f t="shared" si="12"/>
        <v>15.418838674197504</v>
      </c>
      <c r="I63" s="44">
        <f t="shared" si="12"/>
        <v>10.909986288626879</v>
      </c>
      <c r="J63" s="44">
        <f t="shared" si="12"/>
        <v>10.49217881607605</v>
      </c>
      <c r="K63" s="44">
        <f t="shared" si="12"/>
        <v>20.460081020553222</v>
      </c>
      <c r="L63" s="44">
        <f t="shared" si="12"/>
        <v>84.47517886317118</v>
      </c>
      <c r="M63" s="44">
        <f t="shared" si="12"/>
        <v>16.987606207425003</v>
      </c>
      <c r="N63" s="44">
        <f t="shared" si="12"/>
        <v>21.761423296110362</v>
      </c>
      <c r="O63" s="44">
        <f t="shared" si="12"/>
        <v>22.354348987609708</v>
      </c>
      <c r="P63" s="44">
        <f t="shared" si="12"/>
        <v>22.129518197127201</v>
      </c>
      <c r="Q63" s="44">
        <f t="shared" si="12"/>
        <v>7.7720958473739845</v>
      </c>
      <c r="R63" s="44">
        <f t="shared" si="12"/>
        <v>17.871154034846406</v>
      </c>
      <c r="S63" s="44">
        <f t="shared" si="12"/>
        <v>16.050187701430801</v>
      </c>
      <c r="T63" s="44">
        <f t="shared" si="12"/>
        <v>3.7951822641539512</v>
      </c>
      <c r="U63" s="44">
        <f t="shared" si="12"/>
        <v>11.169738774448778</v>
      </c>
      <c r="V63" s="44">
        <f t="shared" si="12"/>
        <v>8.7490121636504146</v>
      </c>
      <c r="W63" s="44">
        <f t="shared" si="12"/>
        <v>17.309502581956203</v>
      </c>
      <c r="X63" s="44">
        <f t="shared" si="12"/>
        <v>10.252063547736121</v>
      </c>
      <c r="Y63" s="44">
        <f t="shared" si="12"/>
        <v>6.5120303736476988</v>
      </c>
      <c r="Z63" s="44">
        <f t="shared" si="12"/>
        <v>10.241989206331686</v>
      </c>
      <c r="AA63" s="44">
        <f t="shared" si="12"/>
        <v>9.25645159165785</v>
      </c>
      <c r="AB63" s="44">
        <f t="shared" si="12"/>
        <v>7.0141084962923568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spans="2:55" x14ac:dyDescent="0.35">
      <c r="B64" t="s">
        <v>69</v>
      </c>
      <c r="C64" s="42">
        <f t="shared" ref="C64:AB64" si="14">C$46*C42</f>
        <v>1032.0131885997598</v>
      </c>
      <c r="D64" s="42">
        <f t="shared" si="14"/>
        <v>160.07710755671999</v>
      </c>
      <c r="E64" s="42">
        <f t="shared" si="14"/>
        <v>164.31895432008</v>
      </c>
      <c r="F64" s="42">
        <f t="shared" si="14"/>
        <v>260.41859474111999</v>
      </c>
      <c r="G64" s="42">
        <f t="shared" si="14"/>
        <v>84.025221644159998</v>
      </c>
      <c r="H64" s="42">
        <f t="shared" si="14"/>
        <v>131.18892710400002</v>
      </c>
      <c r="I64" s="42">
        <f t="shared" si="14"/>
        <v>72.481882224960003</v>
      </c>
      <c r="J64" s="42">
        <f t="shared" si="14"/>
        <v>80.414310733920004</v>
      </c>
      <c r="K64" s="42">
        <f t="shared" si="14"/>
        <v>177.72241124736001</v>
      </c>
      <c r="L64" s="42">
        <f t="shared" si="14"/>
        <v>677.20662595872</v>
      </c>
      <c r="M64" s="42">
        <f t="shared" si="14"/>
        <v>119.95795928592003</v>
      </c>
      <c r="N64" s="42">
        <f t="shared" si="14"/>
        <v>221.88108820914005</v>
      </c>
      <c r="O64" s="42">
        <f t="shared" si="14"/>
        <v>148.90398743412001</v>
      </c>
      <c r="P64" s="42">
        <f t="shared" si="14"/>
        <v>183.77717888511003</v>
      </c>
      <c r="Q64" s="42">
        <f t="shared" si="14"/>
        <v>66.194599898700005</v>
      </c>
      <c r="R64" s="42">
        <f t="shared" si="14"/>
        <v>153.76009752900003</v>
      </c>
      <c r="S64" s="42">
        <f t="shared" si="14"/>
        <v>125.77967633267998</v>
      </c>
      <c r="T64" s="42">
        <f t="shared" si="14"/>
        <v>28.311331053599996</v>
      </c>
      <c r="U64" s="42">
        <f t="shared" si="14"/>
        <v>93.460509265319999</v>
      </c>
      <c r="V64" s="42">
        <f t="shared" si="14"/>
        <v>71.505311601509987</v>
      </c>
      <c r="W64" s="42">
        <f t="shared" si="14"/>
        <v>124.6989992094</v>
      </c>
      <c r="X64" s="42">
        <f t="shared" si="14"/>
        <v>86.486621734799996</v>
      </c>
      <c r="Y64" s="42">
        <f t="shared" si="14"/>
        <v>55.721800114199986</v>
      </c>
      <c r="Z64" s="42">
        <f t="shared" si="14"/>
        <v>75.955423466160056</v>
      </c>
      <c r="AA64" s="42">
        <f t="shared" si="14"/>
        <v>66.75156632340007</v>
      </c>
      <c r="AB64" s="42">
        <f t="shared" si="14"/>
        <v>46.088789288220042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spans="2:55" x14ac:dyDescent="0.35">
      <c r="B65" t="s">
        <v>163</v>
      </c>
      <c r="C65" s="42">
        <f t="shared" ref="C65:AB65" si="15">C$46*C43</f>
        <v>714.60809366400076</v>
      </c>
      <c r="D65" s="42">
        <f t="shared" si="15"/>
        <v>109.4155269134401</v>
      </c>
      <c r="E65" s="42">
        <f t="shared" si="15"/>
        <v>121.74578950392009</v>
      </c>
      <c r="F65" s="42">
        <f t="shared" si="15"/>
        <v>215.27738524080021</v>
      </c>
      <c r="G65" s="42">
        <f t="shared" si="15"/>
        <v>60.802423575840066</v>
      </c>
      <c r="H65" s="42">
        <f t="shared" si="15"/>
        <v>96.205213209600089</v>
      </c>
      <c r="I65" s="42">
        <f t="shared" si="15"/>
        <v>54.925716980160054</v>
      </c>
      <c r="J65" s="42">
        <f t="shared" si="15"/>
        <v>71.829153004320062</v>
      </c>
      <c r="K65" s="42">
        <f t="shared" si="15"/>
        <v>114.52021636608011</v>
      </c>
      <c r="L65" s="42">
        <f t="shared" si="15"/>
        <v>417.38466931200043</v>
      </c>
      <c r="M65" s="42">
        <f t="shared" si="15"/>
        <v>93.199187337480097</v>
      </c>
      <c r="N65" s="42">
        <f t="shared" si="15"/>
        <v>137.53627516656019</v>
      </c>
      <c r="O65" s="42">
        <f t="shared" si="15"/>
        <v>121.73468689467012</v>
      </c>
      <c r="P65" s="42">
        <f t="shared" si="15"/>
        <v>155.90722058748014</v>
      </c>
      <c r="Q65" s="42">
        <f t="shared" si="15"/>
        <v>43.509341790180045</v>
      </c>
      <c r="R65" s="42">
        <f t="shared" si="15"/>
        <v>115.38278118000012</v>
      </c>
      <c r="S65" s="42">
        <f t="shared" si="15"/>
        <v>100.00953033246009</v>
      </c>
      <c r="T65" s="42">
        <f t="shared" si="15"/>
        <v>22.994324977680023</v>
      </c>
      <c r="U65" s="42">
        <f t="shared" si="15"/>
        <v>79.767069551640063</v>
      </c>
      <c r="V65" s="42">
        <f t="shared" si="15"/>
        <v>46.709997022710041</v>
      </c>
      <c r="W65" s="42">
        <f t="shared" si="15"/>
        <v>95.12611402140007</v>
      </c>
      <c r="X65" s="42">
        <f t="shared" si="15"/>
        <v>63.859032687600056</v>
      </c>
      <c r="Y65" s="42">
        <f t="shared" si="15"/>
        <v>37.054530394200036</v>
      </c>
      <c r="Z65" s="42">
        <f t="shared" si="15"/>
        <v>54.620118590940095</v>
      </c>
      <c r="AA65" s="42">
        <f t="shared" si="15"/>
        <v>42.83650134036008</v>
      </c>
      <c r="AB65" s="42">
        <f t="shared" si="15"/>
        <v>36.903167715960066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2:55" x14ac:dyDescent="0.35"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2:55" x14ac:dyDescent="0.35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2:55" x14ac:dyDescent="0.3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spans="2:55" x14ac:dyDescent="0.35"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spans="2:55" x14ac:dyDescent="0.35">
      <c r="B70" s="53">
        <f>SUM(C70:AB70)</f>
        <v>121144</v>
      </c>
      <c r="C70" s="52">
        <f>SUM(C73,C79,C84,C88:C89)</f>
        <v>26369</v>
      </c>
      <c r="D70" s="52">
        <f t="shared" ref="D70:AB70" si="16">SUM(D73,D79,D84,D88:D89)</f>
        <v>4069</v>
      </c>
      <c r="E70" s="52">
        <f t="shared" si="16"/>
        <v>3937</v>
      </c>
      <c r="F70" s="52">
        <f t="shared" si="16"/>
        <v>6571</v>
      </c>
      <c r="G70" s="52">
        <f t="shared" si="16"/>
        <v>2464</v>
      </c>
      <c r="H70" s="52">
        <f t="shared" si="16"/>
        <v>3415</v>
      </c>
      <c r="I70" s="52">
        <f t="shared" si="16"/>
        <v>2098</v>
      </c>
      <c r="J70" s="52">
        <f t="shared" si="16"/>
        <v>2479</v>
      </c>
      <c r="K70" s="52">
        <f t="shared" si="16"/>
        <v>4504</v>
      </c>
      <c r="L70" s="52">
        <f t="shared" si="16"/>
        <v>18740</v>
      </c>
      <c r="M70" s="52">
        <f t="shared" si="16"/>
        <v>3895</v>
      </c>
      <c r="N70" s="52">
        <f t="shared" si="16"/>
        <v>5473</v>
      </c>
      <c r="O70" s="52">
        <f t="shared" si="16"/>
        <v>3897</v>
      </c>
      <c r="P70" s="52">
        <f t="shared" si="16"/>
        <v>5267</v>
      </c>
      <c r="Q70" s="52">
        <f t="shared" si="16"/>
        <v>1744</v>
      </c>
      <c r="R70" s="52">
        <f t="shared" si="16"/>
        <v>4298</v>
      </c>
      <c r="S70" s="52">
        <f t="shared" si="16"/>
        <v>3427</v>
      </c>
      <c r="T70" s="52">
        <f t="shared" si="16"/>
        <v>915</v>
      </c>
      <c r="U70" s="52">
        <f t="shared" si="16"/>
        <v>2725</v>
      </c>
      <c r="V70" s="52">
        <f t="shared" si="16"/>
        <v>1968</v>
      </c>
      <c r="W70" s="52">
        <f t="shared" si="16"/>
        <v>3427</v>
      </c>
      <c r="X70" s="52">
        <f t="shared" si="16"/>
        <v>2214</v>
      </c>
      <c r="Y70" s="52">
        <f t="shared" si="16"/>
        <v>1578</v>
      </c>
      <c r="Z70" s="52">
        <f t="shared" si="16"/>
        <v>2244</v>
      </c>
      <c r="AA70" s="52">
        <f t="shared" si="16"/>
        <v>1908</v>
      </c>
      <c r="AB70" s="52">
        <f t="shared" si="16"/>
        <v>1518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2:55" x14ac:dyDescent="0.35">
      <c r="C71" s="46" t="s">
        <v>15</v>
      </c>
      <c r="D71" s="46" t="s">
        <v>3</v>
      </c>
      <c r="E71" s="46" t="s">
        <v>31</v>
      </c>
      <c r="F71" s="46" t="s">
        <v>32</v>
      </c>
      <c r="G71" s="46" t="s">
        <v>8</v>
      </c>
      <c r="H71" s="46" t="s">
        <v>7</v>
      </c>
      <c r="I71" s="46" t="s">
        <v>29</v>
      </c>
      <c r="J71" s="46" t="s">
        <v>16</v>
      </c>
      <c r="K71" s="47" t="s">
        <v>17</v>
      </c>
      <c r="L71" s="46" t="s">
        <v>9</v>
      </c>
      <c r="M71" s="46" t="s">
        <v>11</v>
      </c>
      <c r="N71" s="46" t="s">
        <v>10</v>
      </c>
      <c r="O71" s="46" t="s">
        <v>23</v>
      </c>
      <c r="P71" s="46" t="s">
        <v>24</v>
      </c>
      <c r="Q71" s="46" t="s">
        <v>34</v>
      </c>
      <c r="R71" s="46" t="s">
        <v>35</v>
      </c>
      <c r="S71" s="46" t="s">
        <v>27</v>
      </c>
      <c r="T71" s="46" t="s">
        <v>20</v>
      </c>
      <c r="U71" s="46" t="s">
        <v>5</v>
      </c>
      <c r="V71" s="46" t="s">
        <v>6</v>
      </c>
      <c r="W71" s="46" t="s">
        <v>30</v>
      </c>
      <c r="X71" s="46" t="s">
        <v>50</v>
      </c>
      <c r="Y71" s="46" t="s">
        <v>54</v>
      </c>
      <c r="Z71" s="46" t="s">
        <v>12</v>
      </c>
      <c r="AA71" s="46" t="s">
        <v>52</v>
      </c>
      <c r="AB71" s="46" t="s">
        <v>53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spans="2:55" ht="15.5" x14ac:dyDescent="0.35">
      <c r="B72" s="31" t="s">
        <v>55</v>
      </c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spans="2:55" x14ac:dyDescent="0.35">
      <c r="B73" t="s">
        <v>56</v>
      </c>
      <c r="C73" s="50">
        <f>SUM(C74:C78)</f>
        <v>5438</v>
      </c>
      <c r="D73" s="50">
        <f t="shared" ref="D73:AB73" si="17">SUM(D74:D78)</f>
        <v>703</v>
      </c>
      <c r="E73" s="50">
        <f t="shared" si="17"/>
        <v>626</v>
      </c>
      <c r="F73" s="50">
        <f t="shared" si="17"/>
        <v>1219</v>
      </c>
      <c r="G73" s="50">
        <f t="shared" si="17"/>
        <v>577</v>
      </c>
      <c r="H73" s="50">
        <f t="shared" si="17"/>
        <v>706</v>
      </c>
      <c r="I73" s="50">
        <f t="shared" si="17"/>
        <v>442</v>
      </c>
      <c r="J73" s="50">
        <f t="shared" si="17"/>
        <v>510</v>
      </c>
      <c r="K73" s="50">
        <f t="shared" si="17"/>
        <v>868</v>
      </c>
      <c r="L73" s="50">
        <f t="shared" si="17"/>
        <v>3566</v>
      </c>
      <c r="M73" s="50">
        <f t="shared" si="17"/>
        <v>776</v>
      </c>
      <c r="N73" s="50">
        <f t="shared" si="17"/>
        <v>1178</v>
      </c>
      <c r="O73" s="50">
        <f t="shared" si="17"/>
        <v>708</v>
      </c>
      <c r="P73" s="50">
        <f t="shared" si="17"/>
        <v>1089</v>
      </c>
      <c r="Q73" s="50">
        <f t="shared" si="17"/>
        <v>320</v>
      </c>
      <c r="R73" s="50">
        <f t="shared" si="17"/>
        <v>796</v>
      </c>
      <c r="S73" s="50">
        <f t="shared" si="17"/>
        <v>656</v>
      </c>
      <c r="T73" s="50">
        <f t="shared" si="17"/>
        <v>208</v>
      </c>
      <c r="U73" s="50">
        <f t="shared" si="17"/>
        <v>614</v>
      </c>
      <c r="V73" s="50">
        <f t="shared" si="17"/>
        <v>364</v>
      </c>
      <c r="W73" s="50">
        <f t="shared" si="17"/>
        <v>689</v>
      </c>
      <c r="X73" s="50">
        <f t="shared" si="17"/>
        <v>422</v>
      </c>
      <c r="Y73" s="50">
        <f t="shared" si="17"/>
        <v>355</v>
      </c>
      <c r="Z73" s="50">
        <f t="shared" si="17"/>
        <v>493</v>
      </c>
      <c r="AA73" s="50">
        <f t="shared" si="17"/>
        <v>359</v>
      </c>
      <c r="AB73" s="50">
        <f t="shared" si="17"/>
        <v>304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2:55" x14ac:dyDescent="0.35">
      <c r="B74" s="54" t="s">
        <v>57</v>
      </c>
      <c r="C74" s="49">
        <f>ROUND(C50/C6*10^6,0)</f>
        <v>2415</v>
      </c>
      <c r="D74" s="49">
        <f t="shared" ref="D74:AB74" si="18">ROUND(D50/D6*10^6,0)</f>
        <v>313</v>
      </c>
      <c r="E74" s="49">
        <f t="shared" si="18"/>
        <v>279</v>
      </c>
      <c r="F74" s="49">
        <f t="shared" si="18"/>
        <v>554</v>
      </c>
      <c r="G74" s="49">
        <f t="shared" si="18"/>
        <v>269</v>
      </c>
      <c r="H74" s="49">
        <f t="shared" si="18"/>
        <v>322</v>
      </c>
      <c r="I74" s="49">
        <f t="shared" si="18"/>
        <v>202</v>
      </c>
      <c r="J74" s="49">
        <f t="shared" si="18"/>
        <v>234</v>
      </c>
      <c r="K74" s="49">
        <f t="shared" si="18"/>
        <v>387</v>
      </c>
      <c r="L74" s="49">
        <f t="shared" si="18"/>
        <v>1612</v>
      </c>
      <c r="M74" s="49">
        <f t="shared" si="18"/>
        <v>346</v>
      </c>
      <c r="N74" s="49">
        <f t="shared" si="18"/>
        <v>520</v>
      </c>
      <c r="O74" s="49">
        <f t="shared" si="18"/>
        <v>331</v>
      </c>
      <c r="P74" s="49">
        <f t="shared" si="18"/>
        <v>483</v>
      </c>
      <c r="Q74" s="49">
        <f t="shared" si="18"/>
        <v>142</v>
      </c>
      <c r="R74" s="49">
        <f t="shared" si="18"/>
        <v>360</v>
      </c>
      <c r="S74" s="49">
        <f t="shared" si="18"/>
        <v>298</v>
      </c>
      <c r="T74" s="49">
        <f t="shared" si="18"/>
        <v>92</v>
      </c>
      <c r="U74" s="49">
        <f t="shared" si="18"/>
        <v>279</v>
      </c>
      <c r="V74" s="49">
        <f t="shared" si="18"/>
        <v>170</v>
      </c>
      <c r="W74" s="49">
        <f t="shared" si="18"/>
        <v>320</v>
      </c>
      <c r="X74" s="49">
        <f t="shared" si="18"/>
        <v>195</v>
      </c>
      <c r="Y74" s="49">
        <f t="shared" si="18"/>
        <v>159</v>
      </c>
      <c r="Z74" s="49">
        <f t="shared" si="18"/>
        <v>228</v>
      </c>
      <c r="AA74" s="49">
        <f t="shared" si="18"/>
        <v>168</v>
      </c>
      <c r="AB74" s="49">
        <f t="shared" si="18"/>
        <v>139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spans="2:55" x14ac:dyDescent="0.35">
      <c r="B75" s="54" t="s">
        <v>58</v>
      </c>
      <c r="C75" s="49">
        <f t="shared" ref="C75:AB75" si="19">ROUND(C51/C7*10^6,0)</f>
        <v>1195</v>
      </c>
      <c r="D75" s="49">
        <f t="shared" si="19"/>
        <v>158</v>
      </c>
      <c r="E75" s="49">
        <f t="shared" si="19"/>
        <v>136</v>
      </c>
      <c r="F75" s="49">
        <f t="shared" si="19"/>
        <v>256</v>
      </c>
      <c r="G75" s="49">
        <f t="shared" si="19"/>
        <v>119</v>
      </c>
      <c r="H75" s="49">
        <f t="shared" si="19"/>
        <v>146</v>
      </c>
      <c r="I75" s="49">
        <f t="shared" si="19"/>
        <v>102</v>
      </c>
      <c r="J75" s="49">
        <f t="shared" si="19"/>
        <v>106</v>
      </c>
      <c r="K75" s="49">
        <f t="shared" si="19"/>
        <v>200</v>
      </c>
      <c r="L75" s="49">
        <f t="shared" si="19"/>
        <v>758</v>
      </c>
      <c r="M75" s="49">
        <f t="shared" si="19"/>
        <v>163</v>
      </c>
      <c r="N75" s="49">
        <f t="shared" si="19"/>
        <v>264</v>
      </c>
      <c r="O75" s="49">
        <f t="shared" si="19"/>
        <v>150</v>
      </c>
      <c r="P75" s="49">
        <f t="shared" si="19"/>
        <v>224</v>
      </c>
      <c r="Q75" s="49">
        <f t="shared" si="19"/>
        <v>72</v>
      </c>
      <c r="R75" s="49">
        <f t="shared" si="19"/>
        <v>166</v>
      </c>
      <c r="S75" s="49">
        <f t="shared" si="19"/>
        <v>137</v>
      </c>
      <c r="T75" s="49">
        <f t="shared" si="19"/>
        <v>48</v>
      </c>
      <c r="U75" s="49">
        <f t="shared" si="19"/>
        <v>131</v>
      </c>
      <c r="V75" s="49">
        <f t="shared" si="19"/>
        <v>75</v>
      </c>
      <c r="W75" s="49">
        <f t="shared" si="19"/>
        <v>158</v>
      </c>
      <c r="X75" s="49">
        <f t="shared" si="19"/>
        <v>87</v>
      </c>
      <c r="Y75" s="49">
        <f t="shared" si="19"/>
        <v>78</v>
      </c>
      <c r="Z75" s="49">
        <f t="shared" si="19"/>
        <v>104</v>
      </c>
      <c r="AA75" s="49">
        <f t="shared" si="19"/>
        <v>73</v>
      </c>
      <c r="AB75" s="49">
        <f t="shared" si="19"/>
        <v>67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spans="2:55" x14ac:dyDescent="0.35">
      <c r="B76" s="54" t="s">
        <v>59</v>
      </c>
      <c r="C76" s="49">
        <f t="shared" ref="C76:AB76" si="20">ROUND(C52/C8*10^6,0)</f>
        <v>498</v>
      </c>
      <c r="D76" s="49">
        <f t="shared" si="20"/>
        <v>74</v>
      </c>
      <c r="E76" s="49">
        <f t="shared" si="20"/>
        <v>59</v>
      </c>
      <c r="F76" s="49">
        <f t="shared" si="20"/>
        <v>108</v>
      </c>
      <c r="G76" s="49">
        <f t="shared" si="20"/>
        <v>51</v>
      </c>
      <c r="H76" s="49">
        <f t="shared" si="20"/>
        <v>58</v>
      </c>
      <c r="I76" s="49">
        <f t="shared" si="20"/>
        <v>41</v>
      </c>
      <c r="J76" s="49">
        <f t="shared" si="20"/>
        <v>42</v>
      </c>
      <c r="K76" s="49">
        <f t="shared" si="20"/>
        <v>76</v>
      </c>
      <c r="L76" s="49">
        <f t="shared" si="20"/>
        <v>327</v>
      </c>
      <c r="M76" s="49">
        <f t="shared" si="20"/>
        <v>80</v>
      </c>
      <c r="N76" s="49">
        <f t="shared" si="20"/>
        <v>104</v>
      </c>
      <c r="O76" s="49">
        <f t="shared" si="20"/>
        <v>73</v>
      </c>
      <c r="P76" s="49">
        <f t="shared" si="20"/>
        <v>105</v>
      </c>
      <c r="Q76" s="49">
        <f t="shared" si="20"/>
        <v>28</v>
      </c>
      <c r="R76" s="49">
        <f t="shared" si="20"/>
        <v>65</v>
      </c>
      <c r="S76" s="49">
        <f t="shared" si="20"/>
        <v>61</v>
      </c>
      <c r="T76" s="49">
        <f t="shared" si="20"/>
        <v>21</v>
      </c>
      <c r="U76" s="49">
        <f t="shared" si="20"/>
        <v>63</v>
      </c>
      <c r="V76" s="49">
        <f t="shared" si="20"/>
        <v>35</v>
      </c>
      <c r="W76" s="49">
        <f t="shared" si="20"/>
        <v>56</v>
      </c>
      <c r="X76" s="49">
        <f t="shared" si="20"/>
        <v>36</v>
      </c>
      <c r="Y76" s="49">
        <f t="shared" si="20"/>
        <v>32</v>
      </c>
      <c r="Z76" s="49">
        <f t="shared" si="20"/>
        <v>46</v>
      </c>
      <c r="AA76" s="49">
        <f t="shared" si="20"/>
        <v>35</v>
      </c>
      <c r="AB76" s="49">
        <f t="shared" si="20"/>
        <v>27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spans="2:55" x14ac:dyDescent="0.35">
      <c r="B77" s="54" t="s">
        <v>60</v>
      </c>
      <c r="C77" s="49">
        <f t="shared" ref="C77:AB77" si="21">ROUND(C53/C9*10^6,0)</f>
        <v>653</v>
      </c>
      <c r="D77" s="49">
        <f t="shared" si="21"/>
        <v>89</v>
      </c>
      <c r="E77" s="49">
        <f t="shared" si="21"/>
        <v>82</v>
      </c>
      <c r="F77" s="49">
        <f t="shared" si="21"/>
        <v>144</v>
      </c>
      <c r="G77" s="49">
        <f t="shared" si="21"/>
        <v>80</v>
      </c>
      <c r="H77" s="49">
        <f t="shared" si="21"/>
        <v>98</v>
      </c>
      <c r="I77" s="49">
        <f t="shared" si="21"/>
        <v>51</v>
      </c>
      <c r="J77" s="49">
        <f t="shared" si="21"/>
        <v>71</v>
      </c>
      <c r="K77" s="49">
        <f t="shared" si="21"/>
        <v>113</v>
      </c>
      <c r="L77" s="49">
        <f t="shared" si="21"/>
        <v>430</v>
      </c>
      <c r="M77" s="49">
        <f t="shared" si="21"/>
        <v>103</v>
      </c>
      <c r="N77" s="49">
        <f t="shared" si="21"/>
        <v>163</v>
      </c>
      <c r="O77" s="49">
        <f t="shared" si="21"/>
        <v>83</v>
      </c>
      <c r="P77" s="49">
        <f t="shared" si="21"/>
        <v>140</v>
      </c>
      <c r="Q77" s="49">
        <f t="shared" si="21"/>
        <v>39</v>
      </c>
      <c r="R77" s="49">
        <f t="shared" si="21"/>
        <v>94</v>
      </c>
      <c r="S77" s="49">
        <f t="shared" si="21"/>
        <v>90</v>
      </c>
      <c r="T77" s="49">
        <f t="shared" si="21"/>
        <v>27</v>
      </c>
      <c r="U77" s="49">
        <f t="shared" si="21"/>
        <v>82</v>
      </c>
      <c r="V77" s="49">
        <f t="shared" si="21"/>
        <v>44</v>
      </c>
      <c r="W77" s="49">
        <f t="shared" si="21"/>
        <v>94</v>
      </c>
      <c r="X77" s="49">
        <f t="shared" si="21"/>
        <v>56</v>
      </c>
      <c r="Y77" s="49">
        <f t="shared" si="21"/>
        <v>45</v>
      </c>
      <c r="Z77" s="49">
        <f t="shared" si="21"/>
        <v>59</v>
      </c>
      <c r="AA77" s="49">
        <f t="shared" si="21"/>
        <v>47</v>
      </c>
      <c r="AB77" s="49">
        <f t="shared" si="21"/>
        <v>41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2:55" x14ac:dyDescent="0.35">
      <c r="B78" s="54" t="s">
        <v>61</v>
      </c>
      <c r="C78" s="49">
        <f t="shared" ref="C78:AB78" si="22">ROUND(C54/C10*10^6,0)</f>
        <v>677</v>
      </c>
      <c r="D78" s="49">
        <f t="shared" si="22"/>
        <v>69</v>
      </c>
      <c r="E78" s="49">
        <f t="shared" si="22"/>
        <v>70</v>
      </c>
      <c r="F78" s="49">
        <f t="shared" si="22"/>
        <v>157</v>
      </c>
      <c r="G78" s="49">
        <f t="shared" si="22"/>
        <v>58</v>
      </c>
      <c r="H78" s="49">
        <f t="shared" si="22"/>
        <v>82</v>
      </c>
      <c r="I78" s="49">
        <f t="shared" si="22"/>
        <v>46</v>
      </c>
      <c r="J78" s="49">
        <f t="shared" si="22"/>
        <v>57</v>
      </c>
      <c r="K78" s="49">
        <f t="shared" si="22"/>
        <v>92</v>
      </c>
      <c r="L78" s="49">
        <f t="shared" si="22"/>
        <v>439</v>
      </c>
      <c r="M78" s="49">
        <f t="shared" si="22"/>
        <v>84</v>
      </c>
      <c r="N78" s="49">
        <f t="shared" si="22"/>
        <v>127</v>
      </c>
      <c r="O78" s="49">
        <f t="shared" si="22"/>
        <v>71</v>
      </c>
      <c r="P78" s="49">
        <f t="shared" si="22"/>
        <v>137</v>
      </c>
      <c r="Q78" s="49">
        <f t="shared" si="22"/>
        <v>39</v>
      </c>
      <c r="R78" s="49">
        <f t="shared" si="22"/>
        <v>111</v>
      </c>
      <c r="S78" s="49">
        <f t="shared" si="22"/>
        <v>70</v>
      </c>
      <c r="T78" s="49">
        <f t="shared" si="22"/>
        <v>20</v>
      </c>
      <c r="U78" s="49">
        <f t="shared" si="22"/>
        <v>59</v>
      </c>
      <c r="V78" s="49">
        <f t="shared" si="22"/>
        <v>40</v>
      </c>
      <c r="W78" s="49">
        <f t="shared" si="22"/>
        <v>61</v>
      </c>
      <c r="X78" s="49">
        <f t="shared" si="22"/>
        <v>48</v>
      </c>
      <c r="Y78" s="49">
        <f t="shared" si="22"/>
        <v>41</v>
      </c>
      <c r="Z78" s="49">
        <f t="shared" si="22"/>
        <v>56</v>
      </c>
      <c r="AA78" s="49">
        <f t="shared" si="22"/>
        <v>36</v>
      </c>
      <c r="AB78" s="49">
        <f t="shared" si="22"/>
        <v>30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2:55" x14ac:dyDescent="0.35">
      <c r="B79" t="s">
        <v>62</v>
      </c>
      <c r="C79" s="50">
        <f>SUM(C80:C83)</f>
        <v>9290</v>
      </c>
      <c r="D79" s="50">
        <f t="shared" ref="D79:AB79" si="23">SUM(D80:D83)</f>
        <v>1435</v>
      </c>
      <c r="E79" s="50">
        <f t="shared" si="23"/>
        <v>1388</v>
      </c>
      <c r="F79" s="50">
        <f t="shared" si="23"/>
        <v>2303</v>
      </c>
      <c r="G79" s="50">
        <f t="shared" si="23"/>
        <v>843</v>
      </c>
      <c r="H79" s="50">
        <f t="shared" si="23"/>
        <v>1160</v>
      </c>
      <c r="I79" s="50">
        <f t="shared" si="23"/>
        <v>708</v>
      </c>
      <c r="J79" s="50">
        <f t="shared" si="23"/>
        <v>864</v>
      </c>
      <c r="K79" s="50">
        <f t="shared" si="23"/>
        <v>1481</v>
      </c>
      <c r="L79" s="50">
        <f t="shared" si="23"/>
        <v>6346</v>
      </c>
      <c r="M79" s="50">
        <f t="shared" si="23"/>
        <v>1415</v>
      </c>
      <c r="N79" s="50">
        <f t="shared" si="23"/>
        <v>1764</v>
      </c>
      <c r="O79" s="50">
        <f t="shared" si="23"/>
        <v>1338</v>
      </c>
      <c r="P79" s="50">
        <f t="shared" si="23"/>
        <v>1750</v>
      </c>
      <c r="Q79" s="50">
        <f t="shared" si="23"/>
        <v>618</v>
      </c>
      <c r="R79" s="50">
        <f t="shared" si="23"/>
        <v>1525</v>
      </c>
      <c r="S79" s="50">
        <f t="shared" si="23"/>
        <v>1121</v>
      </c>
      <c r="T79" s="50">
        <f t="shared" si="23"/>
        <v>313</v>
      </c>
      <c r="U79" s="50">
        <f t="shared" si="23"/>
        <v>908</v>
      </c>
      <c r="V79" s="50">
        <f t="shared" si="23"/>
        <v>657</v>
      </c>
      <c r="W79" s="50">
        <f t="shared" si="23"/>
        <v>1191</v>
      </c>
      <c r="X79" s="50">
        <f t="shared" si="23"/>
        <v>776</v>
      </c>
      <c r="Y79" s="50">
        <f t="shared" si="23"/>
        <v>525</v>
      </c>
      <c r="Z79" s="50">
        <f t="shared" si="23"/>
        <v>758</v>
      </c>
      <c r="AA79" s="50">
        <f t="shared" si="23"/>
        <v>641</v>
      </c>
      <c r="AB79" s="50">
        <f t="shared" si="23"/>
        <v>539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2:55" x14ac:dyDescent="0.35">
      <c r="B80" s="54" t="s">
        <v>63</v>
      </c>
      <c r="C80" s="49">
        <f t="shared" ref="C80:AB80" si="24">ROUND(C56/C12*10^6,0)</f>
        <v>5496</v>
      </c>
      <c r="D80" s="49">
        <f t="shared" si="24"/>
        <v>837</v>
      </c>
      <c r="E80" s="49">
        <f t="shared" si="24"/>
        <v>839</v>
      </c>
      <c r="F80" s="49">
        <f t="shared" si="24"/>
        <v>1351</v>
      </c>
      <c r="G80" s="49">
        <f t="shared" si="24"/>
        <v>493</v>
      </c>
      <c r="H80" s="49">
        <f t="shared" si="24"/>
        <v>688</v>
      </c>
      <c r="I80" s="49">
        <f t="shared" si="24"/>
        <v>424</v>
      </c>
      <c r="J80" s="49">
        <f t="shared" si="24"/>
        <v>501</v>
      </c>
      <c r="K80" s="49">
        <f t="shared" si="24"/>
        <v>890</v>
      </c>
      <c r="L80" s="49">
        <f t="shared" si="24"/>
        <v>3766</v>
      </c>
      <c r="M80" s="49">
        <f t="shared" si="24"/>
        <v>865</v>
      </c>
      <c r="N80" s="49">
        <f t="shared" si="24"/>
        <v>1072</v>
      </c>
      <c r="O80" s="49">
        <f t="shared" si="24"/>
        <v>808</v>
      </c>
      <c r="P80" s="49">
        <f t="shared" si="24"/>
        <v>1036</v>
      </c>
      <c r="Q80" s="49">
        <f t="shared" si="24"/>
        <v>367</v>
      </c>
      <c r="R80" s="49">
        <f t="shared" si="24"/>
        <v>932</v>
      </c>
      <c r="S80" s="49">
        <f t="shared" si="24"/>
        <v>664</v>
      </c>
      <c r="T80" s="49">
        <f t="shared" si="24"/>
        <v>185</v>
      </c>
      <c r="U80" s="49">
        <f t="shared" si="24"/>
        <v>536</v>
      </c>
      <c r="V80" s="49">
        <f t="shared" si="24"/>
        <v>405</v>
      </c>
      <c r="W80" s="49">
        <f t="shared" si="24"/>
        <v>724</v>
      </c>
      <c r="X80" s="49">
        <f t="shared" si="24"/>
        <v>454</v>
      </c>
      <c r="Y80" s="49">
        <f t="shared" si="24"/>
        <v>316</v>
      </c>
      <c r="Z80" s="49">
        <f t="shared" si="24"/>
        <v>459</v>
      </c>
      <c r="AA80" s="49">
        <f t="shared" si="24"/>
        <v>390</v>
      </c>
      <c r="AB80" s="49">
        <f t="shared" si="24"/>
        <v>323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spans="2:55" x14ac:dyDescent="0.35">
      <c r="B81" s="54" t="s">
        <v>64</v>
      </c>
      <c r="C81" s="49">
        <f t="shared" ref="C81:AB81" si="25">ROUND(C57/C13*10^6,0)</f>
        <v>2004</v>
      </c>
      <c r="D81" s="49">
        <f t="shared" si="25"/>
        <v>345</v>
      </c>
      <c r="E81" s="49">
        <f t="shared" si="25"/>
        <v>301</v>
      </c>
      <c r="F81" s="49">
        <f t="shared" si="25"/>
        <v>491</v>
      </c>
      <c r="G81" s="49">
        <f t="shared" si="25"/>
        <v>194</v>
      </c>
      <c r="H81" s="49">
        <f t="shared" si="25"/>
        <v>255</v>
      </c>
      <c r="I81" s="49">
        <f t="shared" si="25"/>
        <v>155</v>
      </c>
      <c r="J81" s="49">
        <f t="shared" si="25"/>
        <v>197</v>
      </c>
      <c r="K81" s="49">
        <f t="shared" si="25"/>
        <v>338</v>
      </c>
      <c r="L81" s="49">
        <f t="shared" si="25"/>
        <v>1352</v>
      </c>
      <c r="M81" s="49">
        <f t="shared" si="25"/>
        <v>315</v>
      </c>
      <c r="N81" s="49">
        <f t="shared" si="25"/>
        <v>403</v>
      </c>
      <c r="O81" s="49">
        <f t="shared" si="25"/>
        <v>303</v>
      </c>
      <c r="P81" s="49">
        <f t="shared" si="25"/>
        <v>396</v>
      </c>
      <c r="Q81" s="49">
        <f t="shared" si="25"/>
        <v>140</v>
      </c>
      <c r="R81" s="49">
        <f t="shared" si="25"/>
        <v>313</v>
      </c>
      <c r="S81" s="49">
        <f t="shared" si="25"/>
        <v>239</v>
      </c>
      <c r="T81" s="49">
        <f t="shared" si="25"/>
        <v>70</v>
      </c>
      <c r="U81" s="49">
        <f t="shared" si="25"/>
        <v>203</v>
      </c>
      <c r="V81" s="49">
        <f t="shared" si="25"/>
        <v>134</v>
      </c>
      <c r="W81" s="49">
        <f t="shared" si="25"/>
        <v>259</v>
      </c>
      <c r="X81" s="49">
        <f t="shared" si="25"/>
        <v>182</v>
      </c>
      <c r="Y81" s="49">
        <f t="shared" si="25"/>
        <v>112</v>
      </c>
      <c r="Z81" s="49">
        <f t="shared" si="25"/>
        <v>168</v>
      </c>
      <c r="AA81" s="49">
        <f t="shared" si="25"/>
        <v>139</v>
      </c>
      <c r="AB81" s="49">
        <f t="shared" si="25"/>
        <v>112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2:55" x14ac:dyDescent="0.35">
      <c r="B82" s="54" t="s">
        <v>65</v>
      </c>
      <c r="C82" s="49">
        <f t="shared" ref="C82:AB82" si="26">ROUND(C58/C14*10^6,0)</f>
        <v>278</v>
      </c>
      <c r="D82" s="49">
        <f t="shared" si="26"/>
        <v>48</v>
      </c>
      <c r="E82" s="49">
        <f t="shared" si="26"/>
        <v>40</v>
      </c>
      <c r="F82" s="49">
        <f t="shared" si="26"/>
        <v>72</v>
      </c>
      <c r="G82" s="49">
        <f t="shared" si="26"/>
        <v>28</v>
      </c>
      <c r="H82" s="49">
        <f t="shared" si="26"/>
        <v>44</v>
      </c>
      <c r="I82" s="49">
        <f t="shared" si="26"/>
        <v>22</v>
      </c>
      <c r="J82" s="49">
        <f t="shared" si="26"/>
        <v>27</v>
      </c>
      <c r="K82" s="49">
        <f t="shared" si="26"/>
        <v>53</v>
      </c>
      <c r="L82" s="49">
        <f t="shared" si="26"/>
        <v>241</v>
      </c>
      <c r="M82" s="49">
        <f t="shared" si="26"/>
        <v>50</v>
      </c>
      <c r="N82" s="49">
        <f t="shared" si="26"/>
        <v>51</v>
      </c>
      <c r="O82" s="49">
        <f t="shared" si="26"/>
        <v>45</v>
      </c>
      <c r="P82" s="49">
        <f t="shared" si="26"/>
        <v>66</v>
      </c>
      <c r="Q82" s="49">
        <f t="shared" si="26"/>
        <v>20</v>
      </c>
      <c r="R82" s="49">
        <f t="shared" si="26"/>
        <v>51</v>
      </c>
      <c r="S82" s="49">
        <f t="shared" si="26"/>
        <v>33</v>
      </c>
      <c r="T82" s="49">
        <f t="shared" si="26"/>
        <v>9</v>
      </c>
      <c r="U82" s="49">
        <f t="shared" si="26"/>
        <v>35</v>
      </c>
      <c r="V82" s="49">
        <f t="shared" si="26"/>
        <v>20</v>
      </c>
      <c r="W82" s="49">
        <f t="shared" si="26"/>
        <v>41</v>
      </c>
      <c r="X82" s="49">
        <f t="shared" si="26"/>
        <v>29</v>
      </c>
      <c r="Y82" s="49">
        <f t="shared" si="26"/>
        <v>18</v>
      </c>
      <c r="Z82" s="49">
        <f t="shared" si="26"/>
        <v>25</v>
      </c>
      <c r="AA82" s="49">
        <f t="shared" si="26"/>
        <v>19</v>
      </c>
      <c r="AB82" s="49">
        <f t="shared" si="26"/>
        <v>20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spans="2:55" x14ac:dyDescent="0.35">
      <c r="B83" s="54" t="s">
        <v>66</v>
      </c>
      <c r="C83" s="49">
        <f t="shared" ref="C83:AB83" si="27">ROUND(C59/C15*10^6,0)</f>
        <v>1512</v>
      </c>
      <c r="D83" s="49">
        <f t="shared" si="27"/>
        <v>205</v>
      </c>
      <c r="E83" s="49">
        <f t="shared" si="27"/>
        <v>208</v>
      </c>
      <c r="F83" s="49">
        <f t="shared" si="27"/>
        <v>389</v>
      </c>
      <c r="G83" s="49">
        <f t="shared" si="27"/>
        <v>128</v>
      </c>
      <c r="H83" s="49">
        <f t="shared" si="27"/>
        <v>173</v>
      </c>
      <c r="I83" s="49">
        <f t="shared" si="27"/>
        <v>107</v>
      </c>
      <c r="J83" s="49">
        <f t="shared" si="27"/>
        <v>139</v>
      </c>
      <c r="K83" s="49">
        <f t="shared" si="27"/>
        <v>200</v>
      </c>
      <c r="L83" s="49">
        <f t="shared" si="27"/>
        <v>987</v>
      </c>
      <c r="M83" s="49">
        <f t="shared" si="27"/>
        <v>185</v>
      </c>
      <c r="N83" s="49">
        <f t="shared" si="27"/>
        <v>238</v>
      </c>
      <c r="O83" s="49">
        <f t="shared" si="27"/>
        <v>182</v>
      </c>
      <c r="P83" s="49">
        <f t="shared" si="27"/>
        <v>252</v>
      </c>
      <c r="Q83" s="49">
        <f t="shared" si="27"/>
        <v>91</v>
      </c>
      <c r="R83" s="49">
        <f t="shared" si="27"/>
        <v>229</v>
      </c>
      <c r="S83" s="49">
        <f t="shared" si="27"/>
        <v>185</v>
      </c>
      <c r="T83" s="49">
        <f t="shared" si="27"/>
        <v>49</v>
      </c>
      <c r="U83" s="49">
        <f t="shared" si="27"/>
        <v>134</v>
      </c>
      <c r="V83" s="49">
        <f t="shared" si="27"/>
        <v>98</v>
      </c>
      <c r="W83" s="49">
        <f t="shared" si="27"/>
        <v>167</v>
      </c>
      <c r="X83" s="49">
        <f t="shared" si="27"/>
        <v>111</v>
      </c>
      <c r="Y83" s="49">
        <f t="shared" si="27"/>
        <v>79</v>
      </c>
      <c r="Z83" s="49">
        <f t="shared" si="27"/>
        <v>106</v>
      </c>
      <c r="AA83" s="49">
        <f t="shared" si="27"/>
        <v>93</v>
      </c>
      <c r="AB83" s="49">
        <f t="shared" si="27"/>
        <v>84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2:55" x14ac:dyDescent="0.35">
      <c r="B84" t="s">
        <v>67</v>
      </c>
      <c r="C84" s="50">
        <f>SUM(C85:C87)</f>
        <v>757</v>
      </c>
      <c r="D84" s="50">
        <f t="shared" ref="D84:AB84" si="28">SUM(D85:D87)</f>
        <v>123</v>
      </c>
      <c r="E84" s="50">
        <f t="shared" si="28"/>
        <v>119</v>
      </c>
      <c r="F84" s="50">
        <f t="shared" si="28"/>
        <v>218</v>
      </c>
      <c r="G84" s="50">
        <f t="shared" si="28"/>
        <v>59</v>
      </c>
      <c r="H84" s="50">
        <f t="shared" si="28"/>
        <v>89</v>
      </c>
      <c r="I84" s="50">
        <f t="shared" si="28"/>
        <v>68</v>
      </c>
      <c r="J84" s="50">
        <f t="shared" si="28"/>
        <v>69</v>
      </c>
      <c r="K84" s="50">
        <f t="shared" si="28"/>
        <v>129</v>
      </c>
      <c r="L84" s="50">
        <f t="shared" si="28"/>
        <v>593</v>
      </c>
      <c r="M84" s="50">
        <f t="shared" si="28"/>
        <v>130</v>
      </c>
      <c r="N84" s="50">
        <f t="shared" si="28"/>
        <v>131</v>
      </c>
      <c r="O84" s="50">
        <f t="shared" si="28"/>
        <v>128</v>
      </c>
      <c r="P84" s="50">
        <f t="shared" si="28"/>
        <v>166</v>
      </c>
      <c r="Q84" s="50">
        <f t="shared" si="28"/>
        <v>45</v>
      </c>
      <c r="R84" s="50">
        <f t="shared" si="28"/>
        <v>132</v>
      </c>
      <c r="S84" s="50">
        <f t="shared" si="28"/>
        <v>118</v>
      </c>
      <c r="T84" s="50">
        <f t="shared" si="28"/>
        <v>31</v>
      </c>
      <c r="U84" s="50">
        <f t="shared" si="28"/>
        <v>81</v>
      </c>
      <c r="V84" s="50">
        <f t="shared" si="28"/>
        <v>69</v>
      </c>
      <c r="W84" s="50">
        <f t="shared" si="28"/>
        <v>101</v>
      </c>
      <c r="X84" s="50">
        <f t="shared" si="28"/>
        <v>58</v>
      </c>
      <c r="Y84" s="50">
        <f t="shared" si="28"/>
        <v>45</v>
      </c>
      <c r="Z84" s="50">
        <f t="shared" si="28"/>
        <v>79</v>
      </c>
      <c r="AA84" s="50">
        <f t="shared" si="28"/>
        <v>73</v>
      </c>
      <c r="AB84" s="50">
        <f t="shared" si="28"/>
        <v>58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2:55" x14ac:dyDescent="0.35">
      <c r="B85" s="54" t="s">
        <v>151</v>
      </c>
      <c r="C85" s="49">
        <f t="shared" ref="C85:AB85" si="29">ROUND(C61/C17*10^6,0)</f>
        <v>16</v>
      </c>
      <c r="D85" s="49">
        <f t="shared" si="29"/>
        <v>3</v>
      </c>
      <c r="E85" s="49">
        <f t="shared" si="29"/>
        <v>3</v>
      </c>
      <c r="F85" s="49">
        <f t="shared" si="29"/>
        <v>5</v>
      </c>
      <c r="G85" s="49">
        <f t="shared" si="29"/>
        <v>1</v>
      </c>
      <c r="H85" s="49">
        <f t="shared" si="29"/>
        <v>2</v>
      </c>
      <c r="I85" s="49">
        <f t="shared" si="29"/>
        <v>1</v>
      </c>
      <c r="J85" s="49">
        <f t="shared" si="29"/>
        <v>1</v>
      </c>
      <c r="K85" s="49">
        <f t="shared" si="29"/>
        <v>3</v>
      </c>
      <c r="L85" s="49">
        <f t="shared" si="29"/>
        <v>13</v>
      </c>
      <c r="M85" s="49">
        <f t="shared" si="29"/>
        <v>3</v>
      </c>
      <c r="N85" s="49">
        <f t="shared" si="29"/>
        <v>3</v>
      </c>
      <c r="O85" s="49">
        <f t="shared" si="29"/>
        <v>3</v>
      </c>
      <c r="P85" s="49">
        <f t="shared" si="29"/>
        <v>4</v>
      </c>
      <c r="Q85" s="49">
        <f t="shared" si="29"/>
        <v>1</v>
      </c>
      <c r="R85" s="49">
        <f t="shared" si="29"/>
        <v>3</v>
      </c>
      <c r="S85" s="49">
        <f t="shared" si="29"/>
        <v>3</v>
      </c>
      <c r="T85" s="49">
        <f t="shared" si="29"/>
        <v>1</v>
      </c>
      <c r="U85" s="49">
        <f t="shared" si="29"/>
        <v>2</v>
      </c>
      <c r="V85" s="49">
        <f t="shared" si="29"/>
        <v>2</v>
      </c>
      <c r="W85" s="49">
        <f t="shared" si="29"/>
        <v>2</v>
      </c>
      <c r="X85" s="49">
        <f t="shared" si="29"/>
        <v>1</v>
      </c>
      <c r="Y85" s="49">
        <f t="shared" si="29"/>
        <v>1</v>
      </c>
      <c r="Z85" s="49">
        <f t="shared" si="29"/>
        <v>2</v>
      </c>
      <c r="AA85" s="49">
        <f t="shared" si="29"/>
        <v>2</v>
      </c>
      <c r="AB85" s="49">
        <f t="shared" si="29"/>
        <v>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2:55" x14ac:dyDescent="0.35">
      <c r="B86" s="54" t="s">
        <v>68</v>
      </c>
      <c r="C86" s="49">
        <f t="shared" ref="C86:AB86" si="30">ROUND(C62/C18*10^6,0)</f>
        <v>247</v>
      </c>
      <c r="D86" s="49">
        <f t="shared" si="30"/>
        <v>47</v>
      </c>
      <c r="E86" s="49">
        <f t="shared" si="30"/>
        <v>42</v>
      </c>
      <c r="F86" s="49">
        <f t="shared" si="30"/>
        <v>84</v>
      </c>
      <c r="G86" s="49">
        <f t="shared" si="30"/>
        <v>23</v>
      </c>
      <c r="H86" s="49">
        <f t="shared" si="30"/>
        <v>31</v>
      </c>
      <c r="I86" s="49">
        <f t="shared" si="30"/>
        <v>25</v>
      </c>
      <c r="J86" s="49">
        <f t="shared" si="30"/>
        <v>23</v>
      </c>
      <c r="K86" s="49">
        <f t="shared" si="30"/>
        <v>43</v>
      </c>
      <c r="L86" s="49">
        <f t="shared" si="30"/>
        <v>199</v>
      </c>
      <c r="M86" s="49">
        <f t="shared" si="30"/>
        <v>43</v>
      </c>
      <c r="N86" s="49">
        <f t="shared" si="30"/>
        <v>52</v>
      </c>
      <c r="O86" s="49">
        <f t="shared" si="30"/>
        <v>42</v>
      </c>
      <c r="P86" s="49">
        <f t="shared" si="30"/>
        <v>55</v>
      </c>
      <c r="Q86" s="49">
        <f t="shared" si="30"/>
        <v>16</v>
      </c>
      <c r="R86" s="49">
        <f t="shared" si="30"/>
        <v>45</v>
      </c>
      <c r="S86" s="49">
        <f t="shared" si="30"/>
        <v>43</v>
      </c>
      <c r="T86" s="49">
        <f t="shared" si="30"/>
        <v>11</v>
      </c>
      <c r="U86" s="49">
        <f t="shared" si="30"/>
        <v>30</v>
      </c>
      <c r="V86" s="49">
        <f t="shared" si="30"/>
        <v>26</v>
      </c>
      <c r="W86" s="49">
        <f t="shared" si="30"/>
        <v>37</v>
      </c>
      <c r="X86" s="49">
        <f t="shared" si="30"/>
        <v>22</v>
      </c>
      <c r="Y86" s="49">
        <f t="shared" si="30"/>
        <v>16</v>
      </c>
      <c r="Z86" s="49">
        <f t="shared" si="30"/>
        <v>30</v>
      </c>
      <c r="AA86" s="49">
        <f t="shared" si="30"/>
        <v>25</v>
      </c>
      <c r="AB86" s="49">
        <f t="shared" si="30"/>
        <v>19</v>
      </c>
    </row>
    <row r="87" spans="2:55" x14ac:dyDescent="0.35">
      <c r="B87" s="54" t="s">
        <v>152</v>
      </c>
      <c r="C87" s="51">
        <f t="shared" ref="C87:AB87" si="31">ROUND(C63/C19*10^6,0)</f>
        <v>494</v>
      </c>
      <c r="D87" s="51">
        <f t="shared" si="31"/>
        <v>73</v>
      </c>
      <c r="E87" s="51">
        <f t="shared" si="31"/>
        <v>74</v>
      </c>
      <c r="F87" s="51">
        <f t="shared" si="31"/>
        <v>129</v>
      </c>
      <c r="G87" s="51">
        <f t="shared" si="31"/>
        <v>35</v>
      </c>
      <c r="H87" s="51">
        <f t="shared" si="31"/>
        <v>56</v>
      </c>
      <c r="I87" s="51">
        <f t="shared" si="31"/>
        <v>42</v>
      </c>
      <c r="J87" s="51">
        <f t="shared" si="31"/>
        <v>45</v>
      </c>
      <c r="K87" s="51">
        <f t="shared" si="31"/>
        <v>83</v>
      </c>
      <c r="L87" s="51">
        <f t="shared" si="31"/>
        <v>381</v>
      </c>
      <c r="M87" s="51">
        <f t="shared" si="31"/>
        <v>84</v>
      </c>
      <c r="N87" s="51">
        <f t="shared" si="31"/>
        <v>76</v>
      </c>
      <c r="O87" s="51">
        <f t="shared" si="31"/>
        <v>83</v>
      </c>
      <c r="P87" s="51">
        <f t="shared" si="31"/>
        <v>107</v>
      </c>
      <c r="Q87" s="51">
        <f t="shared" si="31"/>
        <v>28</v>
      </c>
      <c r="R87" s="51">
        <f t="shared" si="31"/>
        <v>84</v>
      </c>
      <c r="S87" s="51">
        <f t="shared" si="31"/>
        <v>72</v>
      </c>
      <c r="T87" s="51">
        <f t="shared" si="31"/>
        <v>19</v>
      </c>
      <c r="U87" s="51">
        <f t="shared" si="31"/>
        <v>49</v>
      </c>
      <c r="V87" s="51">
        <f t="shared" si="31"/>
        <v>41</v>
      </c>
      <c r="W87" s="51">
        <f t="shared" si="31"/>
        <v>62</v>
      </c>
      <c r="X87" s="51">
        <f t="shared" si="31"/>
        <v>35</v>
      </c>
      <c r="Y87" s="51">
        <f t="shared" si="31"/>
        <v>28</v>
      </c>
      <c r="Z87" s="51">
        <f t="shared" si="31"/>
        <v>47</v>
      </c>
      <c r="AA87" s="51">
        <f t="shared" si="31"/>
        <v>46</v>
      </c>
      <c r="AB87" s="51">
        <f t="shared" si="31"/>
        <v>38</v>
      </c>
    </row>
    <row r="88" spans="2:55" x14ac:dyDescent="0.35">
      <c r="B88" t="s">
        <v>69</v>
      </c>
      <c r="C88" s="50">
        <f t="shared" ref="C88:AB88" si="32">ROUND(C64/C20*10^6,0)</f>
        <v>9821</v>
      </c>
      <c r="D88" s="50">
        <f t="shared" si="32"/>
        <v>1635</v>
      </c>
      <c r="E88" s="50">
        <f t="shared" si="32"/>
        <v>1617</v>
      </c>
      <c r="F88" s="50">
        <f t="shared" si="32"/>
        <v>2506</v>
      </c>
      <c r="G88" s="50">
        <f t="shared" si="32"/>
        <v>885</v>
      </c>
      <c r="H88" s="50">
        <f t="shared" si="32"/>
        <v>1311</v>
      </c>
      <c r="I88" s="50">
        <f t="shared" si="32"/>
        <v>787</v>
      </c>
      <c r="J88" s="50">
        <f t="shared" si="32"/>
        <v>910</v>
      </c>
      <c r="K88" s="50">
        <f t="shared" si="32"/>
        <v>1841</v>
      </c>
      <c r="L88" s="50">
        <f t="shared" si="32"/>
        <v>7506</v>
      </c>
      <c r="M88" s="50">
        <f t="shared" si="32"/>
        <v>1404</v>
      </c>
      <c r="N88" s="50">
        <f t="shared" si="32"/>
        <v>2188</v>
      </c>
      <c r="O88" s="50">
        <f t="shared" si="32"/>
        <v>1528</v>
      </c>
      <c r="P88" s="50">
        <f t="shared" si="32"/>
        <v>1996</v>
      </c>
      <c r="Q88" s="50">
        <f t="shared" si="32"/>
        <v>690</v>
      </c>
      <c r="R88" s="50">
        <f t="shared" si="32"/>
        <v>1653</v>
      </c>
      <c r="S88" s="50">
        <f t="shared" si="32"/>
        <v>1365</v>
      </c>
      <c r="T88" s="50">
        <f t="shared" si="32"/>
        <v>323</v>
      </c>
      <c r="U88" s="50">
        <f t="shared" si="32"/>
        <v>992</v>
      </c>
      <c r="V88" s="50">
        <f t="shared" si="32"/>
        <v>799</v>
      </c>
      <c r="W88" s="50">
        <f t="shared" si="32"/>
        <v>1292</v>
      </c>
      <c r="X88" s="50">
        <f t="shared" si="32"/>
        <v>859</v>
      </c>
      <c r="Y88" s="50">
        <f t="shared" si="32"/>
        <v>592</v>
      </c>
      <c r="Z88" s="50">
        <f t="shared" si="32"/>
        <v>822</v>
      </c>
      <c r="AA88" s="50">
        <f t="shared" si="32"/>
        <v>760</v>
      </c>
      <c r="AB88" s="50">
        <f t="shared" si="32"/>
        <v>550</v>
      </c>
    </row>
    <row r="89" spans="2:55" x14ac:dyDescent="0.35">
      <c r="B89" t="s">
        <v>163</v>
      </c>
      <c r="C89" s="50">
        <f t="shared" ref="C89:AB89" si="33">ROUND(C65/C21*10^6,0)</f>
        <v>1063</v>
      </c>
      <c r="D89" s="50">
        <f t="shared" si="33"/>
        <v>173</v>
      </c>
      <c r="E89" s="50">
        <f t="shared" si="33"/>
        <v>187</v>
      </c>
      <c r="F89" s="50">
        <f t="shared" si="33"/>
        <v>325</v>
      </c>
      <c r="G89" s="50">
        <f t="shared" si="33"/>
        <v>100</v>
      </c>
      <c r="H89" s="50">
        <f t="shared" si="33"/>
        <v>149</v>
      </c>
      <c r="I89" s="50">
        <f t="shared" si="33"/>
        <v>93</v>
      </c>
      <c r="J89" s="50">
        <f t="shared" si="33"/>
        <v>126</v>
      </c>
      <c r="K89" s="50">
        <f t="shared" si="33"/>
        <v>185</v>
      </c>
      <c r="L89" s="50">
        <f t="shared" si="33"/>
        <v>729</v>
      </c>
      <c r="M89" s="50">
        <f t="shared" si="33"/>
        <v>170</v>
      </c>
      <c r="N89" s="50">
        <f t="shared" si="33"/>
        <v>212</v>
      </c>
      <c r="O89" s="50">
        <f t="shared" si="33"/>
        <v>195</v>
      </c>
      <c r="P89" s="50">
        <f t="shared" si="33"/>
        <v>266</v>
      </c>
      <c r="Q89" s="50">
        <f t="shared" si="33"/>
        <v>71</v>
      </c>
      <c r="R89" s="50">
        <f t="shared" si="33"/>
        <v>192</v>
      </c>
      <c r="S89" s="50">
        <f t="shared" si="33"/>
        <v>167</v>
      </c>
      <c r="T89" s="50">
        <f t="shared" si="33"/>
        <v>40</v>
      </c>
      <c r="U89" s="50">
        <f t="shared" si="33"/>
        <v>130</v>
      </c>
      <c r="V89" s="50">
        <f t="shared" si="33"/>
        <v>79</v>
      </c>
      <c r="W89" s="50">
        <f t="shared" si="33"/>
        <v>154</v>
      </c>
      <c r="X89" s="50">
        <f t="shared" si="33"/>
        <v>99</v>
      </c>
      <c r="Y89" s="50">
        <f t="shared" si="33"/>
        <v>61</v>
      </c>
      <c r="Z89" s="50">
        <f t="shared" si="33"/>
        <v>92</v>
      </c>
      <c r="AA89" s="50">
        <f t="shared" si="33"/>
        <v>75</v>
      </c>
      <c r="AB89" s="50">
        <f t="shared" si="33"/>
        <v>67</v>
      </c>
    </row>
  </sheetData>
  <mergeCells count="1">
    <mergeCell ref="E1:F1"/>
  </mergeCells>
  <conditionalFormatting sqref="H21:H22 H17:H19">
    <cfRule type="duplicateValues" dxfId="0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DA85-595A-4C7E-BE52-92FAD7657C4A}">
  <sheetPr codeName="Sheet3"/>
  <dimension ref="B2:Q15"/>
  <sheetViews>
    <sheetView zoomScale="80" zoomScaleNormal="80" workbookViewId="0"/>
  </sheetViews>
  <sheetFormatPr defaultRowHeight="14.5" x14ac:dyDescent="0.35"/>
  <cols>
    <col min="2" max="2" width="18" bestFit="1" customWidth="1"/>
    <col min="3" max="3" width="16.26953125" customWidth="1"/>
    <col min="4" max="4" width="9.7265625" bestFit="1" customWidth="1"/>
    <col min="5" max="5" width="30.7265625" customWidth="1"/>
  </cols>
  <sheetData>
    <row r="2" spans="2:17" x14ac:dyDescent="0.35">
      <c r="C2" s="60" t="s">
        <v>41</v>
      </c>
      <c r="D2" s="60"/>
      <c r="E2" s="60" t="s">
        <v>42</v>
      </c>
      <c r="F2" s="60"/>
    </row>
    <row r="3" spans="2:17" x14ac:dyDescent="0.35">
      <c r="B3" s="17" t="s">
        <v>43</v>
      </c>
      <c r="C3" s="17" t="s">
        <v>36</v>
      </c>
      <c r="D3" s="17" t="s">
        <v>40</v>
      </c>
      <c r="E3" s="17" t="s">
        <v>46</v>
      </c>
      <c r="F3" s="17" t="s">
        <v>40</v>
      </c>
      <c r="G3" s="17" t="s">
        <v>14</v>
      </c>
    </row>
    <row r="4" spans="2:17" x14ac:dyDescent="0.35">
      <c r="B4" t="s">
        <v>19</v>
      </c>
      <c r="C4" s="25">
        <f>C$10*D4</f>
        <v>8361.071100000001</v>
      </c>
      <c r="D4" s="20">
        <v>0.33700000000000002</v>
      </c>
      <c r="E4" s="22"/>
      <c r="F4" s="16"/>
      <c r="G4" s="26">
        <v>0.13900000000000001</v>
      </c>
    </row>
    <row r="5" spans="2:17" x14ac:dyDescent="0.35">
      <c r="B5" t="s">
        <v>2</v>
      </c>
      <c r="C5" s="25">
        <f t="shared" ref="C5:C9" si="0">C$10*D5</f>
        <v>6798.0222000000003</v>
      </c>
      <c r="D5" s="20">
        <v>0.27400000000000002</v>
      </c>
      <c r="E5" s="22"/>
      <c r="F5" s="16"/>
      <c r="G5" s="26">
        <v>0.11899999999999999</v>
      </c>
      <c r="H5" s="9"/>
    </row>
    <row r="6" spans="2:17" x14ac:dyDescent="0.35">
      <c r="B6" t="s">
        <v>18</v>
      </c>
      <c r="C6" s="25">
        <f t="shared" si="0"/>
        <v>5359.0248000000001</v>
      </c>
      <c r="D6" s="20">
        <v>0.216</v>
      </c>
      <c r="E6" s="22"/>
      <c r="F6" s="16"/>
      <c r="G6" s="26">
        <v>0.106</v>
      </c>
    </row>
    <row r="7" spans="2:17" x14ac:dyDescent="0.35">
      <c r="B7" t="s">
        <v>4</v>
      </c>
      <c r="C7" s="25">
        <f t="shared" si="0"/>
        <v>1761.5312999999999</v>
      </c>
      <c r="D7" s="20">
        <v>7.0999999999999994E-2</v>
      </c>
      <c r="E7" s="22"/>
      <c r="F7" s="16"/>
      <c r="G7" s="26">
        <v>9.8000000000000004E-2</v>
      </c>
    </row>
    <row r="8" spans="2:17" x14ac:dyDescent="0.35">
      <c r="B8" t="s">
        <v>47</v>
      </c>
      <c r="C8" s="25">
        <f t="shared" si="0"/>
        <v>1488.6179999999999</v>
      </c>
      <c r="D8" s="20">
        <v>0.06</v>
      </c>
      <c r="E8" s="22"/>
      <c r="F8" s="16"/>
      <c r="G8" s="26">
        <v>0.125</v>
      </c>
    </row>
    <row r="9" spans="2:17" x14ac:dyDescent="0.35">
      <c r="B9" t="s">
        <v>48</v>
      </c>
      <c r="C9" s="25">
        <f t="shared" si="0"/>
        <v>1042.0326000000009</v>
      </c>
      <c r="D9" s="20">
        <f>1-SUM(D4:D8)</f>
        <v>4.2000000000000037E-2</v>
      </c>
      <c r="E9" s="24"/>
      <c r="F9" s="16"/>
      <c r="G9" s="26">
        <v>9.5000000000000001E-2</v>
      </c>
    </row>
    <row r="10" spans="2:17" x14ac:dyDescent="0.35">
      <c r="B10" s="15" t="s">
        <v>25</v>
      </c>
      <c r="C10" s="16">
        <v>24810.3</v>
      </c>
      <c r="D10" s="18">
        <f>SUM(G4:G8)</f>
        <v>0.58699999999999997</v>
      </c>
      <c r="E10" s="23"/>
      <c r="F10" s="16"/>
      <c r="G10" s="18">
        <v>0.121</v>
      </c>
    </row>
    <row r="15" spans="2:17" x14ac:dyDescent="0.35">
      <c r="H15" s="8"/>
      <c r="I15" s="8"/>
      <c r="J15" s="8"/>
      <c r="K15" s="8"/>
      <c r="L15" s="8"/>
      <c r="M15" s="8"/>
      <c r="N15" s="8"/>
      <c r="O15" s="8"/>
      <c r="P15" s="8"/>
      <c r="Q15" s="19"/>
    </row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ASP</vt:lpstr>
      <vt:lpstr>Market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Omkar Munde</cp:lastModifiedBy>
  <dcterms:created xsi:type="dcterms:W3CDTF">2015-06-05T18:17:20Z</dcterms:created>
  <dcterms:modified xsi:type="dcterms:W3CDTF">2026-06-19T08:30:14Z</dcterms:modified>
</cp:coreProperties>
</file>