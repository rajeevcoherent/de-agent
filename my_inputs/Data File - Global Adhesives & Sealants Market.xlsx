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jay\Desktop\ADitya reports\"/>
    </mc:Choice>
  </mc:AlternateContent>
  <xr:revisionPtr revIDLastSave="0" documentId="13_ncr:1_{8EF4748F-7619-41AB-9C21-1FD238FD2A81}" xr6:coauthVersionLast="47" xr6:coauthVersionMax="47" xr10:uidLastSave="{00000000-0000-0000-0000-000000000000}"/>
  <bookViews>
    <workbookView xWindow="-110" yWindow="-110" windowWidth="19420" windowHeight="10420" xr2:uid="{AB64DBEC-F52E-486C-B88F-A95801F68076}"/>
  </bookViews>
  <sheets>
    <sheet name="Data" sheetId="5" r:id="rId1"/>
    <sheet name="ASP" sheetId="8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5" i="5" l="1"/>
  <c r="E45" i="5"/>
  <c r="F45" i="5"/>
  <c r="G45" i="5"/>
  <c r="H45" i="5"/>
  <c r="I45" i="5"/>
  <c r="J45" i="5"/>
  <c r="K45" i="5"/>
  <c r="L45" i="5"/>
  <c r="M45" i="5"/>
  <c r="N45" i="5"/>
  <c r="O45" i="5"/>
  <c r="P45" i="5"/>
  <c r="Q45" i="5"/>
  <c r="R45" i="5"/>
  <c r="S45" i="5"/>
  <c r="T45" i="5"/>
  <c r="U45" i="5"/>
  <c r="V45" i="5"/>
  <c r="W45" i="5"/>
  <c r="X45" i="5"/>
  <c r="Y45" i="5"/>
  <c r="Z45" i="5"/>
  <c r="AA45" i="5"/>
  <c r="AB45" i="5"/>
  <c r="C45" i="5"/>
  <c r="E71" i="5"/>
  <c r="E72" i="5" s="1"/>
  <c r="E74" i="5"/>
  <c r="E79" i="5" s="1"/>
  <c r="E99" i="5"/>
  <c r="E101" i="5" s="1"/>
  <c r="E95" i="5"/>
  <c r="E97" i="5" s="1"/>
  <c r="E90" i="5"/>
  <c r="E92" i="5" s="1"/>
  <c r="E82" i="5"/>
  <c r="E87" i="5" s="1"/>
  <c r="E77" i="5"/>
  <c r="E78" i="5"/>
  <c r="E80" i="5"/>
  <c r="E81" i="5"/>
  <c r="E75" i="5"/>
  <c r="E73" i="5"/>
  <c r="E102" i="5" l="1"/>
  <c r="E100" i="5"/>
  <c r="E84" i="5"/>
  <c r="E88" i="5"/>
  <c r="E89" i="5"/>
  <c r="E86" i="5"/>
  <c r="E91" i="5"/>
  <c r="E96" i="5"/>
  <c r="E83" i="5"/>
  <c r="E85" i="5"/>
  <c r="E94" i="5"/>
  <c r="E98" i="5"/>
  <c r="E93" i="5"/>
  <c r="E76" i="5"/>
  <c r="AE33" i="5"/>
  <c r="AF33" i="5"/>
  <c r="AR33" i="5"/>
  <c r="BD33" i="5"/>
  <c r="AI34" i="5"/>
  <c r="AM34" i="5"/>
  <c r="AQ34" i="5"/>
  <c r="AU34" i="5"/>
  <c r="AY34" i="5"/>
  <c r="BC34" i="5"/>
  <c r="AH39" i="5"/>
  <c r="AL39" i="5"/>
  <c r="AP39" i="5"/>
  <c r="AT39" i="5"/>
  <c r="AX39" i="5"/>
  <c r="BB39" i="5"/>
  <c r="AK44" i="5"/>
  <c r="AK33" i="5" s="1"/>
  <c r="BA44" i="5"/>
  <c r="BA33" i="5" s="1"/>
  <c r="AI49" i="5"/>
  <c r="AM49" i="5"/>
  <c r="AQ49" i="5"/>
  <c r="AU49" i="5"/>
  <c r="AY49" i="5"/>
  <c r="BC49" i="5"/>
  <c r="AG59" i="5"/>
  <c r="AK59" i="5"/>
  <c r="AO59" i="5"/>
  <c r="AS59" i="5"/>
  <c r="AW59" i="5"/>
  <c r="BA59" i="5"/>
  <c r="AL15" i="5"/>
  <c r="BB15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C5" i="5"/>
  <c r="D6" i="5"/>
  <c r="AF5" i="5" s="1"/>
  <c r="E6" i="5"/>
  <c r="AG5" i="5" s="1"/>
  <c r="F6" i="5"/>
  <c r="AH5" i="5" s="1"/>
  <c r="G6" i="5"/>
  <c r="AI5" i="5" s="1"/>
  <c r="H6" i="5"/>
  <c r="AJ5" i="5" s="1"/>
  <c r="I6" i="5"/>
  <c r="AK5" i="5" s="1"/>
  <c r="J6" i="5"/>
  <c r="AL5" i="5" s="1"/>
  <c r="K6" i="5"/>
  <c r="AM5" i="5" s="1"/>
  <c r="L6" i="5"/>
  <c r="AN5" i="5" s="1"/>
  <c r="M6" i="5"/>
  <c r="AO5" i="5" s="1"/>
  <c r="N6" i="5"/>
  <c r="AP5" i="5" s="1"/>
  <c r="O6" i="5"/>
  <c r="AQ5" i="5" s="1"/>
  <c r="P6" i="5"/>
  <c r="AR5" i="5" s="1"/>
  <c r="Q6" i="5"/>
  <c r="AS5" i="5" s="1"/>
  <c r="R6" i="5"/>
  <c r="AT5" i="5" s="1"/>
  <c r="S6" i="5"/>
  <c r="AU5" i="5" s="1"/>
  <c r="T6" i="5"/>
  <c r="AV5" i="5" s="1"/>
  <c r="U6" i="5"/>
  <c r="AW5" i="5" s="1"/>
  <c r="V6" i="5"/>
  <c r="AX5" i="5" s="1"/>
  <c r="W6" i="5"/>
  <c r="AY5" i="5" s="1"/>
  <c r="X6" i="5"/>
  <c r="AZ5" i="5" s="1"/>
  <c r="Y6" i="5"/>
  <c r="BA5" i="5" s="1"/>
  <c r="Z6" i="5"/>
  <c r="BB5" i="5" s="1"/>
  <c r="AA6" i="5"/>
  <c r="BC5" i="5" s="1"/>
  <c r="AB6" i="5"/>
  <c r="BD5" i="5" s="1"/>
  <c r="C6" i="5"/>
  <c r="AE5" i="5" s="1"/>
  <c r="D16" i="5"/>
  <c r="AF15" i="5" s="1"/>
  <c r="E16" i="5"/>
  <c r="AG15" i="5" s="1"/>
  <c r="F16" i="5"/>
  <c r="AH15" i="5" s="1"/>
  <c r="G16" i="5"/>
  <c r="AI15" i="5" s="1"/>
  <c r="H16" i="5"/>
  <c r="AJ15" i="5" s="1"/>
  <c r="I16" i="5"/>
  <c r="AK15" i="5" s="1"/>
  <c r="J16" i="5"/>
  <c r="K16" i="5"/>
  <c r="AM15" i="5" s="1"/>
  <c r="L16" i="5"/>
  <c r="AN15" i="5" s="1"/>
  <c r="M16" i="5"/>
  <c r="AO15" i="5" s="1"/>
  <c r="N16" i="5"/>
  <c r="AP15" i="5" s="1"/>
  <c r="O16" i="5"/>
  <c r="AQ15" i="5" s="1"/>
  <c r="P16" i="5"/>
  <c r="AR15" i="5" s="1"/>
  <c r="Q16" i="5"/>
  <c r="AS15" i="5" s="1"/>
  <c r="R16" i="5"/>
  <c r="AT15" i="5" s="1"/>
  <c r="S16" i="5"/>
  <c r="AU15" i="5" s="1"/>
  <c r="T16" i="5"/>
  <c r="AV15" i="5" s="1"/>
  <c r="U16" i="5"/>
  <c r="AW15" i="5" s="1"/>
  <c r="V16" i="5"/>
  <c r="AX15" i="5" s="1"/>
  <c r="W16" i="5"/>
  <c r="AY15" i="5" s="1"/>
  <c r="X16" i="5"/>
  <c r="AZ15" i="5" s="1"/>
  <c r="Y16" i="5"/>
  <c r="BA15" i="5" s="1"/>
  <c r="Z16" i="5"/>
  <c r="AA16" i="5"/>
  <c r="BC15" i="5" s="1"/>
  <c r="AB16" i="5"/>
  <c r="BD15" i="5" s="1"/>
  <c r="C16" i="5"/>
  <c r="AE15" i="5" s="1"/>
  <c r="D24" i="5"/>
  <c r="E24" i="5"/>
  <c r="F24" i="5"/>
  <c r="G24" i="5"/>
  <c r="H24" i="5"/>
  <c r="I24" i="5"/>
  <c r="J24" i="5"/>
  <c r="K24" i="5"/>
  <c r="L24" i="5"/>
  <c r="M24" i="5"/>
  <c r="N24" i="5"/>
  <c r="O24" i="5"/>
  <c r="P24" i="5"/>
  <c r="Q24" i="5"/>
  <c r="R24" i="5"/>
  <c r="S24" i="5"/>
  <c r="T24" i="5"/>
  <c r="U24" i="5"/>
  <c r="V24" i="5"/>
  <c r="W24" i="5"/>
  <c r="X24" i="5"/>
  <c r="Y24" i="5"/>
  <c r="Z24" i="5"/>
  <c r="AA24" i="5"/>
  <c r="AB24" i="5"/>
  <c r="C24" i="5"/>
  <c r="D34" i="5"/>
  <c r="E34" i="5"/>
  <c r="F34" i="5"/>
  <c r="G34" i="5"/>
  <c r="H34" i="5"/>
  <c r="I34" i="5"/>
  <c r="J34" i="5"/>
  <c r="K34" i="5"/>
  <c r="L34" i="5"/>
  <c r="M34" i="5"/>
  <c r="N34" i="5"/>
  <c r="O34" i="5"/>
  <c r="P34" i="5"/>
  <c r="Q34" i="5"/>
  <c r="R34" i="5"/>
  <c r="S34" i="5"/>
  <c r="T34" i="5"/>
  <c r="U34" i="5"/>
  <c r="V34" i="5"/>
  <c r="W34" i="5"/>
  <c r="X34" i="5"/>
  <c r="Y34" i="5"/>
  <c r="Z34" i="5"/>
  <c r="AA34" i="5"/>
  <c r="AB34" i="5"/>
  <c r="C34" i="5"/>
  <c r="D60" i="5"/>
  <c r="AF59" i="5" s="1"/>
  <c r="E60" i="5"/>
  <c r="F60" i="5"/>
  <c r="AH59" i="5" s="1"/>
  <c r="G60" i="5"/>
  <c r="AI59" i="5" s="1"/>
  <c r="H60" i="5"/>
  <c r="AJ59" i="5" s="1"/>
  <c r="I60" i="5"/>
  <c r="J60" i="5"/>
  <c r="AL59" i="5" s="1"/>
  <c r="K60" i="5"/>
  <c r="AM59" i="5" s="1"/>
  <c r="L60" i="5"/>
  <c r="AN59" i="5" s="1"/>
  <c r="M60" i="5"/>
  <c r="N60" i="5"/>
  <c r="AP59" i="5" s="1"/>
  <c r="O60" i="5"/>
  <c r="AQ59" i="5" s="1"/>
  <c r="P60" i="5"/>
  <c r="AR59" i="5" s="1"/>
  <c r="Q60" i="5"/>
  <c r="R60" i="5"/>
  <c r="AT59" i="5" s="1"/>
  <c r="S60" i="5"/>
  <c r="AU59" i="5" s="1"/>
  <c r="T60" i="5"/>
  <c r="AV59" i="5" s="1"/>
  <c r="U60" i="5"/>
  <c r="V60" i="5"/>
  <c r="AX59" i="5" s="1"/>
  <c r="W60" i="5"/>
  <c r="AY59" i="5" s="1"/>
  <c r="X60" i="5"/>
  <c r="AZ59" i="5" s="1"/>
  <c r="Y60" i="5"/>
  <c r="Z60" i="5"/>
  <c r="BB59" i="5" s="1"/>
  <c r="AA60" i="5"/>
  <c r="BC59" i="5" s="1"/>
  <c r="AB60" i="5"/>
  <c r="BD59" i="5" s="1"/>
  <c r="C60" i="5"/>
  <c r="AE59" i="5" s="1"/>
  <c r="D55" i="5"/>
  <c r="AF54" i="5" s="1"/>
  <c r="E55" i="5"/>
  <c r="AG54" i="5" s="1"/>
  <c r="F55" i="5"/>
  <c r="AH54" i="5" s="1"/>
  <c r="G55" i="5"/>
  <c r="AI54" i="5" s="1"/>
  <c r="H55" i="5"/>
  <c r="AJ54" i="5" s="1"/>
  <c r="I55" i="5"/>
  <c r="AK54" i="5" s="1"/>
  <c r="J55" i="5"/>
  <c r="AL54" i="5" s="1"/>
  <c r="K55" i="5"/>
  <c r="AM54" i="5" s="1"/>
  <c r="L55" i="5"/>
  <c r="AN54" i="5" s="1"/>
  <c r="M55" i="5"/>
  <c r="AO54" i="5" s="1"/>
  <c r="N55" i="5"/>
  <c r="AP54" i="5" s="1"/>
  <c r="O55" i="5"/>
  <c r="AQ54" i="5" s="1"/>
  <c r="P55" i="5"/>
  <c r="AR54" i="5" s="1"/>
  <c r="Q55" i="5"/>
  <c r="AS54" i="5" s="1"/>
  <c r="R55" i="5"/>
  <c r="AT54" i="5" s="1"/>
  <c r="S55" i="5"/>
  <c r="AU54" i="5" s="1"/>
  <c r="T55" i="5"/>
  <c r="AV54" i="5" s="1"/>
  <c r="U55" i="5"/>
  <c r="AW54" i="5" s="1"/>
  <c r="V55" i="5"/>
  <c r="AX54" i="5" s="1"/>
  <c r="W55" i="5"/>
  <c r="AY54" i="5" s="1"/>
  <c r="X55" i="5"/>
  <c r="AZ54" i="5" s="1"/>
  <c r="Y55" i="5"/>
  <c r="BA54" i="5" s="1"/>
  <c r="Z55" i="5"/>
  <c r="BB54" i="5" s="1"/>
  <c r="AA55" i="5"/>
  <c r="BC54" i="5" s="1"/>
  <c r="AB55" i="5"/>
  <c r="BD54" i="5" s="1"/>
  <c r="C55" i="5"/>
  <c r="AE54" i="5" s="1"/>
  <c r="D50" i="5"/>
  <c r="AF49" i="5" s="1"/>
  <c r="E50" i="5"/>
  <c r="AG49" i="5" s="1"/>
  <c r="F50" i="5"/>
  <c r="AH49" i="5" s="1"/>
  <c r="G50" i="5"/>
  <c r="H50" i="5"/>
  <c r="AJ49" i="5" s="1"/>
  <c r="I50" i="5"/>
  <c r="AK49" i="5" s="1"/>
  <c r="J50" i="5"/>
  <c r="AL49" i="5" s="1"/>
  <c r="K50" i="5"/>
  <c r="L50" i="5"/>
  <c r="AN49" i="5" s="1"/>
  <c r="M50" i="5"/>
  <c r="AO49" i="5" s="1"/>
  <c r="N50" i="5"/>
  <c r="AP49" i="5" s="1"/>
  <c r="O50" i="5"/>
  <c r="P50" i="5"/>
  <c r="AR49" i="5" s="1"/>
  <c r="Q50" i="5"/>
  <c r="AS49" i="5" s="1"/>
  <c r="R50" i="5"/>
  <c r="AT49" i="5" s="1"/>
  <c r="S50" i="5"/>
  <c r="T50" i="5"/>
  <c r="AV49" i="5" s="1"/>
  <c r="U50" i="5"/>
  <c r="AW49" i="5" s="1"/>
  <c r="V50" i="5"/>
  <c r="AX49" i="5" s="1"/>
  <c r="W50" i="5"/>
  <c r="X50" i="5"/>
  <c r="AZ49" i="5" s="1"/>
  <c r="Y50" i="5"/>
  <c r="BA49" i="5" s="1"/>
  <c r="Z50" i="5"/>
  <c r="BB49" i="5" s="1"/>
  <c r="AA50" i="5"/>
  <c r="AB50" i="5"/>
  <c r="BD49" i="5" s="1"/>
  <c r="C50" i="5"/>
  <c r="AE49" i="5" s="1"/>
  <c r="AF44" i="5"/>
  <c r="AG44" i="5"/>
  <c r="AG33" i="5" s="1"/>
  <c r="AH44" i="5"/>
  <c r="AH33" i="5" s="1"/>
  <c r="AI44" i="5"/>
  <c r="AI33" i="5" s="1"/>
  <c r="AJ44" i="5"/>
  <c r="AJ33" i="5" s="1"/>
  <c r="AL44" i="5"/>
  <c r="AL33" i="5" s="1"/>
  <c r="AM44" i="5"/>
  <c r="AM33" i="5" s="1"/>
  <c r="AN44" i="5"/>
  <c r="AN33" i="5" s="1"/>
  <c r="AO44" i="5"/>
  <c r="AO33" i="5" s="1"/>
  <c r="AP44" i="5"/>
  <c r="AP33" i="5" s="1"/>
  <c r="AQ44" i="5"/>
  <c r="AQ33" i="5" s="1"/>
  <c r="AR44" i="5"/>
  <c r="AS44" i="5"/>
  <c r="AS33" i="5" s="1"/>
  <c r="AT44" i="5"/>
  <c r="AT33" i="5" s="1"/>
  <c r="AU44" i="5"/>
  <c r="AU33" i="5" s="1"/>
  <c r="AV44" i="5"/>
  <c r="AV33" i="5" s="1"/>
  <c r="AW44" i="5"/>
  <c r="AW33" i="5" s="1"/>
  <c r="AX44" i="5"/>
  <c r="AX33" i="5" s="1"/>
  <c r="AY44" i="5"/>
  <c r="AY33" i="5" s="1"/>
  <c r="AZ44" i="5"/>
  <c r="AZ33" i="5" s="1"/>
  <c r="BB44" i="5"/>
  <c r="BB33" i="5" s="1"/>
  <c r="BC44" i="5"/>
  <c r="BC33" i="5" s="1"/>
  <c r="BD44" i="5"/>
  <c r="AE44" i="5"/>
  <c r="D40" i="5"/>
  <c r="AF39" i="5" s="1"/>
  <c r="E40" i="5"/>
  <c r="AG39" i="5" s="1"/>
  <c r="F40" i="5"/>
  <c r="G40" i="5"/>
  <c r="AI39" i="5" s="1"/>
  <c r="H40" i="5"/>
  <c r="AJ39" i="5" s="1"/>
  <c r="I40" i="5"/>
  <c r="AK39" i="5" s="1"/>
  <c r="J40" i="5"/>
  <c r="K40" i="5"/>
  <c r="AM39" i="5" s="1"/>
  <c r="L40" i="5"/>
  <c r="AN39" i="5" s="1"/>
  <c r="M40" i="5"/>
  <c r="AO39" i="5" s="1"/>
  <c r="N40" i="5"/>
  <c r="O40" i="5"/>
  <c r="AQ39" i="5" s="1"/>
  <c r="P40" i="5"/>
  <c r="AR39" i="5" s="1"/>
  <c r="Q40" i="5"/>
  <c r="AS39" i="5" s="1"/>
  <c r="R40" i="5"/>
  <c r="S40" i="5"/>
  <c r="AU39" i="5" s="1"/>
  <c r="T40" i="5"/>
  <c r="AV39" i="5" s="1"/>
  <c r="U40" i="5"/>
  <c r="AW39" i="5" s="1"/>
  <c r="V40" i="5"/>
  <c r="W40" i="5"/>
  <c r="AY39" i="5" s="1"/>
  <c r="X40" i="5"/>
  <c r="AZ39" i="5" s="1"/>
  <c r="Y40" i="5"/>
  <c r="BA39" i="5" s="1"/>
  <c r="Z40" i="5"/>
  <c r="AA40" i="5"/>
  <c r="BC39" i="5" s="1"/>
  <c r="AB40" i="5"/>
  <c r="BD39" i="5" s="1"/>
  <c r="C40" i="5"/>
  <c r="AE39" i="5" s="1"/>
  <c r="D35" i="5"/>
  <c r="AF34" i="5" s="1"/>
  <c r="E35" i="5"/>
  <c r="AG34" i="5" s="1"/>
  <c r="F35" i="5"/>
  <c r="AH34" i="5" s="1"/>
  <c r="G35" i="5"/>
  <c r="H35" i="5"/>
  <c r="AJ34" i="5" s="1"/>
  <c r="I35" i="5"/>
  <c r="AK34" i="5" s="1"/>
  <c r="J35" i="5"/>
  <c r="AL34" i="5" s="1"/>
  <c r="K35" i="5"/>
  <c r="L35" i="5"/>
  <c r="AN34" i="5" s="1"/>
  <c r="M35" i="5"/>
  <c r="AO34" i="5" s="1"/>
  <c r="N35" i="5"/>
  <c r="AP34" i="5" s="1"/>
  <c r="O35" i="5"/>
  <c r="P35" i="5"/>
  <c r="AR34" i="5" s="1"/>
  <c r="Q35" i="5"/>
  <c r="AS34" i="5" s="1"/>
  <c r="R35" i="5"/>
  <c r="AT34" i="5" s="1"/>
  <c r="S35" i="5"/>
  <c r="T35" i="5"/>
  <c r="AV34" i="5" s="1"/>
  <c r="U35" i="5"/>
  <c r="AW34" i="5" s="1"/>
  <c r="V35" i="5"/>
  <c r="AX34" i="5" s="1"/>
  <c r="W35" i="5"/>
  <c r="X35" i="5"/>
  <c r="AZ34" i="5" s="1"/>
  <c r="Y35" i="5"/>
  <c r="BA34" i="5" s="1"/>
  <c r="Z35" i="5"/>
  <c r="BB34" i="5" s="1"/>
  <c r="AA35" i="5"/>
  <c r="AB35" i="5"/>
  <c r="BD34" i="5" s="1"/>
  <c r="C35" i="5"/>
  <c r="AE34" i="5" s="1"/>
  <c r="D67" i="5"/>
  <c r="E67" i="5"/>
  <c r="F67" i="5"/>
  <c r="G67" i="5"/>
  <c r="H67" i="5"/>
  <c r="I67" i="5"/>
  <c r="J67" i="5"/>
  <c r="K67" i="5"/>
  <c r="L67" i="5"/>
  <c r="M67" i="5"/>
  <c r="N67" i="5"/>
  <c r="O67" i="5"/>
  <c r="P67" i="5"/>
  <c r="Q67" i="5"/>
  <c r="R67" i="5"/>
  <c r="S67" i="5"/>
  <c r="T67" i="5"/>
  <c r="U67" i="5"/>
  <c r="V67" i="5"/>
  <c r="W67" i="5"/>
  <c r="X67" i="5"/>
  <c r="Y67" i="5"/>
  <c r="Z67" i="5"/>
  <c r="AA67" i="5"/>
  <c r="AB67" i="5"/>
  <c r="C67" i="5"/>
</calcChain>
</file>

<file path=xl/sharedStrings.xml><?xml version="1.0" encoding="utf-8"?>
<sst xmlns="http://schemas.openxmlformats.org/spreadsheetml/2006/main" count="2336" uniqueCount="112">
  <si>
    <t>By Product</t>
  </si>
  <si>
    <t>Adhesives</t>
  </si>
  <si>
    <t>Acrylic Adhesives</t>
  </si>
  <si>
    <t>Polyurethane Adhesives</t>
  </si>
  <si>
    <t>Epoxy Adhesives</t>
  </si>
  <si>
    <t>Silicone Adhesives</t>
  </si>
  <si>
    <t>Polyvinyl Acetate Adhesives</t>
  </si>
  <si>
    <t>Ethylene Vinyl Acetate Adhesives</t>
  </si>
  <si>
    <t>Rubber-based Adhesives</t>
  </si>
  <si>
    <t>Cyanoacrylate Adhesives</t>
  </si>
  <si>
    <t>Others (Phenolic Adhesives, etc.)</t>
  </si>
  <si>
    <t>Sealants</t>
  </si>
  <si>
    <t>Silicone Sealants</t>
  </si>
  <si>
    <t>Polyurethane Sealants</t>
  </si>
  <si>
    <t>Acrylic Sealants</t>
  </si>
  <si>
    <t>Polysulfide Sealants</t>
  </si>
  <si>
    <t>Butyl Sealants</t>
  </si>
  <si>
    <t>Others (Epoxy Sealants, etc.)</t>
  </si>
  <si>
    <t>Water-based</t>
  </si>
  <si>
    <t>Solvent-based</t>
  </si>
  <si>
    <t>Hot-melt</t>
  </si>
  <si>
    <t>Reactive</t>
  </si>
  <si>
    <t>Pressure-sensitive</t>
  </si>
  <si>
    <t>Radiation-cured</t>
  </si>
  <si>
    <t>Moisture-cured</t>
  </si>
  <si>
    <t>Others (Heat-cured, etc.)</t>
  </si>
  <si>
    <t>By Technology</t>
  </si>
  <si>
    <t>By End Use Industry</t>
  </si>
  <si>
    <t>Building and Construction</t>
  </si>
  <si>
    <t>Flooring and Tile Fixing</t>
  </si>
  <si>
    <t>Roofing and Insulation</t>
  </si>
  <si>
    <t>Window, Door, and Façade Sealing</t>
  </si>
  <si>
    <t>Others (Concrete and Masonry Sealing, etc.)</t>
  </si>
  <si>
    <t>Packaging</t>
  </si>
  <si>
    <t>Flexible Packaging</t>
  </si>
  <si>
    <t>Rigid Packaging</t>
  </si>
  <si>
    <t>Labels and Tapes</t>
  </si>
  <si>
    <t>Others (Corrugated Boxes, etc.)</t>
  </si>
  <si>
    <t>Automotive and Transportation</t>
  </si>
  <si>
    <t>Structural Bonding</t>
  </si>
  <si>
    <t>Interior and Exterior Assembly</t>
  </si>
  <si>
    <t>Glass Bonding and Weather Sealing</t>
  </si>
  <si>
    <t>Others (Battery Pack Bonding, etc.)</t>
  </si>
  <si>
    <t>Woodworking and Furniture</t>
  </si>
  <si>
    <t>Furniture Assembly</t>
  </si>
  <si>
    <t>Panel Lamination</t>
  </si>
  <si>
    <t>Edge Banding</t>
  </si>
  <si>
    <t>Others (Veneer Bonding, etc.)</t>
  </si>
  <si>
    <t>Electronics and Electrical</t>
  </si>
  <si>
    <t>Component Bonding</t>
  </si>
  <si>
    <t>Potting and Encapsulation</t>
  </si>
  <si>
    <t>Display and Battery Assembly</t>
  </si>
  <si>
    <t>Others (Wire and Cable Sealing, etc.)</t>
  </si>
  <si>
    <t>Healthcare and Medical Devices</t>
  </si>
  <si>
    <t>Medical Device Assembly</t>
  </si>
  <si>
    <t>Wound Care and Surgical Tapes</t>
  </si>
  <si>
    <t>Dental and Transdermal Applications</t>
  </si>
  <si>
    <t>Others (Diagnostic Device Assembly, etc.)</t>
  </si>
  <si>
    <t>Others (Footwear and Leather, Aerospace and Defense, etc.)</t>
  </si>
  <si>
    <t>Distribution Channel</t>
  </si>
  <si>
    <t>Direct OEM Supplies</t>
  </si>
  <si>
    <t>Indirect (via Distributors / Traders)</t>
  </si>
  <si>
    <t>North America</t>
  </si>
  <si>
    <t>Europe</t>
  </si>
  <si>
    <t>U.S.</t>
  </si>
  <si>
    <t>Canada</t>
  </si>
  <si>
    <t>Germany</t>
  </si>
  <si>
    <t>U.K.</t>
  </si>
  <si>
    <t>France</t>
  </si>
  <si>
    <t>Italy</t>
  </si>
  <si>
    <t>Spain</t>
  </si>
  <si>
    <t>Russia</t>
  </si>
  <si>
    <t>Rest of Europe</t>
  </si>
  <si>
    <t>Asia Pacific</t>
  </si>
  <si>
    <t>China</t>
  </si>
  <si>
    <t>India</t>
  </si>
  <si>
    <t>Japan</t>
  </si>
  <si>
    <t>South Korea</t>
  </si>
  <si>
    <t>ASEAN</t>
  </si>
  <si>
    <t>Australia</t>
  </si>
  <si>
    <t>Rest of Asia Pacific</t>
  </si>
  <si>
    <t>Latin America</t>
  </si>
  <si>
    <t>Brazil</t>
  </si>
  <si>
    <t>Mexico</t>
  </si>
  <si>
    <t>Argentina</t>
  </si>
  <si>
    <t>Rest of Latin America</t>
  </si>
  <si>
    <t>Middle East</t>
  </si>
  <si>
    <t>Israel</t>
  </si>
  <si>
    <t>GCC</t>
  </si>
  <si>
    <t>Rest of Middle East</t>
  </si>
  <si>
    <t>Africa</t>
  </si>
  <si>
    <t>North Africa</t>
  </si>
  <si>
    <t>Central Africa</t>
  </si>
  <si>
    <t>South Africa</t>
  </si>
  <si>
    <t>CMI_Trend_56</t>
  </si>
  <si>
    <t>CMI_Trend_38</t>
  </si>
  <si>
    <t>CMI_Trend_25</t>
  </si>
  <si>
    <t>CMI_Trend_46</t>
  </si>
  <si>
    <t>CMI_Trend_20</t>
  </si>
  <si>
    <t>CMI_Trend_52</t>
  </si>
  <si>
    <t>CMI_Trend_60</t>
  </si>
  <si>
    <t>ASP1</t>
  </si>
  <si>
    <t>ASP2</t>
  </si>
  <si>
    <t>ASP3</t>
  </si>
  <si>
    <t>ASP4</t>
  </si>
  <si>
    <t>ASP5</t>
  </si>
  <si>
    <t>ASP6</t>
  </si>
  <si>
    <t>ASP7</t>
  </si>
  <si>
    <t>ASP8</t>
  </si>
  <si>
    <t>ASP9</t>
  </si>
  <si>
    <t>Market Name</t>
  </si>
  <si>
    <t>Adhesive &amp; Sealants 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</si>
</sst>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"/>
    <numFmt numFmtId="165" formatCode="0.0%"/>
    <numFmt numFmtId="166" formatCode="_(* #,##0.0_);_(* \(#,##0.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/>
    <xf numFmtId="0" fontId="0" fillId="0" borderId="0" xfId="0" applyAlignment="1">
      <alignment horizontal="left" indent="1"/>
    </xf>
    <xf numFmtId="0" fontId="2" fillId="2" borderId="1" xfId="0" applyFont="1" applyFill="1" applyBorder="1"/>
    <xf numFmtId="0" fontId="2" fillId="0" borderId="1" xfId="0" applyFont="1" applyBorder="1"/>
    <xf numFmtId="0" fontId="0" fillId="0" borderId="1" xfId="0" applyBorder="1" applyAlignment="1">
      <alignment horizontal="left" indent="1"/>
    </xf>
    <xf numFmtId="10" fontId="0" fillId="0" borderId="0" xfId="0" applyNumberFormat="1"/>
    <xf numFmtId="10" fontId="2" fillId="0" borderId="0" xfId="0" applyNumberFormat="1" applyFont="1" applyAlignment="1">
      <alignment horizontal="right" vertical="center"/>
    </xf>
    <xf numFmtId="10" fontId="0" fillId="0" borderId="0" xfId="0" applyNumberFormat="1" applyAlignment="1">
      <alignment horizontal="right" vertical="center"/>
    </xf>
    <xf numFmtId="9" fontId="0" fillId="0" borderId="0" xfId="0" applyNumberFormat="1"/>
    <xf numFmtId="9" fontId="2" fillId="0" borderId="0" xfId="0" applyNumberFormat="1" applyFont="1" applyAlignment="1">
      <alignment horizontal="right" vertical="center"/>
    </xf>
    <xf numFmtId="10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3" fontId="0" fillId="0" borderId="0" xfId="0" applyNumberFormat="1"/>
    <xf numFmtId="0" fontId="0" fillId="0" borderId="1" xfId="0" applyBorder="1" applyAlignment="1">
      <alignment horizontal="center" vertical="center"/>
    </xf>
    <xf numFmtId="165" fontId="0" fillId="0" borderId="1" xfId="1" applyNumberFormat="1" applyFont="1" applyBorder="1" applyAlignment="1">
      <alignment horizontal="center" vertical="center"/>
    </xf>
    <xf numFmtId="165" fontId="0" fillId="0" borderId="0" xfId="1" applyNumberFormat="1" applyFont="1" applyAlignment="1">
      <alignment horizontal="center" vertical="center"/>
    </xf>
    <xf numFmtId="165" fontId="2" fillId="0" borderId="0" xfId="1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/>
    </xf>
    <xf numFmtId="165" fontId="0" fillId="0" borderId="0" xfId="0" applyNumberFormat="1"/>
    <xf numFmtId="166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F0FED-19C6-49D0-B3DE-430DE3DC1756}">
  <dimension ref="A1:CF102"/>
  <sheetViews>
    <sheetView tabSelected="1" zoomScale="85" zoomScaleNormal="85" workbookViewId="0">
      <pane xSplit="2" ySplit="3" topLeftCell="C4" activePane="bottomRight" state="frozen"/>
      <selection activeCell="AH1" sqref="AH1"/>
      <selection pane="topRight" activeCell="AH1" sqref="AH1"/>
      <selection pane="bottomLeft" activeCell="AH1" sqref="AH1"/>
      <selection pane="bottomRight" activeCell="C4" sqref="C4"/>
    </sheetView>
  </sheetViews>
  <sheetFormatPr defaultRowHeight="14.5" x14ac:dyDescent="0.35"/>
  <cols>
    <col min="2" max="2" width="23" customWidth="1"/>
    <col min="31" max="56" width="8.7265625" style="17"/>
  </cols>
  <sheetData>
    <row r="1" spans="1:84" x14ac:dyDescent="0.35">
      <c r="B1" t="s">
        <v>110</v>
      </c>
      <c r="C1" s="1" t="s">
        <v>111</v>
      </c>
    </row>
    <row r="2" spans="1:84" x14ac:dyDescent="0.35">
      <c r="C2" s="11"/>
    </row>
    <row r="3" spans="1:84" x14ac:dyDescent="0.35">
      <c r="C3" s="15" t="s">
        <v>64</v>
      </c>
      <c r="D3" s="15" t="s">
        <v>65</v>
      </c>
      <c r="E3" s="15" t="s">
        <v>66</v>
      </c>
      <c r="F3" s="15" t="s">
        <v>67</v>
      </c>
      <c r="G3" s="15" t="s">
        <v>68</v>
      </c>
      <c r="H3" s="15" t="s">
        <v>69</v>
      </c>
      <c r="I3" s="15" t="s">
        <v>70</v>
      </c>
      <c r="J3" s="15" t="s">
        <v>71</v>
      </c>
      <c r="K3" s="15" t="s">
        <v>72</v>
      </c>
      <c r="L3" s="15" t="s">
        <v>74</v>
      </c>
      <c r="M3" s="15" t="s">
        <v>75</v>
      </c>
      <c r="N3" s="15" t="s">
        <v>76</v>
      </c>
      <c r="O3" s="15" t="s">
        <v>77</v>
      </c>
      <c r="P3" s="15" t="s">
        <v>78</v>
      </c>
      <c r="Q3" s="15" t="s">
        <v>79</v>
      </c>
      <c r="R3" s="15" t="s">
        <v>80</v>
      </c>
      <c r="S3" s="15" t="s">
        <v>82</v>
      </c>
      <c r="T3" s="15" t="s">
        <v>83</v>
      </c>
      <c r="U3" s="15" t="s">
        <v>84</v>
      </c>
      <c r="V3" s="15" t="s">
        <v>85</v>
      </c>
      <c r="W3" s="15" t="s">
        <v>87</v>
      </c>
      <c r="X3" s="15" t="s">
        <v>88</v>
      </c>
      <c r="Y3" s="15" t="s">
        <v>89</v>
      </c>
      <c r="Z3" s="15" t="s">
        <v>91</v>
      </c>
      <c r="AA3" s="15" t="s">
        <v>92</v>
      </c>
      <c r="AB3" s="15" t="s">
        <v>93</v>
      </c>
      <c r="AE3" s="16" t="s">
        <v>64</v>
      </c>
      <c r="AF3" s="16" t="s">
        <v>65</v>
      </c>
      <c r="AG3" s="16" t="s">
        <v>66</v>
      </c>
      <c r="AH3" s="16" t="s">
        <v>67</v>
      </c>
      <c r="AI3" s="16" t="s">
        <v>68</v>
      </c>
      <c r="AJ3" s="16" t="s">
        <v>69</v>
      </c>
      <c r="AK3" s="16" t="s">
        <v>70</v>
      </c>
      <c r="AL3" s="16" t="s">
        <v>71</v>
      </c>
      <c r="AM3" s="16" t="s">
        <v>72</v>
      </c>
      <c r="AN3" s="16" t="s">
        <v>74</v>
      </c>
      <c r="AO3" s="16" t="s">
        <v>75</v>
      </c>
      <c r="AP3" s="16" t="s">
        <v>76</v>
      </c>
      <c r="AQ3" s="16" t="s">
        <v>77</v>
      </c>
      <c r="AR3" s="16" t="s">
        <v>78</v>
      </c>
      <c r="AS3" s="16" t="s">
        <v>79</v>
      </c>
      <c r="AT3" s="16" t="s">
        <v>80</v>
      </c>
      <c r="AU3" s="16" t="s">
        <v>82</v>
      </c>
      <c r="AV3" s="16" t="s">
        <v>83</v>
      </c>
      <c r="AW3" s="16" t="s">
        <v>84</v>
      </c>
      <c r="AX3" s="16" t="s">
        <v>85</v>
      </c>
      <c r="AY3" s="16" t="s">
        <v>87</v>
      </c>
      <c r="AZ3" s="16" t="s">
        <v>88</v>
      </c>
      <c r="BA3" s="16" t="s">
        <v>89</v>
      </c>
      <c r="BB3" s="16" t="s">
        <v>91</v>
      </c>
      <c r="BC3" s="16" t="s">
        <v>92</v>
      </c>
      <c r="BD3" s="16" t="s">
        <v>93</v>
      </c>
      <c r="BG3" s="16" t="s">
        <v>64</v>
      </c>
      <c r="BH3" s="16" t="s">
        <v>65</v>
      </c>
      <c r="BI3" s="16" t="s">
        <v>66</v>
      </c>
      <c r="BJ3" s="16" t="s">
        <v>67</v>
      </c>
      <c r="BK3" s="16" t="s">
        <v>68</v>
      </c>
      <c r="BL3" s="16" t="s">
        <v>69</v>
      </c>
      <c r="BM3" s="16" t="s">
        <v>70</v>
      </c>
      <c r="BN3" s="16" t="s">
        <v>71</v>
      </c>
      <c r="BO3" s="16" t="s">
        <v>72</v>
      </c>
      <c r="BP3" s="16" t="s">
        <v>74</v>
      </c>
      <c r="BQ3" s="16" t="s">
        <v>75</v>
      </c>
      <c r="BR3" s="16" t="s">
        <v>76</v>
      </c>
      <c r="BS3" s="16" t="s">
        <v>77</v>
      </c>
      <c r="BT3" s="16" t="s">
        <v>78</v>
      </c>
      <c r="BU3" s="16" t="s">
        <v>79</v>
      </c>
      <c r="BV3" s="16" t="s">
        <v>80</v>
      </c>
      <c r="BW3" s="16" t="s">
        <v>82</v>
      </c>
      <c r="BX3" s="16" t="s">
        <v>83</v>
      </c>
      <c r="BY3" s="16" t="s">
        <v>84</v>
      </c>
      <c r="BZ3" s="16" t="s">
        <v>85</v>
      </c>
      <c r="CA3" s="16" t="s">
        <v>87</v>
      </c>
      <c r="CB3" s="16" t="s">
        <v>88</v>
      </c>
      <c r="CC3" s="16" t="s">
        <v>89</v>
      </c>
      <c r="CD3" s="16" t="s">
        <v>91</v>
      </c>
      <c r="CE3" s="16" t="s">
        <v>92</v>
      </c>
      <c r="CF3" s="16" t="s">
        <v>93</v>
      </c>
    </row>
    <row r="4" spans="1:84" x14ac:dyDescent="0.35">
      <c r="B4" s="1" t="s">
        <v>0</v>
      </c>
      <c r="AD4" s="1" t="s">
        <v>0</v>
      </c>
      <c r="BF4" s="1" t="s">
        <v>0</v>
      </c>
    </row>
    <row r="5" spans="1:84" x14ac:dyDescent="0.35">
      <c r="A5" s="7"/>
      <c r="B5" s="1" t="s">
        <v>1</v>
      </c>
      <c r="C5" s="12">
        <f>1-C15</f>
        <v>0.7863</v>
      </c>
      <c r="D5" s="12">
        <f t="shared" ref="D5:AB5" si="0">1-D15</f>
        <v>0.77770000000000006</v>
      </c>
      <c r="E5" s="12">
        <f t="shared" si="0"/>
        <v>0.78839999999999999</v>
      </c>
      <c r="F5" s="12">
        <f t="shared" si="0"/>
        <v>0.79720000000000002</v>
      </c>
      <c r="G5" s="12">
        <f t="shared" si="0"/>
        <v>0.80090000000000006</v>
      </c>
      <c r="H5" s="12">
        <f t="shared" si="0"/>
        <v>0.7995000000000001</v>
      </c>
      <c r="I5" s="12">
        <f t="shared" si="0"/>
        <v>0.7742</v>
      </c>
      <c r="J5" s="12">
        <f t="shared" si="0"/>
        <v>0.80290000000000006</v>
      </c>
      <c r="K5" s="12">
        <f t="shared" si="0"/>
        <v>0.79730000000000001</v>
      </c>
      <c r="L5" s="12">
        <f t="shared" si="0"/>
        <v>0.77340000000000009</v>
      </c>
      <c r="M5" s="12">
        <f t="shared" si="0"/>
        <v>0.78580000000000005</v>
      </c>
      <c r="N5" s="12">
        <f t="shared" si="0"/>
        <v>0.79630000000000001</v>
      </c>
      <c r="O5" s="12">
        <f t="shared" si="0"/>
        <v>0.77880000000000005</v>
      </c>
      <c r="P5" s="12">
        <f t="shared" si="0"/>
        <v>0.77570000000000006</v>
      </c>
      <c r="Q5" s="12">
        <f t="shared" si="0"/>
        <v>0.79610000000000003</v>
      </c>
      <c r="R5" s="12">
        <f t="shared" si="0"/>
        <v>0.79470000000000007</v>
      </c>
      <c r="S5" s="12">
        <f t="shared" si="0"/>
        <v>0.78980000000000006</v>
      </c>
      <c r="T5" s="12">
        <f t="shared" si="0"/>
        <v>0.79900000000000004</v>
      </c>
      <c r="U5" s="12">
        <f t="shared" si="0"/>
        <v>0.7944</v>
      </c>
      <c r="V5" s="12">
        <f t="shared" si="0"/>
        <v>0.78080000000000005</v>
      </c>
      <c r="W5" s="12">
        <f t="shared" si="0"/>
        <v>0.78110000000000002</v>
      </c>
      <c r="X5" s="12">
        <f t="shared" si="0"/>
        <v>0.80280000000000007</v>
      </c>
      <c r="Y5" s="12">
        <f t="shared" si="0"/>
        <v>0.78290000000000004</v>
      </c>
      <c r="Z5" s="12">
        <f t="shared" si="0"/>
        <v>0.78760000000000008</v>
      </c>
      <c r="AA5" s="12">
        <f t="shared" si="0"/>
        <v>0.80410000000000004</v>
      </c>
      <c r="AB5" s="12">
        <f t="shared" si="0"/>
        <v>0.78670000000000007</v>
      </c>
      <c r="AD5" s="1" t="s">
        <v>1</v>
      </c>
      <c r="AE5" s="20">
        <f>SUMPRODUCT(AE6:AE14,C6:C14)</f>
        <v>4.2549573943128985E-2</v>
      </c>
      <c r="AF5" s="20">
        <f t="shared" ref="AF5:BD5" si="1">SUMPRODUCT(AF6:AF14,D6:D14)</f>
        <v>2.7768627921231061E-2</v>
      </c>
      <c r="AG5" s="20">
        <f t="shared" si="1"/>
        <v>3.7601580177684668E-2</v>
      </c>
      <c r="AH5" s="20">
        <f t="shared" si="1"/>
        <v>3.0957675878503784E-2</v>
      </c>
      <c r="AI5" s="20">
        <f t="shared" si="1"/>
        <v>2.6415457344131782E-2</v>
      </c>
      <c r="AJ5" s="20">
        <f t="shared" si="1"/>
        <v>2.2092179616780699E-2</v>
      </c>
      <c r="AK5" s="20">
        <f t="shared" si="1"/>
        <v>2.0264627812723784E-2</v>
      </c>
      <c r="AL5" s="20">
        <f t="shared" si="1"/>
        <v>3.428802294263953E-2</v>
      </c>
      <c r="AM5" s="20">
        <f t="shared" si="1"/>
        <v>2.7887940966211847E-2</v>
      </c>
      <c r="AN5" s="20">
        <f t="shared" si="1"/>
        <v>5.1264699647054199E-2</v>
      </c>
      <c r="AO5" s="20">
        <f t="shared" si="1"/>
        <v>6.5917273259332887E-2</v>
      </c>
      <c r="AP5" s="20">
        <f t="shared" si="1"/>
        <v>4.5917812783429643E-2</v>
      </c>
      <c r="AQ5" s="20">
        <f t="shared" si="1"/>
        <v>4.0544822907292943E-2</v>
      </c>
      <c r="AR5" s="20">
        <f t="shared" si="1"/>
        <v>5.8705092125487739E-2</v>
      </c>
      <c r="AS5" s="20">
        <f t="shared" si="1"/>
        <v>3.5596958606193191E-2</v>
      </c>
      <c r="AT5" s="20">
        <f t="shared" si="1"/>
        <v>3.2177725123125077E-2</v>
      </c>
      <c r="AU5" s="20">
        <f t="shared" si="1"/>
        <v>5.1159855757549146E-2</v>
      </c>
      <c r="AV5" s="20">
        <f t="shared" si="1"/>
        <v>4.5663131431777471E-2</v>
      </c>
      <c r="AW5" s="20">
        <f t="shared" si="1"/>
        <v>4.0305049517078743E-2</v>
      </c>
      <c r="AX5" s="20">
        <f t="shared" si="1"/>
        <v>3.5068903033265819E-2</v>
      </c>
      <c r="AY5" s="20">
        <f t="shared" si="1"/>
        <v>5.13113188723653E-2</v>
      </c>
      <c r="AZ5" s="20">
        <f t="shared" si="1"/>
        <v>5.8679584000864732E-2</v>
      </c>
      <c r="BA5" s="20">
        <f t="shared" si="1"/>
        <v>4.4311256871517476E-2</v>
      </c>
      <c r="BB5" s="20">
        <f t="shared" si="1"/>
        <v>4.0541702214123593E-2</v>
      </c>
      <c r="BC5" s="20">
        <f t="shared" si="1"/>
        <v>3.4560590805967142E-2</v>
      </c>
      <c r="BD5" s="20">
        <f t="shared" si="1"/>
        <v>2.9295724534259684E-2</v>
      </c>
      <c r="BF5" s="1" t="s">
        <v>1</v>
      </c>
      <c r="BG5" t="s">
        <v>99</v>
      </c>
      <c r="BH5" t="s">
        <v>100</v>
      </c>
      <c r="BI5" t="s">
        <v>99</v>
      </c>
      <c r="BJ5" t="s">
        <v>100</v>
      </c>
      <c r="BK5" t="s">
        <v>99</v>
      </c>
      <c r="BL5" t="s">
        <v>100</v>
      </c>
      <c r="BM5" t="s">
        <v>99</v>
      </c>
      <c r="BN5" t="s">
        <v>98</v>
      </c>
      <c r="BO5" t="s">
        <v>99</v>
      </c>
      <c r="BP5" t="s">
        <v>98</v>
      </c>
      <c r="BQ5" t="s">
        <v>96</v>
      </c>
      <c r="BR5" t="s">
        <v>99</v>
      </c>
      <c r="BS5" t="s">
        <v>97</v>
      </c>
      <c r="BT5" t="s">
        <v>95</v>
      </c>
      <c r="BU5" t="s">
        <v>97</v>
      </c>
      <c r="BV5" t="s">
        <v>96</v>
      </c>
      <c r="BW5" t="s">
        <v>99</v>
      </c>
      <c r="BX5" t="s">
        <v>94</v>
      </c>
      <c r="BY5" t="s">
        <v>100</v>
      </c>
      <c r="BZ5" t="s">
        <v>100</v>
      </c>
      <c r="CA5" t="s">
        <v>94</v>
      </c>
      <c r="CB5" t="s">
        <v>94</v>
      </c>
      <c r="CC5" t="s">
        <v>95</v>
      </c>
      <c r="CD5" t="s">
        <v>94</v>
      </c>
      <c r="CE5" t="s">
        <v>99</v>
      </c>
      <c r="CF5" t="s">
        <v>98</v>
      </c>
    </row>
    <row r="6" spans="1:84" x14ac:dyDescent="0.35">
      <c r="A6" s="6"/>
      <c r="B6" s="2" t="s">
        <v>2</v>
      </c>
      <c r="C6" s="12">
        <f>1-SUM(C7:C14)</f>
        <v>0.22249999999999981</v>
      </c>
      <c r="D6" s="12">
        <f t="shared" ref="D6:AB6" si="2">1-SUM(D7:D14)</f>
        <v>0.19989999999999986</v>
      </c>
      <c r="E6" s="12">
        <f t="shared" si="2"/>
        <v>0.19079999999999997</v>
      </c>
      <c r="F6" s="12">
        <f t="shared" si="2"/>
        <v>0.18900000000000006</v>
      </c>
      <c r="G6" s="12">
        <f t="shared" si="2"/>
        <v>0.2246999999999999</v>
      </c>
      <c r="H6" s="12">
        <f t="shared" si="2"/>
        <v>0.21140000000000003</v>
      </c>
      <c r="I6" s="12">
        <f t="shared" si="2"/>
        <v>0.22009999999999985</v>
      </c>
      <c r="J6" s="12">
        <f t="shared" si="2"/>
        <v>0.2248</v>
      </c>
      <c r="K6" s="12">
        <f t="shared" si="2"/>
        <v>0.20689999999999986</v>
      </c>
      <c r="L6" s="12">
        <f t="shared" si="2"/>
        <v>0.21109999999999995</v>
      </c>
      <c r="M6" s="12">
        <f t="shared" si="2"/>
        <v>0.20499999999999985</v>
      </c>
      <c r="N6" s="12">
        <f t="shared" si="2"/>
        <v>0.20979999999999999</v>
      </c>
      <c r="O6" s="12">
        <f t="shared" si="2"/>
        <v>0.20889999999999986</v>
      </c>
      <c r="P6" s="12">
        <f t="shared" si="2"/>
        <v>0.23999999999999988</v>
      </c>
      <c r="Q6" s="12">
        <f t="shared" si="2"/>
        <v>0.19639999999999969</v>
      </c>
      <c r="R6" s="12">
        <f t="shared" si="2"/>
        <v>0.21989999999999987</v>
      </c>
      <c r="S6" s="12">
        <f t="shared" si="2"/>
        <v>0.23000000000000009</v>
      </c>
      <c r="T6" s="12">
        <f t="shared" si="2"/>
        <v>0.22560000000000002</v>
      </c>
      <c r="U6" s="12">
        <f t="shared" si="2"/>
        <v>0.17889999999999984</v>
      </c>
      <c r="V6" s="12">
        <f t="shared" si="2"/>
        <v>0.20079999999999998</v>
      </c>
      <c r="W6" s="12">
        <f t="shared" si="2"/>
        <v>0.22339999999999982</v>
      </c>
      <c r="X6" s="12">
        <f t="shared" si="2"/>
        <v>0.19569999999999987</v>
      </c>
      <c r="Y6" s="12">
        <f t="shared" si="2"/>
        <v>0.24260000000000004</v>
      </c>
      <c r="Z6" s="12">
        <f t="shared" si="2"/>
        <v>0.21889999999999987</v>
      </c>
      <c r="AA6" s="12">
        <f t="shared" si="2"/>
        <v>0.19819999999999971</v>
      </c>
      <c r="AB6" s="12">
        <f t="shared" si="2"/>
        <v>0.21679999999999999</v>
      </c>
      <c r="AC6" s="8"/>
      <c r="AD6" s="2" t="s">
        <v>2</v>
      </c>
      <c r="AE6" s="12">
        <v>5.1475877403007714E-2</v>
      </c>
      <c r="AF6" s="12">
        <v>3.730997276862226E-2</v>
      </c>
      <c r="AG6" s="12">
        <v>4.7478682796080952E-2</v>
      </c>
      <c r="AH6" s="12">
        <v>4.037537295140152E-2</v>
      </c>
      <c r="AI6" s="12">
        <v>3.4129607384625726E-2</v>
      </c>
      <c r="AJ6" s="12">
        <v>2.8310853270095717E-2</v>
      </c>
      <c r="AK6" s="12">
        <v>2.5736634540981934E-2</v>
      </c>
      <c r="AL6" s="12">
        <v>4.3326278886736902E-2</v>
      </c>
      <c r="AM6" s="12">
        <v>3.2108716205013238E-2</v>
      </c>
      <c r="AN6" s="12">
        <v>6.0419737830143351E-2</v>
      </c>
      <c r="AO6" s="12">
        <v>7.5557086916502633E-2</v>
      </c>
      <c r="AP6" s="12">
        <v>5.4992061683126613E-2</v>
      </c>
      <c r="AQ6" s="12">
        <v>4.9638117970126731E-2</v>
      </c>
      <c r="AR6" s="12">
        <v>6.7795230244295193E-2</v>
      </c>
      <c r="AS6" s="12">
        <v>4.5223353995397848E-2</v>
      </c>
      <c r="AT6" s="12">
        <v>4.1190348826856051E-2</v>
      </c>
      <c r="AU6" s="12">
        <v>6.0438794331756501E-2</v>
      </c>
      <c r="AV6" s="12">
        <v>5.4514922078644786E-2</v>
      </c>
      <c r="AW6" s="12">
        <v>4.9616271942743234E-2</v>
      </c>
      <c r="AX6" s="12">
        <v>4.4076083945179777E-2</v>
      </c>
      <c r="AY6" s="12">
        <v>6.0307219186311108E-2</v>
      </c>
      <c r="AZ6" s="12">
        <v>6.8076189529489309E-2</v>
      </c>
      <c r="BA6" s="12">
        <v>5.3285574264172388E-2</v>
      </c>
      <c r="BB6" s="12">
        <v>4.9500450272641751E-2</v>
      </c>
      <c r="BC6" s="12">
        <v>4.3922750915482263E-2</v>
      </c>
      <c r="BD6" s="12">
        <v>3.8777520494290084E-2</v>
      </c>
      <c r="BF6" s="2" t="s">
        <v>2</v>
      </c>
      <c r="BG6" t="s">
        <v>96</v>
      </c>
      <c r="BH6" t="s">
        <v>98</v>
      </c>
      <c r="BI6" t="s">
        <v>99</v>
      </c>
      <c r="BJ6" t="s">
        <v>95</v>
      </c>
      <c r="BK6" t="s">
        <v>97</v>
      </c>
      <c r="BL6" t="s">
        <v>97</v>
      </c>
      <c r="BM6" t="s">
        <v>97</v>
      </c>
      <c r="BN6" t="s">
        <v>96</v>
      </c>
      <c r="BO6" t="s">
        <v>99</v>
      </c>
      <c r="BP6" t="s">
        <v>95</v>
      </c>
      <c r="BQ6" t="s">
        <v>95</v>
      </c>
      <c r="BR6" t="s">
        <v>95</v>
      </c>
      <c r="BS6" t="s">
        <v>99</v>
      </c>
      <c r="BT6" t="s">
        <v>98</v>
      </c>
      <c r="BU6" t="s">
        <v>99</v>
      </c>
      <c r="BV6" t="s">
        <v>99</v>
      </c>
      <c r="BW6" t="s">
        <v>99</v>
      </c>
      <c r="BX6" t="s">
        <v>97</v>
      </c>
      <c r="BY6" t="s">
        <v>98</v>
      </c>
      <c r="BZ6" t="s">
        <v>97</v>
      </c>
      <c r="CA6" t="s">
        <v>100</v>
      </c>
      <c r="CB6" t="s">
        <v>98</v>
      </c>
      <c r="CC6" t="s">
        <v>97</v>
      </c>
      <c r="CD6" t="s">
        <v>95</v>
      </c>
      <c r="CE6" t="s">
        <v>99</v>
      </c>
      <c r="CF6" t="s">
        <v>97</v>
      </c>
    </row>
    <row r="7" spans="1:84" x14ac:dyDescent="0.35">
      <c r="A7" s="6"/>
      <c r="B7" s="2" t="s">
        <v>3</v>
      </c>
      <c r="C7" s="12">
        <v>0.13769999999999999</v>
      </c>
      <c r="D7" s="12">
        <v>0.15229999999999999</v>
      </c>
      <c r="E7" s="12">
        <v>0.13039999999999999</v>
      </c>
      <c r="F7" s="12">
        <v>0.15279999999999999</v>
      </c>
      <c r="G7" s="12">
        <v>0.12740000000000001</v>
      </c>
      <c r="H7" s="12">
        <v>0.1338</v>
      </c>
      <c r="I7" s="12">
        <v>0.13780000000000001</v>
      </c>
      <c r="J7" s="12">
        <v>0.14799999999999999</v>
      </c>
      <c r="K7" s="12">
        <v>0.13539999999999999</v>
      </c>
      <c r="L7" s="12">
        <v>0.14169999999999999</v>
      </c>
      <c r="M7" s="12">
        <v>0.12790000000000001</v>
      </c>
      <c r="N7" s="12">
        <v>0.1431</v>
      </c>
      <c r="O7" s="12">
        <v>0.1288</v>
      </c>
      <c r="P7" s="12">
        <v>0.1244</v>
      </c>
      <c r="Q7" s="12">
        <v>0.1482</v>
      </c>
      <c r="R7" s="12">
        <v>0.13569999999999999</v>
      </c>
      <c r="S7" s="12">
        <v>0.1265</v>
      </c>
      <c r="T7" s="12">
        <v>0.1419</v>
      </c>
      <c r="U7" s="12">
        <v>0.156</v>
      </c>
      <c r="V7" s="12">
        <v>0.14430000000000001</v>
      </c>
      <c r="W7" s="12">
        <v>0.1263</v>
      </c>
      <c r="X7" s="12">
        <v>0.15229999999999999</v>
      </c>
      <c r="Y7" s="12">
        <v>0.12670000000000001</v>
      </c>
      <c r="Z7" s="12">
        <v>0.1484</v>
      </c>
      <c r="AA7" s="12">
        <v>0.1469</v>
      </c>
      <c r="AB7" s="12">
        <v>0.14299999999999999</v>
      </c>
      <c r="AC7" s="8"/>
      <c r="AD7" s="2" t="s">
        <v>3</v>
      </c>
      <c r="AE7" s="12">
        <v>4.4866737625380126E-2</v>
      </c>
      <c r="AF7" s="12">
        <v>3.0700832990994673E-2</v>
      </c>
      <c r="AG7" s="12">
        <v>4.0869543018453365E-2</v>
      </c>
      <c r="AH7" s="12">
        <v>3.3766233173773932E-2</v>
      </c>
      <c r="AI7" s="12">
        <v>3.0100259109502703E-2</v>
      </c>
      <c r="AJ7" s="12">
        <v>2.4946245373413122E-2</v>
      </c>
      <c r="AK7" s="12">
        <v>2.2556237658376842E-2</v>
      </c>
      <c r="AL7" s="12">
        <v>3.6717139109109315E-2</v>
      </c>
      <c r="AM7" s="12">
        <v>2.9659673384623088E-2</v>
      </c>
      <c r="AN7" s="12">
        <v>5.3810598052515764E-2</v>
      </c>
      <c r="AO7" s="12">
        <v>6.8947947138875046E-2</v>
      </c>
      <c r="AP7" s="12">
        <v>4.8382921905499025E-2</v>
      </c>
      <c r="AQ7" s="12">
        <v>4.3028978192499144E-2</v>
      </c>
      <c r="AR7" s="12">
        <v>6.1186090466667606E-2</v>
      </c>
      <c r="AS7" s="12">
        <v>3.8614214217770261E-2</v>
      </c>
      <c r="AT7" s="12">
        <v>3.4581209049228463E-2</v>
      </c>
      <c r="AU7" s="12">
        <v>5.3829654554128914E-2</v>
      </c>
      <c r="AV7" s="12">
        <v>4.7905782301017198E-2</v>
      </c>
      <c r="AW7" s="12">
        <v>4.3007132165115647E-2</v>
      </c>
      <c r="AX7" s="12">
        <v>3.7466944167552189E-2</v>
      </c>
      <c r="AY7" s="12">
        <v>5.369807940868352E-2</v>
      </c>
      <c r="AZ7" s="12">
        <v>6.1467049751861721E-2</v>
      </c>
      <c r="BA7" s="12">
        <v>4.66764344865448E-2</v>
      </c>
      <c r="BB7" s="12">
        <v>4.2891310495014164E-2</v>
      </c>
      <c r="BC7" s="12">
        <v>3.7313611137854676E-2</v>
      </c>
      <c r="BD7" s="12">
        <v>3.2559396050058018E-2</v>
      </c>
      <c r="BF7" s="2" t="s">
        <v>3</v>
      </c>
      <c r="BG7" t="s">
        <v>94</v>
      </c>
      <c r="BH7" t="s">
        <v>99</v>
      </c>
      <c r="BI7" t="s">
        <v>99</v>
      </c>
      <c r="BJ7" t="s">
        <v>96</v>
      </c>
      <c r="BK7" t="s">
        <v>97</v>
      </c>
      <c r="BL7" t="s">
        <v>96</v>
      </c>
      <c r="BM7" t="s">
        <v>94</v>
      </c>
      <c r="BN7" t="s">
        <v>99</v>
      </c>
      <c r="BO7" t="s">
        <v>94</v>
      </c>
      <c r="BP7" t="s">
        <v>94</v>
      </c>
      <c r="BQ7" t="s">
        <v>95</v>
      </c>
      <c r="BR7" t="s">
        <v>100</v>
      </c>
      <c r="BS7" t="s">
        <v>95</v>
      </c>
      <c r="BT7" t="s">
        <v>99</v>
      </c>
      <c r="BU7" t="s">
        <v>100</v>
      </c>
      <c r="BV7" t="s">
        <v>99</v>
      </c>
      <c r="BW7" t="s">
        <v>97</v>
      </c>
      <c r="BX7" t="s">
        <v>94</v>
      </c>
      <c r="BY7" t="s">
        <v>96</v>
      </c>
      <c r="BZ7" t="s">
        <v>94</v>
      </c>
      <c r="CA7" t="s">
        <v>100</v>
      </c>
      <c r="CB7" t="s">
        <v>97</v>
      </c>
      <c r="CC7" t="s">
        <v>97</v>
      </c>
      <c r="CD7" t="s">
        <v>96</v>
      </c>
      <c r="CE7" t="s">
        <v>97</v>
      </c>
      <c r="CF7" t="s">
        <v>99</v>
      </c>
    </row>
    <row r="8" spans="1:84" x14ac:dyDescent="0.35">
      <c r="A8" s="6"/>
      <c r="B8" s="2" t="s">
        <v>4</v>
      </c>
      <c r="C8" s="12">
        <v>0.11615</v>
      </c>
      <c r="D8" s="12">
        <v>0.10025000000000001</v>
      </c>
      <c r="E8" s="12">
        <v>0.10405</v>
      </c>
      <c r="F8" s="12">
        <v>0.11055000000000001</v>
      </c>
      <c r="G8" s="12">
        <v>0.12665000000000001</v>
      </c>
      <c r="H8" s="12">
        <v>0.10375000000000001</v>
      </c>
      <c r="I8" s="12">
        <v>0.10025000000000001</v>
      </c>
      <c r="J8" s="12">
        <v>0.10535</v>
      </c>
      <c r="K8" s="12">
        <v>0.10385000000000001</v>
      </c>
      <c r="L8" s="12">
        <v>0.12525</v>
      </c>
      <c r="M8" s="12">
        <v>0.10825000000000001</v>
      </c>
      <c r="N8" s="12">
        <v>0.12865000000000001</v>
      </c>
      <c r="O8" s="12">
        <v>0.13005</v>
      </c>
      <c r="P8" s="12">
        <v>0.10015</v>
      </c>
      <c r="Q8" s="12">
        <v>0.11155000000000001</v>
      </c>
      <c r="R8" s="12">
        <v>0.12725</v>
      </c>
      <c r="S8" s="12">
        <v>0.11535000000000001</v>
      </c>
      <c r="T8" s="12">
        <v>0.11065000000000001</v>
      </c>
      <c r="U8" s="12">
        <v>0.12455000000000001</v>
      </c>
      <c r="V8" s="12">
        <v>0.12815000000000001</v>
      </c>
      <c r="W8" s="12">
        <v>0.11565</v>
      </c>
      <c r="X8" s="12">
        <v>0.11895</v>
      </c>
      <c r="Y8" s="12">
        <v>0.11095000000000001</v>
      </c>
      <c r="Z8" s="12">
        <v>0.11875000000000001</v>
      </c>
      <c r="AA8" s="12">
        <v>0.11595000000000001</v>
      </c>
      <c r="AB8" s="12">
        <v>0.10615000000000001</v>
      </c>
      <c r="AC8" s="8"/>
      <c r="AD8" s="2" t="s">
        <v>4</v>
      </c>
      <c r="AE8" s="12">
        <v>5.8610343769473078E-2</v>
      </c>
      <c r="AF8" s="12">
        <v>4.4444439135087624E-2</v>
      </c>
      <c r="AG8" s="12">
        <v>5.4613149162546316E-2</v>
      </c>
      <c r="AH8" s="12">
        <v>4.7509839317866884E-2</v>
      </c>
      <c r="AI8" s="12">
        <v>3.8781259402907324E-2</v>
      </c>
      <c r="AJ8" s="12">
        <v>3.0597854672218677E-2</v>
      </c>
      <c r="AK8" s="12">
        <v>2.892231020856063E-2</v>
      </c>
      <c r="AL8" s="12">
        <v>5.0460745253202266E-2</v>
      </c>
      <c r="AM8" s="12">
        <v>3.4561823917590467E-2</v>
      </c>
      <c r="AN8" s="12">
        <v>6.7554204196608708E-2</v>
      </c>
      <c r="AO8" s="12">
        <v>8.2691553282967997E-2</v>
      </c>
      <c r="AP8" s="12">
        <v>6.2126528049591977E-2</v>
      </c>
      <c r="AQ8" s="12">
        <v>5.6772584336592095E-2</v>
      </c>
      <c r="AR8" s="12">
        <v>7.4929696610760557E-2</v>
      </c>
      <c r="AS8" s="12">
        <v>5.2357820361863212E-2</v>
      </c>
      <c r="AT8" s="12">
        <v>4.8324815193321415E-2</v>
      </c>
      <c r="AU8" s="12">
        <v>6.7573260698221865E-2</v>
      </c>
      <c r="AV8" s="12">
        <v>6.164938844511015E-2</v>
      </c>
      <c r="AW8" s="12">
        <v>5.6750738309208598E-2</v>
      </c>
      <c r="AX8" s="12">
        <v>5.1210550311645141E-2</v>
      </c>
      <c r="AY8" s="12">
        <v>6.7441685552776465E-2</v>
      </c>
      <c r="AZ8" s="12">
        <v>7.5210655895954673E-2</v>
      </c>
      <c r="BA8" s="12">
        <v>6.0420040630637752E-2</v>
      </c>
      <c r="BB8" s="12">
        <v>5.6634916639107115E-2</v>
      </c>
      <c r="BC8" s="12">
        <v>5.1057217281947627E-2</v>
      </c>
      <c r="BD8" s="12">
        <v>4.4363604216204215E-2</v>
      </c>
      <c r="BF8" s="2" t="s">
        <v>4</v>
      </c>
      <c r="BG8" t="s">
        <v>97</v>
      </c>
      <c r="BH8" t="s">
        <v>95</v>
      </c>
      <c r="BI8" t="s">
        <v>97</v>
      </c>
      <c r="BJ8" t="s">
        <v>96</v>
      </c>
      <c r="BK8" t="s">
        <v>97</v>
      </c>
      <c r="BL8" t="s">
        <v>100</v>
      </c>
      <c r="BM8" t="s">
        <v>94</v>
      </c>
      <c r="BN8" t="s">
        <v>96</v>
      </c>
      <c r="BO8" t="s">
        <v>96</v>
      </c>
      <c r="BP8" t="s">
        <v>96</v>
      </c>
      <c r="BQ8" t="s">
        <v>96</v>
      </c>
      <c r="BR8" t="s">
        <v>99</v>
      </c>
      <c r="BS8" t="s">
        <v>96</v>
      </c>
      <c r="BT8" t="s">
        <v>100</v>
      </c>
      <c r="BU8" t="s">
        <v>98</v>
      </c>
      <c r="BV8" t="s">
        <v>97</v>
      </c>
      <c r="BW8" t="s">
        <v>99</v>
      </c>
      <c r="BX8" t="s">
        <v>96</v>
      </c>
      <c r="BY8" t="s">
        <v>95</v>
      </c>
      <c r="BZ8" t="s">
        <v>94</v>
      </c>
      <c r="CA8" t="s">
        <v>96</v>
      </c>
      <c r="CB8" t="s">
        <v>96</v>
      </c>
      <c r="CC8" t="s">
        <v>96</v>
      </c>
      <c r="CD8" t="s">
        <v>95</v>
      </c>
      <c r="CE8" t="s">
        <v>94</v>
      </c>
      <c r="CF8" t="s">
        <v>96</v>
      </c>
    </row>
    <row r="9" spans="1:84" x14ac:dyDescent="0.35">
      <c r="A9" s="6"/>
      <c r="B9" s="2" t="s">
        <v>5</v>
      </c>
      <c r="C9" s="12">
        <v>6.6949999999999996E-2</v>
      </c>
      <c r="D9" s="12">
        <v>8.2549999999999998E-2</v>
      </c>
      <c r="E9" s="12">
        <v>7.984999999999999E-2</v>
      </c>
      <c r="F9" s="12">
        <v>8.3349999999999994E-2</v>
      </c>
      <c r="G9" s="12">
        <v>6.8150000000000002E-2</v>
      </c>
      <c r="H9" s="12">
        <v>7.1749999999999994E-2</v>
      </c>
      <c r="I9" s="12">
        <v>6.724999999999999E-2</v>
      </c>
      <c r="J9" s="12">
        <v>8.3549999999999985E-2</v>
      </c>
      <c r="K9" s="12">
        <v>6.8749999999999992E-2</v>
      </c>
      <c r="L9" s="12">
        <v>8.3249999999999991E-2</v>
      </c>
      <c r="M9" s="12">
        <v>7.7749999999999986E-2</v>
      </c>
      <c r="N9" s="12">
        <v>8.1149999999999986E-2</v>
      </c>
      <c r="O9" s="12">
        <v>7.2750000000000009E-2</v>
      </c>
      <c r="P9" s="12">
        <v>6.6549999999999998E-2</v>
      </c>
      <c r="Q9" s="12">
        <v>7.3450000000000001E-2</v>
      </c>
      <c r="R9" s="12">
        <v>8.4349999999999994E-2</v>
      </c>
      <c r="S9" s="12">
        <v>7.8149999999999983E-2</v>
      </c>
      <c r="T9" s="12">
        <v>6.615E-2</v>
      </c>
      <c r="U9" s="12">
        <v>7.7149999999999996E-2</v>
      </c>
      <c r="V9" s="12">
        <v>8.3449999999999996E-2</v>
      </c>
      <c r="W9" s="12">
        <v>6.7049999999999998E-2</v>
      </c>
      <c r="X9" s="12">
        <v>7.6149999999999995E-2</v>
      </c>
      <c r="Y9" s="12">
        <v>6.6049999999999998E-2</v>
      </c>
      <c r="Z9" s="12">
        <v>7.5450000000000003E-2</v>
      </c>
      <c r="AA9" s="12">
        <v>8.3749999999999991E-2</v>
      </c>
      <c r="AB9" s="12">
        <v>7.7949999999999992E-2</v>
      </c>
      <c r="AC9" s="8"/>
      <c r="AD9" s="2" t="s">
        <v>5</v>
      </c>
      <c r="AE9" s="12">
        <v>3.1926691836293181E-2</v>
      </c>
      <c r="AF9" s="12">
        <v>1.7760787201907727E-2</v>
      </c>
      <c r="AG9" s="12">
        <v>2.7929497229366419E-2</v>
      </c>
      <c r="AH9" s="12">
        <v>2.0826187384686987E-2</v>
      </c>
      <c r="AI9" s="12">
        <v>1.6133559844480172E-2</v>
      </c>
      <c r="AJ9" s="12">
        <v>1.5765171926998917E-2</v>
      </c>
      <c r="AK9" s="12">
        <v>1.4064736674095149E-2</v>
      </c>
      <c r="AL9" s="12">
        <v>2.3777093320022369E-2</v>
      </c>
      <c r="AM9" s="12">
        <v>2.3120851254079242E-2</v>
      </c>
      <c r="AN9" s="12">
        <v>4.0870552263428818E-2</v>
      </c>
      <c r="AO9" s="12">
        <v>5.60079013497881E-2</v>
      </c>
      <c r="AP9" s="12">
        <v>3.544287611641208E-2</v>
      </c>
      <c r="AQ9" s="12">
        <v>3.0088932403412198E-2</v>
      </c>
      <c r="AR9" s="12">
        <v>4.824604467758066E-2</v>
      </c>
      <c r="AS9" s="12">
        <v>2.5674168428683315E-2</v>
      </c>
      <c r="AT9" s="12">
        <v>2.1641163260141517E-2</v>
      </c>
      <c r="AU9" s="12">
        <v>4.0889608765041968E-2</v>
      </c>
      <c r="AV9" s="12">
        <v>3.4965736511930252E-2</v>
      </c>
      <c r="AW9" s="12">
        <v>3.0067086376028701E-2</v>
      </c>
      <c r="AX9" s="12">
        <v>2.4526898378465244E-2</v>
      </c>
      <c r="AY9" s="12">
        <v>4.0758033619596575E-2</v>
      </c>
      <c r="AZ9" s="12">
        <v>4.8527003962774776E-2</v>
      </c>
      <c r="BA9" s="12">
        <v>3.3736388697457854E-2</v>
      </c>
      <c r="BB9" s="12">
        <v>2.9951264705927218E-2</v>
      </c>
      <c r="BC9" s="12">
        <v>2.437356534876773E-2</v>
      </c>
      <c r="BD9" s="12">
        <v>1.8243082780530988E-2</v>
      </c>
      <c r="BF9" s="2" t="s">
        <v>5</v>
      </c>
      <c r="BG9" t="s">
        <v>99</v>
      </c>
      <c r="BH9" t="s">
        <v>95</v>
      </c>
      <c r="BI9" t="s">
        <v>100</v>
      </c>
      <c r="BJ9" t="s">
        <v>95</v>
      </c>
      <c r="BK9" t="s">
        <v>98</v>
      </c>
      <c r="BL9" t="s">
        <v>98</v>
      </c>
      <c r="BM9" t="s">
        <v>96</v>
      </c>
      <c r="BN9" t="s">
        <v>94</v>
      </c>
      <c r="BO9" t="s">
        <v>97</v>
      </c>
      <c r="BP9" t="s">
        <v>99</v>
      </c>
      <c r="BQ9" t="s">
        <v>99</v>
      </c>
      <c r="BR9" t="s">
        <v>95</v>
      </c>
      <c r="BS9" t="s">
        <v>94</v>
      </c>
      <c r="BT9" t="s">
        <v>96</v>
      </c>
      <c r="BU9" t="s">
        <v>94</v>
      </c>
      <c r="BV9" t="s">
        <v>94</v>
      </c>
      <c r="BW9" t="s">
        <v>100</v>
      </c>
      <c r="BX9" t="s">
        <v>98</v>
      </c>
      <c r="BY9" t="s">
        <v>95</v>
      </c>
      <c r="BZ9" t="s">
        <v>95</v>
      </c>
      <c r="CA9" t="s">
        <v>94</v>
      </c>
      <c r="CB9" t="s">
        <v>95</v>
      </c>
      <c r="CC9" t="s">
        <v>99</v>
      </c>
      <c r="CD9" t="s">
        <v>99</v>
      </c>
      <c r="CE9" t="s">
        <v>96</v>
      </c>
      <c r="CF9" t="s">
        <v>94</v>
      </c>
    </row>
    <row r="10" spans="1:84" x14ac:dyDescent="0.35">
      <c r="A10" s="6"/>
      <c r="B10" s="2" t="s">
        <v>6</v>
      </c>
      <c r="C10" s="12">
        <v>0.1595</v>
      </c>
      <c r="D10" s="12">
        <v>0.16800000000000001</v>
      </c>
      <c r="E10" s="12">
        <v>0.17330000000000001</v>
      </c>
      <c r="F10" s="12">
        <v>0.1721</v>
      </c>
      <c r="G10" s="12">
        <v>0.1522</v>
      </c>
      <c r="H10" s="12">
        <v>0.16560000000000002</v>
      </c>
      <c r="I10" s="12">
        <v>0.16700000000000001</v>
      </c>
      <c r="J10" s="12">
        <v>0.14810000000000001</v>
      </c>
      <c r="K10" s="12">
        <v>0.17070000000000002</v>
      </c>
      <c r="L10" s="12">
        <v>0.15870000000000001</v>
      </c>
      <c r="M10" s="12">
        <v>0.1749</v>
      </c>
      <c r="N10" s="12">
        <v>0.14730000000000001</v>
      </c>
      <c r="O10" s="12">
        <v>0.1454</v>
      </c>
      <c r="P10" s="12">
        <v>0.1736</v>
      </c>
      <c r="Q10" s="12">
        <v>0.16760000000000003</v>
      </c>
      <c r="R10" s="12">
        <v>0.14570000000000002</v>
      </c>
      <c r="S10" s="12">
        <v>0.15590000000000001</v>
      </c>
      <c r="T10" s="12">
        <v>0.1522</v>
      </c>
      <c r="U10" s="12">
        <v>0.16370000000000001</v>
      </c>
      <c r="V10" s="12">
        <v>0.1512</v>
      </c>
      <c r="W10" s="12">
        <v>0.16540000000000002</v>
      </c>
      <c r="X10" s="12">
        <v>0.16490000000000002</v>
      </c>
      <c r="Y10" s="12">
        <v>0.15670000000000001</v>
      </c>
      <c r="Z10" s="12">
        <v>0.14500000000000002</v>
      </c>
      <c r="AA10" s="12">
        <v>0.17280000000000001</v>
      </c>
      <c r="AB10" s="12">
        <v>0.15570000000000001</v>
      </c>
      <c r="AC10" s="8"/>
      <c r="AD10" s="2" t="s">
        <v>6</v>
      </c>
      <c r="AE10" s="12">
        <v>3.5377365463618783E-2</v>
      </c>
      <c r="AF10" s="12">
        <v>2.1211460829233329E-2</v>
      </c>
      <c r="AG10" s="12">
        <v>3.1380170856692022E-2</v>
      </c>
      <c r="AH10" s="12">
        <v>2.4276861012012589E-2</v>
      </c>
      <c r="AI10" s="12">
        <v>1.9457627629420271E-2</v>
      </c>
      <c r="AJ10" s="12">
        <v>1.8869904672572307E-2</v>
      </c>
      <c r="AK10" s="12">
        <v>1.5658299143826587E-2</v>
      </c>
      <c r="AL10" s="12">
        <v>2.7227766947347971E-2</v>
      </c>
      <c r="AM10" s="12">
        <v>2.4347963111308268E-2</v>
      </c>
      <c r="AN10" s="12">
        <v>4.432122589075442E-2</v>
      </c>
      <c r="AO10" s="12">
        <v>5.9458574977113703E-2</v>
      </c>
      <c r="AP10" s="12">
        <v>3.8893549743737682E-2</v>
      </c>
      <c r="AQ10" s="12">
        <v>3.3539606030737801E-2</v>
      </c>
      <c r="AR10" s="12">
        <v>5.1696718304906263E-2</v>
      </c>
      <c r="AS10" s="12">
        <v>2.9124842056008918E-2</v>
      </c>
      <c r="AT10" s="12">
        <v>2.509183688746712E-2</v>
      </c>
      <c r="AU10" s="12">
        <v>4.4340282392367571E-2</v>
      </c>
      <c r="AV10" s="12">
        <v>3.8416410139255855E-2</v>
      </c>
      <c r="AW10" s="12">
        <v>3.3517760003354304E-2</v>
      </c>
      <c r="AX10" s="12">
        <v>2.7977572005790846E-2</v>
      </c>
      <c r="AY10" s="12">
        <v>4.4208707246922177E-2</v>
      </c>
      <c r="AZ10" s="12">
        <v>5.1977677590100378E-2</v>
      </c>
      <c r="BA10" s="12">
        <v>3.7187062324783457E-2</v>
      </c>
      <c r="BB10" s="12">
        <v>3.340193833325282E-2</v>
      </c>
      <c r="BC10" s="12">
        <v>2.7824238976093332E-2</v>
      </c>
      <c r="BD10" s="12">
        <v>2.2720144639630662E-2</v>
      </c>
      <c r="BF10" s="2" t="s">
        <v>6</v>
      </c>
      <c r="BG10" t="s">
        <v>98</v>
      </c>
      <c r="BH10" t="s">
        <v>99</v>
      </c>
      <c r="BI10" t="s">
        <v>97</v>
      </c>
      <c r="BJ10" t="s">
        <v>94</v>
      </c>
      <c r="BK10" t="s">
        <v>100</v>
      </c>
      <c r="BL10" t="s">
        <v>94</v>
      </c>
      <c r="BM10" t="s">
        <v>98</v>
      </c>
      <c r="BN10" t="s">
        <v>100</v>
      </c>
      <c r="BO10" t="s">
        <v>100</v>
      </c>
      <c r="BP10" t="s">
        <v>98</v>
      </c>
      <c r="BQ10" t="s">
        <v>95</v>
      </c>
      <c r="BR10" t="s">
        <v>95</v>
      </c>
      <c r="BS10" t="s">
        <v>95</v>
      </c>
      <c r="BT10" t="s">
        <v>96</v>
      </c>
      <c r="BU10" t="s">
        <v>99</v>
      </c>
      <c r="BV10" t="s">
        <v>94</v>
      </c>
      <c r="BW10" t="s">
        <v>100</v>
      </c>
      <c r="BX10" t="s">
        <v>100</v>
      </c>
      <c r="BY10" t="s">
        <v>100</v>
      </c>
      <c r="BZ10" t="s">
        <v>99</v>
      </c>
      <c r="CA10" t="s">
        <v>98</v>
      </c>
      <c r="CB10" t="s">
        <v>100</v>
      </c>
      <c r="CC10" t="s">
        <v>100</v>
      </c>
      <c r="CD10" t="s">
        <v>94</v>
      </c>
      <c r="CE10" t="s">
        <v>98</v>
      </c>
      <c r="CF10" t="s">
        <v>96</v>
      </c>
    </row>
    <row r="11" spans="1:84" x14ac:dyDescent="0.35">
      <c r="A11" s="6"/>
      <c r="B11" s="2" t="s">
        <v>7</v>
      </c>
      <c r="C11" s="12">
        <v>9.2300000000000007E-2</v>
      </c>
      <c r="D11" s="12">
        <v>9.2499999999999999E-2</v>
      </c>
      <c r="E11" s="12">
        <v>0.108</v>
      </c>
      <c r="F11" s="12">
        <v>8.9600000000000013E-2</v>
      </c>
      <c r="G11" s="12">
        <v>0.1013</v>
      </c>
      <c r="H11" s="12">
        <v>0.10540000000000001</v>
      </c>
      <c r="I11" s="12">
        <v>9.9499999999999991E-2</v>
      </c>
      <c r="J11" s="12">
        <v>0.1051</v>
      </c>
      <c r="K11" s="12">
        <v>0.11</v>
      </c>
      <c r="L11" s="12">
        <v>8.900000000000001E-2</v>
      </c>
      <c r="M11" s="12">
        <v>9.3400000000000011E-2</v>
      </c>
      <c r="N11" s="12">
        <v>0.104</v>
      </c>
      <c r="O11" s="12">
        <v>0.1099</v>
      </c>
      <c r="P11" s="12">
        <v>9.2800000000000007E-2</v>
      </c>
      <c r="Q11" s="12">
        <v>8.8500000000000009E-2</v>
      </c>
      <c r="R11" s="12">
        <v>9.4400000000000012E-2</v>
      </c>
      <c r="S11" s="12">
        <v>9.2999999999999999E-2</v>
      </c>
      <c r="T11" s="12">
        <v>0.1043</v>
      </c>
      <c r="U11" s="12">
        <v>0.1087</v>
      </c>
      <c r="V11" s="12">
        <v>8.8100000000000012E-2</v>
      </c>
      <c r="W11" s="12">
        <v>0.10919999999999999</v>
      </c>
      <c r="X11" s="12">
        <v>9.0400000000000008E-2</v>
      </c>
      <c r="Y11" s="12">
        <v>9.4200000000000006E-2</v>
      </c>
      <c r="Z11" s="12">
        <v>9.1800000000000007E-2</v>
      </c>
      <c r="AA11" s="12">
        <v>0.1085</v>
      </c>
      <c r="AB11" s="12">
        <v>9.3600000000000003E-2</v>
      </c>
      <c r="AC11" s="8"/>
      <c r="AD11" s="2" t="s">
        <v>7</v>
      </c>
      <c r="AE11" s="12">
        <v>4.0036866915871695E-2</v>
      </c>
      <c r="AF11" s="12">
        <v>2.5870962281486241E-2</v>
      </c>
      <c r="AG11" s="12">
        <v>3.6039672308944934E-2</v>
      </c>
      <c r="AH11" s="12">
        <v>2.8936362464265501E-2</v>
      </c>
      <c r="AI11" s="12">
        <v>2.4425000322316801E-2</v>
      </c>
      <c r="AJ11" s="12">
        <v>2.209972495620537E-2</v>
      </c>
      <c r="AK11" s="12">
        <v>1.8989483897506154E-2</v>
      </c>
      <c r="AL11" s="12">
        <v>3.1887268399600883E-2</v>
      </c>
      <c r="AM11" s="12">
        <v>2.6913119098289862E-2</v>
      </c>
      <c r="AN11" s="12">
        <v>4.8980727343007333E-2</v>
      </c>
      <c r="AO11" s="12">
        <v>6.4118076429366622E-2</v>
      </c>
      <c r="AP11" s="12">
        <v>4.3553051195990594E-2</v>
      </c>
      <c r="AQ11" s="12">
        <v>3.8199107482990713E-2</v>
      </c>
      <c r="AR11" s="12">
        <v>5.6356219757159175E-2</v>
      </c>
      <c r="AS11" s="12">
        <v>3.378434350826183E-2</v>
      </c>
      <c r="AT11" s="12">
        <v>2.9751338339720032E-2</v>
      </c>
      <c r="AU11" s="12">
        <v>4.8999783844620483E-2</v>
      </c>
      <c r="AV11" s="12">
        <v>4.3075911591508767E-2</v>
      </c>
      <c r="AW11" s="12">
        <v>3.8177261455607216E-2</v>
      </c>
      <c r="AX11" s="12">
        <v>3.2637073458043758E-2</v>
      </c>
      <c r="AY11" s="12">
        <v>4.8868208699175089E-2</v>
      </c>
      <c r="AZ11" s="12">
        <v>5.663717904235329E-2</v>
      </c>
      <c r="BA11" s="12">
        <v>4.1846563777036369E-2</v>
      </c>
      <c r="BB11" s="12">
        <v>3.8061439785505732E-2</v>
      </c>
      <c r="BC11" s="12">
        <v>3.2483740428346244E-2</v>
      </c>
      <c r="BD11" s="12">
        <v>2.6874040310944289E-2</v>
      </c>
      <c r="BF11" s="2" t="s">
        <v>7</v>
      </c>
      <c r="BG11" t="s">
        <v>100</v>
      </c>
      <c r="BH11" t="s">
        <v>99</v>
      </c>
      <c r="BI11" t="s">
        <v>95</v>
      </c>
      <c r="BJ11" t="s">
        <v>100</v>
      </c>
      <c r="BK11" t="s">
        <v>95</v>
      </c>
      <c r="BL11" t="s">
        <v>98</v>
      </c>
      <c r="BM11" t="s">
        <v>96</v>
      </c>
      <c r="BN11" t="s">
        <v>98</v>
      </c>
      <c r="BO11" t="s">
        <v>99</v>
      </c>
      <c r="BP11" t="s">
        <v>98</v>
      </c>
      <c r="BQ11" t="s">
        <v>96</v>
      </c>
      <c r="BR11" t="s">
        <v>100</v>
      </c>
      <c r="BS11" t="s">
        <v>96</v>
      </c>
      <c r="BT11" t="s">
        <v>98</v>
      </c>
      <c r="BU11" t="s">
        <v>96</v>
      </c>
      <c r="BV11" t="s">
        <v>94</v>
      </c>
      <c r="BW11" t="s">
        <v>98</v>
      </c>
      <c r="BX11" t="s">
        <v>95</v>
      </c>
      <c r="BY11" t="s">
        <v>94</v>
      </c>
      <c r="BZ11" t="s">
        <v>98</v>
      </c>
      <c r="CA11" t="s">
        <v>95</v>
      </c>
      <c r="CB11" t="s">
        <v>94</v>
      </c>
      <c r="CC11" t="s">
        <v>95</v>
      </c>
      <c r="CD11" t="s">
        <v>99</v>
      </c>
      <c r="CE11" t="s">
        <v>100</v>
      </c>
      <c r="CF11" t="s">
        <v>96</v>
      </c>
    </row>
    <row r="12" spans="1:84" x14ac:dyDescent="0.35">
      <c r="A12" s="6"/>
      <c r="B12" s="2" t="s">
        <v>8</v>
      </c>
      <c r="C12" s="12">
        <v>7.1000000000000008E-2</v>
      </c>
      <c r="D12" s="12">
        <v>8.9100000000000013E-2</v>
      </c>
      <c r="E12" s="12">
        <v>7.9899999999999999E-2</v>
      </c>
      <c r="F12" s="12">
        <v>8.4100000000000008E-2</v>
      </c>
      <c r="G12" s="12">
        <v>8.9200000000000002E-2</v>
      </c>
      <c r="H12" s="12">
        <v>8.1900000000000001E-2</v>
      </c>
      <c r="I12" s="12">
        <v>8.8400000000000006E-2</v>
      </c>
      <c r="J12" s="12">
        <v>6.9800000000000015E-2</v>
      </c>
      <c r="K12" s="12">
        <v>7.6200000000000004E-2</v>
      </c>
      <c r="L12" s="12">
        <v>7.5500000000000012E-2</v>
      </c>
      <c r="M12" s="12">
        <v>8.6300000000000002E-2</v>
      </c>
      <c r="N12" s="12">
        <v>7.8900000000000012E-2</v>
      </c>
      <c r="O12" s="12">
        <v>8.7599999999999997E-2</v>
      </c>
      <c r="P12" s="12">
        <v>7.6600000000000001E-2</v>
      </c>
      <c r="Q12" s="12">
        <v>8.8200000000000001E-2</v>
      </c>
      <c r="R12" s="12">
        <v>6.8600000000000008E-2</v>
      </c>
      <c r="S12" s="12">
        <v>8.8999999999999996E-2</v>
      </c>
      <c r="T12" s="12">
        <v>6.8200000000000011E-2</v>
      </c>
      <c r="U12" s="12">
        <v>7.530000000000002E-2</v>
      </c>
      <c r="V12" s="12">
        <v>7.0200000000000012E-2</v>
      </c>
      <c r="W12" s="12">
        <v>7.110000000000001E-2</v>
      </c>
      <c r="X12" s="12">
        <v>8.8100000000000012E-2</v>
      </c>
      <c r="Y12" s="12">
        <v>8.2099999999999992E-2</v>
      </c>
      <c r="Z12" s="12">
        <v>7.9000000000000001E-2</v>
      </c>
      <c r="AA12" s="12">
        <v>6.83E-2</v>
      </c>
      <c r="AB12" s="12">
        <v>7.5600000000000001E-2</v>
      </c>
      <c r="AC12" s="8"/>
      <c r="AD12" s="2" t="s">
        <v>8</v>
      </c>
      <c r="AE12" s="12">
        <v>2.269430751198161E-2</v>
      </c>
      <c r="AF12" s="12">
        <v>1.3345336479575094E-2</v>
      </c>
      <c r="AG12" s="12">
        <v>1.8697112905054849E-2</v>
      </c>
      <c r="AH12" s="12">
        <v>1.3194829357680168E-2</v>
      </c>
      <c r="AI12" s="12">
        <v>1.3194829357680168E-2</v>
      </c>
      <c r="AJ12" s="12">
        <v>1.2723628277549857E-2</v>
      </c>
      <c r="AK12" s="12">
        <v>1.2205974903288973E-2</v>
      </c>
      <c r="AL12" s="12">
        <v>1.4544708995710798E-2</v>
      </c>
      <c r="AM12" s="12">
        <v>2.16895244927853E-2</v>
      </c>
      <c r="AN12" s="12">
        <v>3.1638167939117251E-2</v>
      </c>
      <c r="AO12" s="12">
        <v>4.6775517025476526E-2</v>
      </c>
      <c r="AP12" s="12">
        <v>2.6210491792100509E-2</v>
      </c>
      <c r="AQ12" s="12">
        <v>2.0856548079100628E-2</v>
      </c>
      <c r="AR12" s="12">
        <v>3.9013660353269086E-2</v>
      </c>
      <c r="AS12" s="12">
        <v>1.6441784104371745E-2</v>
      </c>
      <c r="AT12" s="12">
        <v>1.3172168884736723E-2</v>
      </c>
      <c r="AU12" s="12">
        <v>3.1657224440730394E-2</v>
      </c>
      <c r="AV12" s="12">
        <v>2.5733352187618682E-2</v>
      </c>
      <c r="AW12" s="12">
        <v>2.0834702051717131E-2</v>
      </c>
      <c r="AX12" s="12">
        <v>1.5294514054153673E-2</v>
      </c>
      <c r="AY12" s="12">
        <v>3.1525649295285008E-2</v>
      </c>
      <c r="AZ12" s="12">
        <v>3.9294619638463202E-2</v>
      </c>
      <c r="BA12" s="12">
        <v>2.4504004373146284E-2</v>
      </c>
      <c r="BB12" s="12">
        <v>2.0718880381615647E-2</v>
      </c>
      <c r="BC12" s="12">
        <v>1.5141181024456159E-2</v>
      </c>
      <c r="BD12" s="12">
        <v>1.4476272576660986E-2</v>
      </c>
      <c r="BF12" s="2" t="s">
        <v>8</v>
      </c>
      <c r="BG12" t="s">
        <v>99</v>
      </c>
      <c r="BH12" t="s">
        <v>100</v>
      </c>
      <c r="BI12" t="s">
        <v>95</v>
      </c>
      <c r="BJ12" t="s">
        <v>94</v>
      </c>
      <c r="BK12" t="s">
        <v>99</v>
      </c>
      <c r="BL12" t="s">
        <v>95</v>
      </c>
      <c r="BM12" t="s">
        <v>97</v>
      </c>
      <c r="BN12" t="s">
        <v>100</v>
      </c>
      <c r="BO12" t="s">
        <v>96</v>
      </c>
      <c r="BP12" t="s">
        <v>97</v>
      </c>
      <c r="BQ12" t="s">
        <v>97</v>
      </c>
      <c r="BR12" t="s">
        <v>98</v>
      </c>
      <c r="BS12" t="s">
        <v>96</v>
      </c>
      <c r="BT12" t="s">
        <v>95</v>
      </c>
      <c r="BU12" t="s">
        <v>95</v>
      </c>
      <c r="BV12" t="s">
        <v>99</v>
      </c>
      <c r="BW12" t="s">
        <v>98</v>
      </c>
      <c r="BX12" t="s">
        <v>99</v>
      </c>
      <c r="BY12" t="s">
        <v>99</v>
      </c>
      <c r="BZ12" t="s">
        <v>100</v>
      </c>
      <c r="CA12" t="s">
        <v>97</v>
      </c>
      <c r="CB12" t="s">
        <v>97</v>
      </c>
      <c r="CC12" t="s">
        <v>96</v>
      </c>
      <c r="CD12" t="s">
        <v>94</v>
      </c>
      <c r="CE12" t="s">
        <v>97</v>
      </c>
      <c r="CF12" t="s">
        <v>99</v>
      </c>
    </row>
    <row r="13" spans="1:84" x14ac:dyDescent="0.35">
      <c r="A13" s="6"/>
      <c r="B13" s="2" t="s">
        <v>9</v>
      </c>
      <c r="C13" s="12">
        <v>3.5399999999999994E-2</v>
      </c>
      <c r="D13" s="12">
        <v>2.3099999999999999E-2</v>
      </c>
      <c r="E13" s="12">
        <v>3.5199999999999995E-2</v>
      </c>
      <c r="F13" s="12">
        <v>3.5899999999999994E-2</v>
      </c>
      <c r="G13" s="12">
        <v>2.4800000000000006E-2</v>
      </c>
      <c r="H13" s="12">
        <v>2.6599999999999999E-2</v>
      </c>
      <c r="I13" s="12">
        <v>2.6199999999999998E-2</v>
      </c>
      <c r="J13" s="12">
        <v>3.1199999999999999E-2</v>
      </c>
      <c r="K13" s="12">
        <v>2.8299999999999992E-2</v>
      </c>
      <c r="L13" s="12">
        <v>2.7099999999999985E-2</v>
      </c>
      <c r="M13" s="12">
        <v>3.5799999999999998E-2</v>
      </c>
      <c r="N13" s="12">
        <v>2.47E-2</v>
      </c>
      <c r="O13" s="12">
        <v>3.0800000000000008E-2</v>
      </c>
      <c r="P13" s="12">
        <v>3.6999999999999991E-2</v>
      </c>
      <c r="Q13" s="12">
        <v>3.3399999999999999E-2</v>
      </c>
      <c r="R13" s="12">
        <v>2.4799999999999996E-2</v>
      </c>
      <c r="S13" s="12">
        <v>2.8599999999999997E-2</v>
      </c>
      <c r="T13" s="12">
        <v>3.5299999999999998E-2</v>
      </c>
      <c r="U13" s="12">
        <v>3.0599999999999981E-2</v>
      </c>
      <c r="V13" s="12">
        <v>3.5199999999999995E-2</v>
      </c>
      <c r="W13" s="12">
        <v>3.1799999999999995E-2</v>
      </c>
      <c r="X13" s="12">
        <v>3.1599999999999996E-2</v>
      </c>
      <c r="Y13" s="12">
        <v>3.2199999999999999E-2</v>
      </c>
      <c r="Z13" s="12">
        <v>3.2999999999999995E-2</v>
      </c>
      <c r="AA13" s="12">
        <v>2.4700000000000003E-2</v>
      </c>
      <c r="AB13" s="12">
        <v>3.2000000000000001E-2</v>
      </c>
      <c r="AC13" s="8"/>
      <c r="AD13" s="2" t="s">
        <v>9</v>
      </c>
      <c r="AE13" s="12">
        <v>6.4608080441364568E-2</v>
      </c>
      <c r="AF13" s="12">
        <v>5.0442175806979114E-2</v>
      </c>
      <c r="AG13" s="12">
        <v>6.0610885834437807E-2</v>
      </c>
      <c r="AH13" s="12">
        <v>5.3507575989758374E-2</v>
      </c>
      <c r="AI13" s="12">
        <v>4.1830326801440748E-2</v>
      </c>
      <c r="AJ13" s="12">
        <v>3.1878042196763462E-2</v>
      </c>
      <c r="AK13" s="12">
        <v>3.1971377607094051E-2</v>
      </c>
      <c r="AL13" s="12">
        <v>5.6458481925093756E-2</v>
      </c>
      <c r="AM13" s="12">
        <v>3.690973736892908E-2</v>
      </c>
      <c r="AN13" s="12">
        <v>7.3551940868500199E-2</v>
      </c>
      <c r="AO13" s="12">
        <v>8.8689289954859488E-2</v>
      </c>
      <c r="AP13" s="12">
        <v>6.8124264721483474E-2</v>
      </c>
      <c r="AQ13" s="12">
        <v>6.2770321008483593E-2</v>
      </c>
      <c r="AR13" s="12">
        <v>8.0927433282652048E-2</v>
      </c>
      <c r="AS13" s="12">
        <v>5.8355557033754703E-2</v>
      </c>
      <c r="AT13" s="12">
        <v>5.4322551865212905E-2</v>
      </c>
      <c r="AU13" s="12">
        <v>7.3570997370113356E-2</v>
      </c>
      <c r="AV13" s="12">
        <v>6.7647125117001633E-2</v>
      </c>
      <c r="AW13" s="12">
        <v>6.2748474981100089E-2</v>
      </c>
      <c r="AX13" s="12">
        <v>5.7208286983536631E-2</v>
      </c>
      <c r="AY13" s="12">
        <v>7.3439422224667955E-2</v>
      </c>
      <c r="AZ13" s="12">
        <v>8.1208392567846163E-2</v>
      </c>
      <c r="BA13" s="12">
        <v>6.6417777302529235E-2</v>
      </c>
      <c r="BB13" s="12">
        <v>6.2632653310998598E-2</v>
      </c>
      <c r="BC13" s="12">
        <v>5.7054953953839117E-2</v>
      </c>
      <c r="BD13" s="12">
        <v>5.0361340888095706E-2</v>
      </c>
      <c r="BF13" s="2" t="s">
        <v>9</v>
      </c>
      <c r="BG13" t="s">
        <v>95</v>
      </c>
      <c r="BH13" t="s">
        <v>96</v>
      </c>
      <c r="BI13" t="s">
        <v>95</v>
      </c>
      <c r="BJ13" t="s">
        <v>94</v>
      </c>
      <c r="BK13" t="s">
        <v>100</v>
      </c>
      <c r="BL13" t="s">
        <v>95</v>
      </c>
      <c r="BM13" t="s">
        <v>97</v>
      </c>
      <c r="BN13" t="s">
        <v>97</v>
      </c>
      <c r="BO13" t="s">
        <v>96</v>
      </c>
      <c r="BP13" t="s">
        <v>94</v>
      </c>
      <c r="BQ13" t="s">
        <v>96</v>
      </c>
      <c r="BR13" t="s">
        <v>99</v>
      </c>
      <c r="BS13" t="s">
        <v>97</v>
      </c>
      <c r="BT13" t="s">
        <v>100</v>
      </c>
      <c r="BU13" t="s">
        <v>97</v>
      </c>
      <c r="BV13" t="s">
        <v>100</v>
      </c>
      <c r="BW13" t="s">
        <v>95</v>
      </c>
      <c r="BX13" t="s">
        <v>94</v>
      </c>
      <c r="BY13" t="s">
        <v>95</v>
      </c>
      <c r="BZ13" t="s">
        <v>100</v>
      </c>
      <c r="CA13" t="s">
        <v>98</v>
      </c>
      <c r="CB13" t="s">
        <v>100</v>
      </c>
      <c r="CC13" t="s">
        <v>97</v>
      </c>
      <c r="CD13" t="s">
        <v>99</v>
      </c>
      <c r="CE13" t="s">
        <v>96</v>
      </c>
      <c r="CF13" t="s">
        <v>99</v>
      </c>
    </row>
    <row r="14" spans="1:84" x14ac:dyDescent="0.35">
      <c r="A14" s="6"/>
      <c r="B14" s="2" t="s">
        <v>10</v>
      </c>
      <c r="C14" s="12">
        <v>9.850000000000006E-2</v>
      </c>
      <c r="D14" s="12">
        <v>9.2300000000000063E-2</v>
      </c>
      <c r="E14" s="12">
        <v>9.8500000000000046E-2</v>
      </c>
      <c r="F14" s="12">
        <v>8.2600000000000062E-2</v>
      </c>
      <c r="G14" s="12">
        <v>8.5600000000000051E-2</v>
      </c>
      <c r="H14" s="12">
        <v>9.9800000000000055E-2</v>
      </c>
      <c r="I14" s="12">
        <v>9.3500000000000041E-2</v>
      </c>
      <c r="J14" s="12">
        <v>8.4100000000000064E-2</v>
      </c>
      <c r="K14" s="12">
        <v>9.9900000000000058E-2</v>
      </c>
      <c r="L14" s="12">
        <v>8.8400000000000062E-2</v>
      </c>
      <c r="M14" s="12">
        <v>9.0700000000000058E-2</v>
      </c>
      <c r="N14" s="12">
        <v>8.2400000000000057E-2</v>
      </c>
      <c r="O14" s="12">
        <v>8.5800000000000057E-2</v>
      </c>
      <c r="P14" s="12">
        <v>8.8900000000000062E-2</v>
      </c>
      <c r="Q14" s="12">
        <v>9.2700000000000074E-2</v>
      </c>
      <c r="R14" s="12">
        <v>9.9300000000000055E-2</v>
      </c>
      <c r="S14" s="12">
        <v>8.350000000000006E-2</v>
      </c>
      <c r="T14" s="12">
        <v>9.5700000000000049E-2</v>
      </c>
      <c r="U14" s="12">
        <v>8.5100000000000051E-2</v>
      </c>
      <c r="V14" s="12">
        <v>9.8600000000000049E-2</v>
      </c>
      <c r="W14" s="12">
        <v>9.0100000000000041E-2</v>
      </c>
      <c r="X14" s="12">
        <v>8.1900000000000056E-2</v>
      </c>
      <c r="Y14" s="12">
        <v>8.8500000000000051E-2</v>
      </c>
      <c r="Z14" s="12">
        <v>8.9700000000000057E-2</v>
      </c>
      <c r="AA14" s="12">
        <v>8.0900000000000055E-2</v>
      </c>
      <c r="AB14" s="12">
        <v>9.9200000000000052E-2</v>
      </c>
      <c r="AC14" s="8"/>
      <c r="AD14" s="2" t="s">
        <v>10</v>
      </c>
      <c r="AE14" s="12">
        <v>2.7781152425620882E-2</v>
      </c>
      <c r="AF14" s="12">
        <v>1.519010099268623E-2</v>
      </c>
      <c r="AG14" s="12">
        <v>2.3783957818694121E-2</v>
      </c>
      <c r="AH14" s="12">
        <v>1.6680647974014688E-2</v>
      </c>
      <c r="AI14" s="12">
        <v>1.460909586737082E-2</v>
      </c>
      <c r="AJ14" s="12">
        <v>1.121834462913494E-2</v>
      </c>
      <c r="AK14" s="12">
        <v>1.3105689642895355E-2</v>
      </c>
      <c r="AL14" s="12">
        <v>1.963155390935007E-2</v>
      </c>
      <c r="AM14" s="12">
        <v>2.238234366119906E-2</v>
      </c>
      <c r="AN14" s="12">
        <v>3.6725012852756519E-2</v>
      </c>
      <c r="AO14" s="12">
        <v>5.1862361939115802E-2</v>
      </c>
      <c r="AP14" s="12">
        <v>3.1297336705739781E-2</v>
      </c>
      <c r="AQ14" s="12">
        <v>2.59433929927399E-2</v>
      </c>
      <c r="AR14" s="12">
        <v>4.4100505266908362E-2</v>
      </c>
      <c r="AS14" s="12">
        <v>2.1528629018011017E-2</v>
      </c>
      <c r="AT14" s="12">
        <v>1.7495623849469219E-2</v>
      </c>
      <c r="AU14" s="12">
        <v>3.674406935436967E-2</v>
      </c>
      <c r="AV14" s="12">
        <v>3.0820197101257954E-2</v>
      </c>
      <c r="AW14" s="12">
        <v>2.5921546965356403E-2</v>
      </c>
      <c r="AX14" s="12">
        <v>2.0381358967792945E-2</v>
      </c>
      <c r="AY14" s="12">
        <v>3.6612494208924276E-2</v>
      </c>
      <c r="AZ14" s="12">
        <v>4.4381464552102477E-2</v>
      </c>
      <c r="BA14" s="12">
        <v>2.9590849286785556E-2</v>
      </c>
      <c r="BB14" s="12">
        <v>2.5805725295254919E-2</v>
      </c>
      <c r="BC14" s="12">
        <v>2.0228025938095431E-2</v>
      </c>
      <c r="BD14" s="12">
        <v>1.353441287235202E-2</v>
      </c>
      <c r="BF14" s="2" t="s">
        <v>10</v>
      </c>
      <c r="BG14" t="s">
        <v>97</v>
      </c>
      <c r="BH14" t="s">
        <v>97</v>
      </c>
      <c r="BI14" t="s">
        <v>100</v>
      </c>
      <c r="BJ14" t="s">
        <v>94</v>
      </c>
      <c r="BK14" t="s">
        <v>96</v>
      </c>
      <c r="BL14" t="s">
        <v>97</v>
      </c>
      <c r="BM14" t="s">
        <v>94</v>
      </c>
      <c r="BN14" t="s">
        <v>99</v>
      </c>
      <c r="BO14" t="s">
        <v>95</v>
      </c>
      <c r="BP14" t="s">
        <v>100</v>
      </c>
      <c r="BQ14" t="s">
        <v>98</v>
      </c>
      <c r="BR14" t="s">
        <v>99</v>
      </c>
      <c r="BS14" t="s">
        <v>100</v>
      </c>
      <c r="BT14" t="s">
        <v>97</v>
      </c>
      <c r="BU14" t="s">
        <v>94</v>
      </c>
      <c r="BV14" t="s">
        <v>97</v>
      </c>
      <c r="BW14" t="s">
        <v>94</v>
      </c>
      <c r="BX14" t="s">
        <v>98</v>
      </c>
      <c r="BY14" t="s">
        <v>96</v>
      </c>
      <c r="BZ14" t="s">
        <v>100</v>
      </c>
      <c r="CA14" t="s">
        <v>96</v>
      </c>
      <c r="CB14" t="s">
        <v>95</v>
      </c>
      <c r="CC14" t="s">
        <v>99</v>
      </c>
      <c r="CD14" t="s">
        <v>96</v>
      </c>
      <c r="CE14" t="s">
        <v>99</v>
      </c>
      <c r="CF14" t="s">
        <v>97</v>
      </c>
    </row>
    <row r="15" spans="1:84" x14ac:dyDescent="0.35">
      <c r="A15" s="7"/>
      <c r="B15" s="1" t="s">
        <v>11</v>
      </c>
      <c r="C15" s="12">
        <v>0.21369999999999997</v>
      </c>
      <c r="D15" s="12">
        <v>0.22229999999999997</v>
      </c>
      <c r="E15" s="12">
        <v>0.21159999999999995</v>
      </c>
      <c r="F15" s="12">
        <v>0.20279999999999995</v>
      </c>
      <c r="G15" s="12">
        <v>0.19909999999999997</v>
      </c>
      <c r="H15" s="12">
        <v>0.20049999999999996</v>
      </c>
      <c r="I15" s="12">
        <v>0.22579999999999997</v>
      </c>
      <c r="J15" s="12">
        <v>0.19709999999999997</v>
      </c>
      <c r="K15" s="12">
        <v>0.20269999999999996</v>
      </c>
      <c r="L15" s="12">
        <v>0.22659999999999997</v>
      </c>
      <c r="M15" s="12">
        <v>0.21419999999999997</v>
      </c>
      <c r="N15" s="12">
        <v>0.20369999999999996</v>
      </c>
      <c r="O15" s="12">
        <v>0.22119999999999995</v>
      </c>
      <c r="P15" s="12">
        <v>0.22429999999999997</v>
      </c>
      <c r="Q15" s="12">
        <v>0.20389999999999997</v>
      </c>
      <c r="R15" s="12">
        <v>0.20529999999999995</v>
      </c>
      <c r="S15" s="12">
        <v>0.21019999999999997</v>
      </c>
      <c r="T15" s="12">
        <v>0.20099999999999996</v>
      </c>
      <c r="U15" s="12">
        <v>0.20559999999999998</v>
      </c>
      <c r="V15" s="12">
        <v>0.21919999999999995</v>
      </c>
      <c r="W15" s="12">
        <v>0.21889999999999996</v>
      </c>
      <c r="X15" s="12">
        <v>0.19719999999999996</v>
      </c>
      <c r="Y15" s="12">
        <v>0.21709999999999996</v>
      </c>
      <c r="Z15" s="12">
        <v>0.21239999999999998</v>
      </c>
      <c r="AA15" s="12">
        <v>0.19589999999999996</v>
      </c>
      <c r="AB15" s="12">
        <v>0.21329999999999996</v>
      </c>
      <c r="AD15" s="1" t="s">
        <v>11</v>
      </c>
      <c r="AE15" s="20">
        <f>SUMPRODUCT(AE16:AE21,C16:C21)</f>
        <v>4.9092788943005609E-2</v>
      </c>
      <c r="AF15" s="20">
        <f t="shared" ref="AF15:BD15" si="3">SUMPRODUCT(AF16:AF21,D16:D21)</f>
        <v>3.5758087392386922E-2</v>
      </c>
      <c r="AG15" s="20">
        <f t="shared" si="3"/>
        <v>4.5203352684439223E-2</v>
      </c>
      <c r="AH15" s="20">
        <f t="shared" si="3"/>
        <v>3.7618680110567432E-2</v>
      </c>
      <c r="AI15" s="20">
        <f t="shared" si="3"/>
        <v>2.7158934576584682E-2</v>
      </c>
      <c r="AJ15" s="20">
        <f t="shared" si="3"/>
        <v>2.3722505399183958E-2</v>
      </c>
      <c r="AK15" s="20">
        <f t="shared" si="3"/>
        <v>1.957371656097848E-2</v>
      </c>
      <c r="AL15" s="20">
        <f t="shared" si="3"/>
        <v>4.0773156036650889E-2</v>
      </c>
      <c r="AM15" s="20">
        <f t="shared" si="3"/>
        <v>3.3836014627015874E-2</v>
      </c>
      <c r="AN15" s="20">
        <f t="shared" si="3"/>
        <v>5.8010803962583943E-2</v>
      </c>
      <c r="AO15" s="20">
        <f t="shared" si="3"/>
        <v>7.3937432813997991E-2</v>
      </c>
      <c r="AP15" s="20">
        <f t="shared" si="3"/>
        <v>5.2355209152457061E-2</v>
      </c>
      <c r="AQ15" s="20">
        <f t="shared" si="3"/>
        <v>4.7522877303763367E-2</v>
      </c>
      <c r="AR15" s="20">
        <f t="shared" si="3"/>
        <v>6.5791920681047625E-2</v>
      </c>
      <c r="AS15" s="20">
        <f t="shared" si="3"/>
        <v>4.3068018428710379E-2</v>
      </c>
      <c r="AT15" s="20">
        <f t="shared" si="3"/>
        <v>3.9521604566184899E-2</v>
      </c>
      <c r="AU15" s="20">
        <f t="shared" si="3"/>
        <v>5.8666028115973767E-2</v>
      </c>
      <c r="AV15" s="20">
        <f t="shared" si="3"/>
        <v>5.239632928082727E-2</v>
      </c>
      <c r="AW15" s="20">
        <f t="shared" si="3"/>
        <v>4.7649455628742891E-2</v>
      </c>
      <c r="AX15" s="20">
        <f t="shared" si="3"/>
        <v>4.2296361978261768E-2</v>
      </c>
      <c r="AY15" s="20">
        <f t="shared" si="3"/>
        <v>5.7965410356461522E-2</v>
      </c>
      <c r="AZ15" s="20">
        <f t="shared" si="3"/>
        <v>6.5371087816885734E-2</v>
      </c>
      <c r="BA15" s="20">
        <f t="shared" si="3"/>
        <v>5.1023281831784617E-2</v>
      </c>
      <c r="BB15" s="20">
        <f t="shared" si="3"/>
        <v>4.6954167920618767E-2</v>
      </c>
      <c r="BC15" s="20">
        <f t="shared" si="3"/>
        <v>4.1713877643170638E-2</v>
      </c>
      <c r="BD15" s="20">
        <f t="shared" si="3"/>
        <v>3.4350784573334736E-2</v>
      </c>
      <c r="BF15" s="1" t="s">
        <v>11</v>
      </c>
      <c r="BG15" t="s">
        <v>97</v>
      </c>
      <c r="BH15" t="s">
        <v>98</v>
      </c>
      <c r="BI15" t="s">
        <v>100</v>
      </c>
      <c r="BJ15" t="s">
        <v>99</v>
      </c>
      <c r="BK15" t="s">
        <v>95</v>
      </c>
      <c r="BL15" t="s">
        <v>98</v>
      </c>
      <c r="BM15" t="s">
        <v>95</v>
      </c>
      <c r="BN15" t="s">
        <v>94</v>
      </c>
      <c r="BO15" t="s">
        <v>100</v>
      </c>
      <c r="BP15" t="s">
        <v>96</v>
      </c>
      <c r="BQ15" t="s">
        <v>99</v>
      </c>
      <c r="BR15" t="s">
        <v>96</v>
      </c>
      <c r="BS15" t="s">
        <v>99</v>
      </c>
      <c r="BT15" t="s">
        <v>96</v>
      </c>
      <c r="BU15" t="s">
        <v>95</v>
      </c>
      <c r="BV15" t="s">
        <v>94</v>
      </c>
      <c r="BW15" t="s">
        <v>100</v>
      </c>
      <c r="BX15" t="s">
        <v>98</v>
      </c>
      <c r="BY15" t="s">
        <v>96</v>
      </c>
      <c r="BZ15" t="s">
        <v>98</v>
      </c>
      <c r="CA15" t="s">
        <v>100</v>
      </c>
      <c r="CB15" t="s">
        <v>100</v>
      </c>
      <c r="CC15" t="s">
        <v>99</v>
      </c>
      <c r="CD15" t="s">
        <v>97</v>
      </c>
      <c r="CE15" t="s">
        <v>94</v>
      </c>
      <c r="CF15" t="s">
        <v>96</v>
      </c>
    </row>
    <row r="16" spans="1:84" x14ac:dyDescent="0.35">
      <c r="A16" s="6"/>
      <c r="B16" s="2" t="s">
        <v>12</v>
      </c>
      <c r="C16" s="12">
        <f>1-SUM(C17:C21)</f>
        <v>0.32776257050661717</v>
      </c>
      <c r="D16" s="12">
        <f t="shared" ref="D16:AB16" si="4">1-SUM(D17:D21)</f>
        <v>0.36856257050661723</v>
      </c>
      <c r="E16" s="12">
        <f t="shared" si="4"/>
        <v>0.32806257050661725</v>
      </c>
      <c r="F16" s="12">
        <f t="shared" si="4"/>
        <v>0.30156257050661717</v>
      </c>
      <c r="G16" s="12">
        <f t="shared" si="4"/>
        <v>0.33776257050661718</v>
      </c>
      <c r="H16" s="12">
        <f t="shared" si="4"/>
        <v>0.34356257050661709</v>
      </c>
      <c r="I16" s="12">
        <f t="shared" si="4"/>
        <v>0.32186257050661715</v>
      </c>
      <c r="J16" s="12">
        <f t="shared" si="4"/>
        <v>0.32836257050661721</v>
      </c>
      <c r="K16" s="12">
        <f t="shared" si="4"/>
        <v>0.31456257050661718</v>
      </c>
      <c r="L16" s="12">
        <f t="shared" si="4"/>
        <v>0.33546257050661721</v>
      </c>
      <c r="M16" s="12">
        <f t="shared" si="4"/>
        <v>0.36036257050661713</v>
      </c>
      <c r="N16" s="12">
        <f t="shared" si="4"/>
        <v>0.32266257050661706</v>
      </c>
      <c r="O16" s="12">
        <f t="shared" si="4"/>
        <v>0.32756257050661719</v>
      </c>
      <c r="P16" s="12">
        <f t="shared" si="4"/>
        <v>0.3556625705066172</v>
      </c>
      <c r="Q16" s="12">
        <f t="shared" si="4"/>
        <v>0.33066257050661718</v>
      </c>
      <c r="R16" s="12">
        <f t="shared" si="4"/>
        <v>0.3727625705066171</v>
      </c>
      <c r="S16" s="12">
        <f t="shared" si="4"/>
        <v>0.34456257050661721</v>
      </c>
      <c r="T16" s="12">
        <f t="shared" si="4"/>
        <v>0.34226257050661724</v>
      </c>
      <c r="U16" s="12">
        <f t="shared" si="4"/>
        <v>0.34996257050661728</v>
      </c>
      <c r="V16" s="12">
        <f t="shared" si="4"/>
        <v>0.35366257050661709</v>
      </c>
      <c r="W16" s="12">
        <f t="shared" si="4"/>
        <v>0.3182625705066171</v>
      </c>
      <c r="X16" s="12">
        <f t="shared" si="4"/>
        <v>0.32106257050661713</v>
      </c>
      <c r="Y16" s="12">
        <f t="shared" si="4"/>
        <v>0.32386257050661715</v>
      </c>
      <c r="Z16" s="12">
        <f t="shared" si="4"/>
        <v>0.33116257050661713</v>
      </c>
      <c r="AA16" s="12">
        <f t="shared" si="4"/>
        <v>0.34646257050661711</v>
      </c>
      <c r="AB16" s="12">
        <f t="shared" si="4"/>
        <v>0.34846257050661711</v>
      </c>
      <c r="AD16" s="2" t="s">
        <v>12</v>
      </c>
      <c r="AE16" s="12">
        <v>6.2238093822791066E-2</v>
      </c>
      <c r="AF16" s="12">
        <v>4.8072189188405612E-2</v>
      </c>
      <c r="AG16" s="12">
        <v>5.8240899215864304E-2</v>
      </c>
      <c r="AH16" s="12">
        <v>5.1137589371184872E-2</v>
      </c>
      <c r="AI16" s="12">
        <v>3.9460340182867246E-2</v>
      </c>
      <c r="AJ16" s="12">
        <v>3.3828584205712553E-2</v>
      </c>
      <c r="AK16" s="12">
        <v>2.6513719535459526E-2</v>
      </c>
      <c r="AL16" s="12">
        <v>5.4088495306520254E-2</v>
      </c>
      <c r="AM16" s="12">
        <v>4.0872808574380186E-2</v>
      </c>
      <c r="AN16" s="12">
        <v>7.118195424992671E-2</v>
      </c>
      <c r="AO16" s="12">
        <v>8.6319303336285985E-2</v>
      </c>
      <c r="AP16" s="12">
        <v>6.5754278102909958E-2</v>
      </c>
      <c r="AQ16" s="12">
        <v>6.0400334389910083E-2</v>
      </c>
      <c r="AR16" s="12">
        <v>7.8557446664078545E-2</v>
      </c>
      <c r="AS16" s="12">
        <v>5.59855704151812E-2</v>
      </c>
      <c r="AT16" s="12">
        <v>5.1952565246639403E-2</v>
      </c>
      <c r="AU16" s="12">
        <v>7.1201010751539853E-2</v>
      </c>
      <c r="AV16" s="12">
        <v>6.5277138498428144E-2</v>
      </c>
      <c r="AW16" s="12">
        <v>6.0378488362526586E-2</v>
      </c>
      <c r="AX16" s="12">
        <v>5.4838300364963129E-2</v>
      </c>
      <c r="AY16" s="12">
        <v>7.1069435606094467E-2</v>
      </c>
      <c r="AZ16" s="12">
        <v>7.8838405949272661E-2</v>
      </c>
      <c r="BA16" s="12">
        <v>6.4047790683955746E-2</v>
      </c>
      <c r="BB16" s="12">
        <v>6.0262666692425103E-2</v>
      </c>
      <c r="BC16" s="12">
        <v>5.4684967335265615E-2</v>
      </c>
      <c r="BD16" s="12">
        <v>4.6841488628678443E-2</v>
      </c>
      <c r="BF16" s="2" t="s">
        <v>12</v>
      </c>
      <c r="BG16" t="s">
        <v>97</v>
      </c>
      <c r="BH16" t="s">
        <v>99</v>
      </c>
      <c r="BI16" t="s">
        <v>99</v>
      </c>
      <c r="BJ16" t="s">
        <v>99</v>
      </c>
      <c r="BK16" t="s">
        <v>99</v>
      </c>
      <c r="BL16" t="s">
        <v>96</v>
      </c>
      <c r="BM16" t="s">
        <v>96</v>
      </c>
      <c r="BN16" t="s">
        <v>95</v>
      </c>
      <c r="BO16" t="s">
        <v>96</v>
      </c>
      <c r="BP16" t="s">
        <v>96</v>
      </c>
      <c r="BQ16" t="s">
        <v>97</v>
      </c>
      <c r="BR16" t="s">
        <v>96</v>
      </c>
      <c r="BS16" t="s">
        <v>98</v>
      </c>
      <c r="BT16" t="s">
        <v>94</v>
      </c>
      <c r="BU16" t="s">
        <v>98</v>
      </c>
      <c r="BV16" t="s">
        <v>95</v>
      </c>
      <c r="BW16" t="s">
        <v>100</v>
      </c>
      <c r="BX16" t="s">
        <v>100</v>
      </c>
      <c r="BY16" t="s">
        <v>99</v>
      </c>
      <c r="BZ16" t="s">
        <v>97</v>
      </c>
      <c r="CA16" t="s">
        <v>97</v>
      </c>
      <c r="CB16" t="s">
        <v>99</v>
      </c>
      <c r="CC16" t="s">
        <v>100</v>
      </c>
      <c r="CD16" t="s">
        <v>100</v>
      </c>
      <c r="CE16" t="s">
        <v>94</v>
      </c>
      <c r="CF16" t="s">
        <v>100</v>
      </c>
    </row>
    <row r="17" spans="1:84" x14ac:dyDescent="0.35">
      <c r="A17" s="6"/>
      <c r="B17" s="2" t="s">
        <v>13</v>
      </c>
      <c r="C17" s="12">
        <v>0.22288118270759838</v>
      </c>
      <c r="D17" s="12">
        <v>0.21458118270759838</v>
      </c>
      <c r="E17" s="12">
        <v>0.21988118270759838</v>
      </c>
      <c r="F17" s="12">
        <v>0.23448118270759838</v>
      </c>
      <c r="G17" s="12">
        <v>0.2088811827075984</v>
      </c>
      <c r="H17" s="12">
        <v>0.23388118270759839</v>
      </c>
      <c r="I17" s="12">
        <v>0.23638118270759839</v>
      </c>
      <c r="J17" s="12">
        <v>0.21738118270759837</v>
      </c>
      <c r="K17" s="12">
        <v>0.22418118270759838</v>
      </c>
      <c r="L17" s="12">
        <v>0.23658118270759837</v>
      </c>
      <c r="M17" s="12">
        <v>0.21168118270759839</v>
      </c>
      <c r="N17" s="12">
        <v>0.21908118270759838</v>
      </c>
      <c r="O17" s="12">
        <v>0.23278118270759837</v>
      </c>
      <c r="P17" s="12">
        <v>0.21798118270759839</v>
      </c>
      <c r="Q17" s="12">
        <v>0.21578118270759838</v>
      </c>
      <c r="R17" s="12">
        <v>0.2103811827075984</v>
      </c>
      <c r="S17" s="12">
        <v>0.21758118270759838</v>
      </c>
      <c r="T17" s="12">
        <v>0.21538118270759837</v>
      </c>
      <c r="U17" s="12">
        <v>0.20778118270759838</v>
      </c>
      <c r="V17" s="12">
        <v>0.21308118270759838</v>
      </c>
      <c r="W17" s="12">
        <v>0.23888118270759839</v>
      </c>
      <c r="X17" s="12">
        <v>0.21858118270759838</v>
      </c>
      <c r="Y17" s="12">
        <v>0.22438118270759838</v>
      </c>
      <c r="Z17" s="12">
        <v>0.20808118270759837</v>
      </c>
      <c r="AA17" s="12">
        <v>0.21268118270759839</v>
      </c>
      <c r="AB17" s="12">
        <v>0.21098118270759839</v>
      </c>
      <c r="AD17" s="2" t="s">
        <v>13</v>
      </c>
      <c r="AE17" s="12">
        <v>4.4573258974535596E-2</v>
      </c>
      <c r="AF17" s="12">
        <v>3.0407354340150142E-2</v>
      </c>
      <c r="AG17" s="12">
        <v>4.0576064367608834E-2</v>
      </c>
      <c r="AH17" s="12">
        <v>3.3472754522929402E-2</v>
      </c>
      <c r="AI17" s="12">
        <v>2.1795505334611776E-2</v>
      </c>
      <c r="AJ17" s="12">
        <v>1.6163749357457086E-2</v>
      </c>
      <c r="AK17" s="12">
        <v>1.5959972425061208E-2</v>
      </c>
      <c r="AL17" s="12">
        <v>3.6423660458264784E-2</v>
      </c>
      <c r="AM17" s="12">
        <v>3.0319061463981872E-2</v>
      </c>
      <c r="AN17" s="12">
        <v>5.3517119401671233E-2</v>
      </c>
      <c r="AO17" s="12">
        <v>6.8654468488030515E-2</v>
      </c>
      <c r="AP17" s="12">
        <v>4.8089443254654494E-2</v>
      </c>
      <c r="AQ17" s="12">
        <v>4.2735499541654613E-2</v>
      </c>
      <c r="AR17" s="12">
        <v>6.0892611815823075E-2</v>
      </c>
      <c r="AS17" s="12">
        <v>3.832073556692573E-2</v>
      </c>
      <c r="AT17" s="12">
        <v>3.4287730398383932E-2</v>
      </c>
      <c r="AU17" s="12">
        <v>5.3536175903284383E-2</v>
      </c>
      <c r="AV17" s="12">
        <v>4.7612303650172667E-2</v>
      </c>
      <c r="AW17" s="12">
        <v>4.2713653514271116E-2</v>
      </c>
      <c r="AX17" s="12">
        <v>3.7173465516707659E-2</v>
      </c>
      <c r="AY17" s="12">
        <v>5.3404600757838989E-2</v>
      </c>
      <c r="AZ17" s="12">
        <v>6.1173571101017191E-2</v>
      </c>
      <c r="BA17" s="12">
        <v>4.6382955835700269E-2</v>
      </c>
      <c r="BB17" s="12">
        <v>4.2597831844169633E-2</v>
      </c>
      <c r="BC17" s="12">
        <v>3.7020132487010145E-2</v>
      </c>
      <c r="BD17" s="12">
        <v>2.9176653780422973E-2</v>
      </c>
      <c r="BF17" s="2" t="s">
        <v>13</v>
      </c>
      <c r="BG17" t="s">
        <v>100</v>
      </c>
      <c r="BH17" t="s">
        <v>96</v>
      </c>
      <c r="BI17" t="s">
        <v>94</v>
      </c>
      <c r="BJ17" t="s">
        <v>95</v>
      </c>
      <c r="BK17" t="s">
        <v>96</v>
      </c>
      <c r="BL17" t="s">
        <v>95</v>
      </c>
      <c r="BM17" t="s">
        <v>97</v>
      </c>
      <c r="BN17" t="s">
        <v>96</v>
      </c>
      <c r="BO17" t="s">
        <v>95</v>
      </c>
      <c r="BP17" t="s">
        <v>95</v>
      </c>
      <c r="BQ17" t="s">
        <v>98</v>
      </c>
      <c r="BR17" t="s">
        <v>95</v>
      </c>
      <c r="BS17" t="s">
        <v>94</v>
      </c>
      <c r="BT17" t="s">
        <v>95</v>
      </c>
      <c r="BU17" t="s">
        <v>98</v>
      </c>
      <c r="BV17" t="s">
        <v>98</v>
      </c>
      <c r="BW17" t="s">
        <v>94</v>
      </c>
      <c r="BX17" t="s">
        <v>96</v>
      </c>
      <c r="BY17" t="s">
        <v>96</v>
      </c>
      <c r="BZ17" t="s">
        <v>100</v>
      </c>
      <c r="CA17" t="s">
        <v>99</v>
      </c>
      <c r="CB17" t="s">
        <v>97</v>
      </c>
      <c r="CC17" t="s">
        <v>99</v>
      </c>
      <c r="CD17" t="s">
        <v>99</v>
      </c>
      <c r="CE17" t="s">
        <v>97</v>
      </c>
      <c r="CF17" t="s">
        <v>94</v>
      </c>
    </row>
    <row r="18" spans="1:84" x14ac:dyDescent="0.35">
      <c r="A18" s="6"/>
      <c r="B18" s="2" t="s">
        <v>14</v>
      </c>
      <c r="C18" s="12">
        <v>0.17939762434053835</v>
      </c>
      <c r="D18" s="12">
        <v>0.16099762434053835</v>
      </c>
      <c r="E18" s="12">
        <v>0.18059762434053833</v>
      </c>
      <c r="F18" s="12">
        <v>0.16639762434053834</v>
      </c>
      <c r="G18" s="12">
        <v>0.18159762434053833</v>
      </c>
      <c r="H18" s="12">
        <v>0.16379762434053835</v>
      </c>
      <c r="I18" s="12">
        <v>0.16539762434053834</v>
      </c>
      <c r="J18" s="12">
        <v>0.17529762434053833</v>
      </c>
      <c r="K18" s="12">
        <v>0.17569762434053834</v>
      </c>
      <c r="L18" s="12">
        <v>0.17279762434053833</v>
      </c>
      <c r="M18" s="12">
        <v>0.16019762434053833</v>
      </c>
      <c r="N18" s="12">
        <v>0.17939762434053835</v>
      </c>
      <c r="O18" s="12">
        <v>0.15979762434053835</v>
      </c>
      <c r="P18" s="12">
        <v>0.15889762434053833</v>
      </c>
      <c r="Q18" s="12">
        <v>0.15999762434053835</v>
      </c>
      <c r="R18" s="12">
        <v>0.17329762434053833</v>
      </c>
      <c r="S18" s="12">
        <v>0.15839762434053833</v>
      </c>
      <c r="T18" s="12">
        <v>0.16469762434053833</v>
      </c>
      <c r="U18" s="12">
        <v>0.17029762434053833</v>
      </c>
      <c r="V18" s="12">
        <v>0.15229762434053834</v>
      </c>
      <c r="W18" s="12">
        <v>0.16649762434053833</v>
      </c>
      <c r="X18" s="12">
        <v>0.17569762434053834</v>
      </c>
      <c r="Y18" s="12">
        <v>0.15929762434053835</v>
      </c>
      <c r="Z18" s="12">
        <v>0.18129762434053834</v>
      </c>
      <c r="AA18" s="12">
        <v>0.16589762434053834</v>
      </c>
      <c r="AB18" s="12">
        <v>0.15849762434053835</v>
      </c>
      <c r="AD18" s="2" t="s">
        <v>14</v>
      </c>
      <c r="AE18" s="12">
        <v>3.4717844648855224E-2</v>
      </c>
      <c r="AF18" s="12">
        <v>2.055194001446977E-2</v>
      </c>
      <c r="AG18" s="12">
        <v>3.0720650041928463E-2</v>
      </c>
      <c r="AH18" s="12">
        <v>2.361734019724903E-2</v>
      </c>
      <c r="AI18" s="12">
        <v>1.3862074985661806E-2</v>
      </c>
      <c r="AJ18" s="12">
        <v>1.4123620082700059E-2</v>
      </c>
      <c r="AK18" s="12">
        <v>1.2574031440407538E-2</v>
      </c>
      <c r="AL18" s="12">
        <v>2.6568246132584412E-2</v>
      </c>
      <c r="AM18" s="12">
        <v>2.69331204793282E-2</v>
      </c>
      <c r="AN18" s="12">
        <v>4.3661705075990861E-2</v>
      </c>
      <c r="AO18" s="12">
        <v>5.8799054162350144E-2</v>
      </c>
      <c r="AP18" s="12">
        <v>3.8234028928974123E-2</v>
      </c>
      <c r="AQ18" s="12">
        <v>3.2880085215974242E-2</v>
      </c>
      <c r="AR18" s="12">
        <v>5.1037197490142704E-2</v>
      </c>
      <c r="AS18" s="12">
        <v>2.8465321241245359E-2</v>
      </c>
      <c r="AT18" s="12">
        <v>2.4432316072703561E-2</v>
      </c>
      <c r="AU18" s="12">
        <v>4.3680761577604012E-2</v>
      </c>
      <c r="AV18" s="12">
        <v>3.7756889324492296E-2</v>
      </c>
      <c r="AW18" s="12">
        <v>3.2858239188590745E-2</v>
      </c>
      <c r="AX18" s="12">
        <v>2.7318051191027287E-2</v>
      </c>
      <c r="AY18" s="12">
        <v>4.3549186432158618E-2</v>
      </c>
      <c r="AZ18" s="12">
        <v>5.1318156775336819E-2</v>
      </c>
      <c r="BA18" s="12">
        <v>3.6527541510019898E-2</v>
      </c>
      <c r="BB18" s="12">
        <v>3.2742417518489261E-2</v>
      </c>
      <c r="BC18" s="12">
        <v>2.7164718161329773E-2</v>
      </c>
      <c r="BD18" s="12">
        <v>1.9321239454742602E-2</v>
      </c>
      <c r="BF18" s="2" t="s">
        <v>14</v>
      </c>
      <c r="BG18" t="s">
        <v>94</v>
      </c>
      <c r="BH18" t="s">
        <v>94</v>
      </c>
      <c r="BI18" t="s">
        <v>99</v>
      </c>
      <c r="BJ18" t="s">
        <v>100</v>
      </c>
      <c r="BK18" t="s">
        <v>99</v>
      </c>
      <c r="BL18" t="s">
        <v>95</v>
      </c>
      <c r="BM18" t="s">
        <v>99</v>
      </c>
      <c r="BN18" t="s">
        <v>96</v>
      </c>
      <c r="BO18" t="s">
        <v>98</v>
      </c>
      <c r="BP18" t="s">
        <v>96</v>
      </c>
      <c r="BQ18" t="s">
        <v>99</v>
      </c>
      <c r="BR18" t="s">
        <v>96</v>
      </c>
      <c r="BS18" t="s">
        <v>99</v>
      </c>
      <c r="BT18" t="s">
        <v>98</v>
      </c>
      <c r="BU18" t="s">
        <v>98</v>
      </c>
      <c r="BV18" t="s">
        <v>96</v>
      </c>
      <c r="BW18" t="s">
        <v>94</v>
      </c>
      <c r="BX18" t="s">
        <v>95</v>
      </c>
      <c r="BY18" t="s">
        <v>94</v>
      </c>
      <c r="BZ18" t="s">
        <v>97</v>
      </c>
      <c r="CA18" t="s">
        <v>94</v>
      </c>
      <c r="CB18" t="s">
        <v>94</v>
      </c>
      <c r="CC18" t="s">
        <v>97</v>
      </c>
      <c r="CD18" t="s">
        <v>100</v>
      </c>
      <c r="CE18" t="s">
        <v>95</v>
      </c>
      <c r="CF18" t="s">
        <v>96</v>
      </c>
    </row>
    <row r="19" spans="1:84" x14ac:dyDescent="0.35">
      <c r="A19" s="6"/>
      <c r="B19" s="2" t="s">
        <v>15</v>
      </c>
      <c r="C19" s="12">
        <v>8.1342710648985531E-2</v>
      </c>
      <c r="D19" s="12">
        <v>7.3042710648985515E-2</v>
      </c>
      <c r="E19" s="12">
        <v>7.8142710648985536E-2</v>
      </c>
      <c r="F19" s="12">
        <v>8.0742710648985527E-2</v>
      </c>
      <c r="G19" s="12">
        <v>7.4742710648985536E-2</v>
      </c>
      <c r="H19" s="12">
        <v>6.3942710648985532E-2</v>
      </c>
      <c r="I19" s="12">
        <v>6.9842710648985534E-2</v>
      </c>
      <c r="J19" s="12">
        <v>6.9542710648985526E-2</v>
      </c>
      <c r="K19" s="12">
        <v>7.9242710648985526E-2</v>
      </c>
      <c r="L19" s="12">
        <v>6.3142710648985537E-2</v>
      </c>
      <c r="M19" s="12">
        <v>6.9442710648985537E-2</v>
      </c>
      <c r="N19" s="12">
        <v>6.4542710648985535E-2</v>
      </c>
      <c r="O19" s="12">
        <v>7.9942710648985532E-2</v>
      </c>
      <c r="P19" s="12">
        <v>6.3942710648985532E-2</v>
      </c>
      <c r="Q19" s="12">
        <v>8.0742710648985527E-2</v>
      </c>
      <c r="R19" s="12">
        <v>6.3942710648985532E-2</v>
      </c>
      <c r="S19" s="12">
        <v>7.9742710648985526E-2</v>
      </c>
      <c r="T19" s="12">
        <v>6.6242710648985528E-2</v>
      </c>
      <c r="U19" s="12">
        <v>6.2042710648985533E-2</v>
      </c>
      <c r="V19" s="12">
        <v>7.0342710648985535E-2</v>
      </c>
      <c r="W19" s="12">
        <v>8.0442710648985533E-2</v>
      </c>
      <c r="X19" s="12">
        <v>7.6942710648985529E-2</v>
      </c>
      <c r="Y19" s="12">
        <v>7.9542710648985535E-2</v>
      </c>
      <c r="Z19" s="12">
        <v>6.4642710648985524E-2</v>
      </c>
      <c r="AA19" s="12">
        <v>6.9542710648985526E-2</v>
      </c>
      <c r="AB19" s="12">
        <v>8.1042710648985522E-2</v>
      </c>
      <c r="AD19" s="2" t="s">
        <v>15</v>
      </c>
      <c r="AE19" s="12">
        <v>4.9773933396931348E-2</v>
      </c>
      <c r="AF19" s="12">
        <v>3.5608028762545894E-2</v>
      </c>
      <c r="AG19" s="12">
        <v>4.5776738790004587E-2</v>
      </c>
      <c r="AH19" s="12">
        <v>3.8673428945325154E-2</v>
      </c>
      <c r="AI19" s="12">
        <v>2.6996179757007528E-2</v>
      </c>
      <c r="AJ19" s="12">
        <v>2.6068657105403934E-2</v>
      </c>
      <c r="AK19" s="12">
        <v>1.9756931639999347E-2</v>
      </c>
      <c r="AL19" s="12">
        <v>4.1624334880660536E-2</v>
      </c>
      <c r="AM19" s="12">
        <v>3.4116020678920014E-2</v>
      </c>
      <c r="AN19" s="12">
        <v>5.8717793824066986E-2</v>
      </c>
      <c r="AO19" s="12">
        <v>7.3855142910426275E-2</v>
      </c>
      <c r="AP19" s="12">
        <v>5.3290117677050247E-2</v>
      </c>
      <c r="AQ19" s="12">
        <v>4.7936173964050366E-2</v>
      </c>
      <c r="AR19" s="12">
        <v>6.6093286238218835E-2</v>
      </c>
      <c r="AS19" s="12">
        <v>4.3521409989321483E-2</v>
      </c>
      <c r="AT19" s="12">
        <v>3.9488404820779685E-2</v>
      </c>
      <c r="AU19" s="12">
        <v>5.8736850325680136E-2</v>
      </c>
      <c r="AV19" s="12">
        <v>5.281297807256842E-2</v>
      </c>
      <c r="AW19" s="12">
        <v>4.7914327936666869E-2</v>
      </c>
      <c r="AX19" s="12">
        <v>4.2374139939103411E-2</v>
      </c>
      <c r="AY19" s="12">
        <v>5.8605275180234742E-2</v>
      </c>
      <c r="AZ19" s="12">
        <v>6.637424552341295E-2</v>
      </c>
      <c r="BA19" s="12">
        <v>5.1583630258096022E-2</v>
      </c>
      <c r="BB19" s="12">
        <v>4.7798506266565385E-2</v>
      </c>
      <c r="BC19" s="12">
        <v>4.2220806909405897E-2</v>
      </c>
      <c r="BD19" s="12">
        <v>3.4377328202818726E-2</v>
      </c>
      <c r="BF19" s="2" t="s">
        <v>15</v>
      </c>
      <c r="BG19" t="s">
        <v>96</v>
      </c>
      <c r="BH19" t="s">
        <v>99</v>
      </c>
      <c r="BI19" t="s">
        <v>96</v>
      </c>
      <c r="BJ19" t="s">
        <v>97</v>
      </c>
      <c r="BK19" t="s">
        <v>98</v>
      </c>
      <c r="BL19" t="s">
        <v>100</v>
      </c>
      <c r="BM19" t="s">
        <v>96</v>
      </c>
      <c r="BN19" t="s">
        <v>98</v>
      </c>
      <c r="BO19" t="s">
        <v>97</v>
      </c>
      <c r="BP19" t="s">
        <v>99</v>
      </c>
      <c r="BQ19" t="s">
        <v>98</v>
      </c>
      <c r="BR19" t="s">
        <v>94</v>
      </c>
      <c r="BS19" t="s">
        <v>96</v>
      </c>
      <c r="BT19" t="s">
        <v>94</v>
      </c>
      <c r="BU19" t="s">
        <v>94</v>
      </c>
      <c r="BV19" t="s">
        <v>99</v>
      </c>
      <c r="BW19" t="s">
        <v>99</v>
      </c>
      <c r="BX19" t="s">
        <v>99</v>
      </c>
      <c r="BY19" t="s">
        <v>100</v>
      </c>
      <c r="BZ19" t="s">
        <v>95</v>
      </c>
      <c r="CA19" t="s">
        <v>99</v>
      </c>
      <c r="CB19" t="s">
        <v>97</v>
      </c>
      <c r="CC19" t="s">
        <v>99</v>
      </c>
      <c r="CD19" t="s">
        <v>96</v>
      </c>
      <c r="CE19" t="s">
        <v>95</v>
      </c>
      <c r="CF19" t="s">
        <v>98</v>
      </c>
    </row>
    <row r="20" spans="1:84" x14ac:dyDescent="0.35">
      <c r="A20" s="6"/>
      <c r="B20" s="2" t="s">
        <v>16</v>
      </c>
      <c r="C20" s="12">
        <v>0.10536711673412011</v>
      </c>
      <c r="D20" s="12">
        <v>0.1036671167341201</v>
      </c>
      <c r="E20" s="12">
        <v>0.1001671167341201</v>
      </c>
      <c r="F20" s="12">
        <v>0.1239671167341201</v>
      </c>
      <c r="G20" s="12">
        <v>0.1078671167341201</v>
      </c>
      <c r="H20" s="12">
        <v>0.1121671167341201</v>
      </c>
      <c r="I20" s="12">
        <v>0.1162671167341201</v>
      </c>
      <c r="J20" s="12">
        <v>0.12716711673412009</v>
      </c>
      <c r="K20" s="12">
        <v>0.1182671167341201</v>
      </c>
      <c r="L20" s="12">
        <v>0.1153671167341201</v>
      </c>
      <c r="M20" s="12">
        <v>0.1073671167341201</v>
      </c>
      <c r="N20" s="12">
        <v>0.1249671167341201</v>
      </c>
      <c r="O20" s="12">
        <v>0.10676711673412011</v>
      </c>
      <c r="P20" s="12">
        <v>0.1276671167341201</v>
      </c>
      <c r="Q20" s="12">
        <v>0.1201671167341201</v>
      </c>
      <c r="R20" s="12">
        <v>0.1031671167341201</v>
      </c>
      <c r="S20" s="12">
        <v>0.10486711673412011</v>
      </c>
      <c r="T20" s="12">
        <v>0.1221671167341201</v>
      </c>
      <c r="U20" s="12">
        <v>0.1156671167341201</v>
      </c>
      <c r="V20" s="12">
        <v>0.1220671167341201</v>
      </c>
      <c r="W20" s="12">
        <v>0.10436711673412011</v>
      </c>
      <c r="X20" s="12">
        <v>0.1296671167341201</v>
      </c>
      <c r="Y20" s="12">
        <v>0.1194671167341201</v>
      </c>
      <c r="Z20" s="12">
        <v>0.12776711673412011</v>
      </c>
      <c r="AA20" s="12">
        <v>0.12896711673412009</v>
      </c>
      <c r="AB20" s="12">
        <v>0.1074671167341201</v>
      </c>
      <c r="AD20" s="2" t="s">
        <v>16</v>
      </c>
      <c r="AE20" s="12">
        <v>3.7689627272721592E-2</v>
      </c>
      <c r="AF20" s="12">
        <v>2.3523722638336138E-2</v>
      </c>
      <c r="AG20" s="12">
        <v>3.369243266579483E-2</v>
      </c>
      <c r="AH20" s="12">
        <v>2.6589122821115398E-2</v>
      </c>
      <c r="AI20" s="12">
        <v>1.8015168003665885E-2</v>
      </c>
      <c r="AJ20" s="12">
        <v>1.6859159107293114E-2</v>
      </c>
      <c r="AK20" s="12">
        <v>1.4286392689124199E-2</v>
      </c>
      <c r="AL20" s="12">
        <v>2.954002875645078E-2</v>
      </c>
      <c r="AM20" s="12">
        <v>2.8645481728044861E-2</v>
      </c>
      <c r="AN20" s="12">
        <v>4.6633487699857229E-2</v>
      </c>
      <c r="AO20" s="12">
        <v>6.1770836786216511E-2</v>
      </c>
      <c r="AP20" s="12">
        <v>4.1205811552840491E-2</v>
      </c>
      <c r="AQ20" s="12">
        <v>3.5851867839840609E-2</v>
      </c>
      <c r="AR20" s="12">
        <v>5.4008980114009071E-2</v>
      </c>
      <c r="AS20" s="12">
        <v>3.1437103865111726E-2</v>
      </c>
      <c r="AT20" s="12">
        <v>2.7404098696569928E-2</v>
      </c>
      <c r="AU20" s="12">
        <v>4.6652544201470379E-2</v>
      </c>
      <c r="AV20" s="12">
        <v>4.0728671948358663E-2</v>
      </c>
      <c r="AW20" s="12">
        <v>3.5830021812457112E-2</v>
      </c>
      <c r="AX20" s="12">
        <v>3.0289833814893655E-2</v>
      </c>
      <c r="AY20" s="12">
        <v>4.6520969056024986E-2</v>
      </c>
      <c r="AZ20" s="12">
        <v>5.4289939399203187E-2</v>
      </c>
      <c r="BA20" s="12">
        <v>3.9499324133886266E-2</v>
      </c>
      <c r="BB20" s="12">
        <v>3.5714200142355629E-2</v>
      </c>
      <c r="BC20" s="12">
        <v>3.0136500785196141E-2</v>
      </c>
      <c r="BD20" s="12">
        <v>2.2293022078608969E-2</v>
      </c>
      <c r="BF20" s="2" t="s">
        <v>16</v>
      </c>
      <c r="BG20" t="s">
        <v>94</v>
      </c>
      <c r="BH20" t="s">
        <v>97</v>
      </c>
      <c r="BI20" t="s">
        <v>94</v>
      </c>
      <c r="BJ20" t="s">
        <v>100</v>
      </c>
      <c r="BK20" t="s">
        <v>96</v>
      </c>
      <c r="BL20" t="s">
        <v>97</v>
      </c>
      <c r="BM20" t="s">
        <v>96</v>
      </c>
      <c r="BN20" t="s">
        <v>99</v>
      </c>
      <c r="BO20" t="s">
        <v>99</v>
      </c>
      <c r="BP20" t="s">
        <v>100</v>
      </c>
      <c r="BQ20" t="s">
        <v>94</v>
      </c>
      <c r="BR20" t="s">
        <v>100</v>
      </c>
      <c r="BS20" t="s">
        <v>98</v>
      </c>
      <c r="BT20" t="s">
        <v>100</v>
      </c>
      <c r="BU20" t="s">
        <v>100</v>
      </c>
      <c r="BV20" t="s">
        <v>98</v>
      </c>
      <c r="BW20" t="s">
        <v>94</v>
      </c>
      <c r="BX20" t="s">
        <v>99</v>
      </c>
      <c r="BY20" t="s">
        <v>99</v>
      </c>
      <c r="BZ20" t="s">
        <v>100</v>
      </c>
      <c r="CA20" t="s">
        <v>100</v>
      </c>
      <c r="CB20" t="s">
        <v>96</v>
      </c>
      <c r="CC20" t="s">
        <v>98</v>
      </c>
      <c r="CD20" t="s">
        <v>97</v>
      </c>
      <c r="CE20" t="s">
        <v>96</v>
      </c>
      <c r="CF20" t="s">
        <v>99</v>
      </c>
    </row>
    <row r="21" spans="1:84" x14ac:dyDescent="0.35">
      <c r="A21" s="6"/>
      <c r="B21" s="2" t="s">
        <v>17</v>
      </c>
      <c r="C21" s="12">
        <v>8.3248795062140488E-2</v>
      </c>
      <c r="D21" s="12">
        <v>7.9148795062140495E-2</v>
      </c>
      <c r="E21" s="12">
        <v>9.3148795062140494E-2</v>
      </c>
      <c r="F21" s="12">
        <v>9.2848795062140499E-2</v>
      </c>
      <c r="G21" s="12">
        <v>8.914879506214049E-2</v>
      </c>
      <c r="H21" s="12">
        <v>8.2648795062140498E-2</v>
      </c>
      <c r="I21" s="12">
        <v>9.0248795062140508E-2</v>
      </c>
      <c r="J21" s="12">
        <v>8.2248795062140487E-2</v>
      </c>
      <c r="K21" s="12">
        <v>8.8048795062140486E-2</v>
      </c>
      <c r="L21" s="12">
        <v>7.6648795062140493E-2</v>
      </c>
      <c r="M21" s="12">
        <v>9.0948795062140486E-2</v>
      </c>
      <c r="N21" s="12">
        <v>8.9348795062140496E-2</v>
      </c>
      <c r="O21" s="12">
        <v>9.3148795062140494E-2</v>
      </c>
      <c r="P21" s="12">
        <v>7.5848795062140498E-2</v>
      </c>
      <c r="Q21" s="12">
        <v>9.2648795062140493E-2</v>
      </c>
      <c r="R21" s="12">
        <v>7.6448795062140487E-2</v>
      </c>
      <c r="S21" s="12">
        <v>9.4848795062140487E-2</v>
      </c>
      <c r="T21" s="12">
        <v>8.9248795062140493E-2</v>
      </c>
      <c r="U21" s="12">
        <v>9.4248795062140484E-2</v>
      </c>
      <c r="V21" s="12">
        <v>8.8548795062140487E-2</v>
      </c>
      <c r="W21" s="12">
        <v>9.1548795062140489E-2</v>
      </c>
      <c r="X21" s="12">
        <v>7.8048795062140491E-2</v>
      </c>
      <c r="Y21" s="12">
        <v>9.3448795062140488E-2</v>
      </c>
      <c r="Z21" s="12">
        <v>8.7048795062140485E-2</v>
      </c>
      <c r="AA21" s="12">
        <v>7.6448795062140501E-2</v>
      </c>
      <c r="AB21" s="12">
        <v>9.3548795062140491E-2</v>
      </c>
      <c r="AD21" s="2" t="s">
        <v>17</v>
      </c>
      <c r="AE21" s="12">
        <v>5.4182619418873298E-2</v>
      </c>
      <c r="AF21" s="12">
        <v>4.0016714784487845E-2</v>
      </c>
      <c r="AG21" s="12">
        <v>5.0185424811946537E-2</v>
      </c>
      <c r="AH21" s="12">
        <v>4.3082114967267104E-2</v>
      </c>
      <c r="AI21" s="12">
        <v>3.1404865778949478E-2</v>
      </c>
      <c r="AJ21" s="12">
        <v>2.9625525112104919E-2</v>
      </c>
      <c r="AK21" s="12">
        <v>2.3786192417776512E-2</v>
      </c>
      <c r="AL21" s="12">
        <v>4.6033020902602487E-2</v>
      </c>
      <c r="AM21" s="12">
        <v>3.8145281456697176E-2</v>
      </c>
      <c r="AN21" s="12">
        <v>6.3126479846008943E-2</v>
      </c>
      <c r="AO21" s="12">
        <v>7.8263828932368218E-2</v>
      </c>
      <c r="AP21" s="12">
        <v>5.7698803698992197E-2</v>
      </c>
      <c r="AQ21" s="12">
        <v>5.2344859985992316E-2</v>
      </c>
      <c r="AR21" s="12">
        <v>7.0501972260160778E-2</v>
      </c>
      <c r="AS21" s="12">
        <v>4.7930096011263433E-2</v>
      </c>
      <c r="AT21" s="12">
        <v>4.3897090842721635E-2</v>
      </c>
      <c r="AU21" s="12">
        <v>6.3145536347622086E-2</v>
      </c>
      <c r="AV21" s="12">
        <v>5.722166409451037E-2</v>
      </c>
      <c r="AW21" s="12">
        <v>5.2323013958608819E-2</v>
      </c>
      <c r="AX21" s="12">
        <v>4.6782825961045361E-2</v>
      </c>
      <c r="AY21" s="12">
        <v>6.3013961202176699E-2</v>
      </c>
      <c r="AZ21" s="12">
        <v>7.0782931545354894E-2</v>
      </c>
      <c r="BA21" s="12">
        <v>5.5992316280037972E-2</v>
      </c>
      <c r="BB21" s="12">
        <v>5.2207192288507336E-2</v>
      </c>
      <c r="BC21" s="12">
        <v>4.6629492931347848E-2</v>
      </c>
      <c r="BD21" s="12">
        <v>3.8786014224760676E-2</v>
      </c>
      <c r="BF21" s="2" t="s">
        <v>17</v>
      </c>
      <c r="BG21" t="s">
        <v>98</v>
      </c>
      <c r="BH21" t="s">
        <v>98</v>
      </c>
      <c r="BI21" t="s">
        <v>99</v>
      </c>
      <c r="BJ21" t="s">
        <v>100</v>
      </c>
      <c r="BK21" t="s">
        <v>95</v>
      </c>
      <c r="BL21" t="s">
        <v>98</v>
      </c>
      <c r="BM21" t="s">
        <v>98</v>
      </c>
      <c r="BN21" t="s">
        <v>94</v>
      </c>
      <c r="BO21" t="s">
        <v>96</v>
      </c>
      <c r="BP21" t="s">
        <v>99</v>
      </c>
      <c r="BQ21" t="s">
        <v>97</v>
      </c>
      <c r="BR21" t="s">
        <v>98</v>
      </c>
      <c r="BS21" t="s">
        <v>95</v>
      </c>
      <c r="BT21" t="s">
        <v>100</v>
      </c>
      <c r="BU21" t="s">
        <v>100</v>
      </c>
      <c r="BV21" t="s">
        <v>94</v>
      </c>
      <c r="BW21" t="s">
        <v>100</v>
      </c>
      <c r="BX21" t="s">
        <v>97</v>
      </c>
      <c r="BY21" t="s">
        <v>100</v>
      </c>
      <c r="BZ21" t="s">
        <v>98</v>
      </c>
      <c r="CA21" t="s">
        <v>97</v>
      </c>
      <c r="CB21" t="s">
        <v>94</v>
      </c>
      <c r="CC21" t="s">
        <v>97</v>
      </c>
      <c r="CD21" t="s">
        <v>96</v>
      </c>
      <c r="CE21" t="s">
        <v>100</v>
      </c>
      <c r="CF21" t="s">
        <v>94</v>
      </c>
    </row>
    <row r="22" spans="1:84" x14ac:dyDescent="0.35">
      <c r="A22" s="7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</row>
    <row r="23" spans="1:84" x14ac:dyDescent="0.35">
      <c r="B23" s="1" t="s">
        <v>26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D23" s="1" t="s">
        <v>26</v>
      </c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F23" s="1" t="s">
        <v>26</v>
      </c>
    </row>
    <row r="24" spans="1:84" x14ac:dyDescent="0.35">
      <c r="A24" s="8"/>
      <c r="B24" t="s">
        <v>18</v>
      </c>
      <c r="C24" s="21">
        <f>1-SUM(C25:C31)</f>
        <v>0.35713535353535342</v>
      </c>
      <c r="D24" s="21">
        <f t="shared" ref="D24:AB24" si="5">1-SUM(D25:D31)</f>
        <v>0.37203535353535355</v>
      </c>
      <c r="E24" s="21">
        <f t="shared" si="5"/>
        <v>0.34793535353535354</v>
      </c>
      <c r="F24" s="21">
        <f t="shared" si="5"/>
        <v>0.32533535353535348</v>
      </c>
      <c r="G24" s="21">
        <f t="shared" si="5"/>
        <v>0.3655353535353536</v>
      </c>
      <c r="H24" s="21">
        <f t="shared" si="5"/>
        <v>0.34143535353535348</v>
      </c>
      <c r="I24" s="21">
        <f t="shared" si="5"/>
        <v>0.36323535353535352</v>
      </c>
      <c r="J24" s="21">
        <f t="shared" si="5"/>
        <v>0.36783535353535357</v>
      </c>
      <c r="K24" s="21">
        <f t="shared" si="5"/>
        <v>0.33843535353535359</v>
      </c>
      <c r="L24" s="21">
        <f t="shared" si="5"/>
        <v>0.36263535353535348</v>
      </c>
      <c r="M24" s="21">
        <f t="shared" si="5"/>
        <v>0.34753535353535348</v>
      </c>
      <c r="N24" s="21">
        <f t="shared" si="5"/>
        <v>0.39273535353535327</v>
      </c>
      <c r="O24" s="21">
        <f t="shared" si="5"/>
        <v>0.35763535353535358</v>
      </c>
      <c r="P24" s="21">
        <f t="shared" si="5"/>
        <v>0.34903535353535353</v>
      </c>
      <c r="Q24" s="21">
        <f t="shared" si="5"/>
        <v>0.36833535353535363</v>
      </c>
      <c r="R24" s="21">
        <f t="shared" si="5"/>
        <v>0.3665353535353536</v>
      </c>
      <c r="S24" s="21">
        <f t="shared" si="5"/>
        <v>0.36073535353535346</v>
      </c>
      <c r="T24" s="21">
        <f t="shared" si="5"/>
        <v>0.31833535353535347</v>
      </c>
      <c r="U24" s="21">
        <f t="shared" si="5"/>
        <v>0.34993535353535365</v>
      </c>
      <c r="V24" s="21">
        <f t="shared" si="5"/>
        <v>0.33603535353535363</v>
      </c>
      <c r="W24" s="21">
        <f t="shared" si="5"/>
        <v>0.33983535353535343</v>
      </c>
      <c r="X24" s="21">
        <f t="shared" si="5"/>
        <v>0.36453535353535349</v>
      </c>
      <c r="Y24" s="21">
        <f t="shared" si="5"/>
        <v>0.34453535353535347</v>
      </c>
      <c r="Z24" s="21">
        <f t="shared" si="5"/>
        <v>0.30443535353535356</v>
      </c>
      <c r="AA24" s="21">
        <f t="shared" si="5"/>
        <v>0.38283535353535347</v>
      </c>
      <c r="AB24" s="21">
        <f t="shared" si="5"/>
        <v>0.34613535353535352</v>
      </c>
      <c r="AC24" s="8"/>
      <c r="AD24" t="s">
        <v>18</v>
      </c>
      <c r="AE24" s="12">
        <v>3.8078970752275461E-2</v>
      </c>
      <c r="AF24" s="12">
        <v>2.3921908196493737E-2</v>
      </c>
      <c r="AG24" s="12">
        <v>3.3643573332591152E-2</v>
      </c>
      <c r="AH24" s="12">
        <v>2.5950263036220535E-2</v>
      </c>
      <c r="AI24" s="12">
        <v>2.0053891625394019E-2</v>
      </c>
      <c r="AJ24" s="12">
        <v>1.7605896674257528E-2</v>
      </c>
      <c r="AK24" s="12">
        <v>1.541857854322172E-2</v>
      </c>
      <c r="AL24" s="12">
        <v>3.0131091577981578E-2</v>
      </c>
      <c r="AM24" s="12">
        <v>2.3117714320626828E-2</v>
      </c>
      <c r="AN24" s="12">
        <v>4.7233119280206015E-2</v>
      </c>
      <c r="AO24" s="12">
        <v>6.2047628221204257E-2</v>
      </c>
      <c r="AP24" s="12">
        <v>4.1722432539515797E-2</v>
      </c>
      <c r="AQ24" s="12">
        <v>3.6159593539325949E-2</v>
      </c>
      <c r="AR24" s="12">
        <v>5.3976764730386845E-2</v>
      </c>
      <c r="AS24" s="12">
        <v>3.1497544539673648E-2</v>
      </c>
      <c r="AT24" s="12">
        <v>2.7295696977490382E-2</v>
      </c>
      <c r="AU24" s="12">
        <v>4.7104584473080399E-2</v>
      </c>
      <c r="AV24" s="12">
        <v>4.1062178410363602E-2</v>
      </c>
      <c r="AW24" s="12">
        <v>3.5690377883220971E-2</v>
      </c>
      <c r="AX24" s="12">
        <v>3.0260837745259929E-2</v>
      </c>
      <c r="AY24" s="12">
        <v>4.7134353548939557E-2</v>
      </c>
      <c r="AZ24" s="12">
        <v>5.4308447735379232E-2</v>
      </c>
      <c r="BA24" s="12">
        <v>3.9859768919581984E-2</v>
      </c>
      <c r="BB24" s="12">
        <v>3.5326083402126444E-2</v>
      </c>
      <c r="BC24" s="12">
        <v>3.0192531172665897E-2</v>
      </c>
      <c r="BD24" s="12">
        <v>2.3652160416951361E-2</v>
      </c>
      <c r="BF24" t="s">
        <v>18</v>
      </c>
      <c r="BG24" t="s">
        <v>96</v>
      </c>
      <c r="BH24" t="s">
        <v>95</v>
      </c>
      <c r="BI24" t="s">
        <v>100</v>
      </c>
      <c r="BJ24" t="s">
        <v>96</v>
      </c>
      <c r="BK24" t="s">
        <v>94</v>
      </c>
      <c r="BL24" t="s">
        <v>94</v>
      </c>
      <c r="BM24" t="s">
        <v>99</v>
      </c>
      <c r="BN24" t="s">
        <v>100</v>
      </c>
      <c r="BO24" t="s">
        <v>94</v>
      </c>
      <c r="BP24" t="s">
        <v>99</v>
      </c>
      <c r="BQ24" t="s">
        <v>96</v>
      </c>
      <c r="BR24" t="s">
        <v>95</v>
      </c>
      <c r="BS24" t="s">
        <v>97</v>
      </c>
      <c r="BT24" t="s">
        <v>100</v>
      </c>
      <c r="BU24" t="s">
        <v>94</v>
      </c>
      <c r="BV24" t="s">
        <v>98</v>
      </c>
      <c r="BW24" t="s">
        <v>95</v>
      </c>
      <c r="BX24" t="s">
        <v>95</v>
      </c>
      <c r="BY24" t="s">
        <v>97</v>
      </c>
      <c r="BZ24" t="s">
        <v>100</v>
      </c>
      <c r="CA24" t="s">
        <v>98</v>
      </c>
      <c r="CB24" t="s">
        <v>95</v>
      </c>
      <c r="CC24" t="s">
        <v>98</v>
      </c>
      <c r="CD24" t="s">
        <v>99</v>
      </c>
      <c r="CE24" t="s">
        <v>95</v>
      </c>
      <c r="CF24" t="s">
        <v>98</v>
      </c>
    </row>
    <row r="25" spans="1:84" x14ac:dyDescent="0.35">
      <c r="A25" s="8"/>
      <c r="B25" t="s">
        <v>19</v>
      </c>
      <c r="C25" s="12">
        <v>0.26152525252525255</v>
      </c>
      <c r="D25" s="12">
        <v>0.25832525252525251</v>
      </c>
      <c r="E25" s="12">
        <v>0.26232525252525252</v>
      </c>
      <c r="F25" s="12">
        <v>0.26052525252525255</v>
      </c>
      <c r="G25" s="12">
        <v>0.24012525252525255</v>
      </c>
      <c r="H25" s="12">
        <v>0.24852525252525254</v>
      </c>
      <c r="I25" s="12">
        <v>0.26692525252525257</v>
      </c>
      <c r="J25" s="12">
        <v>0.25172525252525252</v>
      </c>
      <c r="K25" s="12">
        <v>0.26762525252525254</v>
      </c>
      <c r="L25" s="12">
        <v>0.26672525252525253</v>
      </c>
      <c r="M25" s="12">
        <v>0.26762525252525254</v>
      </c>
      <c r="N25" s="12">
        <v>0.24262525252525255</v>
      </c>
      <c r="O25" s="12">
        <v>0.25192525252525255</v>
      </c>
      <c r="P25" s="12">
        <v>0.23952525252525253</v>
      </c>
      <c r="Q25" s="12">
        <v>0.25112525252525253</v>
      </c>
      <c r="R25" s="12">
        <v>0.24342525252525254</v>
      </c>
      <c r="S25" s="12">
        <v>0.25202525252525254</v>
      </c>
      <c r="T25" s="12">
        <v>0.26582525252525252</v>
      </c>
      <c r="U25" s="12">
        <v>0.25452525252525254</v>
      </c>
      <c r="V25" s="12">
        <v>0.25062525252525253</v>
      </c>
      <c r="W25" s="12">
        <v>0.26762525252525254</v>
      </c>
      <c r="X25" s="12">
        <v>0.26292525252525256</v>
      </c>
      <c r="Y25" s="12">
        <v>0.25222525252525252</v>
      </c>
      <c r="Z25" s="12">
        <v>0.26682525252525252</v>
      </c>
      <c r="AA25" s="12">
        <v>0.24112525252525255</v>
      </c>
      <c r="AB25" s="12">
        <v>0.24022525252525254</v>
      </c>
      <c r="AC25" s="8"/>
      <c r="AD25" t="s">
        <v>19</v>
      </c>
      <c r="AE25" s="12">
        <v>3.2109322413134425E-2</v>
      </c>
      <c r="AF25" s="12">
        <v>1.7952259857352701E-2</v>
      </c>
      <c r="AG25" s="12">
        <v>2.7673924993450116E-2</v>
      </c>
      <c r="AH25" s="12">
        <v>1.9980614697079499E-2</v>
      </c>
      <c r="AI25" s="12">
        <v>1.5251217286216309E-2</v>
      </c>
      <c r="AJ25" s="12">
        <v>1.5230181789459167E-2</v>
      </c>
      <c r="AK25" s="12">
        <v>1.3961392287772665E-2</v>
      </c>
      <c r="AL25" s="12">
        <v>2.4161443238840542E-2</v>
      </c>
      <c r="AM25" s="12">
        <v>1.7148065981485792E-2</v>
      </c>
      <c r="AN25" s="12">
        <v>4.1263470941064979E-2</v>
      </c>
      <c r="AO25" s="12">
        <v>5.6077979882063221E-2</v>
      </c>
      <c r="AP25" s="12">
        <v>3.5752784200374761E-2</v>
      </c>
      <c r="AQ25" s="12">
        <v>3.0189945200184913E-2</v>
      </c>
      <c r="AR25" s="12">
        <v>4.8007116391245809E-2</v>
      </c>
      <c r="AS25" s="12">
        <v>2.5527896200532613E-2</v>
      </c>
      <c r="AT25" s="12">
        <v>2.1326048638349346E-2</v>
      </c>
      <c r="AU25" s="12">
        <v>4.1134936133939363E-2</v>
      </c>
      <c r="AV25" s="12">
        <v>3.5092530071222566E-2</v>
      </c>
      <c r="AW25" s="12">
        <v>2.9720729544079935E-2</v>
      </c>
      <c r="AX25" s="12">
        <v>2.4291189406118893E-2</v>
      </c>
      <c r="AY25" s="12">
        <v>4.1164705209798522E-2</v>
      </c>
      <c r="AZ25" s="12">
        <v>4.8338799396238197E-2</v>
      </c>
      <c r="BA25" s="12">
        <v>3.3890120580440948E-2</v>
      </c>
      <c r="BB25" s="12">
        <v>2.9356435062985409E-2</v>
      </c>
      <c r="BC25" s="12">
        <v>2.4222882833524861E-2</v>
      </c>
      <c r="BD25" s="12">
        <v>1.7682512077810325E-2</v>
      </c>
      <c r="BF25" t="s">
        <v>19</v>
      </c>
      <c r="BG25" t="s">
        <v>99</v>
      </c>
      <c r="BH25" t="s">
        <v>97</v>
      </c>
      <c r="BI25" t="s">
        <v>97</v>
      </c>
      <c r="BJ25" t="s">
        <v>99</v>
      </c>
      <c r="BK25" t="s">
        <v>99</v>
      </c>
      <c r="BL25" t="s">
        <v>99</v>
      </c>
      <c r="BM25" t="s">
        <v>99</v>
      </c>
      <c r="BN25" t="s">
        <v>97</v>
      </c>
      <c r="BO25" t="s">
        <v>99</v>
      </c>
      <c r="BP25" t="s">
        <v>99</v>
      </c>
      <c r="BQ25" t="s">
        <v>96</v>
      </c>
      <c r="BR25" t="s">
        <v>100</v>
      </c>
      <c r="BS25" t="s">
        <v>100</v>
      </c>
      <c r="BT25" t="s">
        <v>99</v>
      </c>
      <c r="BU25" t="s">
        <v>98</v>
      </c>
      <c r="BV25" t="s">
        <v>94</v>
      </c>
      <c r="BW25" t="s">
        <v>96</v>
      </c>
      <c r="BX25" t="s">
        <v>97</v>
      </c>
      <c r="BY25" t="s">
        <v>96</v>
      </c>
      <c r="BZ25" t="s">
        <v>100</v>
      </c>
      <c r="CA25" t="s">
        <v>99</v>
      </c>
      <c r="CB25" t="s">
        <v>94</v>
      </c>
      <c r="CC25" t="s">
        <v>94</v>
      </c>
      <c r="CD25" t="s">
        <v>94</v>
      </c>
      <c r="CE25" t="s">
        <v>95</v>
      </c>
      <c r="CF25" t="s">
        <v>98</v>
      </c>
    </row>
    <row r="26" spans="1:84" x14ac:dyDescent="0.35">
      <c r="A26" s="8"/>
      <c r="B26" t="s">
        <v>20</v>
      </c>
      <c r="C26" s="12">
        <v>0.13831515151515153</v>
      </c>
      <c r="D26" s="12">
        <v>0.14081515151515153</v>
      </c>
      <c r="E26" s="12">
        <v>0.14691515151515153</v>
      </c>
      <c r="F26" s="12">
        <v>0.15751515151515152</v>
      </c>
      <c r="G26" s="12">
        <v>0.15031515151515151</v>
      </c>
      <c r="H26" s="12">
        <v>0.16551515151515153</v>
      </c>
      <c r="I26" s="12">
        <v>0.14171515151515152</v>
      </c>
      <c r="J26" s="12">
        <v>0.13771515151515151</v>
      </c>
      <c r="K26" s="12">
        <v>0.15031515151515151</v>
      </c>
      <c r="L26" s="12">
        <v>0.14881515151515151</v>
      </c>
      <c r="M26" s="12">
        <v>0.15221515151515153</v>
      </c>
      <c r="N26" s="12">
        <v>0.13721515151515151</v>
      </c>
      <c r="O26" s="12">
        <v>0.15661515151515151</v>
      </c>
      <c r="P26" s="12">
        <v>0.16601515151515153</v>
      </c>
      <c r="Q26" s="12">
        <v>0.14021515151515151</v>
      </c>
      <c r="R26" s="12">
        <v>0.16121515151515153</v>
      </c>
      <c r="S26" s="12">
        <v>0.14301515151515151</v>
      </c>
      <c r="T26" s="12">
        <v>0.15501515151515152</v>
      </c>
      <c r="U26" s="12">
        <v>0.16011515151515152</v>
      </c>
      <c r="V26" s="12">
        <v>0.16111515151515152</v>
      </c>
      <c r="W26" s="12">
        <v>0.14371515151515152</v>
      </c>
      <c r="X26" s="12">
        <v>0.14501515151515151</v>
      </c>
      <c r="Y26" s="12">
        <v>0.16071515151515153</v>
      </c>
      <c r="Z26" s="12">
        <v>0.15781515151515152</v>
      </c>
      <c r="AA26" s="12">
        <v>0.13871515151515151</v>
      </c>
      <c r="AB26" s="12">
        <v>0.16841515151515152</v>
      </c>
      <c r="AC26" s="8"/>
      <c r="AD26" t="s">
        <v>20</v>
      </c>
      <c r="AE26" s="12">
        <v>6.4096126717297516E-2</v>
      </c>
      <c r="AF26" s="12">
        <v>4.9939064161515792E-2</v>
      </c>
      <c r="AG26" s="12">
        <v>5.9660729297613208E-2</v>
      </c>
      <c r="AH26" s="12">
        <v>5.196741900124259E-2</v>
      </c>
      <c r="AI26" s="12">
        <v>4.6071047590416074E-2</v>
      </c>
      <c r="AJ26" s="12">
        <v>3.6645772238878202E-2</v>
      </c>
      <c r="AK26" s="12">
        <v>3.4458454107842394E-2</v>
      </c>
      <c r="AL26" s="12">
        <v>5.6148247543003633E-2</v>
      </c>
      <c r="AM26" s="12">
        <v>4.9134870285648884E-2</v>
      </c>
      <c r="AN26" s="12">
        <v>7.3250275245228064E-2</v>
      </c>
      <c r="AO26" s="12">
        <v>8.8064784186226319E-2</v>
      </c>
      <c r="AP26" s="12">
        <v>6.7739588504537845E-2</v>
      </c>
      <c r="AQ26" s="12">
        <v>6.2176749504348004E-2</v>
      </c>
      <c r="AR26" s="12">
        <v>7.9993920695408893E-2</v>
      </c>
      <c r="AS26" s="12">
        <v>5.7514700504695704E-2</v>
      </c>
      <c r="AT26" s="12">
        <v>5.3312852942512437E-2</v>
      </c>
      <c r="AU26" s="12">
        <v>7.3121740438102462E-2</v>
      </c>
      <c r="AV26" s="12">
        <v>6.7079334375385657E-2</v>
      </c>
      <c r="AW26" s="12">
        <v>6.1707533848243026E-2</v>
      </c>
      <c r="AX26" s="12">
        <v>5.6277993710281984E-2</v>
      </c>
      <c r="AY26" s="12">
        <v>7.3151509513961613E-2</v>
      </c>
      <c r="AZ26" s="12">
        <v>8.0325603700401288E-2</v>
      </c>
      <c r="BA26" s="12">
        <v>6.5876924884604032E-2</v>
      </c>
      <c r="BB26" s="12">
        <v>6.13432393671485E-2</v>
      </c>
      <c r="BC26" s="12">
        <v>5.6209687137687953E-2</v>
      </c>
      <c r="BD26" s="12">
        <v>4.9669316381973416E-2</v>
      </c>
      <c r="BF26" t="s">
        <v>20</v>
      </c>
      <c r="BG26" t="s">
        <v>97</v>
      </c>
      <c r="BH26" t="s">
        <v>99</v>
      </c>
      <c r="BI26" t="s">
        <v>100</v>
      </c>
      <c r="BJ26" t="s">
        <v>96</v>
      </c>
      <c r="BK26" t="s">
        <v>96</v>
      </c>
      <c r="BL26" t="s">
        <v>99</v>
      </c>
      <c r="BM26" t="s">
        <v>95</v>
      </c>
      <c r="BN26" t="s">
        <v>96</v>
      </c>
      <c r="BO26" t="s">
        <v>95</v>
      </c>
      <c r="BP26" t="s">
        <v>96</v>
      </c>
      <c r="BQ26" t="s">
        <v>94</v>
      </c>
      <c r="BR26" t="s">
        <v>95</v>
      </c>
      <c r="BS26" t="s">
        <v>95</v>
      </c>
      <c r="BT26" t="s">
        <v>96</v>
      </c>
      <c r="BU26" t="s">
        <v>96</v>
      </c>
      <c r="BV26" t="s">
        <v>99</v>
      </c>
      <c r="BW26" t="s">
        <v>94</v>
      </c>
      <c r="BX26" t="s">
        <v>97</v>
      </c>
      <c r="BY26" t="s">
        <v>100</v>
      </c>
      <c r="BZ26" t="s">
        <v>99</v>
      </c>
      <c r="CA26" t="s">
        <v>96</v>
      </c>
      <c r="CB26" t="s">
        <v>95</v>
      </c>
      <c r="CC26" t="s">
        <v>98</v>
      </c>
      <c r="CD26" t="s">
        <v>97</v>
      </c>
      <c r="CE26" t="s">
        <v>97</v>
      </c>
      <c r="CF26" t="s">
        <v>95</v>
      </c>
    </row>
    <row r="27" spans="1:84" x14ac:dyDescent="0.35">
      <c r="A27" s="8"/>
      <c r="B27" t="s">
        <v>21</v>
      </c>
      <c r="C27" s="12">
        <v>8.8308080808080808E-2</v>
      </c>
      <c r="D27" s="12">
        <v>7.1408080808080809E-2</v>
      </c>
      <c r="E27" s="12">
        <v>8.0208080808080798E-2</v>
      </c>
      <c r="F27" s="12">
        <v>8.8008080808080813E-2</v>
      </c>
      <c r="G27" s="12">
        <v>7.240808080808081E-2</v>
      </c>
      <c r="H27" s="12">
        <v>8.9408080808080811E-2</v>
      </c>
      <c r="I27" s="12">
        <v>7.710808080808082E-2</v>
      </c>
      <c r="J27" s="12">
        <v>8.1308080808080815E-2</v>
      </c>
      <c r="K27" s="12">
        <v>8.8108080808080802E-2</v>
      </c>
      <c r="L27" s="12">
        <v>7.8108080808080821E-2</v>
      </c>
      <c r="M27" s="12">
        <v>7.2808080808080822E-2</v>
      </c>
      <c r="N27" s="12">
        <v>8.7208080808080818E-2</v>
      </c>
      <c r="O27" s="12">
        <v>7.1608080808080815E-2</v>
      </c>
      <c r="P27" s="12">
        <v>8.790808080808081E-2</v>
      </c>
      <c r="Q27" s="12">
        <v>8.1908080808080805E-2</v>
      </c>
      <c r="R27" s="12">
        <v>7.9108080808080822E-2</v>
      </c>
      <c r="S27" s="12">
        <v>8.9908080808080812E-2</v>
      </c>
      <c r="T27" s="12">
        <v>8.3508080808080809E-2</v>
      </c>
      <c r="U27" s="12">
        <v>7.240808080808081E-2</v>
      </c>
      <c r="V27" s="12">
        <v>8.8108080808080816E-2</v>
      </c>
      <c r="W27" s="12">
        <v>8.8508080808080813E-2</v>
      </c>
      <c r="X27" s="12">
        <v>7.4908080808080799E-2</v>
      </c>
      <c r="Y27" s="12">
        <v>8.1908080808080805E-2</v>
      </c>
      <c r="Z27" s="12">
        <v>8.9108080808080803E-2</v>
      </c>
      <c r="AA27" s="12">
        <v>7.7508080808080818E-2</v>
      </c>
      <c r="AB27" s="12">
        <v>8.6608080808080815E-2</v>
      </c>
      <c r="AC27" s="8"/>
      <c r="AD27" t="s">
        <v>21</v>
      </c>
      <c r="AE27" s="12">
        <v>5.7292773320651101E-2</v>
      </c>
      <c r="AF27" s="12">
        <v>4.3135710764869377E-2</v>
      </c>
      <c r="AG27" s="12">
        <v>5.2857375900966792E-2</v>
      </c>
      <c r="AH27" s="12">
        <v>4.5164065604596175E-2</v>
      </c>
      <c r="AI27" s="12">
        <v>3.9267694193769659E-2</v>
      </c>
      <c r="AJ27" s="12">
        <v>3.1164232930370662E-2</v>
      </c>
      <c r="AK27" s="12">
        <v>2.8976914799334855E-2</v>
      </c>
      <c r="AL27" s="12">
        <v>4.9344894146357218E-2</v>
      </c>
      <c r="AM27" s="12">
        <v>4.2331516889002468E-2</v>
      </c>
      <c r="AN27" s="12">
        <v>6.6446921848581655E-2</v>
      </c>
      <c r="AO27" s="12">
        <v>8.1261430789579897E-2</v>
      </c>
      <c r="AP27" s="12">
        <v>6.0936235107891437E-2</v>
      </c>
      <c r="AQ27" s="12">
        <v>5.5373396107701589E-2</v>
      </c>
      <c r="AR27" s="12">
        <v>7.3190567298762485E-2</v>
      </c>
      <c r="AS27" s="12">
        <v>5.0711347108049289E-2</v>
      </c>
      <c r="AT27" s="12">
        <v>4.6509499545866022E-2</v>
      </c>
      <c r="AU27" s="12">
        <v>6.6318387041456039E-2</v>
      </c>
      <c r="AV27" s="12">
        <v>6.0275980978739242E-2</v>
      </c>
      <c r="AW27" s="12">
        <v>5.4904180451596611E-2</v>
      </c>
      <c r="AX27" s="12">
        <v>4.9474640313635569E-2</v>
      </c>
      <c r="AY27" s="12">
        <v>6.6348156117315205E-2</v>
      </c>
      <c r="AZ27" s="12">
        <v>7.3522250303754866E-2</v>
      </c>
      <c r="BA27" s="12">
        <v>5.9073571487957624E-2</v>
      </c>
      <c r="BB27" s="12">
        <v>5.4539885970502085E-2</v>
      </c>
      <c r="BC27" s="12">
        <v>4.9406333741041537E-2</v>
      </c>
      <c r="BD27" s="12">
        <v>4.2865962985327001E-2</v>
      </c>
      <c r="BF27" t="s">
        <v>21</v>
      </c>
      <c r="BG27" t="s">
        <v>100</v>
      </c>
      <c r="BH27" t="s">
        <v>96</v>
      </c>
      <c r="BI27" t="s">
        <v>100</v>
      </c>
      <c r="BJ27" t="s">
        <v>97</v>
      </c>
      <c r="BK27" t="s">
        <v>97</v>
      </c>
      <c r="BL27" t="s">
        <v>99</v>
      </c>
      <c r="BM27" t="s">
        <v>95</v>
      </c>
      <c r="BN27" t="s">
        <v>98</v>
      </c>
      <c r="BO27" t="s">
        <v>96</v>
      </c>
      <c r="BP27" t="s">
        <v>98</v>
      </c>
      <c r="BQ27" t="s">
        <v>98</v>
      </c>
      <c r="BR27" t="s">
        <v>100</v>
      </c>
      <c r="BS27" t="s">
        <v>98</v>
      </c>
      <c r="BT27" t="s">
        <v>94</v>
      </c>
      <c r="BU27" t="s">
        <v>96</v>
      </c>
      <c r="BV27" t="s">
        <v>96</v>
      </c>
      <c r="BW27" t="s">
        <v>96</v>
      </c>
      <c r="BX27" t="s">
        <v>100</v>
      </c>
      <c r="BY27" t="s">
        <v>100</v>
      </c>
      <c r="BZ27" t="s">
        <v>97</v>
      </c>
      <c r="CA27" t="s">
        <v>95</v>
      </c>
      <c r="CB27" t="s">
        <v>94</v>
      </c>
      <c r="CC27" t="s">
        <v>98</v>
      </c>
      <c r="CD27" t="s">
        <v>94</v>
      </c>
      <c r="CE27" t="s">
        <v>96</v>
      </c>
      <c r="CF27" t="s">
        <v>94</v>
      </c>
    </row>
    <row r="28" spans="1:84" x14ac:dyDescent="0.35">
      <c r="A28" s="8"/>
      <c r="B28" t="s">
        <v>22</v>
      </c>
      <c r="C28" s="12">
        <v>5.170606060606061E-2</v>
      </c>
      <c r="D28" s="12">
        <v>5.7406060606060613E-2</v>
      </c>
      <c r="E28" s="12">
        <v>6.4606060606060611E-2</v>
      </c>
      <c r="F28" s="12">
        <v>6.76060606060606E-2</v>
      </c>
      <c r="G28" s="12">
        <v>6.0206060606060596E-2</v>
      </c>
      <c r="H28" s="12">
        <v>5.8806060606060605E-2</v>
      </c>
      <c r="I28" s="12">
        <v>6.2106060606060609E-2</v>
      </c>
      <c r="J28" s="12">
        <v>5.7006060606060609E-2</v>
      </c>
      <c r="K28" s="12">
        <v>6.1206060606060611E-2</v>
      </c>
      <c r="L28" s="12">
        <v>5.2706060606060604E-2</v>
      </c>
      <c r="M28" s="12">
        <v>5.6506060606060615E-2</v>
      </c>
      <c r="N28" s="12">
        <v>5.2506060606060612E-2</v>
      </c>
      <c r="O28" s="12">
        <v>5.7406060606060613E-2</v>
      </c>
      <c r="P28" s="12">
        <v>5.050606060606061E-2</v>
      </c>
      <c r="Q28" s="12">
        <v>5.0906060606060607E-2</v>
      </c>
      <c r="R28" s="12">
        <v>5.220606060606061E-2</v>
      </c>
      <c r="S28" s="12">
        <v>5.8906060606060608E-2</v>
      </c>
      <c r="T28" s="12">
        <v>6.8706060606060604E-2</v>
      </c>
      <c r="U28" s="12">
        <v>5.6606060606060604E-2</v>
      </c>
      <c r="V28" s="12">
        <v>5.6906060606060606E-2</v>
      </c>
      <c r="W28" s="12">
        <v>6.2806060606060615E-2</v>
      </c>
      <c r="X28" s="12">
        <v>5.1206060606060609E-2</v>
      </c>
      <c r="Y28" s="12">
        <v>6.2206060606060605E-2</v>
      </c>
      <c r="Z28" s="12">
        <v>6.7006060606060597E-2</v>
      </c>
      <c r="AA28" s="12">
        <v>5.6406060606060605E-2</v>
      </c>
      <c r="AB28" s="12">
        <v>5.4906060606060611E-2</v>
      </c>
      <c r="AC28" s="8"/>
      <c r="AD28" t="s">
        <v>22</v>
      </c>
      <c r="AE28" s="12">
        <v>4.3693181648437773E-2</v>
      </c>
      <c r="AF28" s="12">
        <v>2.9536119092656049E-2</v>
      </c>
      <c r="AG28" s="12">
        <v>3.9257784228753465E-2</v>
      </c>
      <c r="AH28" s="12">
        <v>3.1564473932382847E-2</v>
      </c>
      <c r="AI28" s="12">
        <v>2.5668102521556331E-2</v>
      </c>
      <c r="AJ28" s="12">
        <v>2.2628323356309595E-2</v>
      </c>
      <c r="AK28" s="12">
        <v>2.0441005225273787E-2</v>
      </c>
      <c r="AL28" s="12">
        <v>3.574530247414389E-2</v>
      </c>
      <c r="AM28" s="12">
        <v>2.8731925216789141E-2</v>
      </c>
      <c r="AN28" s="12">
        <v>5.2847330176368328E-2</v>
      </c>
      <c r="AO28" s="12">
        <v>6.7661839117366562E-2</v>
      </c>
      <c r="AP28" s="12">
        <v>4.7336643435678109E-2</v>
      </c>
      <c r="AQ28" s="12">
        <v>4.1773804435488261E-2</v>
      </c>
      <c r="AR28" s="12">
        <v>5.9590975626549157E-2</v>
      </c>
      <c r="AS28" s="12">
        <v>3.7111755435835961E-2</v>
      </c>
      <c r="AT28" s="12">
        <v>3.2909907873652694E-2</v>
      </c>
      <c r="AU28" s="12">
        <v>5.2718795369242712E-2</v>
      </c>
      <c r="AV28" s="12">
        <v>4.6676389306525914E-2</v>
      </c>
      <c r="AW28" s="12">
        <v>4.1304588779383283E-2</v>
      </c>
      <c r="AX28" s="12">
        <v>3.5875048641422241E-2</v>
      </c>
      <c r="AY28" s="12">
        <v>5.274856444510187E-2</v>
      </c>
      <c r="AZ28" s="12">
        <v>5.9922658631541545E-2</v>
      </c>
      <c r="BA28" s="12">
        <v>4.5473979815744296E-2</v>
      </c>
      <c r="BB28" s="12">
        <v>4.0940294298288757E-2</v>
      </c>
      <c r="BC28" s="12">
        <v>3.580674206882821E-2</v>
      </c>
      <c r="BD28" s="12">
        <v>2.9266371313113673E-2</v>
      </c>
      <c r="BF28" t="s">
        <v>22</v>
      </c>
      <c r="BG28" t="s">
        <v>97</v>
      </c>
      <c r="BH28" t="s">
        <v>98</v>
      </c>
      <c r="BI28" t="s">
        <v>94</v>
      </c>
      <c r="BJ28" t="s">
        <v>94</v>
      </c>
      <c r="BK28" t="s">
        <v>97</v>
      </c>
      <c r="BL28" t="s">
        <v>99</v>
      </c>
      <c r="BM28" t="s">
        <v>99</v>
      </c>
      <c r="BN28" t="s">
        <v>100</v>
      </c>
      <c r="BO28" t="s">
        <v>95</v>
      </c>
      <c r="BP28" t="s">
        <v>99</v>
      </c>
      <c r="BQ28" t="s">
        <v>100</v>
      </c>
      <c r="BR28" t="s">
        <v>95</v>
      </c>
      <c r="BS28" t="s">
        <v>94</v>
      </c>
      <c r="BT28" t="s">
        <v>96</v>
      </c>
      <c r="BU28" t="s">
        <v>94</v>
      </c>
      <c r="BV28" t="s">
        <v>96</v>
      </c>
      <c r="BW28" t="s">
        <v>96</v>
      </c>
      <c r="BX28" t="s">
        <v>97</v>
      </c>
      <c r="BY28" t="s">
        <v>96</v>
      </c>
      <c r="BZ28" t="s">
        <v>94</v>
      </c>
      <c r="CA28" t="s">
        <v>95</v>
      </c>
      <c r="CB28" t="s">
        <v>99</v>
      </c>
      <c r="CC28" t="s">
        <v>95</v>
      </c>
      <c r="CD28" t="s">
        <v>94</v>
      </c>
      <c r="CE28" t="s">
        <v>99</v>
      </c>
      <c r="CF28" t="s">
        <v>94</v>
      </c>
    </row>
    <row r="29" spans="1:84" x14ac:dyDescent="0.35">
      <c r="A29" s="8"/>
      <c r="B29" t="s">
        <v>23</v>
      </c>
      <c r="C29" s="12">
        <v>4.1253535353535348E-2</v>
      </c>
      <c r="D29" s="12">
        <v>2.715353535353536E-2</v>
      </c>
      <c r="E29" s="12">
        <v>3.2453535353535359E-2</v>
      </c>
      <c r="F29" s="12">
        <v>3.0353535353535358E-2</v>
      </c>
      <c r="G29" s="12">
        <v>3.8853535353535362E-2</v>
      </c>
      <c r="H29" s="12">
        <v>2.7553535353535358E-2</v>
      </c>
      <c r="I29" s="12">
        <v>2.8053535353535365E-2</v>
      </c>
      <c r="J29" s="12">
        <v>3.1353535353535356E-2</v>
      </c>
      <c r="K29" s="12">
        <v>3.3253535353535361E-2</v>
      </c>
      <c r="L29" s="12">
        <v>2.8753535353535357E-2</v>
      </c>
      <c r="M29" s="12">
        <v>2.7953535353535359E-2</v>
      </c>
      <c r="N29" s="12">
        <v>3.1053535353535361E-2</v>
      </c>
      <c r="O29" s="12">
        <v>3.5453535353535362E-2</v>
      </c>
      <c r="P29" s="12">
        <v>2.8153535353535365E-2</v>
      </c>
      <c r="Q29" s="12">
        <v>3.6453535353535356E-2</v>
      </c>
      <c r="R29" s="12">
        <v>4.1453535353535353E-2</v>
      </c>
      <c r="S29" s="12">
        <v>2.8053535353535362E-2</v>
      </c>
      <c r="T29" s="12">
        <v>3.125353535353536E-2</v>
      </c>
      <c r="U29" s="12">
        <v>4.2953535353535355E-2</v>
      </c>
      <c r="V29" s="12">
        <v>4.1353535353535358E-2</v>
      </c>
      <c r="W29" s="12">
        <v>2.7853535353535359E-2</v>
      </c>
      <c r="X29" s="12">
        <v>4.1553535353535356E-2</v>
      </c>
      <c r="Y29" s="12">
        <v>2.7353535353535362E-2</v>
      </c>
      <c r="Z29" s="12">
        <v>4.2253535353535349E-2</v>
      </c>
      <c r="AA29" s="12">
        <v>3.7653535353535356E-2</v>
      </c>
      <c r="AB29" s="12">
        <v>4.2753535353535363E-2</v>
      </c>
      <c r="AC29" s="8"/>
      <c r="AD29" t="s">
        <v>23</v>
      </c>
      <c r="AE29" s="12">
        <v>7.0475010356235851E-2</v>
      </c>
      <c r="AF29" s="12">
        <v>5.6317947800454127E-2</v>
      </c>
      <c r="AG29" s="12">
        <v>6.6039612936551542E-2</v>
      </c>
      <c r="AH29" s="12">
        <v>5.8346302640180925E-2</v>
      </c>
      <c r="AI29" s="12">
        <v>5.2449931229354409E-2</v>
      </c>
      <c r="AJ29" s="12">
        <v>4.2180110807177117E-2</v>
      </c>
      <c r="AK29" s="12">
        <v>3.9992792676141309E-2</v>
      </c>
      <c r="AL29" s="12">
        <v>6.2527131181941975E-2</v>
      </c>
      <c r="AM29" s="12">
        <v>5.5513753924587218E-2</v>
      </c>
      <c r="AN29" s="12">
        <v>7.9629158884166412E-2</v>
      </c>
      <c r="AO29" s="12">
        <v>9.444366782516464E-2</v>
      </c>
      <c r="AP29" s="12">
        <v>7.4118472143476194E-2</v>
      </c>
      <c r="AQ29" s="12">
        <v>6.8555633143286332E-2</v>
      </c>
      <c r="AR29" s="12">
        <v>8.6372804334347242E-2</v>
      </c>
      <c r="AS29" s="12">
        <v>6.3893584143634038E-2</v>
      </c>
      <c r="AT29" s="12">
        <v>5.9691736581450772E-2</v>
      </c>
      <c r="AU29" s="12">
        <v>7.9500624077040782E-2</v>
      </c>
      <c r="AV29" s="12">
        <v>7.3458218014323992E-2</v>
      </c>
      <c r="AW29" s="12">
        <v>6.8086417487181361E-2</v>
      </c>
      <c r="AX29" s="12">
        <v>6.2656877349220319E-2</v>
      </c>
      <c r="AY29" s="12">
        <v>7.9530393152899947E-2</v>
      </c>
      <c r="AZ29" s="12">
        <v>8.6704487339339623E-2</v>
      </c>
      <c r="BA29" s="12">
        <v>7.2255808523542381E-2</v>
      </c>
      <c r="BB29" s="12">
        <v>6.7722123006086835E-2</v>
      </c>
      <c r="BC29" s="12">
        <v>6.2588570776626287E-2</v>
      </c>
      <c r="BD29" s="12">
        <v>5.6048200020911751E-2</v>
      </c>
      <c r="BF29" t="s">
        <v>23</v>
      </c>
      <c r="BG29" t="s">
        <v>100</v>
      </c>
      <c r="BH29" t="s">
        <v>94</v>
      </c>
      <c r="BI29" t="s">
        <v>97</v>
      </c>
      <c r="BJ29" t="s">
        <v>97</v>
      </c>
      <c r="BK29" t="s">
        <v>97</v>
      </c>
      <c r="BL29" t="s">
        <v>95</v>
      </c>
      <c r="BM29" t="s">
        <v>100</v>
      </c>
      <c r="BN29" t="s">
        <v>96</v>
      </c>
      <c r="BO29" t="s">
        <v>98</v>
      </c>
      <c r="BP29" t="s">
        <v>96</v>
      </c>
      <c r="BQ29" t="s">
        <v>96</v>
      </c>
      <c r="BR29" t="s">
        <v>95</v>
      </c>
      <c r="BS29" t="s">
        <v>100</v>
      </c>
      <c r="BT29" t="s">
        <v>99</v>
      </c>
      <c r="BU29" t="s">
        <v>100</v>
      </c>
      <c r="BV29" t="s">
        <v>97</v>
      </c>
      <c r="BW29" t="s">
        <v>97</v>
      </c>
      <c r="BX29" t="s">
        <v>98</v>
      </c>
      <c r="BY29" t="s">
        <v>97</v>
      </c>
      <c r="BZ29" t="s">
        <v>95</v>
      </c>
      <c r="CA29" t="s">
        <v>96</v>
      </c>
      <c r="CB29" t="s">
        <v>100</v>
      </c>
      <c r="CC29" t="s">
        <v>98</v>
      </c>
      <c r="CD29" t="s">
        <v>97</v>
      </c>
      <c r="CE29" t="s">
        <v>94</v>
      </c>
      <c r="CF29" t="s">
        <v>94</v>
      </c>
    </row>
    <row r="30" spans="1:84" x14ac:dyDescent="0.35">
      <c r="A30" s="8"/>
      <c r="B30" t="s">
        <v>24</v>
      </c>
      <c r="C30" s="12">
        <v>4.950505050505051E-2</v>
      </c>
      <c r="D30" s="12">
        <v>5.3405050505050511E-2</v>
      </c>
      <c r="E30" s="12">
        <v>4.4805050505050514E-2</v>
      </c>
      <c r="F30" s="12">
        <v>5.9705050505050511E-2</v>
      </c>
      <c r="G30" s="12">
        <v>5.2105050505050508E-2</v>
      </c>
      <c r="H30" s="12">
        <v>5.8405050505050501E-2</v>
      </c>
      <c r="I30" s="12">
        <v>4.7505050505050495E-2</v>
      </c>
      <c r="J30" s="12">
        <v>5.2505050505050513E-2</v>
      </c>
      <c r="K30" s="12">
        <v>5.0905050505050509E-2</v>
      </c>
      <c r="L30" s="12">
        <v>5.1605050505050508E-2</v>
      </c>
      <c r="M30" s="12">
        <v>5.9705050505050511E-2</v>
      </c>
      <c r="N30" s="12">
        <v>4.3005050505050518E-2</v>
      </c>
      <c r="O30" s="12">
        <v>5.3105050505050509E-2</v>
      </c>
      <c r="P30" s="12">
        <v>5.8805050505050499E-2</v>
      </c>
      <c r="Q30" s="12">
        <v>5.0605050505050521E-2</v>
      </c>
      <c r="R30" s="12">
        <v>4.450505050505052E-2</v>
      </c>
      <c r="S30" s="12">
        <v>4.9605050505050527E-2</v>
      </c>
      <c r="T30" s="12">
        <v>5.6505050505050509E-2</v>
      </c>
      <c r="U30" s="12">
        <v>4.4805050505050514E-2</v>
      </c>
      <c r="V30" s="12">
        <v>4.4505050505050513E-2</v>
      </c>
      <c r="W30" s="12">
        <v>5.4305050505050509E-2</v>
      </c>
      <c r="X30" s="12">
        <v>4.4705050505050511E-2</v>
      </c>
      <c r="Y30" s="12">
        <v>5.0205050505050509E-2</v>
      </c>
      <c r="Z30" s="12">
        <v>5.8605050505050507E-2</v>
      </c>
      <c r="AA30" s="12">
        <v>5.410505050505051E-2</v>
      </c>
      <c r="AB30" s="12">
        <v>4.5305050505050515E-2</v>
      </c>
      <c r="AC30" s="8"/>
      <c r="AD30" t="s">
        <v>24</v>
      </c>
      <c r="AE30" s="12">
        <v>5.1025512861235855E-2</v>
      </c>
      <c r="AF30" s="12">
        <v>3.6868450305454131E-2</v>
      </c>
      <c r="AG30" s="12">
        <v>4.6590115441551547E-2</v>
      </c>
      <c r="AH30" s="12">
        <v>3.8896805145180929E-2</v>
      </c>
      <c r="AI30" s="12">
        <v>3.3000433734354413E-2</v>
      </c>
      <c r="AJ30" s="12">
        <v>2.7390109844951584E-2</v>
      </c>
      <c r="AK30" s="12">
        <v>2.5202791713915776E-2</v>
      </c>
      <c r="AL30" s="12">
        <v>4.3077633686941973E-2</v>
      </c>
      <c r="AM30" s="12">
        <v>3.6064256429587223E-2</v>
      </c>
      <c r="AN30" s="12">
        <v>6.017966138916641E-2</v>
      </c>
      <c r="AO30" s="12">
        <v>7.4994170330164645E-2</v>
      </c>
      <c r="AP30" s="12">
        <v>5.4668974648476192E-2</v>
      </c>
      <c r="AQ30" s="12">
        <v>4.9106135648286343E-2</v>
      </c>
      <c r="AR30" s="12">
        <v>6.6923306839347246E-2</v>
      </c>
      <c r="AS30" s="12">
        <v>4.4444086648634043E-2</v>
      </c>
      <c r="AT30" s="12">
        <v>4.0242239086450776E-2</v>
      </c>
      <c r="AU30" s="12">
        <v>6.0051126582040794E-2</v>
      </c>
      <c r="AV30" s="12">
        <v>5.4008720519323997E-2</v>
      </c>
      <c r="AW30" s="12">
        <v>4.8636919992181366E-2</v>
      </c>
      <c r="AX30" s="12">
        <v>4.3207379854220324E-2</v>
      </c>
      <c r="AY30" s="12">
        <v>6.0080895657899952E-2</v>
      </c>
      <c r="AZ30" s="12">
        <v>6.7254989844339627E-2</v>
      </c>
      <c r="BA30" s="12">
        <v>5.2806311028542378E-2</v>
      </c>
      <c r="BB30" s="12">
        <v>4.8272625511086839E-2</v>
      </c>
      <c r="BC30" s="12">
        <v>4.3139073281626292E-2</v>
      </c>
      <c r="BD30" s="12">
        <v>3.6598702525911755E-2</v>
      </c>
      <c r="BF30" t="s">
        <v>24</v>
      </c>
      <c r="BG30" t="s">
        <v>95</v>
      </c>
      <c r="BH30" t="s">
        <v>95</v>
      </c>
      <c r="BI30" t="s">
        <v>99</v>
      </c>
      <c r="BJ30" t="s">
        <v>95</v>
      </c>
      <c r="BK30" t="s">
        <v>97</v>
      </c>
      <c r="BL30" t="s">
        <v>95</v>
      </c>
      <c r="BM30" t="s">
        <v>99</v>
      </c>
      <c r="BN30" t="s">
        <v>95</v>
      </c>
      <c r="BO30" t="s">
        <v>97</v>
      </c>
      <c r="BP30" t="s">
        <v>96</v>
      </c>
      <c r="BQ30" t="s">
        <v>100</v>
      </c>
      <c r="BR30" t="s">
        <v>98</v>
      </c>
      <c r="BS30" t="s">
        <v>94</v>
      </c>
      <c r="BT30" t="s">
        <v>97</v>
      </c>
      <c r="BU30" t="s">
        <v>98</v>
      </c>
      <c r="BV30" t="s">
        <v>94</v>
      </c>
      <c r="BW30" t="s">
        <v>97</v>
      </c>
      <c r="BX30" t="s">
        <v>95</v>
      </c>
      <c r="BY30" t="s">
        <v>94</v>
      </c>
      <c r="BZ30" t="s">
        <v>95</v>
      </c>
      <c r="CA30" t="s">
        <v>98</v>
      </c>
      <c r="CB30" t="s">
        <v>96</v>
      </c>
      <c r="CC30" t="s">
        <v>94</v>
      </c>
      <c r="CD30" t="s">
        <v>94</v>
      </c>
      <c r="CE30" t="s">
        <v>96</v>
      </c>
      <c r="CF30" t="s">
        <v>95</v>
      </c>
    </row>
    <row r="31" spans="1:84" x14ac:dyDescent="0.35">
      <c r="A31" s="8"/>
      <c r="B31" t="s">
        <v>25</v>
      </c>
      <c r="C31" s="12">
        <v>1.2251515151515142E-2</v>
      </c>
      <c r="D31" s="12">
        <v>1.9451515151515147E-2</v>
      </c>
      <c r="E31" s="12">
        <v>2.0751515151515139E-2</v>
      </c>
      <c r="F31" s="12">
        <v>1.0951515151515139E-2</v>
      </c>
      <c r="G31" s="12">
        <v>2.045151515151513E-2</v>
      </c>
      <c r="H31" s="12">
        <v>1.0351515151515139E-2</v>
      </c>
      <c r="I31" s="12">
        <v>1.3351515151515142E-2</v>
      </c>
      <c r="J31" s="12">
        <v>2.0551515151515133E-2</v>
      </c>
      <c r="K31" s="12">
        <v>1.0151515151515137E-2</v>
      </c>
      <c r="L31" s="12">
        <v>1.0651515151515138E-2</v>
      </c>
      <c r="M31" s="12">
        <v>1.5651515151515142E-2</v>
      </c>
      <c r="N31" s="12">
        <v>1.3651515151515138E-2</v>
      </c>
      <c r="O31" s="12">
        <v>1.6251515151515145E-2</v>
      </c>
      <c r="P31" s="12">
        <v>2.0051515151515129E-2</v>
      </c>
      <c r="Q31" s="12">
        <v>2.0451515151515137E-2</v>
      </c>
      <c r="R31" s="12">
        <v>1.1551515151515139E-2</v>
      </c>
      <c r="S31" s="12">
        <v>1.7751515151515129E-2</v>
      </c>
      <c r="T31" s="12">
        <v>2.0851515151515128E-2</v>
      </c>
      <c r="U31" s="12">
        <v>1.8651515151515134E-2</v>
      </c>
      <c r="V31" s="12">
        <v>2.1351515151515139E-2</v>
      </c>
      <c r="W31" s="12">
        <v>1.5351515151515126E-2</v>
      </c>
      <c r="X31" s="12">
        <v>1.5151515151515138E-2</v>
      </c>
      <c r="Y31" s="12">
        <v>2.0851515151515135E-2</v>
      </c>
      <c r="Z31" s="12">
        <v>1.3951515151515142E-2</v>
      </c>
      <c r="AA31" s="12">
        <v>1.1651515151515142E-2</v>
      </c>
      <c r="AB31" s="12">
        <v>1.5651515151515142E-2</v>
      </c>
      <c r="AC31" s="8"/>
      <c r="AD31" t="s">
        <v>25</v>
      </c>
      <c r="AE31" s="12">
        <v>2.7234761956752375E-2</v>
      </c>
      <c r="AF31" s="12">
        <v>1.3077699400970651E-2</v>
      </c>
      <c r="AG31" s="12">
        <v>2.2799364537068066E-2</v>
      </c>
      <c r="AH31" s="12">
        <v>1.5106054240697449E-2</v>
      </c>
      <c r="AI31" s="12">
        <v>1.3176926699758703E-2</v>
      </c>
      <c r="AJ31" s="12">
        <v>1.3974694048723911E-2</v>
      </c>
      <c r="AK31" s="12">
        <v>1.3150802201609656E-2</v>
      </c>
      <c r="AL31" s="12">
        <v>1.9286882782458492E-2</v>
      </c>
      <c r="AM31" s="12">
        <v>1.3158859167744431E-2</v>
      </c>
      <c r="AN31" s="12">
        <v>3.6388910484682929E-2</v>
      </c>
      <c r="AO31" s="12">
        <v>5.1203419425681171E-2</v>
      </c>
      <c r="AP31" s="12">
        <v>3.0878223743992711E-2</v>
      </c>
      <c r="AQ31" s="12">
        <v>2.5315384743802863E-2</v>
      </c>
      <c r="AR31" s="12">
        <v>4.3132555934863759E-2</v>
      </c>
      <c r="AS31" s="12">
        <v>2.0653335744150562E-2</v>
      </c>
      <c r="AT31" s="12">
        <v>1.6451488181967296E-2</v>
      </c>
      <c r="AU31" s="12">
        <v>3.6260375677557313E-2</v>
      </c>
      <c r="AV31" s="12">
        <v>3.0217969614840516E-2</v>
      </c>
      <c r="AW31" s="12">
        <v>2.4846169087697885E-2</v>
      </c>
      <c r="AX31" s="12">
        <v>1.9416628949736843E-2</v>
      </c>
      <c r="AY31" s="12">
        <v>3.6290144753416471E-2</v>
      </c>
      <c r="AZ31" s="12">
        <v>4.3464238939856147E-2</v>
      </c>
      <c r="BA31" s="12">
        <v>2.9015560124058898E-2</v>
      </c>
      <c r="BB31" s="12">
        <v>2.4481874606603359E-2</v>
      </c>
      <c r="BC31" s="12">
        <v>1.9348322377142811E-2</v>
      </c>
      <c r="BD31" s="12">
        <v>1.3196045363509172E-2</v>
      </c>
      <c r="BF31" t="s">
        <v>25</v>
      </c>
      <c r="BG31" t="s">
        <v>95</v>
      </c>
      <c r="BH31" t="s">
        <v>97</v>
      </c>
      <c r="BI31" t="s">
        <v>95</v>
      </c>
      <c r="BJ31" t="s">
        <v>97</v>
      </c>
      <c r="BK31" t="s">
        <v>98</v>
      </c>
      <c r="BL31" t="s">
        <v>98</v>
      </c>
      <c r="BM31" t="s">
        <v>98</v>
      </c>
      <c r="BN31" t="s">
        <v>98</v>
      </c>
      <c r="BO31" t="s">
        <v>97</v>
      </c>
      <c r="BP31" t="s">
        <v>98</v>
      </c>
      <c r="BQ31" t="s">
        <v>99</v>
      </c>
      <c r="BR31" t="s">
        <v>100</v>
      </c>
      <c r="BS31" t="s">
        <v>94</v>
      </c>
      <c r="BT31" t="s">
        <v>95</v>
      </c>
      <c r="BU31" t="s">
        <v>94</v>
      </c>
      <c r="BV31" t="s">
        <v>98</v>
      </c>
      <c r="BW31" t="s">
        <v>94</v>
      </c>
      <c r="BX31" t="s">
        <v>95</v>
      </c>
      <c r="BY31" t="s">
        <v>96</v>
      </c>
      <c r="BZ31" t="s">
        <v>99</v>
      </c>
      <c r="CA31" t="s">
        <v>98</v>
      </c>
      <c r="CB31" t="s">
        <v>98</v>
      </c>
      <c r="CC31" t="s">
        <v>98</v>
      </c>
      <c r="CD31" t="s">
        <v>96</v>
      </c>
      <c r="CE31" t="s">
        <v>94</v>
      </c>
      <c r="CF31" t="s">
        <v>100</v>
      </c>
    </row>
    <row r="32" spans="1:84" x14ac:dyDescent="0.35"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</row>
    <row r="33" spans="1:84" x14ac:dyDescent="0.35">
      <c r="A33" s="10"/>
      <c r="B33" s="1" t="s">
        <v>27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D33" s="1" t="s">
        <v>27</v>
      </c>
      <c r="AE33" s="17">
        <f>AE34*C34+AE39*C39+AE44*C44+AE49*C49+AE54*C54+AE59*C59+AE64*C64</f>
        <v>4.4554405596889925E-2</v>
      </c>
      <c r="AF33" s="17">
        <f t="shared" ref="AF33:BD33" si="6">AF34*D34+AF39*D39+AF44*D44+AF49*D49+AF54*D54+AF59*D59+AF64*D64</f>
        <v>2.9745913481387446E-2</v>
      </c>
      <c r="AG33" s="17">
        <f t="shared" si="6"/>
        <v>3.9882017630903994E-2</v>
      </c>
      <c r="AH33" s="17">
        <f t="shared" si="6"/>
        <v>3.2960669964319809E-2</v>
      </c>
      <c r="AI33" s="17">
        <f t="shared" si="6"/>
        <v>2.6892127082780885E-2</v>
      </c>
      <c r="AJ33" s="17">
        <f t="shared" si="6"/>
        <v>2.3606307893120723E-2</v>
      </c>
      <c r="AK33" s="17">
        <f t="shared" si="6"/>
        <v>2.1375734343281966E-2</v>
      </c>
      <c r="AL33" s="17">
        <f t="shared" si="6"/>
        <v>3.6314278165591941E-2</v>
      </c>
      <c r="AM33" s="17">
        <f t="shared" si="6"/>
        <v>2.9818932842560548E-2</v>
      </c>
      <c r="AN33" s="17">
        <f t="shared" si="6"/>
        <v>5.3410640824338454E-2</v>
      </c>
      <c r="AO33" s="17">
        <f t="shared" si="6"/>
        <v>6.8470186941799557E-2</v>
      </c>
      <c r="AP33" s="17">
        <f t="shared" si="6"/>
        <v>4.7835786674331617E-2</v>
      </c>
      <c r="AQ33" s="17">
        <f t="shared" si="6"/>
        <v>4.290976988666529E-2</v>
      </c>
      <c r="AR33" s="17">
        <f t="shared" si="6"/>
        <v>6.1049687791498011E-2</v>
      </c>
      <c r="AS33" s="17">
        <f t="shared" si="6"/>
        <v>3.7921449441658345E-2</v>
      </c>
      <c r="AT33" s="17">
        <f t="shared" si="6"/>
        <v>3.433798155810263E-2</v>
      </c>
      <c r="AU33" s="17">
        <f t="shared" si="6"/>
        <v>5.3604982535332767E-2</v>
      </c>
      <c r="AV33" s="17">
        <f t="shared" si="6"/>
        <v>4.7864283245867112E-2</v>
      </c>
      <c r="AW33" s="17">
        <f t="shared" si="6"/>
        <v>4.2532855984818228E-2</v>
      </c>
      <c r="AX33" s="17">
        <f t="shared" si="6"/>
        <v>3.7326702310496951E-2</v>
      </c>
      <c r="AY33" s="17">
        <f t="shared" si="6"/>
        <v>5.3448838660235816E-2</v>
      </c>
      <c r="AZ33" s="17">
        <f t="shared" si="6"/>
        <v>6.070529296943903E-2</v>
      </c>
      <c r="BA33" s="17">
        <f t="shared" si="6"/>
        <v>4.6442647563957273E-2</v>
      </c>
      <c r="BB33" s="17">
        <f t="shared" si="6"/>
        <v>4.2785220073007099E-2</v>
      </c>
      <c r="BC33" s="17">
        <f t="shared" si="6"/>
        <v>3.6689334161786123E-2</v>
      </c>
      <c r="BD33" s="17">
        <f t="shared" si="6"/>
        <v>3.10669704992293E-2</v>
      </c>
      <c r="BF33" s="1" t="s">
        <v>27</v>
      </c>
    </row>
    <row r="34" spans="1:84" x14ac:dyDescent="0.35">
      <c r="A34" s="7"/>
      <c r="B34" s="1" t="s">
        <v>28</v>
      </c>
      <c r="C34" s="12">
        <f>1-SUM(C39,C44,C49,C54,C59,C64)</f>
        <v>0.28372727272727261</v>
      </c>
      <c r="D34" s="12">
        <f t="shared" ref="D34:AB34" si="7">1-SUM(D39,D44,D49,D54,D59,D64)</f>
        <v>0.28502727272727257</v>
      </c>
      <c r="E34" s="12">
        <f t="shared" si="7"/>
        <v>0.28312727272727267</v>
      </c>
      <c r="F34" s="12">
        <f t="shared" si="7"/>
        <v>0.28372727272727261</v>
      </c>
      <c r="G34" s="12">
        <f t="shared" si="7"/>
        <v>0.24912727272727264</v>
      </c>
      <c r="H34" s="12">
        <f t="shared" si="7"/>
        <v>0.26252727272727261</v>
      </c>
      <c r="I34" s="12">
        <f t="shared" si="7"/>
        <v>0.26222727272727264</v>
      </c>
      <c r="J34" s="12">
        <f t="shared" si="7"/>
        <v>0.27322727272727265</v>
      </c>
      <c r="K34" s="12">
        <f t="shared" si="7"/>
        <v>0.29162727272727262</v>
      </c>
      <c r="L34" s="12">
        <f t="shared" si="7"/>
        <v>0.30162727272727263</v>
      </c>
      <c r="M34" s="12">
        <f t="shared" si="7"/>
        <v>0.26642727272727251</v>
      </c>
      <c r="N34" s="12">
        <f t="shared" si="7"/>
        <v>0.29152727272727263</v>
      </c>
      <c r="O34" s="12">
        <f t="shared" si="7"/>
        <v>0.27452727272727273</v>
      </c>
      <c r="P34" s="12">
        <f t="shared" si="7"/>
        <v>0.24702727272727265</v>
      </c>
      <c r="Q34" s="12">
        <f t="shared" si="7"/>
        <v>0.26502727272727267</v>
      </c>
      <c r="R34" s="12">
        <f t="shared" si="7"/>
        <v>0.24512727272727264</v>
      </c>
      <c r="S34" s="12">
        <f t="shared" si="7"/>
        <v>0.22612727272727273</v>
      </c>
      <c r="T34" s="12">
        <f t="shared" si="7"/>
        <v>0.22982727272727266</v>
      </c>
      <c r="U34" s="12">
        <f t="shared" si="7"/>
        <v>0.28922727272727267</v>
      </c>
      <c r="V34" s="12">
        <f t="shared" si="7"/>
        <v>0.27262727272727261</v>
      </c>
      <c r="W34" s="12">
        <f t="shared" si="7"/>
        <v>0.29182727272727271</v>
      </c>
      <c r="X34" s="12">
        <f t="shared" si="7"/>
        <v>0.28562727272727262</v>
      </c>
      <c r="Y34" s="12">
        <f t="shared" si="7"/>
        <v>0.26542727272727273</v>
      </c>
      <c r="Z34" s="12">
        <f t="shared" si="7"/>
        <v>0.23182727272727266</v>
      </c>
      <c r="AA34" s="12">
        <f t="shared" si="7"/>
        <v>0.28372727272727261</v>
      </c>
      <c r="AB34" s="12">
        <f t="shared" si="7"/>
        <v>0.29582727272727261</v>
      </c>
      <c r="AD34" s="1" t="s">
        <v>28</v>
      </c>
      <c r="AE34" s="17">
        <f>SUMPRODUCT(AE35:AE38,C35:C38)</f>
        <v>4.7333041773522329E-2</v>
      </c>
      <c r="AF34" s="17">
        <f t="shared" ref="AF34:BD34" si="8">SUMPRODUCT(AF35:AF38,D35:D38)</f>
        <v>3.2933809806168522E-2</v>
      </c>
      <c r="AG34" s="17">
        <f t="shared" si="8"/>
        <v>4.3409524616033784E-2</v>
      </c>
      <c r="AH34" s="17">
        <f t="shared" si="8"/>
        <v>3.6144228371821359E-2</v>
      </c>
      <c r="AI34" s="17">
        <f t="shared" si="8"/>
        <v>3.0200370417900108E-2</v>
      </c>
      <c r="AJ34" s="17">
        <f t="shared" si="8"/>
        <v>2.6712281256056781E-2</v>
      </c>
      <c r="AK34" s="17">
        <f t="shared" si="8"/>
        <v>2.3528928858873109E-2</v>
      </c>
      <c r="AL34" s="17">
        <f t="shared" si="8"/>
        <v>3.9260596614528374E-2</v>
      </c>
      <c r="AM34" s="17">
        <f t="shared" si="8"/>
        <v>3.2934818935752813E-2</v>
      </c>
      <c r="AN34" s="17">
        <f t="shared" si="8"/>
        <v>5.6056879498645767E-2</v>
      </c>
      <c r="AO34" s="17">
        <f t="shared" si="8"/>
        <v>7.207801972607869E-2</v>
      </c>
      <c r="AP34" s="17">
        <f t="shared" si="8"/>
        <v>5.112104940279999E-2</v>
      </c>
      <c r="AQ34" s="17">
        <f t="shared" si="8"/>
        <v>4.6351542166143928E-2</v>
      </c>
      <c r="AR34" s="17">
        <f t="shared" si="8"/>
        <v>6.4113683943292893E-2</v>
      </c>
      <c r="AS34" s="17">
        <f t="shared" si="8"/>
        <v>4.1050760641378886E-2</v>
      </c>
      <c r="AT34" s="17">
        <f t="shared" si="8"/>
        <v>3.7896633110265782E-2</v>
      </c>
      <c r="AU34" s="17">
        <f t="shared" si="8"/>
        <v>5.70035661933301E-2</v>
      </c>
      <c r="AV34" s="17">
        <f t="shared" si="8"/>
        <v>5.1433720200518424E-2</v>
      </c>
      <c r="AW34" s="17">
        <f t="shared" si="8"/>
        <v>4.5619491489033083E-2</v>
      </c>
      <c r="AX34" s="17">
        <f t="shared" si="8"/>
        <v>4.0675890324854143E-2</v>
      </c>
      <c r="AY34" s="17">
        <f t="shared" si="8"/>
        <v>5.6835049287055711E-2</v>
      </c>
      <c r="AZ34" s="17">
        <f t="shared" si="8"/>
        <v>6.3956655646584579E-2</v>
      </c>
      <c r="BA34" s="17">
        <f t="shared" si="8"/>
        <v>4.9866842148700179E-2</v>
      </c>
      <c r="BB34" s="17">
        <f t="shared" si="8"/>
        <v>4.6233864519912141E-2</v>
      </c>
      <c r="BC34" s="17">
        <f t="shared" si="8"/>
        <v>3.9742387520038835E-2</v>
      </c>
      <c r="BD34" s="17">
        <f t="shared" si="8"/>
        <v>3.4463127064675039E-2</v>
      </c>
      <c r="BF34" s="1" t="s">
        <v>28</v>
      </c>
      <c r="BG34" t="s">
        <v>96</v>
      </c>
      <c r="BH34" t="s">
        <v>96</v>
      </c>
      <c r="BI34" t="s">
        <v>95</v>
      </c>
      <c r="BJ34" t="s">
        <v>95</v>
      </c>
      <c r="BK34" t="s">
        <v>99</v>
      </c>
      <c r="BL34" t="s">
        <v>94</v>
      </c>
      <c r="BM34" t="s">
        <v>96</v>
      </c>
      <c r="BN34" t="s">
        <v>100</v>
      </c>
      <c r="BO34" t="s">
        <v>97</v>
      </c>
      <c r="BP34" t="s">
        <v>95</v>
      </c>
      <c r="BQ34" t="s">
        <v>98</v>
      </c>
      <c r="BR34" t="s">
        <v>94</v>
      </c>
      <c r="BS34" t="s">
        <v>98</v>
      </c>
      <c r="BT34" t="s">
        <v>96</v>
      </c>
      <c r="BU34" t="s">
        <v>97</v>
      </c>
      <c r="BV34" t="s">
        <v>97</v>
      </c>
      <c r="BW34" t="s">
        <v>95</v>
      </c>
      <c r="BX34" t="s">
        <v>99</v>
      </c>
      <c r="BY34" t="s">
        <v>99</v>
      </c>
      <c r="BZ34" t="s">
        <v>98</v>
      </c>
      <c r="CA34" t="s">
        <v>100</v>
      </c>
      <c r="CB34" t="s">
        <v>100</v>
      </c>
      <c r="CC34" t="s">
        <v>97</v>
      </c>
      <c r="CD34" t="s">
        <v>94</v>
      </c>
      <c r="CE34" t="s">
        <v>97</v>
      </c>
      <c r="CF34" t="s">
        <v>99</v>
      </c>
    </row>
    <row r="35" spans="1:84" x14ac:dyDescent="0.35">
      <c r="A35" s="8"/>
      <c r="B35" s="2" t="s">
        <v>29</v>
      </c>
      <c r="C35" s="12">
        <f>1-SUM(C36:C38)</f>
        <v>0.28165253803209123</v>
      </c>
      <c r="D35" s="12">
        <f t="shared" ref="D35:AB35" si="9">1-SUM(D36:D38)</f>
        <v>0.23115253803209113</v>
      </c>
      <c r="E35" s="12">
        <f t="shared" si="9"/>
        <v>0.2425525380320912</v>
      </c>
      <c r="F35" s="12">
        <f t="shared" si="9"/>
        <v>0.27045253803209124</v>
      </c>
      <c r="G35" s="12">
        <f t="shared" si="9"/>
        <v>0.2556525380320912</v>
      </c>
      <c r="H35" s="12">
        <f t="shared" si="9"/>
        <v>0.25405253803209127</v>
      </c>
      <c r="I35" s="12">
        <f t="shared" si="9"/>
        <v>0.24335253803209111</v>
      </c>
      <c r="J35" s="12">
        <f t="shared" si="9"/>
        <v>0.24465253803209119</v>
      </c>
      <c r="K35" s="12">
        <f t="shared" si="9"/>
        <v>0.25765253803209121</v>
      </c>
      <c r="L35" s="12">
        <f t="shared" si="9"/>
        <v>0.27755253803209112</v>
      </c>
      <c r="M35" s="12">
        <f t="shared" si="9"/>
        <v>0.23795253803209115</v>
      </c>
      <c r="N35" s="12">
        <f t="shared" si="9"/>
        <v>0.28405253803209107</v>
      </c>
      <c r="O35" s="12">
        <f t="shared" si="9"/>
        <v>0.25375253803209119</v>
      </c>
      <c r="P35" s="12">
        <f t="shared" si="9"/>
        <v>0.24395253803209116</v>
      </c>
      <c r="Q35" s="12">
        <f t="shared" si="9"/>
        <v>0.27305253803209117</v>
      </c>
      <c r="R35" s="12">
        <f t="shared" si="9"/>
        <v>0.25275253803209108</v>
      </c>
      <c r="S35" s="12">
        <f t="shared" si="9"/>
        <v>0.24175253803209107</v>
      </c>
      <c r="T35" s="12">
        <f t="shared" si="9"/>
        <v>0.26685253803209119</v>
      </c>
      <c r="U35" s="12">
        <f t="shared" si="9"/>
        <v>0.2536525380320912</v>
      </c>
      <c r="V35" s="12">
        <f t="shared" si="9"/>
        <v>0.24025253803209112</v>
      </c>
      <c r="W35" s="12">
        <f t="shared" si="9"/>
        <v>0.24645253803209122</v>
      </c>
      <c r="X35" s="12">
        <f t="shared" si="9"/>
        <v>0.26685253803209119</v>
      </c>
      <c r="Y35" s="12">
        <f t="shared" si="9"/>
        <v>0.24315253803209125</v>
      </c>
      <c r="Z35" s="12">
        <f t="shared" si="9"/>
        <v>0.27075253803209121</v>
      </c>
      <c r="AA35" s="12">
        <f t="shared" si="9"/>
        <v>0.22175253803209127</v>
      </c>
      <c r="AB35" s="12">
        <f t="shared" si="9"/>
        <v>0.27895253803209119</v>
      </c>
      <c r="AD35" s="2" t="s">
        <v>29</v>
      </c>
      <c r="AE35" s="12">
        <v>4.4230193817303004E-2</v>
      </c>
      <c r="AF35" s="12">
        <v>2.9696289200205395E-2</v>
      </c>
      <c r="AG35" s="12">
        <v>4.0007897607339547E-2</v>
      </c>
      <c r="AH35" s="12">
        <v>3.3071450084074687E-2</v>
      </c>
      <c r="AI35" s="12">
        <v>2.6951509665278026E-2</v>
      </c>
      <c r="AJ35" s="12">
        <v>2.3186609527502226E-2</v>
      </c>
      <c r="AK35" s="12">
        <v>1.9993146163145119E-2</v>
      </c>
      <c r="AL35" s="12">
        <v>3.6022167346120515E-2</v>
      </c>
      <c r="AM35" s="12">
        <v>2.9820831440546335E-2</v>
      </c>
      <c r="AN35" s="12">
        <v>5.2967852644724471E-2</v>
      </c>
      <c r="AO35" s="12">
        <v>6.8593983955328591E-2</v>
      </c>
      <c r="AP35" s="12">
        <v>4.7915132435479381E-2</v>
      </c>
      <c r="AQ35" s="12">
        <v>4.300122993897703E-2</v>
      </c>
      <c r="AR35" s="12">
        <v>6.0914627594789585E-2</v>
      </c>
      <c r="AS35" s="12">
        <v>3.7993830258272493E-2</v>
      </c>
      <c r="AT35" s="12">
        <v>3.4494391804391088E-2</v>
      </c>
      <c r="AU35" s="12">
        <v>5.3761938521669633E-2</v>
      </c>
      <c r="AV35" s="12">
        <v>4.8186764029423679E-2</v>
      </c>
      <c r="AW35" s="12">
        <v>4.2229897328995403E-2</v>
      </c>
      <c r="AX35" s="12">
        <v>3.740480726013197E-2</v>
      </c>
      <c r="AY35" s="12">
        <v>5.360760121032189E-2</v>
      </c>
      <c r="AZ35" s="12">
        <v>6.0722956375489835E-2</v>
      </c>
      <c r="BA35" s="12">
        <v>4.6448279687230622E-2</v>
      </c>
      <c r="BB35" s="12">
        <v>4.2974250180777808E-2</v>
      </c>
      <c r="BC35" s="12">
        <v>3.6299788874222395E-2</v>
      </c>
      <c r="BD35" s="12">
        <v>3.1233104420944659E-2</v>
      </c>
      <c r="BF35" s="2" t="s">
        <v>29</v>
      </c>
      <c r="BG35" t="s">
        <v>99</v>
      </c>
      <c r="BH35" t="s">
        <v>94</v>
      </c>
      <c r="BI35" t="s">
        <v>99</v>
      </c>
      <c r="BJ35" t="s">
        <v>98</v>
      </c>
      <c r="BK35" t="s">
        <v>98</v>
      </c>
      <c r="BL35" t="s">
        <v>100</v>
      </c>
      <c r="BM35" t="s">
        <v>98</v>
      </c>
      <c r="BN35" t="s">
        <v>95</v>
      </c>
      <c r="BO35" t="s">
        <v>96</v>
      </c>
      <c r="BP35" t="s">
        <v>95</v>
      </c>
      <c r="BQ35" t="s">
        <v>98</v>
      </c>
      <c r="BR35" t="s">
        <v>98</v>
      </c>
      <c r="BS35" t="s">
        <v>98</v>
      </c>
      <c r="BT35" t="s">
        <v>97</v>
      </c>
      <c r="BU35" t="s">
        <v>95</v>
      </c>
      <c r="BV35" t="s">
        <v>97</v>
      </c>
      <c r="BW35" t="s">
        <v>95</v>
      </c>
      <c r="BX35" t="s">
        <v>96</v>
      </c>
      <c r="BY35" t="s">
        <v>95</v>
      </c>
      <c r="BZ35" t="s">
        <v>96</v>
      </c>
      <c r="CA35" t="s">
        <v>100</v>
      </c>
      <c r="CB35" t="s">
        <v>96</v>
      </c>
      <c r="CC35" t="s">
        <v>97</v>
      </c>
      <c r="CD35" t="s">
        <v>98</v>
      </c>
      <c r="CE35" t="s">
        <v>100</v>
      </c>
      <c r="CF35" t="s">
        <v>95</v>
      </c>
    </row>
    <row r="36" spans="1:84" x14ac:dyDescent="0.35">
      <c r="A36" s="8"/>
      <c r="B36" s="2" t="s">
        <v>30</v>
      </c>
      <c r="C36" s="12">
        <v>0.2169342334682402</v>
      </c>
      <c r="D36" s="12">
        <v>0.23423423346824021</v>
      </c>
      <c r="E36" s="12">
        <v>0.2371342334682402</v>
      </c>
      <c r="F36" s="12">
        <v>0.21933423346824021</v>
      </c>
      <c r="G36" s="12">
        <v>0.22063423346824021</v>
      </c>
      <c r="H36" s="12">
        <v>0.2320342334682402</v>
      </c>
      <c r="I36" s="12">
        <v>0.23453423346824021</v>
      </c>
      <c r="J36" s="12">
        <v>0.24233423346824021</v>
      </c>
      <c r="K36" s="12">
        <v>0.21853423346824019</v>
      </c>
      <c r="L36" s="12">
        <v>0.2197342334682402</v>
      </c>
      <c r="M36" s="12">
        <v>0.2353342334682402</v>
      </c>
      <c r="N36" s="12">
        <v>0.2204342334682402</v>
      </c>
      <c r="O36" s="12">
        <v>0.2126342334682402</v>
      </c>
      <c r="P36" s="12">
        <v>0.23393423346824022</v>
      </c>
      <c r="Q36" s="12">
        <v>0.21253423346824021</v>
      </c>
      <c r="R36" s="12">
        <v>0.2184342334682402</v>
      </c>
      <c r="S36" s="12">
        <v>0.2141342334682402</v>
      </c>
      <c r="T36" s="12">
        <v>0.23553423346824021</v>
      </c>
      <c r="U36" s="12">
        <v>0.2421342334682402</v>
      </c>
      <c r="V36" s="12">
        <v>0.24383423346824021</v>
      </c>
      <c r="W36" s="12">
        <v>0.2252342334682402</v>
      </c>
      <c r="X36" s="12">
        <v>0.22813423346824022</v>
      </c>
      <c r="Y36" s="12">
        <v>0.2262342334682402</v>
      </c>
      <c r="Z36" s="12">
        <v>0.2217342334682402</v>
      </c>
      <c r="AA36" s="12">
        <v>0.24123423346824022</v>
      </c>
      <c r="AB36" s="12">
        <v>0.2257342334682402</v>
      </c>
      <c r="AD36" s="2" t="s">
        <v>30</v>
      </c>
      <c r="AE36" s="12">
        <v>4.951202252510109E-2</v>
      </c>
      <c r="AF36" s="12">
        <v>3.4978117908003481E-2</v>
      </c>
      <c r="AG36" s="12">
        <v>4.5289726315137634E-2</v>
      </c>
      <c r="AH36" s="12">
        <v>3.8353278791872773E-2</v>
      </c>
      <c r="AI36" s="12">
        <v>3.2233338373076112E-2</v>
      </c>
      <c r="AJ36" s="12">
        <v>2.8468438235300313E-2</v>
      </c>
      <c r="AK36" s="12">
        <v>2.5274974870943205E-2</v>
      </c>
      <c r="AL36" s="12">
        <v>4.1303996053918601E-2</v>
      </c>
      <c r="AM36" s="12">
        <v>3.5102660148344421E-2</v>
      </c>
      <c r="AN36" s="12">
        <v>5.8249681352522557E-2</v>
      </c>
      <c r="AO36" s="12">
        <v>7.3875812663126678E-2</v>
      </c>
      <c r="AP36" s="12">
        <v>5.3196961143277467E-2</v>
      </c>
      <c r="AQ36" s="12">
        <v>4.8283058646775116E-2</v>
      </c>
      <c r="AR36" s="12">
        <v>6.6196456302587664E-2</v>
      </c>
      <c r="AS36" s="12">
        <v>4.3275658966070579E-2</v>
      </c>
      <c r="AT36" s="12">
        <v>3.9776220512189174E-2</v>
      </c>
      <c r="AU36" s="12">
        <v>5.904376722946772E-2</v>
      </c>
      <c r="AV36" s="12">
        <v>5.3468592737221765E-2</v>
      </c>
      <c r="AW36" s="12">
        <v>4.7511726036793489E-2</v>
      </c>
      <c r="AX36" s="12">
        <v>4.2686635967930056E-2</v>
      </c>
      <c r="AY36" s="12">
        <v>5.8889429918119976E-2</v>
      </c>
      <c r="AZ36" s="12">
        <v>6.6004785083287915E-2</v>
      </c>
      <c r="BA36" s="12">
        <v>5.1730108395028708E-2</v>
      </c>
      <c r="BB36" s="12">
        <v>4.8256078888575894E-2</v>
      </c>
      <c r="BC36" s="12">
        <v>4.1581617582020482E-2</v>
      </c>
      <c r="BD36" s="12">
        <v>3.6514933128742745E-2</v>
      </c>
      <c r="BF36" s="2" t="s">
        <v>30</v>
      </c>
      <c r="BG36" t="s">
        <v>97</v>
      </c>
      <c r="BH36" t="s">
        <v>100</v>
      </c>
      <c r="BI36" t="s">
        <v>97</v>
      </c>
      <c r="BJ36" t="s">
        <v>98</v>
      </c>
      <c r="BK36" t="s">
        <v>98</v>
      </c>
      <c r="BL36" t="s">
        <v>94</v>
      </c>
      <c r="BM36" t="s">
        <v>100</v>
      </c>
      <c r="BN36" t="s">
        <v>96</v>
      </c>
      <c r="BO36" t="s">
        <v>95</v>
      </c>
      <c r="BP36" t="s">
        <v>99</v>
      </c>
      <c r="BQ36" t="s">
        <v>98</v>
      </c>
      <c r="BR36" t="s">
        <v>96</v>
      </c>
      <c r="BS36" t="s">
        <v>100</v>
      </c>
      <c r="BT36" t="s">
        <v>97</v>
      </c>
      <c r="BU36" t="s">
        <v>99</v>
      </c>
      <c r="BV36" t="s">
        <v>94</v>
      </c>
      <c r="BW36" t="s">
        <v>100</v>
      </c>
      <c r="BX36" t="s">
        <v>100</v>
      </c>
      <c r="BY36" t="s">
        <v>95</v>
      </c>
      <c r="BZ36" t="s">
        <v>98</v>
      </c>
      <c r="CA36" t="s">
        <v>97</v>
      </c>
      <c r="CB36" t="s">
        <v>94</v>
      </c>
      <c r="CC36" t="s">
        <v>96</v>
      </c>
      <c r="CD36" t="s">
        <v>99</v>
      </c>
      <c r="CE36" t="s">
        <v>95</v>
      </c>
      <c r="CF36" t="s">
        <v>99</v>
      </c>
    </row>
    <row r="37" spans="1:84" x14ac:dyDescent="0.35">
      <c r="A37" s="8"/>
      <c r="B37" s="2" t="s">
        <v>31</v>
      </c>
      <c r="C37" s="12">
        <v>0.29668304563850939</v>
      </c>
      <c r="D37" s="12">
        <v>0.31128304563850939</v>
      </c>
      <c r="E37" s="12">
        <v>0.3147830456385094</v>
      </c>
      <c r="F37" s="12">
        <v>0.29738304563850942</v>
      </c>
      <c r="G37" s="12">
        <v>0.3121830456385094</v>
      </c>
      <c r="H37" s="12">
        <v>0.3212830456385094</v>
      </c>
      <c r="I37" s="12">
        <v>0.32408304563850943</v>
      </c>
      <c r="J37" s="12">
        <v>0.30098304563850942</v>
      </c>
      <c r="K37" s="12">
        <v>0.30498304563850942</v>
      </c>
      <c r="L37" s="12">
        <v>0.29548304563850941</v>
      </c>
      <c r="M37" s="12">
        <v>0.32248304563850938</v>
      </c>
      <c r="N37" s="12">
        <v>0.29948304563850942</v>
      </c>
      <c r="O37" s="12">
        <v>0.32418304563850942</v>
      </c>
      <c r="P37" s="12">
        <v>0.30458304563850941</v>
      </c>
      <c r="Q37" s="12">
        <v>0.3000830456385094</v>
      </c>
      <c r="R37" s="12">
        <v>0.32368304563850941</v>
      </c>
      <c r="S37" s="12">
        <v>0.32118304563850941</v>
      </c>
      <c r="T37" s="12">
        <v>0.29798304563850941</v>
      </c>
      <c r="U37" s="12">
        <v>0.3066830456385094</v>
      </c>
      <c r="V37" s="12">
        <v>0.30348304563850942</v>
      </c>
      <c r="W37" s="12">
        <v>0.3111830456385094</v>
      </c>
      <c r="X37" s="12">
        <v>0.3021830456385094</v>
      </c>
      <c r="Y37" s="12">
        <v>0.32288304563850939</v>
      </c>
      <c r="Z37" s="12">
        <v>0.30658304563850941</v>
      </c>
      <c r="AA37" s="12">
        <v>0.32198304563850938</v>
      </c>
      <c r="AB37" s="12">
        <v>0.29918304563850939</v>
      </c>
      <c r="AD37" s="2" t="s">
        <v>31</v>
      </c>
      <c r="AE37" s="12">
        <v>5.511752252510109E-2</v>
      </c>
      <c r="AF37" s="12">
        <v>4.058361790800348E-2</v>
      </c>
      <c r="AG37" s="12">
        <v>5.0895226315137633E-2</v>
      </c>
      <c r="AH37" s="12">
        <v>4.3958778791872773E-2</v>
      </c>
      <c r="AI37" s="12">
        <v>3.7838838373076111E-2</v>
      </c>
      <c r="AJ37" s="12">
        <v>3.4073938235300312E-2</v>
      </c>
      <c r="AK37" s="12">
        <v>3.0880474870943204E-2</v>
      </c>
      <c r="AL37" s="12">
        <v>4.6909496053918601E-2</v>
      </c>
      <c r="AM37" s="12">
        <v>4.070816014834442E-2</v>
      </c>
      <c r="AN37" s="12">
        <v>6.385518135252255E-2</v>
      </c>
      <c r="AO37" s="12">
        <v>7.9481312663126663E-2</v>
      </c>
      <c r="AP37" s="12">
        <v>5.8802461143277467E-2</v>
      </c>
      <c r="AQ37" s="12">
        <v>5.3888558646775116E-2</v>
      </c>
      <c r="AR37" s="12">
        <v>7.1801956302587677E-2</v>
      </c>
      <c r="AS37" s="12">
        <v>4.8881158966070579E-2</v>
      </c>
      <c r="AT37" s="12">
        <v>4.5381720512189173E-2</v>
      </c>
      <c r="AU37" s="12">
        <v>6.4649267229467719E-2</v>
      </c>
      <c r="AV37" s="12">
        <v>5.9074092737221764E-2</v>
      </c>
      <c r="AW37" s="12">
        <v>5.3117226036793488E-2</v>
      </c>
      <c r="AX37" s="12">
        <v>4.8292135967930055E-2</v>
      </c>
      <c r="AY37" s="12">
        <v>6.4494929918119975E-2</v>
      </c>
      <c r="AZ37" s="12">
        <v>7.1610285083287928E-2</v>
      </c>
      <c r="BA37" s="12">
        <v>5.7335608395028707E-2</v>
      </c>
      <c r="BB37" s="12">
        <v>5.3861578888575894E-2</v>
      </c>
      <c r="BC37" s="12">
        <v>4.7187117582020481E-2</v>
      </c>
      <c r="BD37" s="12">
        <v>4.2120433128742744E-2</v>
      </c>
      <c r="BF37" s="2" t="s">
        <v>31</v>
      </c>
      <c r="BG37" t="s">
        <v>98</v>
      </c>
      <c r="BH37" t="s">
        <v>100</v>
      </c>
      <c r="BI37" t="s">
        <v>95</v>
      </c>
      <c r="BJ37" t="s">
        <v>100</v>
      </c>
      <c r="BK37" t="s">
        <v>96</v>
      </c>
      <c r="BL37" t="s">
        <v>100</v>
      </c>
      <c r="BM37" t="s">
        <v>94</v>
      </c>
      <c r="BN37" t="s">
        <v>98</v>
      </c>
      <c r="BO37" t="s">
        <v>95</v>
      </c>
      <c r="BP37" t="s">
        <v>94</v>
      </c>
      <c r="BQ37" t="s">
        <v>98</v>
      </c>
      <c r="BR37" t="s">
        <v>94</v>
      </c>
      <c r="BS37" t="s">
        <v>95</v>
      </c>
      <c r="BT37" t="s">
        <v>95</v>
      </c>
      <c r="BU37" t="s">
        <v>98</v>
      </c>
      <c r="BV37" t="s">
        <v>96</v>
      </c>
      <c r="BW37" t="s">
        <v>100</v>
      </c>
      <c r="BX37" t="s">
        <v>96</v>
      </c>
      <c r="BY37" t="s">
        <v>94</v>
      </c>
      <c r="BZ37" t="s">
        <v>97</v>
      </c>
      <c r="CA37" t="s">
        <v>100</v>
      </c>
      <c r="CB37" t="s">
        <v>97</v>
      </c>
      <c r="CC37" t="s">
        <v>99</v>
      </c>
      <c r="CD37" t="s">
        <v>99</v>
      </c>
      <c r="CE37" t="s">
        <v>95</v>
      </c>
      <c r="CF37" t="s">
        <v>99</v>
      </c>
    </row>
    <row r="38" spans="1:84" x14ac:dyDescent="0.35">
      <c r="A38" s="8"/>
      <c r="B38" s="2" t="s">
        <v>32</v>
      </c>
      <c r="C38" s="12">
        <v>0.20473018286115921</v>
      </c>
      <c r="D38" s="12">
        <v>0.22333018286115922</v>
      </c>
      <c r="E38" s="12">
        <v>0.20553018286115921</v>
      </c>
      <c r="F38" s="12">
        <v>0.21283018286115921</v>
      </c>
      <c r="G38" s="12">
        <v>0.21153018286115921</v>
      </c>
      <c r="H38" s="12">
        <v>0.19263018286115921</v>
      </c>
      <c r="I38" s="12">
        <v>0.19803018286115923</v>
      </c>
      <c r="J38" s="12">
        <v>0.21203018286115921</v>
      </c>
      <c r="K38" s="12">
        <v>0.21883018286115921</v>
      </c>
      <c r="L38" s="12">
        <v>0.20723018286115921</v>
      </c>
      <c r="M38" s="12">
        <v>0.20423018286115921</v>
      </c>
      <c r="N38" s="12">
        <v>0.19603018286115922</v>
      </c>
      <c r="O38" s="12">
        <v>0.20943018286115922</v>
      </c>
      <c r="P38" s="12">
        <v>0.21753018286115922</v>
      </c>
      <c r="Q38" s="12">
        <v>0.21433018286115921</v>
      </c>
      <c r="R38" s="12">
        <v>0.20513018286115922</v>
      </c>
      <c r="S38" s="12">
        <v>0.22293018286115923</v>
      </c>
      <c r="T38" s="12">
        <v>0.19963018286115922</v>
      </c>
      <c r="U38" s="12">
        <v>0.19753018286115923</v>
      </c>
      <c r="V38" s="12">
        <v>0.21243018286115922</v>
      </c>
      <c r="W38" s="12">
        <v>0.2171301828611592</v>
      </c>
      <c r="X38" s="12">
        <v>0.20283018286115923</v>
      </c>
      <c r="Y38" s="12">
        <v>0.20773018286115921</v>
      </c>
      <c r="Z38" s="12">
        <v>0.20093018286115921</v>
      </c>
      <c r="AA38" s="12">
        <v>0.21503018286115921</v>
      </c>
      <c r="AB38" s="12">
        <v>0.19613018286115921</v>
      </c>
      <c r="AD38" s="2" t="s">
        <v>32</v>
      </c>
      <c r="AE38" s="12">
        <v>3.8012022525101087E-2</v>
      </c>
      <c r="AF38" s="12">
        <v>2.3478117908003478E-2</v>
      </c>
      <c r="AG38" s="12">
        <v>3.378972631513763E-2</v>
      </c>
      <c r="AH38" s="12">
        <v>2.685327879187277E-2</v>
      </c>
      <c r="AI38" s="12">
        <v>2.0733338373076109E-2</v>
      </c>
      <c r="AJ38" s="12">
        <v>1.6968438235300309E-2</v>
      </c>
      <c r="AK38" s="12">
        <v>1.3774974870943202E-2</v>
      </c>
      <c r="AL38" s="12">
        <v>2.9803996053918598E-2</v>
      </c>
      <c r="AM38" s="12">
        <v>2.3602660148344418E-2</v>
      </c>
      <c r="AN38" s="12">
        <v>4.6749681352522554E-2</v>
      </c>
      <c r="AO38" s="12">
        <v>6.2375812663126667E-2</v>
      </c>
      <c r="AP38" s="12">
        <v>4.1696961143277464E-2</v>
      </c>
      <c r="AQ38" s="12">
        <v>3.6783058646775113E-2</v>
      </c>
      <c r="AR38" s="12">
        <v>5.4696456302587668E-2</v>
      </c>
      <c r="AS38" s="12">
        <v>3.1775658966070576E-2</v>
      </c>
      <c r="AT38" s="12">
        <v>2.8276220512189171E-2</v>
      </c>
      <c r="AU38" s="12">
        <v>4.7543767229467716E-2</v>
      </c>
      <c r="AV38" s="12">
        <v>4.1968592737221762E-2</v>
      </c>
      <c r="AW38" s="12">
        <v>3.6011726036793486E-2</v>
      </c>
      <c r="AX38" s="12">
        <v>3.1186635967930053E-2</v>
      </c>
      <c r="AY38" s="12">
        <v>4.7389429918119973E-2</v>
      </c>
      <c r="AZ38" s="12">
        <v>5.4504785083287918E-2</v>
      </c>
      <c r="BA38" s="12">
        <v>4.0230108395028705E-2</v>
      </c>
      <c r="BB38" s="12">
        <v>3.6756078888575891E-2</v>
      </c>
      <c r="BC38" s="12">
        <v>3.0081617582020478E-2</v>
      </c>
      <c r="BD38" s="12">
        <v>2.5014933128742742E-2</v>
      </c>
      <c r="BF38" s="2" t="s">
        <v>32</v>
      </c>
      <c r="BG38" t="s">
        <v>99</v>
      </c>
      <c r="BH38" t="s">
        <v>95</v>
      </c>
      <c r="BI38" t="s">
        <v>97</v>
      </c>
      <c r="BJ38" t="s">
        <v>96</v>
      </c>
      <c r="BK38" t="s">
        <v>97</v>
      </c>
      <c r="BL38" t="s">
        <v>99</v>
      </c>
      <c r="BM38" t="s">
        <v>97</v>
      </c>
      <c r="BN38" t="s">
        <v>96</v>
      </c>
      <c r="BO38" t="s">
        <v>98</v>
      </c>
      <c r="BP38" t="s">
        <v>95</v>
      </c>
      <c r="BQ38" t="s">
        <v>94</v>
      </c>
      <c r="BR38" t="s">
        <v>94</v>
      </c>
      <c r="BS38" t="s">
        <v>94</v>
      </c>
      <c r="BT38" t="s">
        <v>100</v>
      </c>
      <c r="BU38" t="s">
        <v>99</v>
      </c>
      <c r="BV38" t="s">
        <v>100</v>
      </c>
      <c r="BW38" t="s">
        <v>95</v>
      </c>
      <c r="BX38" t="s">
        <v>95</v>
      </c>
      <c r="BY38" t="s">
        <v>97</v>
      </c>
      <c r="BZ38" t="s">
        <v>100</v>
      </c>
      <c r="CA38" t="s">
        <v>100</v>
      </c>
      <c r="CB38" t="s">
        <v>96</v>
      </c>
      <c r="CC38" t="s">
        <v>96</v>
      </c>
      <c r="CD38" t="s">
        <v>96</v>
      </c>
      <c r="CE38" t="s">
        <v>94</v>
      </c>
      <c r="CF38" t="s">
        <v>97</v>
      </c>
    </row>
    <row r="39" spans="1:84" x14ac:dyDescent="0.35">
      <c r="A39" s="7"/>
      <c r="B39" s="1" t="s">
        <v>33</v>
      </c>
      <c r="C39" s="12">
        <v>0.22322121212121213</v>
      </c>
      <c r="D39" s="12">
        <v>0.21152121212121214</v>
      </c>
      <c r="E39" s="12">
        <v>0.22112121212121214</v>
      </c>
      <c r="F39" s="12">
        <v>0.21462121212121213</v>
      </c>
      <c r="G39" s="12">
        <v>0.21432121212121213</v>
      </c>
      <c r="H39" s="12">
        <v>0.22002121212121212</v>
      </c>
      <c r="I39" s="12">
        <v>0.22652121212121212</v>
      </c>
      <c r="J39" s="12">
        <v>0.20352121212121213</v>
      </c>
      <c r="K39" s="12">
        <v>0.19872121212121213</v>
      </c>
      <c r="L39" s="12">
        <v>0.20562121212121212</v>
      </c>
      <c r="M39" s="12">
        <v>0.19852121212121213</v>
      </c>
      <c r="N39" s="12">
        <v>0.21612121212121213</v>
      </c>
      <c r="O39" s="12">
        <v>0.20362121212121212</v>
      </c>
      <c r="P39" s="12">
        <v>0.20712121212121212</v>
      </c>
      <c r="Q39" s="12">
        <v>0.19932121212121212</v>
      </c>
      <c r="R39" s="12">
        <v>0.22462121212121214</v>
      </c>
      <c r="S39" s="12">
        <v>0.22682121212121212</v>
      </c>
      <c r="T39" s="12">
        <v>0.22712121212121211</v>
      </c>
      <c r="U39" s="12">
        <v>0.20502121212121213</v>
      </c>
      <c r="V39" s="12">
        <v>0.21042121212121212</v>
      </c>
      <c r="W39" s="12">
        <v>0.21952121212121212</v>
      </c>
      <c r="X39" s="12">
        <v>0.20462121212121212</v>
      </c>
      <c r="Y39" s="12">
        <v>0.21712121212121213</v>
      </c>
      <c r="Z39" s="12">
        <v>0.21982121212121214</v>
      </c>
      <c r="AA39" s="12">
        <v>0.20542121212121212</v>
      </c>
      <c r="AB39" s="12">
        <v>0.20822121212121214</v>
      </c>
      <c r="AD39" s="1" t="s">
        <v>33</v>
      </c>
      <c r="AE39" s="17">
        <f>SUMPRODUCT(AE40:AE43,C40:C43)</f>
        <v>4.3499722107787388E-2</v>
      </c>
      <c r="AF39" s="17">
        <f t="shared" ref="AF39:BD39" si="10">SUMPRODUCT(AF40:AF43,D40:D43)</f>
        <v>2.8746320672774925E-2</v>
      </c>
      <c r="AG39" s="17">
        <f t="shared" si="10"/>
        <v>3.9170343548882394E-2</v>
      </c>
      <c r="AH39" s="17">
        <f t="shared" si="10"/>
        <v>3.2631007905534297E-2</v>
      </c>
      <c r="AI39" s="17">
        <f t="shared" si="10"/>
        <v>2.6033156092441063E-2</v>
      </c>
      <c r="AJ39" s="17">
        <f t="shared" si="10"/>
        <v>2.2795131785194371E-2</v>
      </c>
      <c r="AK39" s="17">
        <f t="shared" si="10"/>
        <v>2.0285120538782474E-2</v>
      </c>
      <c r="AL39" s="17">
        <f t="shared" si="10"/>
        <v>3.5340684640287147E-2</v>
      </c>
      <c r="AM39" s="17">
        <f t="shared" si="10"/>
        <v>2.9260535516009833E-2</v>
      </c>
      <c r="AN39" s="17">
        <f t="shared" si="10"/>
        <v>5.2651236929287519E-2</v>
      </c>
      <c r="AO39" s="17">
        <f t="shared" si="10"/>
        <v>6.7712167344129576E-2</v>
      </c>
      <c r="AP39" s="17">
        <f t="shared" si="10"/>
        <v>4.7235035153424657E-2</v>
      </c>
      <c r="AQ39" s="17">
        <f t="shared" si="10"/>
        <v>4.219277285042479E-2</v>
      </c>
      <c r="AR39" s="17">
        <f t="shared" si="10"/>
        <v>6.0709760534800192E-2</v>
      </c>
      <c r="AS39" s="17">
        <f t="shared" si="10"/>
        <v>3.726650399864332E-2</v>
      </c>
      <c r="AT39" s="17">
        <f t="shared" si="10"/>
        <v>3.3557589317432052E-2</v>
      </c>
      <c r="AU39" s="17">
        <f t="shared" si="10"/>
        <v>5.3057823505701839E-2</v>
      </c>
      <c r="AV39" s="17">
        <f t="shared" si="10"/>
        <v>4.7318892866613858E-2</v>
      </c>
      <c r="AW39" s="17">
        <f t="shared" si="10"/>
        <v>4.1838600668374401E-2</v>
      </c>
      <c r="AX39" s="17">
        <f t="shared" si="10"/>
        <v>3.6717350886576516E-2</v>
      </c>
      <c r="AY39" s="17">
        <f t="shared" si="10"/>
        <v>5.2690295420184316E-2</v>
      </c>
      <c r="AZ39" s="17">
        <f t="shared" si="10"/>
        <v>6.0055977295774637E-2</v>
      </c>
      <c r="BA39" s="17">
        <f t="shared" si="10"/>
        <v>4.6047968728299367E-2</v>
      </c>
      <c r="BB39" s="17">
        <f t="shared" si="10"/>
        <v>4.2129233619770917E-2</v>
      </c>
      <c r="BC39" s="17">
        <f t="shared" si="10"/>
        <v>3.574404353884042E-2</v>
      </c>
      <c r="BD39" s="17">
        <f t="shared" si="10"/>
        <v>3.0835711701944594E-2</v>
      </c>
      <c r="BF39" s="1" t="s">
        <v>33</v>
      </c>
      <c r="BG39" t="s">
        <v>97</v>
      </c>
      <c r="BH39" t="s">
        <v>99</v>
      </c>
      <c r="BI39" t="s">
        <v>99</v>
      </c>
      <c r="BJ39" t="s">
        <v>100</v>
      </c>
      <c r="BK39" t="s">
        <v>98</v>
      </c>
      <c r="BL39" t="s">
        <v>95</v>
      </c>
      <c r="BM39" t="s">
        <v>95</v>
      </c>
      <c r="BN39" t="s">
        <v>96</v>
      </c>
      <c r="BO39" t="s">
        <v>99</v>
      </c>
      <c r="BP39" t="s">
        <v>100</v>
      </c>
      <c r="BQ39" t="s">
        <v>94</v>
      </c>
      <c r="BR39" t="s">
        <v>100</v>
      </c>
      <c r="BS39" t="s">
        <v>95</v>
      </c>
      <c r="BT39" t="s">
        <v>94</v>
      </c>
      <c r="BU39" t="s">
        <v>99</v>
      </c>
      <c r="BV39" t="s">
        <v>96</v>
      </c>
      <c r="BW39" t="s">
        <v>94</v>
      </c>
      <c r="BX39" t="s">
        <v>100</v>
      </c>
      <c r="BY39" t="s">
        <v>95</v>
      </c>
      <c r="BZ39" t="s">
        <v>100</v>
      </c>
      <c r="CA39" t="s">
        <v>96</v>
      </c>
      <c r="CB39" t="s">
        <v>98</v>
      </c>
      <c r="CC39" t="s">
        <v>97</v>
      </c>
      <c r="CD39" t="s">
        <v>95</v>
      </c>
      <c r="CE39" t="s">
        <v>98</v>
      </c>
      <c r="CF39" t="s">
        <v>98</v>
      </c>
    </row>
    <row r="40" spans="1:84" x14ac:dyDescent="0.35">
      <c r="A40" s="8"/>
      <c r="B40" s="2" t="s">
        <v>34</v>
      </c>
      <c r="C40" s="12">
        <f>1-SUM(C41:C43)</f>
        <v>0.399840404040404</v>
      </c>
      <c r="D40" s="12">
        <f t="shared" ref="D40:AB40" si="11">1-SUM(D41:D43)</f>
        <v>0.37704040404040406</v>
      </c>
      <c r="E40" s="12">
        <f t="shared" si="11"/>
        <v>0.38734040404040404</v>
      </c>
      <c r="F40" s="12">
        <f t="shared" si="11"/>
        <v>0.41994040404040411</v>
      </c>
      <c r="G40" s="12">
        <f t="shared" si="11"/>
        <v>0.37944040404040402</v>
      </c>
      <c r="H40" s="12">
        <f t="shared" si="11"/>
        <v>0.39744040404040404</v>
      </c>
      <c r="I40" s="12">
        <f t="shared" si="11"/>
        <v>0.40954040404040404</v>
      </c>
      <c r="J40" s="12">
        <f t="shared" si="11"/>
        <v>0.4009404040404041</v>
      </c>
      <c r="K40" s="12">
        <f t="shared" si="11"/>
        <v>0.41634040404040407</v>
      </c>
      <c r="L40" s="12">
        <f t="shared" si="11"/>
        <v>0.42324040404040408</v>
      </c>
      <c r="M40" s="12">
        <f t="shared" si="11"/>
        <v>0.38804040404040407</v>
      </c>
      <c r="N40" s="12">
        <f t="shared" si="11"/>
        <v>0.38864040404040412</v>
      </c>
      <c r="O40" s="12">
        <f t="shared" si="11"/>
        <v>0.38744040404040403</v>
      </c>
      <c r="P40" s="12">
        <f t="shared" si="11"/>
        <v>0.4382404040404041</v>
      </c>
      <c r="Q40" s="12">
        <f t="shared" si="11"/>
        <v>0.39974040404040412</v>
      </c>
      <c r="R40" s="12">
        <f t="shared" si="11"/>
        <v>0.3787404040404041</v>
      </c>
      <c r="S40" s="12">
        <f t="shared" si="11"/>
        <v>0.39264040404040412</v>
      </c>
      <c r="T40" s="12">
        <f t="shared" si="11"/>
        <v>0.37634040404040414</v>
      </c>
      <c r="U40" s="12">
        <f t="shared" si="11"/>
        <v>0.41514040404040409</v>
      </c>
      <c r="V40" s="12">
        <f t="shared" si="11"/>
        <v>0.39754040404040414</v>
      </c>
      <c r="W40" s="12">
        <f t="shared" si="11"/>
        <v>0.38474040404040399</v>
      </c>
      <c r="X40" s="12">
        <f t="shared" si="11"/>
        <v>0.39414040404040407</v>
      </c>
      <c r="Y40" s="12">
        <f t="shared" si="11"/>
        <v>0.42644040404040406</v>
      </c>
      <c r="Z40" s="12">
        <f t="shared" si="11"/>
        <v>0.38844040404040414</v>
      </c>
      <c r="AA40" s="12">
        <f t="shared" si="11"/>
        <v>0.41454040404040404</v>
      </c>
      <c r="AB40" s="12">
        <f t="shared" si="11"/>
        <v>0.42254040404040405</v>
      </c>
      <c r="AD40" s="2" t="s">
        <v>34</v>
      </c>
      <c r="AE40" s="12">
        <v>5.0275616659985527E-2</v>
      </c>
      <c r="AF40" s="12">
        <v>3.5741712042887917E-2</v>
      </c>
      <c r="AG40" s="12">
        <v>4.605332045002207E-2</v>
      </c>
      <c r="AH40" s="12">
        <v>3.911687292675721E-2</v>
      </c>
      <c r="AI40" s="12">
        <v>3.2996932507960548E-2</v>
      </c>
      <c r="AJ40" s="12">
        <v>2.9232032370184749E-2</v>
      </c>
      <c r="AK40" s="12">
        <v>2.6038569005827641E-2</v>
      </c>
      <c r="AL40" s="12">
        <v>4.2067590188803038E-2</v>
      </c>
      <c r="AM40" s="12">
        <v>3.5866254283228857E-2</v>
      </c>
      <c r="AN40" s="12">
        <v>5.9013275487406994E-2</v>
      </c>
      <c r="AO40" s="12">
        <v>7.4639406798011107E-2</v>
      </c>
      <c r="AP40" s="12">
        <v>5.3960555278161904E-2</v>
      </c>
      <c r="AQ40" s="12">
        <v>4.9046652781659553E-2</v>
      </c>
      <c r="AR40" s="12">
        <v>6.6960050437472107E-2</v>
      </c>
      <c r="AS40" s="12">
        <v>4.4039253100955016E-2</v>
      </c>
      <c r="AT40" s="12">
        <v>4.053981464707361E-2</v>
      </c>
      <c r="AU40" s="12">
        <v>5.9807361364352156E-2</v>
      </c>
      <c r="AV40" s="12">
        <v>5.4232186872106201E-2</v>
      </c>
      <c r="AW40" s="12">
        <v>4.8275320171677925E-2</v>
      </c>
      <c r="AX40" s="12">
        <v>4.3450230102814492E-2</v>
      </c>
      <c r="AY40" s="12">
        <v>5.9653024053004412E-2</v>
      </c>
      <c r="AZ40" s="12">
        <v>6.6768379218172358E-2</v>
      </c>
      <c r="BA40" s="12">
        <v>5.2493702529913144E-2</v>
      </c>
      <c r="BB40" s="12">
        <v>4.9019673023460331E-2</v>
      </c>
      <c r="BC40" s="12">
        <v>4.2345211716904918E-2</v>
      </c>
      <c r="BD40" s="12">
        <v>3.7278527263627181E-2</v>
      </c>
      <c r="BF40" s="2" t="s">
        <v>34</v>
      </c>
      <c r="BG40" t="s">
        <v>99</v>
      </c>
      <c r="BH40" t="s">
        <v>94</v>
      </c>
      <c r="BI40" t="s">
        <v>96</v>
      </c>
      <c r="BJ40" t="s">
        <v>97</v>
      </c>
      <c r="BK40" t="s">
        <v>100</v>
      </c>
      <c r="BL40" t="s">
        <v>98</v>
      </c>
      <c r="BM40" t="s">
        <v>94</v>
      </c>
      <c r="BN40" t="s">
        <v>95</v>
      </c>
      <c r="BO40" t="s">
        <v>97</v>
      </c>
      <c r="BP40" t="s">
        <v>99</v>
      </c>
      <c r="BQ40" t="s">
        <v>100</v>
      </c>
      <c r="BR40" t="s">
        <v>96</v>
      </c>
      <c r="BS40" t="s">
        <v>97</v>
      </c>
      <c r="BT40" t="s">
        <v>99</v>
      </c>
      <c r="BU40" t="s">
        <v>94</v>
      </c>
      <c r="BV40" t="s">
        <v>98</v>
      </c>
      <c r="BW40" t="s">
        <v>96</v>
      </c>
      <c r="BX40" t="s">
        <v>100</v>
      </c>
      <c r="BY40" t="s">
        <v>100</v>
      </c>
      <c r="BZ40" t="s">
        <v>98</v>
      </c>
      <c r="CA40" t="s">
        <v>94</v>
      </c>
      <c r="CB40" t="s">
        <v>98</v>
      </c>
      <c r="CC40" t="s">
        <v>98</v>
      </c>
      <c r="CD40" t="s">
        <v>94</v>
      </c>
      <c r="CE40" t="s">
        <v>97</v>
      </c>
      <c r="CF40" t="s">
        <v>94</v>
      </c>
    </row>
    <row r="41" spans="1:84" x14ac:dyDescent="0.35">
      <c r="A41" s="8"/>
      <c r="B41" s="2" t="s">
        <v>35</v>
      </c>
      <c r="C41" s="12">
        <v>0.30113030303030303</v>
      </c>
      <c r="D41" s="12">
        <v>0.31613030303030304</v>
      </c>
      <c r="E41" s="12">
        <v>0.30313030303030303</v>
      </c>
      <c r="F41" s="12">
        <v>0.30563030303030303</v>
      </c>
      <c r="G41" s="12">
        <v>0.30943030303030306</v>
      </c>
      <c r="H41" s="12">
        <v>0.29303030303030303</v>
      </c>
      <c r="I41" s="12">
        <v>0.30953030303030304</v>
      </c>
      <c r="J41" s="12">
        <v>0.29173030303030306</v>
      </c>
      <c r="K41" s="12">
        <v>0.29743030303030304</v>
      </c>
      <c r="L41" s="12">
        <v>0.29033030303030305</v>
      </c>
      <c r="M41" s="12">
        <v>0.31293030303030306</v>
      </c>
      <c r="N41" s="12">
        <v>0.30983030303030301</v>
      </c>
      <c r="O41" s="12">
        <v>0.29783030303030306</v>
      </c>
      <c r="P41" s="12">
        <v>0.28913030303030302</v>
      </c>
      <c r="Q41" s="12">
        <v>0.31883030303030302</v>
      </c>
      <c r="R41" s="12">
        <v>0.31063030303030303</v>
      </c>
      <c r="S41" s="12">
        <v>0.29913030303030302</v>
      </c>
      <c r="T41" s="12">
        <v>0.31773030303030303</v>
      </c>
      <c r="U41" s="12">
        <v>0.29573030303030307</v>
      </c>
      <c r="V41" s="12">
        <v>0.31063030303030303</v>
      </c>
      <c r="W41" s="12">
        <v>0.31393030303030306</v>
      </c>
      <c r="X41" s="12">
        <v>0.31903030303030305</v>
      </c>
      <c r="Y41" s="12">
        <v>0.29813030303030302</v>
      </c>
      <c r="Z41" s="12">
        <v>0.30703030303030304</v>
      </c>
      <c r="AA41" s="12">
        <v>0.29473030303030306</v>
      </c>
      <c r="AB41" s="12">
        <v>0.30353030303030304</v>
      </c>
      <c r="AD41" s="2" t="s">
        <v>35</v>
      </c>
      <c r="AE41" s="12">
        <v>3.8158767137194662E-2</v>
      </c>
      <c r="AF41" s="12">
        <v>2.3624862520097052E-2</v>
      </c>
      <c r="AG41" s="12">
        <v>3.3936470927231205E-2</v>
      </c>
      <c r="AH41" s="12">
        <v>2.7000023403966344E-2</v>
      </c>
      <c r="AI41" s="12">
        <v>2.0880082985169683E-2</v>
      </c>
      <c r="AJ41" s="12">
        <v>1.7115182847393884E-2</v>
      </c>
      <c r="AK41" s="12">
        <v>1.507522729607946E-2</v>
      </c>
      <c r="AL41" s="12">
        <v>2.9950740666012172E-2</v>
      </c>
      <c r="AM41" s="12">
        <v>2.3749404760437992E-2</v>
      </c>
      <c r="AN41" s="12">
        <v>4.6896425964616129E-2</v>
      </c>
      <c r="AO41" s="12">
        <v>6.2522557275220242E-2</v>
      </c>
      <c r="AP41" s="12">
        <v>4.1843705755371038E-2</v>
      </c>
      <c r="AQ41" s="12">
        <v>3.6929803258868688E-2</v>
      </c>
      <c r="AR41" s="12">
        <v>5.4843200914681242E-2</v>
      </c>
      <c r="AS41" s="12">
        <v>3.192240357816415E-2</v>
      </c>
      <c r="AT41" s="12">
        <v>2.8422965124282745E-2</v>
      </c>
      <c r="AU41" s="12">
        <v>4.7690511841561291E-2</v>
      </c>
      <c r="AV41" s="12">
        <v>4.2115337349315336E-2</v>
      </c>
      <c r="AW41" s="12">
        <v>3.615847064888706E-2</v>
      </c>
      <c r="AX41" s="12">
        <v>3.1333380580023627E-2</v>
      </c>
      <c r="AY41" s="12">
        <v>4.7536174530213547E-2</v>
      </c>
      <c r="AZ41" s="12">
        <v>5.4651529695381493E-2</v>
      </c>
      <c r="BA41" s="12">
        <v>4.0376853007122279E-2</v>
      </c>
      <c r="BB41" s="12">
        <v>3.6902823500669465E-2</v>
      </c>
      <c r="BC41" s="12">
        <v>3.0228362194114053E-2</v>
      </c>
      <c r="BD41" s="12">
        <v>2.5161677740836316E-2</v>
      </c>
      <c r="BF41" s="2" t="s">
        <v>35</v>
      </c>
      <c r="BG41" t="s">
        <v>96</v>
      </c>
      <c r="BH41" t="s">
        <v>97</v>
      </c>
      <c r="BI41" t="s">
        <v>95</v>
      </c>
      <c r="BJ41" t="s">
        <v>100</v>
      </c>
      <c r="BK41" t="s">
        <v>97</v>
      </c>
      <c r="BL41" t="s">
        <v>98</v>
      </c>
      <c r="BM41" t="s">
        <v>97</v>
      </c>
      <c r="BN41" t="s">
        <v>99</v>
      </c>
      <c r="BO41" t="s">
        <v>96</v>
      </c>
      <c r="BP41" t="s">
        <v>100</v>
      </c>
      <c r="BQ41" t="s">
        <v>96</v>
      </c>
      <c r="BR41" t="s">
        <v>95</v>
      </c>
      <c r="BS41" t="s">
        <v>99</v>
      </c>
      <c r="BT41" t="s">
        <v>98</v>
      </c>
      <c r="BU41" t="s">
        <v>97</v>
      </c>
      <c r="BV41" t="s">
        <v>97</v>
      </c>
      <c r="BW41" t="s">
        <v>95</v>
      </c>
      <c r="BX41" t="s">
        <v>98</v>
      </c>
      <c r="BY41" t="s">
        <v>94</v>
      </c>
      <c r="BZ41" t="s">
        <v>97</v>
      </c>
      <c r="CA41" t="s">
        <v>100</v>
      </c>
      <c r="CB41" t="s">
        <v>96</v>
      </c>
      <c r="CC41" t="s">
        <v>99</v>
      </c>
      <c r="CD41" t="s">
        <v>94</v>
      </c>
      <c r="CE41" t="s">
        <v>97</v>
      </c>
      <c r="CF41" t="s">
        <v>100</v>
      </c>
    </row>
    <row r="42" spans="1:84" x14ac:dyDescent="0.35">
      <c r="A42" s="8"/>
      <c r="B42" s="2" t="s">
        <v>36</v>
      </c>
      <c r="C42" s="12">
        <v>0.20062020202020203</v>
      </c>
      <c r="D42" s="12">
        <v>0.20952020202020205</v>
      </c>
      <c r="E42" s="12">
        <v>0.20992020202020203</v>
      </c>
      <c r="F42" s="12">
        <v>0.19142020202020205</v>
      </c>
      <c r="G42" s="12">
        <v>0.21202020202020205</v>
      </c>
      <c r="H42" s="12">
        <v>0.21652020202020206</v>
      </c>
      <c r="I42" s="12">
        <v>0.19742020202020205</v>
      </c>
      <c r="J42" s="12">
        <v>0.20802020202020205</v>
      </c>
      <c r="K42" s="12">
        <v>0.19132020202020206</v>
      </c>
      <c r="L42" s="12">
        <v>0.20482020202020204</v>
      </c>
      <c r="M42" s="12">
        <v>0.19992020202020205</v>
      </c>
      <c r="N42" s="12">
        <v>0.21752020202020206</v>
      </c>
      <c r="O42" s="12">
        <v>0.21502020202020206</v>
      </c>
      <c r="P42" s="12">
        <v>0.19162020202020205</v>
      </c>
      <c r="Q42" s="12">
        <v>0.19162020202020205</v>
      </c>
      <c r="R42" s="12">
        <v>0.21092020202020204</v>
      </c>
      <c r="S42" s="12">
        <v>0.21502020202020206</v>
      </c>
      <c r="T42" s="12">
        <v>0.21662020202020205</v>
      </c>
      <c r="U42" s="12">
        <v>0.20822020202020206</v>
      </c>
      <c r="V42" s="12">
        <v>0.20272020202020205</v>
      </c>
      <c r="W42" s="12">
        <v>0.20152020202020204</v>
      </c>
      <c r="X42" s="12">
        <v>0.20522020202020205</v>
      </c>
      <c r="Y42" s="12">
        <v>0.18872020202020204</v>
      </c>
      <c r="Z42" s="12">
        <v>0.20552020202020205</v>
      </c>
      <c r="AA42" s="12">
        <v>0.19592020202020205</v>
      </c>
      <c r="AB42" s="12">
        <v>0.19212020202020205</v>
      </c>
      <c r="AD42" s="2" t="s">
        <v>36</v>
      </c>
      <c r="AE42" s="12">
        <v>4.3751159224636606E-2</v>
      </c>
      <c r="AF42" s="12">
        <v>2.9217254607538996E-2</v>
      </c>
      <c r="AG42" s="12">
        <v>3.9528863014673149E-2</v>
      </c>
      <c r="AH42" s="12">
        <v>3.2592415491408289E-2</v>
      </c>
      <c r="AI42" s="12">
        <v>2.6472475072611627E-2</v>
      </c>
      <c r="AJ42" s="12">
        <v>2.2707574934835828E-2</v>
      </c>
      <c r="AK42" s="12">
        <v>1.951411157047872E-2</v>
      </c>
      <c r="AL42" s="12">
        <v>3.5543132753454117E-2</v>
      </c>
      <c r="AM42" s="12">
        <v>2.9341796847879936E-2</v>
      </c>
      <c r="AN42" s="12">
        <v>5.2488818052058073E-2</v>
      </c>
      <c r="AO42" s="12">
        <v>6.8114949362662186E-2</v>
      </c>
      <c r="AP42" s="12">
        <v>4.7436097842812983E-2</v>
      </c>
      <c r="AQ42" s="12">
        <v>4.2522195346310632E-2</v>
      </c>
      <c r="AR42" s="12">
        <v>6.0435593002123186E-2</v>
      </c>
      <c r="AS42" s="12">
        <v>3.7514795665606095E-2</v>
      </c>
      <c r="AT42" s="12">
        <v>3.4015357211724689E-2</v>
      </c>
      <c r="AU42" s="12">
        <v>5.3282903929003235E-2</v>
      </c>
      <c r="AV42" s="12">
        <v>4.770772943675728E-2</v>
      </c>
      <c r="AW42" s="12">
        <v>4.1750862736329004E-2</v>
      </c>
      <c r="AX42" s="12">
        <v>3.6925772667465571E-2</v>
      </c>
      <c r="AY42" s="12">
        <v>5.3128566617655491E-2</v>
      </c>
      <c r="AZ42" s="12">
        <v>6.0243921782823437E-2</v>
      </c>
      <c r="BA42" s="12">
        <v>4.5969245094564223E-2</v>
      </c>
      <c r="BB42" s="12">
        <v>4.249521558811141E-2</v>
      </c>
      <c r="BC42" s="12">
        <v>3.5820754281555997E-2</v>
      </c>
      <c r="BD42" s="12">
        <v>3.075406982827826E-2</v>
      </c>
      <c r="BF42" s="2" t="s">
        <v>36</v>
      </c>
      <c r="BG42" t="s">
        <v>94</v>
      </c>
      <c r="BH42" t="s">
        <v>98</v>
      </c>
      <c r="BI42" t="s">
        <v>99</v>
      </c>
      <c r="BJ42" t="s">
        <v>99</v>
      </c>
      <c r="BK42" t="s">
        <v>96</v>
      </c>
      <c r="BL42" t="s">
        <v>94</v>
      </c>
      <c r="BM42" t="s">
        <v>94</v>
      </c>
      <c r="BN42" t="s">
        <v>97</v>
      </c>
      <c r="BO42" t="s">
        <v>96</v>
      </c>
      <c r="BP42" t="s">
        <v>95</v>
      </c>
      <c r="BQ42" t="s">
        <v>99</v>
      </c>
      <c r="BR42" t="s">
        <v>96</v>
      </c>
      <c r="BS42" t="s">
        <v>94</v>
      </c>
      <c r="BT42" t="s">
        <v>99</v>
      </c>
      <c r="BU42" t="s">
        <v>94</v>
      </c>
      <c r="BV42" t="s">
        <v>97</v>
      </c>
      <c r="BW42" t="s">
        <v>95</v>
      </c>
      <c r="BX42" t="s">
        <v>97</v>
      </c>
      <c r="BY42" t="s">
        <v>96</v>
      </c>
      <c r="BZ42" t="s">
        <v>98</v>
      </c>
      <c r="CA42" t="s">
        <v>99</v>
      </c>
      <c r="CB42" t="s">
        <v>98</v>
      </c>
      <c r="CC42" t="s">
        <v>99</v>
      </c>
      <c r="CD42" t="s">
        <v>100</v>
      </c>
      <c r="CE42" t="s">
        <v>96</v>
      </c>
      <c r="CF42" t="s">
        <v>95</v>
      </c>
    </row>
    <row r="43" spans="1:84" x14ac:dyDescent="0.35">
      <c r="A43" s="8"/>
      <c r="B43" s="2" t="s">
        <v>37</v>
      </c>
      <c r="C43" s="12">
        <v>9.8409090909090835E-2</v>
      </c>
      <c r="D43" s="12">
        <v>9.7309090909090831E-2</v>
      </c>
      <c r="E43" s="12">
        <v>9.9609090909090828E-2</v>
      </c>
      <c r="F43" s="12">
        <v>8.3009090909090824E-2</v>
      </c>
      <c r="G43" s="12">
        <v>9.9109090909090813E-2</v>
      </c>
      <c r="H43" s="12">
        <v>9.3009090909090833E-2</v>
      </c>
      <c r="I43" s="12">
        <v>8.3509090909090825E-2</v>
      </c>
      <c r="J43" s="12">
        <v>9.9309090909090833E-2</v>
      </c>
      <c r="K43" s="12">
        <v>9.4909090909090832E-2</v>
      </c>
      <c r="L43" s="12">
        <v>8.1609090909090826E-2</v>
      </c>
      <c r="M43" s="12">
        <v>9.9109090909090827E-2</v>
      </c>
      <c r="N43" s="12">
        <v>8.4009090909090839E-2</v>
      </c>
      <c r="O43" s="12">
        <v>9.9709090909090831E-2</v>
      </c>
      <c r="P43" s="12">
        <v>8.1009090909090836E-2</v>
      </c>
      <c r="Q43" s="12">
        <v>8.9809090909090825E-2</v>
      </c>
      <c r="R43" s="12">
        <v>9.9709090909090831E-2</v>
      </c>
      <c r="S43" s="12">
        <v>9.3209090909090825E-2</v>
      </c>
      <c r="T43" s="12">
        <v>8.9309090909090824E-2</v>
      </c>
      <c r="U43" s="12">
        <v>8.0909090909090833E-2</v>
      </c>
      <c r="V43" s="12">
        <v>8.9109090909090832E-2</v>
      </c>
      <c r="W43" s="12">
        <v>9.980909090909082E-2</v>
      </c>
      <c r="X43" s="12">
        <v>8.1609090909090826E-2</v>
      </c>
      <c r="Y43" s="12">
        <v>8.6709090909090833E-2</v>
      </c>
      <c r="Z43" s="12">
        <v>9.9009090909090824E-2</v>
      </c>
      <c r="AA43" s="12">
        <v>9.4809090909090815E-2</v>
      </c>
      <c r="AB43" s="12">
        <v>8.1809090909090831E-2</v>
      </c>
      <c r="AD43" s="2" t="s">
        <v>37</v>
      </c>
      <c r="AE43" s="12">
        <v>3.1799620203974498E-2</v>
      </c>
      <c r="AF43" s="12">
        <v>1.7265715586876888E-2</v>
      </c>
      <c r="AG43" s="12">
        <v>2.7577323994011041E-2</v>
      </c>
      <c r="AH43" s="12">
        <v>2.0640876470746181E-2</v>
      </c>
      <c r="AI43" s="12">
        <v>1.4520936051949519E-2</v>
      </c>
      <c r="AJ43" s="12">
        <v>1.3388208490422528E-2</v>
      </c>
      <c r="AK43" s="12">
        <v>1.320281341593452E-2</v>
      </c>
      <c r="AL43" s="12">
        <v>2.3591593732792009E-2</v>
      </c>
      <c r="AM43" s="12">
        <v>1.7390257827217828E-2</v>
      </c>
      <c r="AN43" s="12">
        <v>4.0537279031395965E-2</v>
      </c>
      <c r="AO43" s="12">
        <v>5.6163410342000078E-2</v>
      </c>
      <c r="AP43" s="12">
        <v>3.5484558822150875E-2</v>
      </c>
      <c r="AQ43" s="12">
        <v>3.0570656325648524E-2</v>
      </c>
      <c r="AR43" s="12">
        <v>4.8484053981461078E-2</v>
      </c>
      <c r="AS43" s="12">
        <v>2.5563256644943987E-2</v>
      </c>
      <c r="AT43" s="12">
        <v>2.2063818191062581E-2</v>
      </c>
      <c r="AU43" s="12">
        <v>4.1331364908341127E-2</v>
      </c>
      <c r="AV43" s="12">
        <v>3.5756190416095172E-2</v>
      </c>
      <c r="AW43" s="12">
        <v>2.9799323715666896E-2</v>
      </c>
      <c r="AX43" s="12">
        <v>2.4974233646803463E-2</v>
      </c>
      <c r="AY43" s="12">
        <v>4.1177027596993383E-2</v>
      </c>
      <c r="AZ43" s="12">
        <v>4.8292382762161329E-2</v>
      </c>
      <c r="BA43" s="12">
        <v>3.4017706073902115E-2</v>
      </c>
      <c r="BB43" s="12">
        <v>3.0543676567449302E-2</v>
      </c>
      <c r="BC43" s="12">
        <v>2.3869215260893889E-2</v>
      </c>
      <c r="BD43" s="12">
        <v>1.8802530807616152E-2</v>
      </c>
      <c r="BF43" s="2" t="s">
        <v>37</v>
      </c>
      <c r="BG43" t="s">
        <v>97</v>
      </c>
      <c r="BH43" t="s">
        <v>96</v>
      </c>
      <c r="BI43" t="s">
        <v>98</v>
      </c>
      <c r="BJ43" t="s">
        <v>94</v>
      </c>
      <c r="BK43" t="s">
        <v>94</v>
      </c>
      <c r="BL43" t="s">
        <v>96</v>
      </c>
      <c r="BM43" t="s">
        <v>99</v>
      </c>
      <c r="BN43" t="s">
        <v>95</v>
      </c>
      <c r="BO43" t="s">
        <v>98</v>
      </c>
      <c r="BP43" t="s">
        <v>96</v>
      </c>
      <c r="BQ43" t="s">
        <v>94</v>
      </c>
      <c r="BR43" t="s">
        <v>99</v>
      </c>
      <c r="BS43" t="s">
        <v>94</v>
      </c>
      <c r="BT43" t="s">
        <v>100</v>
      </c>
      <c r="BU43" t="s">
        <v>100</v>
      </c>
      <c r="BV43" t="s">
        <v>100</v>
      </c>
      <c r="BW43" t="s">
        <v>98</v>
      </c>
      <c r="BX43" t="s">
        <v>97</v>
      </c>
      <c r="BY43" t="s">
        <v>96</v>
      </c>
      <c r="BZ43" t="s">
        <v>95</v>
      </c>
      <c r="CA43" t="s">
        <v>100</v>
      </c>
      <c r="CB43" t="s">
        <v>94</v>
      </c>
      <c r="CC43" t="s">
        <v>97</v>
      </c>
      <c r="CD43" t="s">
        <v>99</v>
      </c>
      <c r="CE43" t="s">
        <v>99</v>
      </c>
      <c r="CF43" t="s">
        <v>98</v>
      </c>
    </row>
    <row r="44" spans="1:84" x14ac:dyDescent="0.35">
      <c r="A44" s="7"/>
      <c r="B44" s="1" t="s">
        <v>38</v>
      </c>
      <c r="C44" s="12">
        <v>0.14241515151515152</v>
      </c>
      <c r="D44" s="12">
        <v>0.14751515151515152</v>
      </c>
      <c r="E44" s="12">
        <v>0.14461515151515153</v>
      </c>
      <c r="F44" s="12">
        <v>0.14011515151515153</v>
      </c>
      <c r="G44" s="12">
        <v>0.15571515151515153</v>
      </c>
      <c r="H44" s="12">
        <v>0.14231515151515151</v>
      </c>
      <c r="I44" s="12">
        <v>0.13981515151515153</v>
      </c>
      <c r="J44" s="12">
        <v>0.14991515151515153</v>
      </c>
      <c r="K44" s="12">
        <v>0.15881515151515152</v>
      </c>
      <c r="L44" s="12">
        <v>0.14411515151515153</v>
      </c>
      <c r="M44" s="12">
        <v>0.15901515151515153</v>
      </c>
      <c r="N44" s="12">
        <v>0.14021515151515151</v>
      </c>
      <c r="O44" s="12">
        <v>0.15671515151515153</v>
      </c>
      <c r="P44" s="12">
        <v>0.16421515151515151</v>
      </c>
      <c r="Q44" s="12">
        <v>0.16771515151515151</v>
      </c>
      <c r="R44" s="12">
        <v>0.15901515151515153</v>
      </c>
      <c r="S44" s="12">
        <v>0.16441515151515151</v>
      </c>
      <c r="T44" s="12">
        <v>0.15881515151515152</v>
      </c>
      <c r="U44" s="12">
        <v>0.14441515151515152</v>
      </c>
      <c r="V44" s="12">
        <v>0.15061515151515151</v>
      </c>
      <c r="W44" s="12">
        <v>0.14841515151515153</v>
      </c>
      <c r="X44" s="12">
        <v>0.14561515151515153</v>
      </c>
      <c r="Y44" s="12">
        <v>0.15011515151515151</v>
      </c>
      <c r="Z44" s="12">
        <v>0.15991515151515151</v>
      </c>
      <c r="AA44" s="12">
        <v>0.16301515151515153</v>
      </c>
      <c r="AB44" s="12">
        <v>0.14581515151515151</v>
      </c>
      <c r="AD44" s="1" t="s">
        <v>38</v>
      </c>
      <c r="AE44" s="17">
        <f>SUMPRODUCT(AE45:AE48,C45:C48)</f>
        <v>4.3692848352753097E-2</v>
      </c>
      <c r="AF44" s="17">
        <f t="shared" ref="AF44:BD44" si="12">SUMPRODUCT(AF45:AF48,D45:D48)</f>
        <v>2.9134078821448917E-2</v>
      </c>
      <c r="AG44" s="17">
        <f t="shared" si="12"/>
        <v>3.9538699779324983E-2</v>
      </c>
      <c r="AH44" s="17">
        <f t="shared" si="12"/>
        <v>3.2398970239580535E-2</v>
      </c>
      <c r="AI44" s="17">
        <f t="shared" si="12"/>
        <v>2.6513945437846007E-2</v>
      </c>
      <c r="AJ44" s="17">
        <f t="shared" si="12"/>
        <v>2.2382296528070798E-2</v>
      </c>
      <c r="AK44" s="17">
        <f t="shared" si="12"/>
        <v>1.9603160743018513E-2</v>
      </c>
      <c r="AL44" s="17">
        <f t="shared" si="12"/>
        <v>3.529679335447887E-2</v>
      </c>
      <c r="AM44" s="17">
        <f t="shared" si="12"/>
        <v>2.9316681249421567E-2</v>
      </c>
      <c r="AN44" s="17">
        <f t="shared" si="12"/>
        <v>5.2212175065269706E-2</v>
      </c>
      <c r="AO44" s="17">
        <f t="shared" si="12"/>
        <v>6.7942022158903895E-2</v>
      </c>
      <c r="AP44" s="17">
        <f t="shared" si="12"/>
        <v>4.739092658084415E-2</v>
      </c>
      <c r="AQ44" s="17">
        <f t="shared" si="12"/>
        <v>4.2461869248044057E-2</v>
      </c>
      <c r="AR44" s="17">
        <f t="shared" si="12"/>
        <v>6.0463219069848556E-2</v>
      </c>
      <c r="AS44" s="17">
        <f t="shared" si="12"/>
        <v>3.7370505990009878E-2</v>
      </c>
      <c r="AT44" s="17">
        <f t="shared" si="12"/>
        <v>3.3608785231186454E-2</v>
      </c>
      <c r="AU44" s="17">
        <f t="shared" si="12"/>
        <v>5.3097430443306268E-2</v>
      </c>
      <c r="AV44" s="17">
        <f t="shared" si="12"/>
        <v>4.7603469048696397E-2</v>
      </c>
      <c r="AW44" s="17">
        <f t="shared" si="12"/>
        <v>4.1565546728172545E-2</v>
      </c>
      <c r="AX44" s="17">
        <f t="shared" si="12"/>
        <v>3.6852883845294462E-2</v>
      </c>
      <c r="AY44" s="17">
        <f t="shared" si="12"/>
        <v>5.3133626771269767E-2</v>
      </c>
      <c r="AZ44" s="17">
        <f t="shared" si="12"/>
        <v>6.0246466016966566E-2</v>
      </c>
      <c r="BA44" s="17">
        <f t="shared" si="12"/>
        <v>4.5723864904638013E-2</v>
      </c>
      <c r="BB44" s="17">
        <f t="shared" si="12"/>
        <v>4.219378671663479E-2</v>
      </c>
      <c r="BC44" s="17">
        <f t="shared" si="12"/>
        <v>3.574722135932995E-2</v>
      </c>
      <c r="BD44" s="17">
        <f t="shared" si="12"/>
        <v>3.0536863588691069E-2</v>
      </c>
      <c r="BF44" s="1" t="s">
        <v>38</v>
      </c>
      <c r="BG44" t="s">
        <v>100</v>
      </c>
      <c r="BH44" t="s">
        <v>96</v>
      </c>
      <c r="BI44" t="s">
        <v>97</v>
      </c>
      <c r="BJ44" t="s">
        <v>98</v>
      </c>
      <c r="BK44" t="s">
        <v>99</v>
      </c>
      <c r="BL44" t="s">
        <v>94</v>
      </c>
      <c r="BM44" t="s">
        <v>98</v>
      </c>
      <c r="BN44" t="s">
        <v>97</v>
      </c>
      <c r="BO44" t="s">
        <v>95</v>
      </c>
      <c r="BP44" t="s">
        <v>95</v>
      </c>
      <c r="BQ44" t="s">
        <v>98</v>
      </c>
      <c r="BR44" t="s">
        <v>99</v>
      </c>
      <c r="BS44" t="s">
        <v>99</v>
      </c>
      <c r="BT44" t="s">
        <v>95</v>
      </c>
      <c r="BU44" t="s">
        <v>100</v>
      </c>
      <c r="BV44" t="s">
        <v>100</v>
      </c>
      <c r="BW44" t="s">
        <v>96</v>
      </c>
      <c r="BX44" t="s">
        <v>94</v>
      </c>
      <c r="BY44" t="s">
        <v>97</v>
      </c>
      <c r="BZ44" t="s">
        <v>94</v>
      </c>
      <c r="CA44" t="s">
        <v>95</v>
      </c>
      <c r="CB44" t="s">
        <v>94</v>
      </c>
      <c r="CC44" t="s">
        <v>94</v>
      </c>
      <c r="CD44" t="s">
        <v>97</v>
      </c>
      <c r="CE44" t="s">
        <v>100</v>
      </c>
      <c r="CF44" t="s">
        <v>95</v>
      </c>
    </row>
    <row r="45" spans="1:84" x14ac:dyDescent="0.35">
      <c r="A45" s="8"/>
      <c r="B45" s="2" t="s">
        <v>39</v>
      </c>
      <c r="C45" s="12">
        <f>1-SUM(C46:C48)</f>
        <v>0.38690641771247825</v>
      </c>
      <c r="D45" s="12">
        <f t="shared" ref="D45:AB45" si="13">1-SUM(D46:D48)</f>
        <v>0.37310641771247821</v>
      </c>
      <c r="E45" s="12">
        <f t="shared" si="13"/>
        <v>0.38010641771247833</v>
      </c>
      <c r="F45" s="12">
        <f t="shared" si="13"/>
        <v>0.33650641771247825</v>
      </c>
      <c r="G45" s="12">
        <f t="shared" si="13"/>
        <v>0.36440641771247828</v>
      </c>
      <c r="H45" s="12">
        <f t="shared" si="13"/>
        <v>0.33890641771247831</v>
      </c>
      <c r="I45" s="12">
        <f t="shared" si="13"/>
        <v>0.36600641771247822</v>
      </c>
      <c r="J45" s="12">
        <f t="shared" si="13"/>
        <v>0.33210641771247829</v>
      </c>
      <c r="K45" s="12">
        <f t="shared" si="13"/>
        <v>0.35640641771247827</v>
      </c>
      <c r="L45" s="12">
        <f t="shared" si="13"/>
        <v>0.32010641771247816</v>
      </c>
      <c r="M45" s="12">
        <f t="shared" si="13"/>
        <v>0.34740641771247827</v>
      </c>
      <c r="N45" s="12">
        <f t="shared" si="13"/>
        <v>0.35530641771247828</v>
      </c>
      <c r="O45" s="12">
        <f t="shared" si="13"/>
        <v>0.36420641771247819</v>
      </c>
      <c r="P45" s="12">
        <f t="shared" si="13"/>
        <v>0.36560641771247826</v>
      </c>
      <c r="Q45" s="12">
        <f t="shared" si="13"/>
        <v>0.35420641771247818</v>
      </c>
      <c r="R45" s="12">
        <f t="shared" si="13"/>
        <v>0.33970641771247823</v>
      </c>
      <c r="S45" s="12">
        <f t="shared" si="13"/>
        <v>0.35400641771247821</v>
      </c>
      <c r="T45" s="12">
        <f t="shared" si="13"/>
        <v>0.37510641771247821</v>
      </c>
      <c r="U45" s="12">
        <f t="shared" si="13"/>
        <v>0.33830641771247838</v>
      </c>
      <c r="V45" s="12">
        <f t="shared" si="13"/>
        <v>0.37940641771247818</v>
      </c>
      <c r="W45" s="12">
        <f t="shared" si="13"/>
        <v>0.34970641771247835</v>
      </c>
      <c r="X45" s="12">
        <f t="shared" si="13"/>
        <v>0.39020641771247822</v>
      </c>
      <c r="Y45" s="12">
        <f t="shared" si="13"/>
        <v>0.32360641771247822</v>
      </c>
      <c r="Z45" s="12">
        <f t="shared" si="13"/>
        <v>0.34130641771247827</v>
      </c>
      <c r="AA45" s="12">
        <f t="shared" si="13"/>
        <v>0.37090641771247812</v>
      </c>
      <c r="AB45" s="12">
        <f t="shared" si="13"/>
        <v>0.32520641771247827</v>
      </c>
      <c r="AD45" s="2" t="s">
        <v>39</v>
      </c>
      <c r="AE45" s="12">
        <v>4.7404233275833013E-2</v>
      </c>
      <c r="AF45" s="12">
        <v>3.2870328658735404E-2</v>
      </c>
      <c r="AG45" s="12">
        <v>4.3181937065869556E-2</v>
      </c>
      <c r="AH45" s="12">
        <v>3.6245489542604696E-2</v>
      </c>
      <c r="AI45" s="12">
        <v>3.0125549123808035E-2</v>
      </c>
      <c r="AJ45" s="12">
        <v>2.6360648986032235E-2</v>
      </c>
      <c r="AK45" s="12">
        <v>2.3167185621675128E-2</v>
      </c>
      <c r="AL45" s="12">
        <v>3.9196206804650524E-2</v>
      </c>
      <c r="AM45" s="12">
        <v>3.2994870899076344E-2</v>
      </c>
      <c r="AN45" s="12">
        <v>5.614189210325448E-2</v>
      </c>
      <c r="AO45" s="12">
        <v>7.17680234138586E-2</v>
      </c>
      <c r="AP45" s="12">
        <v>5.108917189400939E-2</v>
      </c>
      <c r="AQ45" s="12">
        <v>4.6175269397507039E-2</v>
      </c>
      <c r="AR45" s="12">
        <v>6.4088667053319587E-2</v>
      </c>
      <c r="AS45" s="12">
        <v>4.1167869716802502E-2</v>
      </c>
      <c r="AT45" s="12">
        <v>3.7668431262921097E-2</v>
      </c>
      <c r="AU45" s="12">
        <v>5.6935977980199642E-2</v>
      </c>
      <c r="AV45" s="12">
        <v>5.1360803487953688E-2</v>
      </c>
      <c r="AW45" s="12">
        <v>4.5403936787525412E-2</v>
      </c>
      <c r="AX45" s="12">
        <v>4.0578846718661979E-2</v>
      </c>
      <c r="AY45" s="12">
        <v>5.6781640668851899E-2</v>
      </c>
      <c r="AZ45" s="12">
        <v>6.3896995834019837E-2</v>
      </c>
      <c r="BA45" s="12">
        <v>4.9622319145760631E-2</v>
      </c>
      <c r="BB45" s="12">
        <v>4.6148289639307817E-2</v>
      </c>
      <c r="BC45" s="12">
        <v>3.9473828332752404E-2</v>
      </c>
      <c r="BD45" s="12">
        <v>3.4407143879474668E-2</v>
      </c>
      <c r="BF45" s="2" t="s">
        <v>39</v>
      </c>
      <c r="BG45" t="s">
        <v>94</v>
      </c>
      <c r="BH45" t="s">
        <v>96</v>
      </c>
      <c r="BI45" t="s">
        <v>98</v>
      </c>
      <c r="BJ45" t="s">
        <v>94</v>
      </c>
      <c r="BK45" t="s">
        <v>100</v>
      </c>
      <c r="BL45" t="s">
        <v>100</v>
      </c>
      <c r="BM45" t="s">
        <v>94</v>
      </c>
      <c r="BN45" t="s">
        <v>100</v>
      </c>
      <c r="BO45" t="s">
        <v>97</v>
      </c>
      <c r="BP45" t="s">
        <v>97</v>
      </c>
      <c r="BQ45" t="s">
        <v>95</v>
      </c>
      <c r="BR45" t="s">
        <v>98</v>
      </c>
      <c r="BS45" t="s">
        <v>99</v>
      </c>
      <c r="BT45" t="s">
        <v>94</v>
      </c>
      <c r="BU45" t="s">
        <v>95</v>
      </c>
      <c r="BV45" t="s">
        <v>100</v>
      </c>
      <c r="BW45" t="s">
        <v>99</v>
      </c>
      <c r="BX45" t="s">
        <v>94</v>
      </c>
      <c r="BY45" t="s">
        <v>98</v>
      </c>
      <c r="BZ45" t="s">
        <v>100</v>
      </c>
      <c r="CA45" t="s">
        <v>97</v>
      </c>
      <c r="CB45" t="s">
        <v>100</v>
      </c>
      <c r="CC45" t="s">
        <v>96</v>
      </c>
      <c r="CD45" t="s">
        <v>97</v>
      </c>
      <c r="CE45" t="s">
        <v>97</v>
      </c>
      <c r="CF45" t="s">
        <v>96</v>
      </c>
    </row>
    <row r="46" spans="1:84" x14ac:dyDescent="0.35">
      <c r="A46" s="8"/>
      <c r="B46" s="2" t="s">
        <v>40</v>
      </c>
      <c r="C46" s="12">
        <v>0.29779121518212431</v>
      </c>
      <c r="D46" s="12">
        <v>0.2993912151821243</v>
      </c>
      <c r="E46" s="12">
        <v>0.29279121518212431</v>
      </c>
      <c r="F46" s="12">
        <v>0.31169121518212428</v>
      </c>
      <c r="G46" s="12">
        <v>0.30029121518212432</v>
      </c>
      <c r="H46" s="12">
        <v>0.31739121518212426</v>
      </c>
      <c r="I46" s="12">
        <v>0.29279121518212431</v>
      </c>
      <c r="J46" s="12">
        <v>0.32289121518212427</v>
      </c>
      <c r="K46" s="12">
        <v>0.29629121518212431</v>
      </c>
      <c r="L46" s="12">
        <v>0.31849121518212431</v>
      </c>
      <c r="M46" s="12">
        <v>0.30709121518212429</v>
      </c>
      <c r="N46" s="12">
        <v>0.30709121518212429</v>
      </c>
      <c r="O46" s="12">
        <v>0.29229121518212431</v>
      </c>
      <c r="P46" s="12">
        <v>0.3024912151821243</v>
      </c>
      <c r="Q46" s="12">
        <v>0.31499121518212431</v>
      </c>
      <c r="R46" s="12">
        <v>0.32219121518212429</v>
      </c>
      <c r="S46" s="12">
        <v>0.31379121518212427</v>
      </c>
      <c r="T46" s="12">
        <v>0.2988912151821243</v>
      </c>
      <c r="U46" s="12">
        <v>0.31979121518212428</v>
      </c>
      <c r="V46" s="12">
        <v>0.30139121518212431</v>
      </c>
      <c r="W46" s="12">
        <v>0.29259121518212428</v>
      </c>
      <c r="X46" s="12">
        <v>0.29279121518212431</v>
      </c>
      <c r="Y46" s="12">
        <v>0.3170912151821243</v>
      </c>
      <c r="Z46" s="12">
        <v>0.31949121518212431</v>
      </c>
      <c r="AA46" s="12">
        <v>0.29659121518212428</v>
      </c>
      <c r="AB46" s="12">
        <v>0.31259121518212429</v>
      </c>
      <c r="AD46" s="2" t="s">
        <v>40</v>
      </c>
      <c r="AE46" s="12">
        <v>3.7718519133619906E-2</v>
      </c>
      <c r="AF46" s="12">
        <v>2.3184614516522296E-2</v>
      </c>
      <c r="AG46" s="12">
        <v>3.3496222923656449E-2</v>
      </c>
      <c r="AH46" s="12">
        <v>2.6559775400391589E-2</v>
      </c>
      <c r="AI46" s="12">
        <v>2.0439834981594927E-2</v>
      </c>
      <c r="AJ46" s="12">
        <v>1.6674934843819128E-2</v>
      </c>
      <c r="AK46" s="12">
        <v>1.3481471479462021E-2</v>
      </c>
      <c r="AL46" s="12">
        <v>2.9510492662437417E-2</v>
      </c>
      <c r="AM46" s="12">
        <v>2.3309156756863236E-2</v>
      </c>
      <c r="AN46" s="12">
        <v>4.6456177961041373E-2</v>
      </c>
      <c r="AO46" s="12">
        <v>6.2082309271645486E-2</v>
      </c>
      <c r="AP46" s="12">
        <v>4.1403457751796283E-2</v>
      </c>
      <c r="AQ46" s="12">
        <v>3.6489555255293932E-2</v>
      </c>
      <c r="AR46" s="12">
        <v>5.4402952911106486E-2</v>
      </c>
      <c r="AS46" s="12">
        <v>3.1482155574589395E-2</v>
      </c>
      <c r="AT46" s="12">
        <v>2.7982717120707989E-2</v>
      </c>
      <c r="AU46" s="12">
        <v>4.7250263837986535E-2</v>
      </c>
      <c r="AV46" s="12">
        <v>4.167508934574058E-2</v>
      </c>
      <c r="AW46" s="12">
        <v>3.5718222645312304E-2</v>
      </c>
      <c r="AX46" s="12">
        <v>3.0893132576448872E-2</v>
      </c>
      <c r="AY46" s="12">
        <v>4.7095926526638791E-2</v>
      </c>
      <c r="AZ46" s="12">
        <v>5.4211281691806737E-2</v>
      </c>
      <c r="BA46" s="12">
        <v>3.9936605003547523E-2</v>
      </c>
      <c r="BB46" s="12">
        <v>3.646257549709471E-2</v>
      </c>
      <c r="BC46" s="12">
        <v>2.9788114190539297E-2</v>
      </c>
      <c r="BD46" s="12">
        <v>2.472142973726156E-2</v>
      </c>
      <c r="BF46" s="2" t="s">
        <v>40</v>
      </c>
      <c r="BG46" t="s">
        <v>100</v>
      </c>
      <c r="BH46" t="s">
        <v>99</v>
      </c>
      <c r="BI46" t="s">
        <v>98</v>
      </c>
      <c r="BJ46" t="s">
        <v>96</v>
      </c>
      <c r="BK46" t="s">
        <v>94</v>
      </c>
      <c r="BL46" t="s">
        <v>95</v>
      </c>
      <c r="BM46" t="s">
        <v>100</v>
      </c>
      <c r="BN46" t="s">
        <v>94</v>
      </c>
      <c r="BO46" t="s">
        <v>96</v>
      </c>
      <c r="BP46" t="s">
        <v>98</v>
      </c>
      <c r="BQ46" t="s">
        <v>98</v>
      </c>
      <c r="BR46" t="s">
        <v>100</v>
      </c>
      <c r="BS46" t="s">
        <v>99</v>
      </c>
      <c r="BT46" t="s">
        <v>98</v>
      </c>
      <c r="BU46" t="s">
        <v>97</v>
      </c>
      <c r="BV46" t="s">
        <v>94</v>
      </c>
      <c r="BW46" t="s">
        <v>97</v>
      </c>
      <c r="BX46" t="s">
        <v>96</v>
      </c>
      <c r="BY46" t="s">
        <v>96</v>
      </c>
      <c r="BZ46" t="s">
        <v>97</v>
      </c>
      <c r="CA46" t="s">
        <v>98</v>
      </c>
      <c r="CB46" t="s">
        <v>96</v>
      </c>
      <c r="CC46" t="s">
        <v>98</v>
      </c>
      <c r="CD46" t="s">
        <v>94</v>
      </c>
      <c r="CE46" t="s">
        <v>99</v>
      </c>
      <c r="CF46" t="s">
        <v>96</v>
      </c>
    </row>
    <row r="47" spans="1:84" x14ac:dyDescent="0.35">
      <c r="A47" s="8"/>
      <c r="B47" s="2" t="s">
        <v>41</v>
      </c>
      <c r="C47" s="12">
        <v>0.24477601265177026</v>
      </c>
      <c r="D47" s="12">
        <v>0.25207601265177026</v>
      </c>
      <c r="E47" s="12">
        <v>0.24907601265177026</v>
      </c>
      <c r="F47" s="12">
        <v>0.26397601265177029</v>
      </c>
      <c r="G47" s="12">
        <v>0.24337601265177028</v>
      </c>
      <c r="H47" s="12">
        <v>0.26707601265177028</v>
      </c>
      <c r="I47" s="12">
        <v>0.24887601265177026</v>
      </c>
      <c r="J47" s="12">
        <v>0.25507601265177027</v>
      </c>
      <c r="K47" s="12">
        <v>0.25977601265177025</v>
      </c>
      <c r="L47" s="12">
        <v>0.27067601265177027</v>
      </c>
      <c r="M47" s="12">
        <v>0.26297601265177029</v>
      </c>
      <c r="N47" s="12">
        <v>0.24657601265177026</v>
      </c>
      <c r="O47" s="12">
        <v>0.26487601265177024</v>
      </c>
      <c r="P47" s="12">
        <v>0.24087601265177028</v>
      </c>
      <c r="Q47" s="12">
        <v>0.24517601265177028</v>
      </c>
      <c r="R47" s="12">
        <v>0.26747601265177029</v>
      </c>
      <c r="S47" s="12">
        <v>0.25097601265177027</v>
      </c>
      <c r="T47" s="12">
        <v>0.25377601265177024</v>
      </c>
      <c r="U47" s="12">
        <v>0.25047601265177027</v>
      </c>
      <c r="V47" s="12">
        <v>0.24487601265177028</v>
      </c>
      <c r="W47" s="12">
        <v>0.26577601265177025</v>
      </c>
      <c r="X47" s="12">
        <v>0.24447601265177027</v>
      </c>
      <c r="Y47" s="12">
        <v>0.26787601265177025</v>
      </c>
      <c r="Z47" s="12">
        <v>0.26047601265177028</v>
      </c>
      <c r="AA47" s="12">
        <v>0.25637601265177029</v>
      </c>
      <c r="AB47" s="12">
        <v>0.27087601265177025</v>
      </c>
      <c r="AD47" s="2" t="s">
        <v>41</v>
      </c>
      <c r="AE47" s="12">
        <v>4.2449313163549995E-2</v>
      </c>
      <c r="AF47" s="12">
        <v>2.7915408546452386E-2</v>
      </c>
      <c r="AG47" s="12">
        <v>3.8227016953586539E-2</v>
      </c>
      <c r="AH47" s="12">
        <v>3.1290569430321678E-2</v>
      </c>
      <c r="AI47" s="12">
        <v>2.5170629011525017E-2</v>
      </c>
      <c r="AJ47" s="12">
        <v>2.1405728873749218E-2</v>
      </c>
      <c r="AK47" s="12">
        <v>1.821226550939211E-2</v>
      </c>
      <c r="AL47" s="12">
        <v>3.4241286692367506E-2</v>
      </c>
      <c r="AM47" s="12">
        <v>2.8039950786793326E-2</v>
      </c>
      <c r="AN47" s="12">
        <v>5.1186971990971462E-2</v>
      </c>
      <c r="AO47" s="12">
        <v>6.6813103301575583E-2</v>
      </c>
      <c r="AP47" s="12">
        <v>4.6134251781726372E-2</v>
      </c>
      <c r="AQ47" s="12">
        <v>4.1220349285224021E-2</v>
      </c>
      <c r="AR47" s="12">
        <v>5.9133746941036576E-2</v>
      </c>
      <c r="AS47" s="12">
        <v>3.6212949604519484E-2</v>
      </c>
      <c r="AT47" s="12">
        <v>3.2713511150638079E-2</v>
      </c>
      <c r="AU47" s="12">
        <v>5.1981057867916625E-2</v>
      </c>
      <c r="AV47" s="12">
        <v>4.640588337567067E-2</v>
      </c>
      <c r="AW47" s="12">
        <v>4.0449016675242394E-2</v>
      </c>
      <c r="AX47" s="12">
        <v>3.5623926606378961E-2</v>
      </c>
      <c r="AY47" s="12">
        <v>5.1826720556568881E-2</v>
      </c>
      <c r="AZ47" s="12">
        <v>5.8942075721736827E-2</v>
      </c>
      <c r="BA47" s="12">
        <v>4.4667399033477613E-2</v>
      </c>
      <c r="BB47" s="12">
        <v>4.1193369527024799E-2</v>
      </c>
      <c r="BC47" s="12">
        <v>3.4518908220469387E-2</v>
      </c>
      <c r="BD47" s="12">
        <v>2.945222376719165E-2</v>
      </c>
      <c r="BF47" s="2" t="s">
        <v>41</v>
      </c>
      <c r="BG47" t="s">
        <v>100</v>
      </c>
      <c r="BH47" t="s">
        <v>96</v>
      </c>
      <c r="BI47" t="s">
        <v>99</v>
      </c>
      <c r="BJ47" t="s">
        <v>100</v>
      </c>
      <c r="BK47" t="s">
        <v>98</v>
      </c>
      <c r="BL47" t="s">
        <v>95</v>
      </c>
      <c r="BM47" t="s">
        <v>98</v>
      </c>
      <c r="BN47" t="s">
        <v>100</v>
      </c>
      <c r="BO47" t="s">
        <v>96</v>
      </c>
      <c r="BP47" t="s">
        <v>94</v>
      </c>
      <c r="BQ47" t="s">
        <v>97</v>
      </c>
      <c r="BR47" t="s">
        <v>95</v>
      </c>
      <c r="BS47" t="s">
        <v>96</v>
      </c>
      <c r="BT47" t="s">
        <v>100</v>
      </c>
      <c r="BU47" t="s">
        <v>94</v>
      </c>
      <c r="BV47" t="s">
        <v>96</v>
      </c>
      <c r="BW47" t="s">
        <v>99</v>
      </c>
      <c r="BX47" t="s">
        <v>97</v>
      </c>
      <c r="BY47" t="s">
        <v>99</v>
      </c>
      <c r="BZ47" t="s">
        <v>97</v>
      </c>
      <c r="CA47" t="s">
        <v>96</v>
      </c>
      <c r="CB47" t="s">
        <v>98</v>
      </c>
      <c r="CC47" t="s">
        <v>94</v>
      </c>
      <c r="CD47" t="s">
        <v>98</v>
      </c>
      <c r="CE47" t="s">
        <v>97</v>
      </c>
      <c r="CF47" t="s">
        <v>95</v>
      </c>
    </row>
    <row r="48" spans="1:84" x14ac:dyDescent="0.35">
      <c r="A48" s="8"/>
      <c r="B48" s="2" t="s">
        <v>42</v>
      </c>
      <c r="C48" s="12">
        <v>7.0526354453627191E-2</v>
      </c>
      <c r="D48" s="12">
        <v>7.5426354453627192E-2</v>
      </c>
      <c r="E48" s="12">
        <v>7.8026354453627197E-2</v>
      </c>
      <c r="F48" s="12">
        <v>8.7826354453627187E-2</v>
      </c>
      <c r="G48" s="12">
        <v>9.1926354453627193E-2</v>
      </c>
      <c r="H48" s="12">
        <v>7.6626354453627199E-2</v>
      </c>
      <c r="I48" s="12">
        <v>9.2326354453627191E-2</v>
      </c>
      <c r="J48" s="12">
        <v>8.9926354453627191E-2</v>
      </c>
      <c r="K48" s="12">
        <v>8.7526354453627192E-2</v>
      </c>
      <c r="L48" s="12">
        <v>9.0726354453627187E-2</v>
      </c>
      <c r="M48" s="12">
        <v>8.2526354453627188E-2</v>
      </c>
      <c r="N48" s="12">
        <v>9.1026354453627195E-2</v>
      </c>
      <c r="O48" s="12">
        <v>7.8626354453627187E-2</v>
      </c>
      <c r="P48" s="12">
        <v>9.1026354453627195E-2</v>
      </c>
      <c r="Q48" s="12">
        <v>8.5626354453627193E-2</v>
      </c>
      <c r="R48" s="12">
        <v>7.0626354453627194E-2</v>
      </c>
      <c r="S48" s="12">
        <v>8.1226354453627192E-2</v>
      </c>
      <c r="T48" s="12">
        <v>7.2226354453627198E-2</v>
      </c>
      <c r="U48" s="12">
        <v>9.1426354453627179E-2</v>
      </c>
      <c r="V48" s="12">
        <v>7.4326354453627189E-2</v>
      </c>
      <c r="W48" s="12">
        <v>9.1926354453627179E-2</v>
      </c>
      <c r="X48" s="12">
        <v>7.2526354453627193E-2</v>
      </c>
      <c r="Y48" s="12">
        <v>9.1426354453627193E-2</v>
      </c>
      <c r="Z48" s="12">
        <v>7.872635445362719E-2</v>
      </c>
      <c r="AA48" s="12">
        <v>7.6126354453627199E-2</v>
      </c>
      <c r="AB48" s="12">
        <v>9.132635445362719E-2</v>
      </c>
      <c r="AD48" s="2" t="s">
        <v>42</v>
      </c>
      <c r="AE48" s="12">
        <v>5.2874262916777742E-2</v>
      </c>
      <c r="AF48" s="12">
        <v>3.8340358299680133E-2</v>
      </c>
      <c r="AG48" s="12">
        <v>4.8651966706814286E-2</v>
      </c>
      <c r="AH48" s="12">
        <v>4.1715519183549425E-2</v>
      </c>
      <c r="AI48" s="12">
        <v>3.5595578764752764E-2</v>
      </c>
      <c r="AJ48" s="12">
        <v>3.1830678626976965E-2</v>
      </c>
      <c r="AK48" s="12">
        <v>2.8637215262619857E-2</v>
      </c>
      <c r="AL48" s="12">
        <v>4.4666236445595253E-2</v>
      </c>
      <c r="AM48" s="12">
        <v>3.8464900540021073E-2</v>
      </c>
      <c r="AN48" s="12">
        <v>6.1611921744199209E-2</v>
      </c>
      <c r="AO48" s="12">
        <v>7.723805305480333E-2</v>
      </c>
      <c r="AP48" s="12">
        <v>5.6559201534954119E-2</v>
      </c>
      <c r="AQ48" s="12">
        <v>5.1645299038451768E-2</v>
      </c>
      <c r="AR48" s="12">
        <v>6.9558696694264316E-2</v>
      </c>
      <c r="AS48" s="12">
        <v>4.6637899357747231E-2</v>
      </c>
      <c r="AT48" s="12">
        <v>4.3138460903865826E-2</v>
      </c>
      <c r="AU48" s="12">
        <v>6.2406007621144371E-2</v>
      </c>
      <c r="AV48" s="12">
        <v>5.6830833128898417E-2</v>
      </c>
      <c r="AW48" s="12">
        <v>5.0873966428470141E-2</v>
      </c>
      <c r="AX48" s="12">
        <v>4.6048876359606708E-2</v>
      </c>
      <c r="AY48" s="12">
        <v>6.2251670309796628E-2</v>
      </c>
      <c r="AZ48" s="12">
        <v>6.9367025474964567E-2</v>
      </c>
      <c r="BA48" s="12">
        <v>5.509234878670536E-2</v>
      </c>
      <c r="BB48" s="12">
        <v>5.1618319280252546E-2</v>
      </c>
      <c r="BC48" s="12">
        <v>4.4943857973697134E-2</v>
      </c>
      <c r="BD48" s="12">
        <v>3.9877173520419397E-2</v>
      </c>
      <c r="BF48" s="2" t="s">
        <v>42</v>
      </c>
      <c r="BG48" t="s">
        <v>96</v>
      </c>
      <c r="BH48" t="s">
        <v>96</v>
      </c>
      <c r="BI48" t="s">
        <v>94</v>
      </c>
      <c r="BJ48" t="s">
        <v>96</v>
      </c>
      <c r="BK48" t="s">
        <v>99</v>
      </c>
      <c r="BL48" t="s">
        <v>96</v>
      </c>
      <c r="BM48" t="s">
        <v>100</v>
      </c>
      <c r="BN48" t="s">
        <v>97</v>
      </c>
      <c r="BO48" t="s">
        <v>94</v>
      </c>
      <c r="BP48" t="s">
        <v>94</v>
      </c>
      <c r="BQ48" t="s">
        <v>95</v>
      </c>
      <c r="BR48" t="s">
        <v>95</v>
      </c>
      <c r="BS48" t="s">
        <v>95</v>
      </c>
      <c r="BT48" t="s">
        <v>95</v>
      </c>
      <c r="BU48" t="s">
        <v>97</v>
      </c>
      <c r="BV48" t="s">
        <v>96</v>
      </c>
      <c r="BW48" t="s">
        <v>98</v>
      </c>
      <c r="BX48" t="s">
        <v>99</v>
      </c>
      <c r="BY48" t="s">
        <v>100</v>
      </c>
      <c r="BZ48" t="s">
        <v>96</v>
      </c>
      <c r="CA48" t="s">
        <v>94</v>
      </c>
      <c r="CB48" t="s">
        <v>99</v>
      </c>
      <c r="CC48" t="s">
        <v>94</v>
      </c>
      <c r="CD48" t="s">
        <v>98</v>
      </c>
      <c r="CE48" t="s">
        <v>100</v>
      </c>
      <c r="CF48" t="s">
        <v>95</v>
      </c>
    </row>
    <row r="49" spans="1:84" x14ac:dyDescent="0.35">
      <c r="A49" s="7"/>
      <c r="B49" s="1" t="s">
        <v>43</v>
      </c>
      <c r="C49" s="12">
        <v>8.8010101010101024E-2</v>
      </c>
      <c r="D49" s="12">
        <v>9.0310101010101021E-2</v>
      </c>
      <c r="E49" s="12">
        <v>9.6010101010101018E-2</v>
      </c>
      <c r="F49" s="12">
        <v>0.11201010101010102</v>
      </c>
      <c r="G49" s="12">
        <v>0.11301010101010102</v>
      </c>
      <c r="H49" s="12">
        <v>0.10311010101010103</v>
      </c>
      <c r="I49" s="12">
        <v>9.9910101010101018E-2</v>
      </c>
      <c r="J49" s="12">
        <v>0.10311010101010103</v>
      </c>
      <c r="K49" s="12">
        <v>9.3910101010101027E-2</v>
      </c>
      <c r="L49" s="12">
        <v>8.8510101010101025E-2</v>
      </c>
      <c r="M49" s="12">
        <v>0.10851010101010103</v>
      </c>
      <c r="N49" s="12">
        <v>8.9410101010101023E-2</v>
      </c>
      <c r="O49" s="12">
        <v>0.10831010101010102</v>
      </c>
      <c r="P49" s="12">
        <v>9.5010101010101017E-2</v>
      </c>
      <c r="Q49" s="12">
        <v>9.8710101010101026E-2</v>
      </c>
      <c r="R49" s="12">
        <v>9.0210101010101018E-2</v>
      </c>
      <c r="S49" s="12">
        <v>0.10901010101010103</v>
      </c>
      <c r="T49" s="12">
        <v>0.11031010101010102</v>
      </c>
      <c r="U49" s="12">
        <v>0.10271010101010102</v>
      </c>
      <c r="V49" s="12">
        <v>9.2410101010101026E-2</v>
      </c>
      <c r="W49" s="12">
        <v>9.4810101010101025E-2</v>
      </c>
      <c r="X49" s="12">
        <v>0.10021010101010103</v>
      </c>
      <c r="Y49" s="12">
        <v>9.2810101010101023E-2</v>
      </c>
      <c r="Z49" s="12">
        <v>0.11391010101010102</v>
      </c>
      <c r="AA49" s="12">
        <v>9.221010101010102E-2</v>
      </c>
      <c r="AB49" s="12">
        <v>9.8210101010101025E-2</v>
      </c>
      <c r="AD49" s="1" t="s">
        <v>43</v>
      </c>
      <c r="AE49" s="17">
        <f>SUMPRODUCT(AE50:AE53,C50:C53)</f>
        <v>3.533925502781321E-2</v>
      </c>
      <c r="AF49" s="17">
        <f t="shared" ref="AF49:BD49" si="14">SUMPRODUCT(AF50:AF53,D50:D53)</f>
        <v>2.100979405957009E-2</v>
      </c>
      <c r="AG49" s="17">
        <f t="shared" si="14"/>
        <v>3.105605579408989E-2</v>
      </c>
      <c r="AH49" s="17">
        <f t="shared" si="14"/>
        <v>2.4315145611535138E-2</v>
      </c>
      <c r="AI49" s="17">
        <f t="shared" si="14"/>
        <v>1.8652500809390373E-2</v>
      </c>
      <c r="AJ49" s="17">
        <f t="shared" si="14"/>
        <v>1.5970972396963164E-2</v>
      </c>
      <c r="AK49" s="17">
        <f t="shared" si="14"/>
        <v>1.4355793637291761E-2</v>
      </c>
      <c r="AL49" s="17">
        <f t="shared" si="14"/>
        <v>2.7164403607948667E-2</v>
      </c>
      <c r="AM49" s="17">
        <f t="shared" si="14"/>
        <v>2.1012381096172362E-2</v>
      </c>
      <c r="AN49" s="17">
        <f t="shared" si="14"/>
        <v>4.4102148156731261E-2</v>
      </c>
      <c r="AO49" s="17">
        <f t="shared" si="14"/>
        <v>5.9855952432562386E-2</v>
      </c>
      <c r="AP49" s="17">
        <f t="shared" si="14"/>
        <v>3.8917480226978871E-2</v>
      </c>
      <c r="AQ49" s="17">
        <f t="shared" si="14"/>
        <v>3.4009623725589105E-2</v>
      </c>
      <c r="AR49" s="17">
        <f t="shared" si="14"/>
        <v>5.1885558781909064E-2</v>
      </c>
      <c r="AS49" s="17">
        <f t="shared" si="14"/>
        <v>2.9086426613743464E-2</v>
      </c>
      <c r="AT49" s="17">
        <f t="shared" si="14"/>
        <v>2.5480901772322567E-2</v>
      </c>
      <c r="AU49" s="17">
        <f t="shared" si="14"/>
        <v>4.4988734304121432E-2</v>
      </c>
      <c r="AV49" s="17">
        <f t="shared" si="14"/>
        <v>3.9045847789561938E-2</v>
      </c>
      <c r="AW49" s="17">
        <f t="shared" si="14"/>
        <v>3.3391910552073308E-2</v>
      </c>
      <c r="AX49" s="17">
        <f t="shared" si="14"/>
        <v>2.8668124160467271E-2</v>
      </c>
      <c r="AY49" s="17">
        <f t="shared" si="14"/>
        <v>4.4849459641347983E-2</v>
      </c>
      <c r="AZ49" s="17">
        <f t="shared" si="14"/>
        <v>5.1839762640248366E-2</v>
      </c>
      <c r="BA49" s="17">
        <f t="shared" si="14"/>
        <v>3.7528032306329659E-2</v>
      </c>
      <c r="BB49" s="17">
        <f t="shared" si="14"/>
        <v>3.39601578419646E-2</v>
      </c>
      <c r="BC49" s="17">
        <f t="shared" si="14"/>
        <v>2.7383508464489809E-2</v>
      </c>
      <c r="BD49" s="17">
        <f t="shared" si="14"/>
        <v>2.2220784994554849E-2</v>
      </c>
      <c r="BF49" s="1" t="s">
        <v>43</v>
      </c>
      <c r="BG49" t="s">
        <v>94</v>
      </c>
      <c r="BH49" t="s">
        <v>100</v>
      </c>
      <c r="BI49" t="s">
        <v>94</v>
      </c>
      <c r="BJ49" t="s">
        <v>98</v>
      </c>
      <c r="BK49" t="s">
        <v>96</v>
      </c>
      <c r="BL49" t="s">
        <v>99</v>
      </c>
      <c r="BM49" t="s">
        <v>94</v>
      </c>
      <c r="BN49" t="s">
        <v>97</v>
      </c>
      <c r="BO49" t="s">
        <v>96</v>
      </c>
      <c r="BP49" t="s">
        <v>97</v>
      </c>
      <c r="BQ49" t="s">
        <v>99</v>
      </c>
      <c r="BR49" t="s">
        <v>95</v>
      </c>
      <c r="BS49" t="s">
        <v>94</v>
      </c>
      <c r="BT49" t="s">
        <v>98</v>
      </c>
      <c r="BU49" t="s">
        <v>98</v>
      </c>
      <c r="BV49" t="s">
        <v>97</v>
      </c>
      <c r="BW49" t="s">
        <v>99</v>
      </c>
      <c r="BX49" t="s">
        <v>98</v>
      </c>
      <c r="BY49" t="s">
        <v>95</v>
      </c>
      <c r="BZ49" t="s">
        <v>98</v>
      </c>
      <c r="CA49" t="s">
        <v>98</v>
      </c>
      <c r="CB49" t="s">
        <v>94</v>
      </c>
      <c r="CC49" t="s">
        <v>100</v>
      </c>
      <c r="CD49" t="s">
        <v>94</v>
      </c>
      <c r="CE49" t="s">
        <v>100</v>
      </c>
      <c r="CF49" t="s">
        <v>96</v>
      </c>
    </row>
    <row r="50" spans="1:84" x14ac:dyDescent="0.35">
      <c r="A50" s="8"/>
      <c r="B50" s="2" t="s">
        <v>44</v>
      </c>
      <c r="C50" s="12">
        <f>1-SUM(C51:C53)</f>
        <v>0.45264545454545457</v>
      </c>
      <c r="D50" s="12">
        <f t="shared" ref="D50:AB50" si="15">1-SUM(D51:D53)</f>
        <v>0.47124545454545452</v>
      </c>
      <c r="E50" s="12">
        <f t="shared" si="15"/>
        <v>0.45404545454545453</v>
      </c>
      <c r="F50" s="12">
        <f t="shared" si="15"/>
        <v>0.46564545454545458</v>
      </c>
      <c r="G50" s="12">
        <f t="shared" si="15"/>
        <v>0.44874545454545456</v>
      </c>
      <c r="H50" s="12">
        <f t="shared" si="15"/>
        <v>0.45134545454545461</v>
      </c>
      <c r="I50" s="12">
        <f t="shared" si="15"/>
        <v>0.42614545454545461</v>
      </c>
      <c r="J50" s="12">
        <f t="shared" si="15"/>
        <v>0.45974545454545457</v>
      </c>
      <c r="K50" s="12">
        <f t="shared" si="15"/>
        <v>0.46924545454545452</v>
      </c>
      <c r="L50" s="12">
        <f t="shared" si="15"/>
        <v>0.45284545454545455</v>
      </c>
      <c r="M50" s="12">
        <f t="shared" si="15"/>
        <v>0.47304545454545455</v>
      </c>
      <c r="N50" s="12">
        <f t="shared" si="15"/>
        <v>0.44184545454545454</v>
      </c>
      <c r="O50" s="12">
        <f t="shared" si="15"/>
        <v>0.45164545454545457</v>
      </c>
      <c r="P50" s="12">
        <f t="shared" si="15"/>
        <v>0.44144545454545447</v>
      </c>
      <c r="Q50" s="12">
        <f t="shared" si="15"/>
        <v>0.45374545454545456</v>
      </c>
      <c r="R50" s="12">
        <f t="shared" si="15"/>
        <v>0.44354545454545447</v>
      </c>
      <c r="S50" s="12">
        <f t="shared" si="15"/>
        <v>0.46704545454545454</v>
      </c>
      <c r="T50" s="12">
        <f t="shared" si="15"/>
        <v>0.42284545454545464</v>
      </c>
      <c r="U50" s="12">
        <f t="shared" si="15"/>
        <v>0.46074545454545457</v>
      </c>
      <c r="V50" s="12">
        <f t="shared" si="15"/>
        <v>0.46784545454545456</v>
      </c>
      <c r="W50" s="12">
        <f t="shared" si="15"/>
        <v>0.46754545454545449</v>
      </c>
      <c r="X50" s="12">
        <f t="shared" si="15"/>
        <v>0.45084545454545455</v>
      </c>
      <c r="Y50" s="12">
        <f t="shared" si="15"/>
        <v>0.44314545454545462</v>
      </c>
      <c r="Z50" s="12">
        <f t="shared" si="15"/>
        <v>0.43184545454545453</v>
      </c>
      <c r="AA50" s="12">
        <f t="shared" si="15"/>
        <v>0.45504545454545453</v>
      </c>
      <c r="AB50" s="12">
        <f t="shared" si="15"/>
        <v>0.44504545454545452</v>
      </c>
      <c r="AD50" s="2" t="s">
        <v>44</v>
      </c>
      <c r="AE50" s="12">
        <v>3.9030537766560236E-2</v>
      </c>
      <c r="AF50" s="12">
        <v>2.4496633149462627E-2</v>
      </c>
      <c r="AG50" s="12">
        <v>3.4808241556596779E-2</v>
      </c>
      <c r="AH50" s="12">
        <v>2.7871794033331919E-2</v>
      </c>
      <c r="AI50" s="12">
        <v>2.1751853614535258E-2</v>
      </c>
      <c r="AJ50" s="12">
        <v>1.7986953476759458E-2</v>
      </c>
      <c r="AK50" s="12">
        <v>1.5703587852031745E-2</v>
      </c>
      <c r="AL50" s="12">
        <v>3.0822511295377747E-2</v>
      </c>
      <c r="AM50" s="12">
        <v>2.4621175389803567E-2</v>
      </c>
      <c r="AN50" s="12">
        <v>4.7768196593981703E-2</v>
      </c>
      <c r="AO50" s="12">
        <v>6.3394327904585823E-2</v>
      </c>
      <c r="AP50" s="12">
        <v>4.2715476384736613E-2</v>
      </c>
      <c r="AQ50" s="12">
        <v>3.7801573888234262E-2</v>
      </c>
      <c r="AR50" s="12">
        <v>5.5714971544046817E-2</v>
      </c>
      <c r="AS50" s="12">
        <v>3.2794174207529725E-2</v>
      </c>
      <c r="AT50" s="12">
        <v>2.929473575364832E-2</v>
      </c>
      <c r="AU50" s="12">
        <v>4.8562282470926865E-2</v>
      </c>
      <c r="AV50" s="12">
        <v>4.2987107978680911E-2</v>
      </c>
      <c r="AW50" s="12">
        <v>3.7030241278252635E-2</v>
      </c>
      <c r="AX50" s="12">
        <v>3.2205151209389202E-2</v>
      </c>
      <c r="AY50" s="12">
        <v>4.8407945159579122E-2</v>
      </c>
      <c r="AZ50" s="12">
        <v>5.5523300324747067E-2</v>
      </c>
      <c r="BA50" s="12">
        <v>4.1248623636487854E-2</v>
      </c>
      <c r="BB50" s="12">
        <v>3.777459413003504E-2</v>
      </c>
      <c r="BC50" s="12">
        <v>3.1100132823479627E-2</v>
      </c>
      <c r="BD50" s="12">
        <v>2.6033448370201891E-2</v>
      </c>
      <c r="BF50" s="2" t="s">
        <v>44</v>
      </c>
      <c r="BG50" t="s">
        <v>99</v>
      </c>
      <c r="BH50" t="s">
        <v>95</v>
      </c>
      <c r="BI50" t="s">
        <v>94</v>
      </c>
      <c r="BJ50" t="s">
        <v>99</v>
      </c>
      <c r="BK50" t="s">
        <v>96</v>
      </c>
      <c r="BL50" t="s">
        <v>95</v>
      </c>
      <c r="BM50" t="s">
        <v>98</v>
      </c>
      <c r="BN50" t="s">
        <v>95</v>
      </c>
      <c r="BO50" t="s">
        <v>100</v>
      </c>
      <c r="BP50" t="s">
        <v>97</v>
      </c>
      <c r="BQ50" t="s">
        <v>98</v>
      </c>
      <c r="BR50" t="s">
        <v>94</v>
      </c>
      <c r="BS50" t="s">
        <v>97</v>
      </c>
      <c r="BT50" t="s">
        <v>94</v>
      </c>
      <c r="BU50" t="s">
        <v>100</v>
      </c>
      <c r="BV50" t="s">
        <v>97</v>
      </c>
      <c r="BW50" t="s">
        <v>98</v>
      </c>
      <c r="BX50" t="s">
        <v>94</v>
      </c>
      <c r="BY50" t="s">
        <v>98</v>
      </c>
      <c r="BZ50" t="s">
        <v>96</v>
      </c>
      <c r="CA50" t="s">
        <v>94</v>
      </c>
      <c r="CB50" t="s">
        <v>96</v>
      </c>
      <c r="CC50" t="s">
        <v>99</v>
      </c>
      <c r="CD50" t="s">
        <v>97</v>
      </c>
      <c r="CE50" t="s">
        <v>98</v>
      </c>
      <c r="CF50" t="s">
        <v>99</v>
      </c>
    </row>
    <row r="51" spans="1:84" x14ac:dyDescent="0.35">
      <c r="A51" s="8"/>
      <c r="B51" s="2" t="s">
        <v>45</v>
      </c>
      <c r="C51" s="12">
        <v>0.30883030303030301</v>
      </c>
      <c r="D51" s="12">
        <v>0.30633030303030306</v>
      </c>
      <c r="E51" s="12">
        <v>0.29153030303030303</v>
      </c>
      <c r="F51" s="12">
        <v>0.30763030303030303</v>
      </c>
      <c r="G51" s="12">
        <v>0.30503030303030304</v>
      </c>
      <c r="H51" s="12">
        <v>0.29873030303030301</v>
      </c>
      <c r="I51" s="12">
        <v>0.31793030303030306</v>
      </c>
      <c r="J51" s="12">
        <v>0.29663030303030302</v>
      </c>
      <c r="K51" s="12">
        <v>0.29283030303030305</v>
      </c>
      <c r="L51" s="12">
        <v>0.30733030303030306</v>
      </c>
      <c r="M51" s="12">
        <v>0.29463030303030302</v>
      </c>
      <c r="N51" s="12">
        <v>0.30803030303030304</v>
      </c>
      <c r="O51" s="12">
        <v>0.29093030303030304</v>
      </c>
      <c r="P51" s="12">
        <v>0.30283030303030306</v>
      </c>
      <c r="Q51" s="12">
        <v>0.29783030303030306</v>
      </c>
      <c r="R51" s="12">
        <v>0.30433030303030306</v>
      </c>
      <c r="S51" s="12">
        <v>0.30713030303030303</v>
      </c>
      <c r="T51" s="12">
        <v>0.31543030303030306</v>
      </c>
      <c r="U51" s="12">
        <v>0.30023030303030301</v>
      </c>
      <c r="V51" s="12">
        <v>0.31033030303030301</v>
      </c>
      <c r="W51" s="12">
        <v>0.30393030303030305</v>
      </c>
      <c r="X51" s="12">
        <v>0.31313030303030304</v>
      </c>
      <c r="Y51" s="12">
        <v>0.31833030303030302</v>
      </c>
      <c r="Z51" s="12">
        <v>0.31763030303030304</v>
      </c>
      <c r="AA51" s="12">
        <v>0.30323030303030302</v>
      </c>
      <c r="AB51" s="12">
        <v>0.29683030303030306</v>
      </c>
      <c r="AD51" s="2" t="s">
        <v>45</v>
      </c>
      <c r="AE51" s="12">
        <v>3.4196092358812033E-2</v>
      </c>
      <c r="AF51" s="12">
        <v>1.9662187741714424E-2</v>
      </c>
      <c r="AG51" s="12">
        <v>2.9973796148848576E-2</v>
      </c>
      <c r="AH51" s="12">
        <v>2.3037348625583716E-2</v>
      </c>
      <c r="AI51" s="12">
        <v>1.7604322818789517E-2</v>
      </c>
      <c r="AJ51" s="12">
        <v>1.5269653553375477E-2</v>
      </c>
      <c r="AK51" s="12">
        <v>1.4108010176051672E-2</v>
      </c>
      <c r="AL51" s="12">
        <v>2.5988065887629544E-2</v>
      </c>
      <c r="AM51" s="12">
        <v>1.9786729982055364E-2</v>
      </c>
      <c r="AN51" s="12">
        <v>4.29337511862335E-2</v>
      </c>
      <c r="AO51" s="12">
        <v>5.8559882496837613E-2</v>
      </c>
      <c r="AP51" s="12">
        <v>3.788103097698841E-2</v>
      </c>
      <c r="AQ51" s="12">
        <v>3.2967128480486059E-2</v>
      </c>
      <c r="AR51" s="12">
        <v>5.0880526136298614E-2</v>
      </c>
      <c r="AS51" s="12">
        <v>2.7959728799781522E-2</v>
      </c>
      <c r="AT51" s="12">
        <v>2.4460290345900117E-2</v>
      </c>
      <c r="AU51" s="12">
        <v>4.3727837063178662E-2</v>
      </c>
      <c r="AV51" s="12">
        <v>3.8152662570932708E-2</v>
      </c>
      <c r="AW51" s="12">
        <v>3.2195795870504432E-2</v>
      </c>
      <c r="AX51" s="12">
        <v>2.7370705801640999E-2</v>
      </c>
      <c r="AY51" s="12">
        <v>4.3573499751830919E-2</v>
      </c>
      <c r="AZ51" s="12">
        <v>5.0688854916998864E-2</v>
      </c>
      <c r="BA51" s="12">
        <v>3.6414178228739651E-2</v>
      </c>
      <c r="BB51" s="12">
        <v>3.2940148722286837E-2</v>
      </c>
      <c r="BC51" s="12">
        <v>2.6265687415731424E-2</v>
      </c>
      <c r="BD51" s="12">
        <v>2.1199002962453688E-2</v>
      </c>
      <c r="BF51" s="2" t="s">
        <v>45</v>
      </c>
      <c r="BG51" t="s">
        <v>100</v>
      </c>
      <c r="BH51" t="s">
        <v>99</v>
      </c>
      <c r="BI51" t="s">
        <v>96</v>
      </c>
      <c r="BJ51" t="s">
        <v>98</v>
      </c>
      <c r="BK51" t="s">
        <v>99</v>
      </c>
      <c r="BL51" t="s">
        <v>100</v>
      </c>
      <c r="BM51" t="s">
        <v>98</v>
      </c>
      <c r="BN51" t="s">
        <v>99</v>
      </c>
      <c r="BO51" t="s">
        <v>97</v>
      </c>
      <c r="BP51" t="s">
        <v>99</v>
      </c>
      <c r="BQ51" t="s">
        <v>94</v>
      </c>
      <c r="BR51" t="s">
        <v>100</v>
      </c>
      <c r="BS51" t="s">
        <v>98</v>
      </c>
      <c r="BT51" t="s">
        <v>94</v>
      </c>
      <c r="BU51" t="s">
        <v>95</v>
      </c>
      <c r="BV51" t="s">
        <v>95</v>
      </c>
      <c r="BW51" t="s">
        <v>99</v>
      </c>
      <c r="BX51" t="s">
        <v>100</v>
      </c>
      <c r="BY51" t="s">
        <v>97</v>
      </c>
      <c r="BZ51" t="s">
        <v>100</v>
      </c>
      <c r="CA51" t="s">
        <v>96</v>
      </c>
      <c r="CB51" t="s">
        <v>95</v>
      </c>
      <c r="CC51" t="s">
        <v>94</v>
      </c>
      <c r="CD51" t="s">
        <v>95</v>
      </c>
      <c r="CE51" t="s">
        <v>97</v>
      </c>
      <c r="CF51" t="s">
        <v>97</v>
      </c>
    </row>
    <row r="52" spans="1:84" x14ac:dyDescent="0.35">
      <c r="A52" s="8"/>
      <c r="B52" s="2" t="s">
        <v>46</v>
      </c>
      <c r="C52" s="12">
        <v>0.17376767676767677</v>
      </c>
      <c r="D52" s="12">
        <v>0.16376767676767676</v>
      </c>
      <c r="E52" s="12">
        <v>0.18586767676767676</v>
      </c>
      <c r="F52" s="12">
        <v>0.17036767676767678</v>
      </c>
      <c r="G52" s="12">
        <v>0.18906767676767677</v>
      </c>
      <c r="H52" s="12">
        <v>0.18116767676767676</v>
      </c>
      <c r="I52" s="12">
        <v>0.18266767676767676</v>
      </c>
      <c r="J52" s="12">
        <v>0.18296767676767678</v>
      </c>
      <c r="K52" s="12">
        <v>0.16336767676767677</v>
      </c>
      <c r="L52" s="12">
        <v>0.18246767676767678</v>
      </c>
      <c r="M52" s="12">
        <v>0.17626767676767677</v>
      </c>
      <c r="N52" s="12">
        <v>0.18126767676767677</v>
      </c>
      <c r="O52" s="12">
        <v>0.18416767676767676</v>
      </c>
      <c r="P52" s="12">
        <v>0.18406767676767677</v>
      </c>
      <c r="Q52" s="12">
        <v>0.18656767676767677</v>
      </c>
      <c r="R52" s="12">
        <v>0.17876767676767677</v>
      </c>
      <c r="S52" s="12">
        <v>0.16256767676767678</v>
      </c>
      <c r="T52" s="12">
        <v>0.18956767676767677</v>
      </c>
      <c r="U52" s="12">
        <v>0.17826767676767677</v>
      </c>
      <c r="V52" s="12">
        <v>0.16356767676767678</v>
      </c>
      <c r="W52" s="12">
        <v>0.17086767676767678</v>
      </c>
      <c r="X52" s="12">
        <v>0.17336767676767678</v>
      </c>
      <c r="Y52" s="12">
        <v>0.17806767676767676</v>
      </c>
      <c r="Z52" s="12">
        <v>0.19026767676767678</v>
      </c>
      <c r="AA52" s="12">
        <v>0.17016767676767677</v>
      </c>
      <c r="AB52" s="12">
        <v>0.18836767676767677</v>
      </c>
      <c r="AD52" s="2" t="s">
        <v>46</v>
      </c>
      <c r="AE52" s="12">
        <v>3.0863701958566532E-2</v>
      </c>
      <c r="AF52" s="12">
        <v>1.6329797341468923E-2</v>
      </c>
      <c r="AG52" s="12">
        <v>2.6641405748603075E-2</v>
      </c>
      <c r="AH52" s="12">
        <v>1.9704958225338215E-2</v>
      </c>
      <c r="AI52" s="12">
        <v>1.4857733904169298E-2</v>
      </c>
      <c r="AJ52" s="12">
        <v>1.3416873481198383E-2</v>
      </c>
      <c r="AK52" s="12">
        <v>1.2899515544745992E-2</v>
      </c>
      <c r="AL52" s="12">
        <v>2.2655675487384043E-2</v>
      </c>
      <c r="AM52" s="12">
        <v>1.6454339581809863E-2</v>
      </c>
      <c r="AN52" s="12">
        <v>3.9601360785987999E-2</v>
      </c>
      <c r="AO52" s="12">
        <v>5.5227492096592112E-2</v>
      </c>
      <c r="AP52" s="12">
        <v>3.4548640576742909E-2</v>
      </c>
      <c r="AQ52" s="12">
        <v>2.9634738080240558E-2</v>
      </c>
      <c r="AR52" s="12">
        <v>4.7548135736053113E-2</v>
      </c>
      <c r="AS52" s="12">
        <v>2.4627338399536021E-2</v>
      </c>
      <c r="AT52" s="12">
        <v>2.1127899945654616E-2</v>
      </c>
      <c r="AU52" s="12">
        <v>4.0395446662933161E-2</v>
      </c>
      <c r="AV52" s="12">
        <v>3.4820272170687207E-2</v>
      </c>
      <c r="AW52" s="12">
        <v>2.8863405470258931E-2</v>
      </c>
      <c r="AX52" s="12">
        <v>2.4038315401395498E-2</v>
      </c>
      <c r="AY52" s="12">
        <v>4.0241109351585418E-2</v>
      </c>
      <c r="AZ52" s="12">
        <v>4.7356464516753363E-2</v>
      </c>
      <c r="BA52" s="12">
        <v>3.308178782849415E-2</v>
      </c>
      <c r="BB52" s="12">
        <v>2.9607758322041336E-2</v>
      </c>
      <c r="BC52" s="12">
        <v>2.2933297015485923E-2</v>
      </c>
      <c r="BD52" s="12">
        <v>1.7866612562208187E-2</v>
      </c>
      <c r="BF52" s="2" t="s">
        <v>46</v>
      </c>
      <c r="BG52" t="s">
        <v>100</v>
      </c>
      <c r="BH52" t="s">
        <v>97</v>
      </c>
      <c r="BI52" t="s">
        <v>94</v>
      </c>
      <c r="BJ52" t="s">
        <v>94</v>
      </c>
      <c r="BK52" t="s">
        <v>98</v>
      </c>
      <c r="BL52" t="s">
        <v>100</v>
      </c>
      <c r="BM52" t="s">
        <v>96</v>
      </c>
      <c r="BN52" t="s">
        <v>97</v>
      </c>
      <c r="BO52" t="s">
        <v>97</v>
      </c>
      <c r="BP52" t="s">
        <v>96</v>
      </c>
      <c r="BQ52" t="s">
        <v>99</v>
      </c>
      <c r="BR52" t="s">
        <v>97</v>
      </c>
      <c r="BS52" t="s">
        <v>97</v>
      </c>
      <c r="BT52" t="s">
        <v>94</v>
      </c>
      <c r="BU52" t="s">
        <v>100</v>
      </c>
      <c r="BV52" t="s">
        <v>97</v>
      </c>
      <c r="BW52" t="s">
        <v>98</v>
      </c>
      <c r="BX52" t="s">
        <v>95</v>
      </c>
      <c r="BY52" t="s">
        <v>94</v>
      </c>
      <c r="BZ52" t="s">
        <v>98</v>
      </c>
      <c r="CA52" t="s">
        <v>100</v>
      </c>
      <c r="CB52" t="s">
        <v>100</v>
      </c>
      <c r="CC52" t="s">
        <v>96</v>
      </c>
      <c r="CD52" t="s">
        <v>97</v>
      </c>
      <c r="CE52" t="s">
        <v>95</v>
      </c>
      <c r="CF52" t="s">
        <v>94</v>
      </c>
    </row>
    <row r="53" spans="1:84" x14ac:dyDescent="0.35">
      <c r="A53" s="8"/>
      <c r="B53" s="2" t="s">
        <v>47</v>
      </c>
      <c r="C53" s="12">
        <v>6.4756565656565637E-2</v>
      </c>
      <c r="D53" s="12">
        <v>5.8656565656565636E-2</v>
      </c>
      <c r="E53" s="12">
        <v>6.8556565656565635E-2</v>
      </c>
      <c r="F53" s="12">
        <v>5.6356565656565633E-2</v>
      </c>
      <c r="G53" s="12">
        <v>5.7156565656565635E-2</v>
      </c>
      <c r="H53" s="12">
        <v>6.8756565656565641E-2</v>
      </c>
      <c r="I53" s="12">
        <v>7.3256565656565631E-2</v>
      </c>
      <c r="J53" s="12">
        <v>6.0656565656565638E-2</v>
      </c>
      <c r="K53" s="12">
        <v>7.455656565656564E-2</v>
      </c>
      <c r="L53" s="12">
        <v>5.7356565656565633E-2</v>
      </c>
      <c r="M53" s="12">
        <v>5.6056565656565638E-2</v>
      </c>
      <c r="N53" s="12">
        <v>6.885656565656563E-2</v>
      </c>
      <c r="O53" s="12">
        <v>7.3256565656565631E-2</v>
      </c>
      <c r="P53" s="12">
        <v>7.1656565656565641E-2</v>
      </c>
      <c r="Q53" s="12">
        <v>6.1856565656565637E-2</v>
      </c>
      <c r="R53" s="12">
        <v>7.335656565656562E-2</v>
      </c>
      <c r="S53" s="12">
        <v>6.3256565656565636E-2</v>
      </c>
      <c r="T53" s="12">
        <v>7.2156565656565627E-2</v>
      </c>
      <c r="U53" s="12">
        <v>6.0756565656565634E-2</v>
      </c>
      <c r="V53" s="12">
        <v>5.8256565656565631E-2</v>
      </c>
      <c r="W53" s="12">
        <v>5.7656565656565635E-2</v>
      </c>
      <c r="X53" s="12">
        <v>6.2656565656565633E-2</v>
      </c>
      <c r="Y53" s="12">
        <v>6.0456565656565639E-2</v>
      </c>
      <c r="Z53" s="12">
        <v>6.0256565656565633E-2</v>
      </c>
      <c r="AA53" s="12">
        <v>7.1556565656565638E-2</v>
      </c>
      <c r="AB53" s="12">
        <v>6.9756565656565642E-2</v>
      </c>
      <c r="AD53" s="2" t="s">
        <v>47</v>
      </c>
      <c r="AE53" s="12">
        <v>2.6998901967302001E-2</v>
      </c>
      <c r="AF53" s="12">
        <v>1.3100837489534686E-2</v>
      </c>
      <c r="AG53" s="12">
        <v>2.2776605757338544E-2</v>
      </c>
      <c r="AH53" s="12">
        <v>1.5840158234073684E-2</v>
      </c>
      <c r="AI53" s="12">
        <v>1.246551832484777E-2</v>
      </c>
      <c r="AJ53" s="12">
        <v>1.2514160133635106E-2</v>
      </c>
      <c r="AK53" s="12">
        <v>1.1222100849407543E-2</v>
      </c>
      <c r="AL53" s="12">
        <v>1.8790875496119512E-2</v>
      </c>
      <c r="AM53" s="12">
        <v>1.310072538197523E-2</v>
      </c>
      <c r="AN53" s="12">
        <v>3.5736560794723468E-2</v>
      </c>
      <c r="AO53" s="12">
        <v>5.1362692105327581E-2</v>
      </c>
      <c r="AP53" s="12">
        <v>3.0683840585478378E-2</v>
      </c>
      <c r="AQ53" s="12">
        <v>2.5769938088976027E-2</v>
      </c>
      <c r="AR53" s="12">
        <v>4.3683335744788582E-2</v>
      </c>
      <c r="AS53" s="12">
        <v>2.076253840827149E-2</v>
      </c>
      <c r="AT53" s="12">
        <v>1.7263099954390085E-2</v>
      </c>
      <c r="AU53" s="12">
        <v>3.653064667166863E-2</v>
      </c>
      <c r="AV53" s="12">
        <v>3.0955472179422676E-2</v>
      </c>
      <c r="AW53" s="12">
        <v>2.49986054789944E-2</v>
      </c>
      <c r="AX53" s="12">
        <v>2.0173515410130967E-2</v>
      </c>
      <c r="AY53" s="12">
        <v>3.6376309360320887E-2</v>
      </c>
      <c r="AZ53" s="12">
        <v>4.3491664525488832E-2</v>
      </c>
      <c r="BA53" s="12">
        <v>2.9216987837229619E-2</v>
      </c>
      <c r="BB53" s="12">
        <v>2.5742958330776805E-2</v>
      </c>
      <c r="BC53" s="12">
        <v>1.9068497024221392E-2</v>
      </c>
      <c r="BD53" s="12">
        <v>1.4001812570943656E-2</v>
      </c>
      <c r="BF53" s="2" t="s">
        <v>47</v>
      </c>
      <c r="BG53" t="s">
        <v>95</v>
      </c>
      <c r="BH53" t="s">
        <v>95</v>
      </c>
      <c r="BI53" t="s">
        <v>95</v>
      </c>
      <c r="BJ53" t="s">
        <v>94</v>
      </c>
      <c r="BK53" t="s">
        <v>100</v>
      </c>
      <c r="BL53" t="s">
        <v>99</v>
      </c>
      <c r="BM53" t="s">
        <v>99</v>
      </c>
      <c r="BN53" t="s">
        <v>94</v>
      </c>
      <c r="BO53" t="s">
        <v>96</v>
      </c>
      <c r="BP53" t="s">
        <v>98</v>
      </c>
      <c r="BQ53" t="s">
        <v>99</v>
      </c>
      <c r="BR53" t="s">
        <v>99</v>
      </c>
      <c r="BS53" t="s">
        <v>96</v>
      </c>
      <c r="BT53" t="s">
        <v>95</v>
      </c>
      <c r="BU53" t="s">
        <v>96</v>
      </c>
      <c r="BV53" t="s">
        <v>96</v>
      </c>
      <c r="BW53" t="s">
        <v>97</v>
      </c>
      <c r="BX53" t="s">
        <v>97</v>
      </c>
      <c r="BY53" t="s">
        <v>99</v>
      </c>
      <c r="BZ53" t="s">
        <v>96</v>
      </c>
      <c r="CA53" t="s">
        <v>100</v>
      </c>
      <c r="CB53" t="s">
        <v>97</v>
      </c>
      <c r="CC53" t="s">
        <v>96</v>
      </c>
      <c r="CD53" t="s">
        <v>95</v>
      </c>
      <c r="CE53" t="s">
        <v>94</v>
      </c>
      <c r="CF53" t="s">
        <v>97</v>
      </c>
    </row>
    <row r="54" spans="1:84" x14ac:dyDescent="0.35">
      <c r="A54" s="7"/>
      <c r="B54" s="1" t="s">
        <v>48</v>
      </c>
      <c r="C54" s="12">
        <v>7.9808080808080814E-2</v>
      </c>
      <c r="D54" s="12">
        <v>8.0608080808080809E-2</v>
      </c>
      <c r="E54" s="12">
        <v>7.5408080808080813E-2</v>
      </c>
      <c r="F54" s="12">
        <v>7.6508080808080817E-2</v>
      </c>
      <c r="G54" s="12">
        <v>8.6408080808080809E-2</v>
      </c>
      <c r="H54" s="12">
        <v>7.3108080808080816E-2</v>
      </c>
      <c r="I54" s="12">
        <v>8.9308080808080809E-2</v>
      </c>
      <c r="J54" s="12">
        <v>8.8208080808080819E-2</v>
      </c>
      <c r="K54" s="12">
        <v>7.8108080808080821E-2</v>
      </c>
      <c r="L54" s="12">
        <v>7.9608080808080808E-2</v>
      </c>
      <c r="M54" s="12">
        <v>8.6108080808080814E-2</v>
      </c>
      <c r="N54" s="12">
        <v>7.5508080808080816E-2</v>
      </c>
      <c r="O54" s="12">
        <v>7.0008080808080811E-2</v>
      </c>
      <c r="P54" s="12">
        <v>8.8508080808080813E-2</v>
      </c>
      <c r="Q54" s="12">
        <v>7.93080808080808E-2</v>
      </c>
      <c r="R54" s="12">
        <v>8.9208080808080806E-2</v>
      </c>
      <c r="S54" s="12">
        <v>8.3308080808080817E-2</v>
      </c>
      <c r="T54" s="12">
        <v>8.970808080808082E-2</v>
      </c>
      <c r="U54" s="12">
        <v>8.4808080808080819E-2</v>
      </c>
      <c r="V54" s="12">
        <v>8.8508080808080813E-2</v>
      </c>
      <c r="W54" s="12">
        <v>7.0708080808080817E-2</v>
      </c>
      <c r="X54" s="12">
        <v>7.660808080808082E-2</v>
      </c>
      <c r="Y54" s="12">
        <v>8.5508080808080811E-2</v>
      </c>
      <c r="Z54" s="12">
        <v>8.9108080808080803E-2</v>
      </c>
      <c r="AA54" s="12">
        <v>7.600808080808083E-2</v>
      </c>
      <c r="AB54" s="12">
        <v>7.0508080808080825E-2</v>
      </c>
      <c r="AD54" s="1" t="s">
        <v>48</v>
      </c>
      <c r="AE54" s="17">
        <f>SUMPRODUCT(AE55:AE58,C55:C58)</f>
        <v>5.3297160845047799E-2</v>
      </c>
      <c r="AF54" s="17">
        <f t="shared" ref="AF54:BD54" si="16">SUMPRODUCT(AF55:AF58,D55:D58)</f>
        <v>3.8512383641742629E-2</v>
      </c>
      <c r="AG54" s="17">
        <f t="shared" si="16"/>
        <v>4.9086301174158013E-2</v>
      </c>
      <c r="AH54" s="17">
        <f t="shared" si="16"/>
        <v>4.2251781051951418E-2</v>
      </c>
      <c r="AI54" s="17">
        <f t="shared" si="16"/>
        <v>3.5812896035800748E-2</v>
      </c>
      <c r="AJ54" s="17">
        <f t="shared" si="16"/>
        <v>3.2010938934756615E-2</v>
      </c>
      <c r="AK54" s="17">
        <f t="shared" si="16"/>
        <v>2.8884076910899153E-2</v>
      </c>
      <c r="AL54" s="17">
        <f t="shared" si="16"/>
        <v>4.525392674714588E-2</v>
      </c>
      <c r="AM54" s="17">
        <f t="shared" si="16"/>
        <v>3.8813059352492123E-2</v>
      </c>
      <c r="AN54" s="17">
        <f t="shared" si="16"/>
        <v>6.2171892360505285E-2</v>
      </c>
      <c r="AO54" s="17">
        <f t="shared" si="16"/>
        <v>7.7787235090914064E-2</v>
      </c>
      <c r="AP54" s="17">
        <f t="shared" si="16"/>
        <v>5.7189249274698831E-2</v>
      </c>
      <c r="AQ54" s="17">
        <f t="shared" si="16"/>
        <v>5.1995734592571174E-2</v>
      </c>
      <c r="AR54" s="17">
        <f t="shared" si="16"/>
        <v>6.9730538567295913E-2</v>
      </c>
      <c r="AS54" s="17">
        <f t="shared" si="16"/>
        <v>4.7125316939941236E-2</v>
      </c>
      <c r="AT54" s="17">
        <f t="shared" si="16"/>
        <v>4.3344870989586275E-2</v>
      </c>
      <c r="AU54" s="17">
        <f t="shared" si="16"/>
        <v>6.2850454561699437E-2</v>
      </c>
      <c r="AV54" s="17">
        <f t="shared" si="16"/>
        <v>5.7393343470790018E-2</v>
      </c>
      <c r="AW54" s="17">
        <f t="shared" si="16"/>
        <v>5.1261502748373225E-2</v>
      </c>
      <c r="AX54" s="17">
        <f t="shared" si="16"/>
        <v>4.6254057257107795E-2</v>
      </c>
      <c r="AY54" s="17">
        <f t="shared" si="16"/>
        <v>6.2337710230751131E-2</v>
      </c>
      <c r="AZ54" s="17">
        <f t="shared" si="16"/>
        <v>6.9617752654155735E-2</v>
      </c>
      <c r="BA54" s="17">
        <f t="shared" si="16"/>
        <v>5.5443855033274335E-2</v>
      </c>
      <c r="BB54" s="17">
        <f t="shared" si="16"/>
        <v>5.2195513826614373E-2</v>
      </c>
      <c r="BC54" s="17">
        <f t="shared" si="16"/>
        <v>4.5364264360189754E-2</v>
      </c>
      <c r="BD54" s="17">
        <f t="shared" si="16"/>
        <v>4.0365362918078788E-2</v>
      </c>
      <c r="BF54" s="1" t="s">
        <v>48</v>
      </c>
      <c r="BG54" t="s">
        <v>96</v>
      </c>
      <c r="BH54" t="s">
        <v>98</v>
      </c>
      <c r="BI54" t="s">
        <v>98</v>
      </c>
      <c r="BJ54" t="s">
        <v>96</v>
      </c>
      <c r="BK54" t="s">
        <v>99</v>
      </c>
      <c r="BL54" t="s">
        <v>100</v>
      </c>
      <c r="BM54" t="s">
        <v>95</v>
      </c>
      <c r="BN54" t="s">
        <v>96</v>
      </c>
      <c r="BO54" t="s">
        <v>95</v>
      </c>
      <c r="BP54" t="s">
        <v>94</v>
      </c>
      <c r="BQ54" t="s">
        <v>98</v>
      </c>
      <c r="BR54" t="s">
        <v>97</v>
      </c>
      <c r="BS54" t="s">
        <v>99</v>
      </c>
      <c r="BT54" t="s">
        <v>96</v>
      </c>
      <c r="BU54" t="s">
        <v>94</v>
      </c>
      <c r="BV54" t="s">
        <v>99</v>
      </c>
      <c r="BW54" t="s">
        <v>98</v>
      </c>
      <c r="BX54" t="s">
        <v>99</v>
      </c>
      <c r="BY54" t="s">
        <v>96</v>
      </c>
      <c r="BZ54" t="s">
        <v>95</v>
      </c>
      <c r="CA54" t="s">
        <v>99</v>
      </c>
      <c r="CB54" t="s">
        <v>96</v>
      </c>
      <c r="CC54" t="s">
        <v>95</v>
      </c>
      <c r="CD54" t="s">
        <v>97</v>
      </c>
      <c r="CE54" t="s">
        <v>98</v>
      </c>
      <c r="CF54" t="s">
        <v>96</v>
      </c>
    </row>
    <row r="55" spans="1:84" x14ac:dyDescent="0.35">
      <c r="A55" s="6"/>
      <c r="B55" s="2" t="s">
        <v>49</v>
      </c>
      <c r="C55" s="12">
        <f>1-SUM(C56:C58)</f>
        <v>0.40834040404040417</v>
      </c>
      <c r="D55" s="12">
        <f t="shared" ref="D55:AB55" si="17">1-SUM(D56:D58)</f>
        <v>0.37364040404040411</v>
      </c>
      <c r="E55" s="12">
        <f t="shared" si="17"/>
        <v>0.39904040404040408</v>
      </c>
      <c r="F55" s="12">
        <f t="shared" si="17"/>
        <v>0.4210404040404041</v>
      </c>
      <c r="G55" s="12">
        <f t="shared" si="17"/>
        <v>0.40454040404040414</v>
      </c>
      <c r="H55" s="12">
        <f t="shared" si="17"/>
        <v>0.40654040404040415</v>
      </c>
      <c r="I55" s="12">
        <f t="shared" si="17"/>
        <v>0.41594040404040411</v>
      </c>
      <c r="J55" s="12">
        <f t="shared" si="17"/>
        <v>0.42304040404040411</v>
      </c>
      <c r="K55" s="12">
        <f t="shared" si="17"/>
        <v>0.41314040404040409</v>
      </c>
      <c r="L55" s="12">
        <f t="shared" si="17"/>
        <v>0.41104040404040409</v>
      </c>
      <c r="M55" s="12">
        <f t="shared" si="17"/>
        <v>0.43264040404040416</v>
      </c>
      <c r="N55" s="12">
        <f t="shared" si="17"/>
        <v>0.41574040404040413</v>
      </c>
      <c r="O55" s="12">
        <f t="shared" si="17"/>
        <v>0.37364040404040411</v>
      </c>
      <c r="P55" s="12">
        <f t="shared" si="17"/>
        <v>0.40954040404040415</v>
      </c>
      <c r="Q55" s="12">
        <f t="shared" si="17"/>
        <v>0.40134040404040416</v>
      </c>
      <c r="R55" s="12">
        <f t="shared" si="17"/>
        <v>0.38954040404040413</v>
      </c>
      <c r="S55" s="12">
        <f t="shared" si="17"/>
        <v>0.40644040404040416</v>
      </c>
      <c r="T55" s="12">
        <f t="shared" si="17"/>
        <v>0.40384040404040411</v>
      </c>
      <c r="U55" s="12">
        <f t="shared" si="17"/>
        <v>0.40914040404040419</v>
      </c>
      <c r="V55" s="12">
        <f t="shared" si="17"/>
        <v>0.40214040404040419</v>
      </c>
      <c r="W55" s="12">
        <f t="shared" si="17"/>
        <v>0.38984040404040421</v>
      </c>
      <c r="X55" s="12">
        <f t="shared" si="17"/>
        <v>0.40174040404040412</v>
      </c>
      <c r="Y55" s="12">
        <f t="shared" si="17"/>
        <v>0.40614040404040419</v>
      </c>
      <c r="Z55" s="12">
        <f t="shared" si="17"/>
        <v>0.43674040404040415</v>
      </c>
      <c r="AA55" s="12">
        <f t="shared" si="17"/>
        <v>0.41994040404040411</v>
      </c>
      <c r="AB55" s="12">
        <f t="shared" si="17"/>
        <v>0.37994040404040419</v>
      </c>
      <c r="AD55" s="2" t="s">
        <v>49</v>
      </c>
      <c r="AE55" s="12">
        <v>5.4335660956976825E-2</v>
      </c>
      <c r="AF55" s="12">
        <v>3.9801756339879216E-2</v>
      </c>
      <c r="AG55" s="12">
        <v>5.0113364747013368E-2</v>
      </c>
      <c r="AH55" s="12">
        <v>4.3176917223748508E-2</v>
      </c>
      <c r="AI55" s="12">
        <v>3.7056976804951847E-2</v>
      </c>
      <c r="AJ55" s="12">
        <v>3.3292076667176047E-2</v>
      </c>
      <c r="AK55" s="12">
        <v>3.009861330281894E-2</v>
      </c>
      <c r="AL55" s="12">
        <v>4.6127634485794336E-2</v>
      </c>
      <c r="AM55" s="12">
        <v>3.9926298580220156E-2</v>
      </c>
      <c r="AN55" s="12">
        <v>6.3073319784398285E-2</v>
      </c>
      <c r="AO55" s="12">
        <v>7.8699451095002398E-2</v>
      </c>
      <c r="AP55" s="12">
        <v>5.8020599575153202E-2</v>
      </c>
      <c r="AQ55" s="12">
        <v>5.3106697078650851E-2</v>
      </c>
      <c r="AR55" s="12">
        <v>7.1020094734463413E-2</v>
      </c>
      <c r="AS55" s="12">
        <v>4.8099297397946314E-2</v>
      </c>
      <c r="AT55" s="12">
        <v>4.4599858944064909E-2</v>
      </c>
      <c r="AU55" s="12">
        <v>6.3867405661343454E-2</v>
      </c>
      <c r="AV55" s="12">
        <v>5.82922311690975E-2</v>
      </c>
      <c r="AW55" s="12">
        <v>5.2335364468669224E-2</v>
      </c>
      <c r="AX55" s="12">
        <v>4.7510274399805791E-2</v>
      </c>
      <c r="AY55" s="12">
        <v>6.3713068349995711E-2</v>
      </c>
      <c r="AZ55" s="12">
        <v>7.0828423515163663E-2</v>
      </c>
      <c r="BA55" s="12">
        <v>5.6553746826904443E-2</v>
      </c>
      <c r="BB55" s="12">
        <v>5.3079717320451629E-2</v>
      </c>
      <c r="BC55" s="12">
        <v>4.6405256013896216E-2</v>
      </c>
      <c r="BD55" s="12">
        <v>4.133857156061848E-2</v>
      </c>
      <c r="BF55" s="2" t="s">
        <v>49</v>
      </c>
      <c r="BG55" t="s">
        <v>95</v>
      </c>
      <c r="BH55" t="s">
        <v>99</v>
      </c>
      <c r="BI55" t="s">
        <v>96</v>
      </c>
      <c r="BJ55" t="s">
        <v>97</v>
      </c>
      <c r="BK55" t="s">
        <v>96</v>
      </c>
      <c r="BL55" t="s">
        <v>97</v>
      </c>
      <c r="BM55" t="s">
        <v>95</v>
      </c>
      <c r="BN55" t="s">
        <v>100</v>
      </c>
      <c r="BO55" t="s">
        <v>100</v>
      </c>
      <c r="BP55" t="s">
        <v>97</v>
      </c>
      <c r="BQ55" t="s">
        <v>98</v>
      </c>
      <c r="BR55" t="s">
        <v>97</v>
      </c>
      <c r="BS55" t="s">
        <v>96</v>
      </c>
      <c r="BT55" t="s">
        <v>94</v>
      </c>
      <c r="BU55" t="s">
        <v>100</v>
      </c>
      <c r="BV55" t="s">
        <v>100</v>
      </c>
      <c r="BW55" t="s">
        <v>98</v>
      </c>
      <c r="BX55" t="s">
        <v>99</v>
      </c>
      <c r="BY55" t="s">
        <v>94</v>
      </c>
      <c r="BZ55" t="s">
        <v>98</v>
      </c>
      <c r="CA55" t="s">
        <v>95</v>
      </c>
      <c r="CB55" t="s">
        <v>94</v>
      </c>
      <c r="CC55" t="s">
        <v>95</v>
      </c>
      <c r="CD55" t="s">
        <v>94</v>
      </c>
      <c r="CE55" t="s">
        <v>99</v>
      </c>
      <c r="CF55" t="s">
        <v>94</v>
      </c>
    </row>
    <row r="56" spans="1:84" x14ac:dyDescent="0.35">
      <c r="A56" s="6"/>
      <c r="B56" s="2" t="s">
        <v>50</v>
      </c>
      <c r="C56" s="12">
        <v>0.30203030303030304</v>
      </c>
      <c r="D56" s="12">
        <v>0.30823030303030302</v>
      </c>
      <c r="E56" s="12">
        <v>0.30263030303030303</v>
      </c>
      <c r="F56" s="12">
        <v>0.29693030303030304</v>
      </c>
      <c r="G56" s="12">
        <v>0.29143030303030304</v>
      </c>
      <c r="H56" s="12">
        <v>0.29433030303030305</v>
      </c>
      <c r="I56" s="12">
        <v>0.29273030303030306</v>
      </c>
      <c r="J56" s="12">
        <v>0.29933030303030306</v>
      </c>
      <c r="K56" s="12">
        <v>0.29073030303030306</v>
      </c>
      <c r="L56" s="12">
        <v>0.30243030303030305</v>
      </c>
      <c r="M56" s="12">
        <v>0.29293030303030304</v>
      </c>
      <c r="N56" s="12">
        <v>0.30633030303030306</v>
      </c>
      <c r="O56" s="12">
        <v>0.31603030303030305</v>
      </c>
      <c r="P56" s="12">
        <v>0.29123030303030306</v>
      </c>
      <c r="Q56" s="12">
        <v>0.31243030303030306</v>
      </c>
      <c r="R56" s="12">
        <v>0.30553030303030304</v>
      </c>
      <c r="S56" s="12">
        <v>0.29863030303030302</v>
      </c>
      <c r="T56" s="12">
        <v>0.31113030303030303</v>
      </c>
      <c r="U56" s="12">
        <v>0.29903030303030304</v>
      </c>
      <c r="V56" s="12">
        <v>0.29943030303030305</v>
      </c>
      <c r="W56" s="12">
        <v>0.29143030303030304</v>
      </c>
      <c r="X56" s="12">
        <v>0.29123030303030306</v>
      </c>
      <c r="Y56" s="12">
        <v>0.29453030303030303</v>
      </c>
      <c r="Z56" s="12">
        <v>0.29283030303030305</v>
      </c>
      <c r="AA56" s="12">
        <v>0.29293030303030304</v>
      </c>
      <c r="AB56" s="12">
        <v>0.31683030303030302</v>
      </c>
      <c r="AD56" s="2" t="s">
        <v>50</v>
      </c>
      <c r="AE56" s="12">
        <v>6.0398161138962472E-2</v>
      </c>
      <c r="AF56" s="12">
        <v>4.5864256521864863E-2</v>
      </c>
      <c r="AG56" s="12">
        <v>5.6175864928999016E-2</v>
      </c>
      <c r="AH56" s="12">
        <v>4.9239417405734155E-2</v>
      </c>
      <c r="AI56" s="12">
        <v>4.3119476986937494E-2</v>
      </c>
      <c r="AJ56" s="12">
        <v>3.9354576849161695E-2</v>
      </c>
      <c r="AK56" s="12">
        <v>3.6161113484804587E-2</v>
      </c>
      <c r="AL56" s="12">
        <v>5.2190134667779983E-2</v>
      </c>
      <c r="AM56" s="12">
        <v>4.5988798762205803E-2</v>
      </c>
      <c r="AN56" s="12">
        <v>6.9135819966383932E-2</v>
      </c>
      <c r="AO56" s="12">
        <v>8.4761951276988046E-2</v>
      </c>
      <c r="AP56" s="12">
        <v>6.4083099757138856E-2</v>
      </c>
      <c r="AQ56" s="12">
        <v>5.9169197260636498E-2</v>
      </c>
      <c r="AR56" s="12">
        <v>7.708259491644906E-2</v>
      </c>
      <c r="AS56" s="12">
        <v>5.4161797579931961E-2</v>
      </c>
      <c r="AT56" s="12">
        <v>5.0662359126050556E-2</v>
      </c>
      <c r="AU56" s="12">
        <v>6.9929905843329102E-2</v>
      </c>
      <c r="AV56" s="12">
        <v>6.4354731351083147E-2</v>
      </c>
      <c r="AW56" s="12">
        <v>5.8397864650654871E-2</v>
      </c>
      <c r="AX56" s="12">
        <v>5.3572774581791438E-2</v>
      </c>
      <c r="AY56" s="12">
        <v>6.9775568531981358E-2</v>
      </c>
      <c r="AZ56" s="12">
        <v>7.689092369714931E-2</v>
      </c>
      <c r="BA56" s="12">
        <v>6.2616247008890097E-2</v>
      </c>
      <c r="BB56" s="12">
        <v>5.9142217502437276E-2</v>
      </c>
      <c r="BC56" s="12">
        <v>5.2467756195881864E-2</v>
      </c>
      <c r="BD56" s="12">
        <v>4.7401071742604127E-2</v>
      </c>
      <c r="BF56" s="2" t="s">
        <v>50</v>
      </c>
      <c r="BG56" t="s">
        <v>99</v>
      </c>
      <c r="BH56" t="s">
        <v>99</v>
      </c>
      <c r="BI56" t="s">
        <v>95</v>
      </c>
      <c r="BJ56" t="s">
        <v>99</v>
      </c>
      <c r="BK56" t="s">
        <v>97</v>
      </c>
      <c r="BL56" t="s">
        <v>94</v>
      </c>
      <c r="BM56" t="s">
        <v>95</v>
      </c>
      <c r="BN56" t="s">
        <v>99</v>
      </c>
      <c r="BO56" t="s">
        <v>96</v>
      </c>
      <c r="BP56" t="s">
        <v>97</v>
      </c>
      <c r="BQ56" t="s">
        <v>99</v>
      </c>
      <c r="BR56" t="s">
        <v>98</v>
      </c>
      <c r="BS56" t="s">
        <v>98</v>
      </c>
      <c r="BT56" t="s">
        <v>96</v>
      </c>
      <c r="BU56" t="s">
        <v>100</v>
      </c>
      <c r="BV56" t="s">
        <v>99</v>
      </c>
      <c r="BW56" t="s">
        <v>95</v>
      </c>
      <c r="BX56" t="s">
        <v>95</v>
      </c>
      <c r="BY56" t="s">
        <v>96</v>
      </c>
      <c r="BZ56" t="s">
        <v>99</v>
      </c>
      <c r="CA56" t="s">
        <v>98</v>
      </c>
      <c r="CB56" t="s">
        <v>99</v>
      </c>
      <c r="CC56" t="s">
        <v>100</v>
      </c>
      <c r="CD56" t="s">
        <v>95</v>
      </c>
      <c r="CE56" t="s">
        <v>95</v>
      </c>
      <c r="CF56" t="s">
        <v>96</v>
      </c>
    </row>
    <row r="57" spans="1:84" x14ac:dyDescent="0.35">
      <c r="A57" s="6"/>
      <c r="B57" s="2" t="s">
        <v>51</v>
      </c>
      <c r="C57" s="12">
        <v>0.15164545454545453</v>
      </c>
      <c r="D57" s="12">
        <v>0.16584545454545455</v>
      </c>
      <c r="E57" s="12">
        <v>0.16734545454545455</v>
      </c>
      <c r="F57" s="12">
        <v>0.15584545454545454</v>
      </c>
      <c r="G57" s="12">
        <v>0.15934545454545454</v>
      </c>
      <c r="H57" s="12">
        <v>0.14454545454545453</v>
      </c>
      <c r="I57" s="12">
        <v>0.14034545454545455</v>
      </c>
      <c r="J57" s="12">
        <v>0.15274545454545455</v>
      </c>
      <c r="K57" s="12">
        <v>0.16194545454545453</v>
      </c>
      <c r="L57" s="12">
        <v>0.16234545454545454</v>
      </c>
      <c r="M57" s="12">
        <v>0.14734545454545453</v>
      </c>
      <c r="N57" s="12">
        <v>0.15324545454545455</v>
      </c>
      <c r="O57" s="12">
        <v>0.16814545454545454</v>
      </c>
      <c r="P57" s="12">
        <v>0.14594545454545454</v>
      </c>
      <c r="Q57" s="12">
        <v>0.14604545454545453</v>
      </c>
      <c r="R57" s="12">
        <v>0.14944545454545455</v>
      </c>
      <c r="S57" s="12">
        <v>0.16564545454545454</v>
      </c>
      <c r="T57" s="12">
        <v>0.15384545454545454</v>
      </c>
      <c r="U57" s="12">
        <v>0.15334545454545453</v>
      </c>
      <c r="V57" s="12">
        <v>0.14264545454545455</v>
      </c>
      <c r="W57" s="12">
        <v>0.16874545454545453</v>
      </c>
      <c r="X57" s="12">
        <v>0.16854545454545455</v>
      </c>
      <c r="Y57" s="12">
        <v>0.16504545454545455</v>
      </c>
      <c r="Z57" s="12">
        <v>0.14394545454545454</v>
      </c>
      <c r="AA57" s="12">
        <v>0.15364545454545453</v>
      </c>
      <c r="AB57" s="12">
        <v>0.17184545454545455</v>
      </c>
      <c r="AD57" s="2" t="s">
        <v>51</v>
      </c>
      <c r="AE57" s="12">
        <v>4.8446079424579257E-2</v>
      </c>
      <c r="AF57" s="12">
        <v>3.3912174807481647E-2</v>
      </c>
      <c r="AG57" s="12">
        <v>4.42237832146158E-2</v>
      </c>
      <c r="AH57" s="12">
        <v>3.728733569135094E-2</v>
      </c>
      <c r="AI57" s="12">
        <v>3.1167395272554278E-2</v>
      </c>
      <c r="AJ57" s="12">
        <v>2.7402495134778479E-2</v>
      </c>
      <c r="AK57" s="12">
        <v>2.4209031770421371E-2</v>
      </c>
      <c r="AL57" s="12">
        <v>4.0238052953396768E-2</v>
      </c>
      <c r="AM57" s="12">
        <v>3.4036717047822587E-2</v>
      </c>
      <c r="AN57" s="12">
        <v>5.7183738252000724E-2</v>
      </c>
      <c r="AO57" s="12">
        <v>7.2809869562604837E-2</v>
      </c>
      <c r="AP57" s="12">
        <v>5.2131018042755634E-2</v>
      </c>
      <c r="AQ57" s="12">
        <v>4.7217115546253283E-2</v>
      </c>
      <c r="AR57" s="12">
        <v>6.5130513202065837E-2</v>
      </c>
      <c r="AS57" s="12">
        <v>4.2209715865548746E-2</v>
      </c>
      <c r="AT57" s="12">
        <v>3.871027741166734E-2</v>
      </c>
      <c r="AU57" s="12">
        <v>5.7977824128945886E-2</v>
      </c>
      <c r="AV57" s="12">
        <v>5.2402649636699931E-2</v>
      </c>
      <c r="AW57" s="12">
        <v>4.6445782936271655E-2</v>
      </c>
      <c r="AX57" s="12">
        <v>4.1620692867408222E-2</v>
      </c>
      <c r="AY57" s="12">
        <v>5.7823486817598142E-2</v>
      </c>
      <c r="AZ57" s="12">
        <v>6.4938841982766088E-2</v>
      </c>
      <c r="BA57" s="12">
        <v>5.0664165294506874E-2</v>
      </c>
      <c r="BB57" s="12">
        <v>4.7190135788054061E-2</v>
      </c>
      <c r="BC57" s="12">
        <v>4.0515674481498648E-2</v>
      </c>
      <c r="BD57" s="12">
        <v>3.5448990028220911E-2</v>
      </c>
      <c r="BF57" s="2" t="s">
        <v>51</v>
      </c>
      <c r="BG57" t="s">
        <v>96</v>
      </c>
      <c r="BH57" t="s">
        <v>97</v>
      </c>
      <c r="BI57" t="s">
        <v>95</v>
      </c>
      <c r="BJ57" t="s">
        <v>99</v>
      </c>
      <c r="BK57" t="s">
        <v>95</v>
      </c>
      <c r="BL57" t="s">
        <v>99</v>
      </c>
      <c r="BM57" t="s">
        <v>94</v>
      </c>
      <c r="BN57" t="s">
        <v>98</v>
      </c>
      <c r="BO57" t="s">
        <v>94</v>
      </c>
      <c r="BP57" t="s">
        <v>99</v>
      </c>
      <c r="BQ57" t="s">
        <v>97</v>
      </c>
      <c r="BR57" t="s">
        <v>95</v>
      </c>
      <c r="BS57" t="s">
        <v>99</v>
      </c>
      <c r="BT57" t="s">
        <v>100</v>
      </c>
      <c r="BU57" t="s">
        <v>100</v>
      </c>
      <c r="BV57" t="s">
        <v>98</v>
      </c>
      <c r="BW57" t="s">
        <v>100</v>
      </c>
      <c r="BX57" t="s">
        <v>100</v>
      </c>
      <c r="BY57" t="s">
        <v>99</v>
      </c>
      <c r="BZ57" t="s">
        <v>95</v>
      </c>
      <c r="CA57" t="s">
        <v>96</v>
      </c>
      <c r="CB57" t="s">
        <v>95</v>
      </c>
      <c r="CC57" t="s">
        <v>100</v>
      </c>
      <c r="CD57" t="s">
        <v>97</v>
      </c>
      <c r="CE57" t="s">
        <v>95</v>
      </c>
      <c r="CF57" t="s">
        <v>97</v>
      </c>
    </row>
    <row r="58" spans="1:84" x14ac:dyDescent="0.35">
      <c r="A58" s="8"/>
      <c r="B58" s="2" t="s">
        <v>52</v>
      </c>
      <c r="C58" s="12">
        <v>0.13798383838383826</v>
      </c>
      <c r="D58" s="12">
        <v>0.15228383838383827</v>
      </c>
      <c r="E58" s="12">
        <v>0.13098383838383829</v>
      </c>
      <c r="F58" s="12">
        <v>0.12618383838383829</v>
      </c>
      <c r="G58" s="12">
        <v>0.14468383838383828</v>
      </c>
      <c r="H58" s="12">
        <v>0.15458383838383827</v>
      </c>
      <c r="I58" s="12">
        <v>0.15098383838383828</v>
      </c>
      <c r="J58" s="12">
        <v>0.12488383838383828</v>
      </c>
      <c r="K58" s="12">
        <v>0.13418383838383827</v>
      </c>
      <c r="L58" s="12">
        <v>0.12418383838383827</v>
      </c>
      <c r="M58" s="12">
        <v>0.12708383838383827</v>
      </c>
      <c r="N58" s="12">
        <v>0.12468383838383827</v>
      </c>
      <c r="O58" s="12">
        <v>0.14218383838383827</v>
      </c>
      <c r="P58" s="12">
        <v>0.15328383838383827</v>
      </c>
      <c r="Q58" s="12">
        <v>0.14018383838383827</v>
      </c>
      <c r="R58" s="12">
        <v>0.15548383838383828</v>
      </c>
      <c r="S58" s="12">
        <v>0.12928383838383828</v>
      </c>
      <c r="T58" s="12">
        <v>0.13118383838383826</v>
      </c>
      <c r="U58" s="12">
        <v>0.13848383838383826</v>
      </c>
      <c r="V58" s="12">
        <v>0.15578383838383827</v>
      </c>
      <c r="W58" s="12">
        <v>0.14998383838383827</v>
      </c>
      <c r="X58" s="12">
        <v>0.13848383838383826</v>
      </c>
      <c r="Y58" s="12">
        <v>0.13428383838383828</v>
      </c>
      <c r="Z58" s="12">
        <v>0.12648383838383828</v>
      </c>
      <c r="AA58" s="12">
        <v>0.13348383838383829</v>
      </c>
      <c r="AB58" s="12">
        <v>0.13138383838383827</v>
      </c>
      <c r="AD58" s="2" t="s">
        <v>52</v>
      </c>
      <c r="AE58" s="12">
        <v>4.0012022525101089E-2</v>
      </c>
      <c r="AF58" s="12">
        <v>2.5478117908003479E-2</v>
      </c>
      <c r="AG58" s="12">
        <v>3.5789726315137632E-2</v>
      </c>
      <c r="AH58" s="12">
        <v>2.8853278791872772E-2</v>
      </c>
      <c r="AI58" s="12">
        <v>2.273333837307611E-2</v>
      </c>
      <c r="AJ58" s="12">
        <v>1.8968438235300311E-2</v>
      </c>
      <c r="AK58" s="12">
        <v>1.5774974870943204E-2</v>
      </c>
      <c r="AL58" s="12">
        <v>3.18039960539186E-2</v>
      </c>
      <c r="AM58" s="12">
        <v>2.5602660148344419E-2</v>
      </c>
      <c r="AN58" s="12">
        <v>4.8749681352522556E-2</v>
      </c>
      <c r="AO58" s="12">
        <v>6.4375812663126669E-2</v>
      </c>
      <c r="AP58" s="12">
        <v>4.3696961143277466E-2</v>
      </c>
      <c r="AQ58" s="12">
        <v>3.8783058646775115E-2</v>
      </c>
      <c r="AR58" s="12">
        <v>5.6696456302587669E-2</v>
      </c>
      <c r="AS58" s="12">
        <v>3.3775658966070578E-2</v>
      </c>
      <c r="AT58" s="12">
        <v>3.0276220512189173E-2</v>
      </c>
      <c r="AU58" s="12">
        <v>4.9543767229467718E-2</v>
      </c>
      <c r="AV58" s="12">
        <v>4.3968592737221764E-2</v>
      </c>
      <c r="AW58" s="12">
        <v>3.8011726036793488E-2</v>
      </c>
      <c r="AX58" s="12">
        <v>3.3186635967930055E-2</v>
      </c>
      <c r="AY58" s="12">
        <v>4.9389429918119974E-2</v>
      </c>
      <c r="AZ58" s="12">
        <v>5.650478508328792E-2</v>
      </c>
      <c r="BA58" s="12">
        <v>4.2230108395028707E-2</v>
      </c>
      <c r="BB58" s="12">
        <v>3.8756078888575893E-2</v>
      </c>
      <c r="BC58" s="12">
        <v>3.208161758202048E-2</v>
      </c>
      <c r="BD58" s="12">
        <v>2.7014933128742744E-2</v>
      </c>
      <c r="BF58" s="2" t="s">
        <v>52</v>
      </c>
      <c r="BG58" t="s">
        <v>95</v>
      </c>
      <c r="BH58" t="s">
        <v>97</v>
      </c>
      <c r="BI58" t="s">
        <v>97</v>
      </c>
      <c r="BJ58" t="s">
        <v>94</v>
      </c>
      <c r="BK58" t="s">
        <v>95</v>
      </c>
      <c r="BL58" t="s">
        <v>97</v>
      </c>
      <c r="BM58" t="s">
        <v>96</v>
      </c>
      <c r="BN58" t="s">
        <v>98</v>
      </c>
      <c r="BO58" t="s">
        <v>95</v>
      </c>
      <c r="BP58" t="s">
        <v>98</v>
      </c>
      <c r="BQ58" t="s">
        <v>98</v>
      </c>
      <c r="BR58" t="s">
        <v>97</v>
      </c>
      <c r="BS58" t="s">
        <v>95</v>
      </c>
      <c r="BT58" t="s">
        <v>99</v>
      </c>
      <c r="BU58" t="s">
        <v>95</v>
      </c>
      <c r="BV58" t="s">
        <v>96</v>
      </c>
      <c r="BW58" t="s">
        <v>97</v>
      </c>
      <c r="BX58" t="s">
        <v>95</v>
      </c>
      <c r="BY58" t="s">
        <v>94</v>
      </c>
      <c r="BZ58" t="s">
        <v>99</v>
      </c>
      <c r="CA58" t="s">
        <v>99</v>
      </c>
      <c r="CB58" t="s">
        <v>97</v>
      </c>
      <c r="CC58" t="s">
        <v>95</v>
      </c>
      <c r="CD58" t="s">
        <v>99</v>
      </c>
      <c r="CE58" t="s">
        <v>98</v>
      </c>
      <c r="CF58" t="s">
        <v>94</v>
      </c>
    </row>
    <row r="59" spans="1:84" x14ac:dyDescent="0.35">
      <c r="A59" s="7"/>
      <c r="B59" s="1" t="s">
        <v>53</v>
      </c>
      <c r="C59" s="12">
        <v>7.9407070707070704E-2</v>
      </c>
      <c r="D59" s="12">
        <v>7.2307070707070722E-2</v>
      </c>
      <c r="E59" s="12">
        <v>6.1507070707070718E-2</v>
      </c>
      <c r="F59" s="12">
        <v>6.5307070707070716E-2</v>
      </c>
      <c r="G59" s="12">
        <v>7.2307070707070709E-2</v>
      </c>
      <c r="H59" s="12">
        <v>7.9807070707070715E-2</v>
      </c>
      <c r="I59" s="12">
        <v>7.2007070707070714E-2</v>
      </c>
      <c r="J59" s="12">
        <v>7.9407070707070718E-2</v>
      </c>
      <c r="K59" s="12">
        <v>6.5607070707070725E-2</v>
      </c>
      <c r="L59" s="12">
        <v>7.7707070707070725E-2</v>
      </c>
      <c r="M59" s="12">
        <v>6.4707070707070713E-2</v>
      </c>
      <c r="N59" s="12">
        <v>6.6007070707070722E-2</v>
      </c>
      <c r="O59" s="12">
        <v>7.7207070707070724E-2</v>
      </c>
      <c r="P59" s="12">
        <v>7.9607070707070723E-2</v>
      </c>
      <c r="Q59" s="12">
        <v>7.5107070707070719E-2</v>
      </c>
      <c r="R59" s="12">
        <v>7.0607070707070715E-2</v>
      </c>
      <c r="S59" s="12">
        <v>7.7907070707070716E-2</v>
      </c>
      <c r="T59" s="12">
        <v>6.6807070707070718E-2</v>
      </c>
      <c r="U59" s="12">
        <v>7.1107070707070716E-2</v>
      </c>
      <c r="V59" s="12">
        <v>6.3207070707070712E-2</v>
      </c>
      <c r="W59" s="12">
        <v>6.1207070707070724E-2</v>
      </c>
      <c r="X59" s="12">
        <v>7.1107070707070716E-2</v>
      </c>
      <c r="Y59" s="12">
        <v>6.6807070707070718E-2</v>
      </c>
      <c r="Z59" s="12">
        <v>7.5107070707070719E-2</v>
      </c>
      <c r="AA59" s="12">
        <v>7.9507070707070721E-2</v>
      </c>
      <c r="AB59" s="12">
        <v>6.1207070707070717E-2</v>
      </c>
      <c r="AD59" s="1" t="s">
        <v>53</v>
      </c>
      <c r="AE59" s="17">
        <f>SUMPRODUCT(AE60:AE63,C60:C63)</f>
        <v>5.6896596837452233E-2</v>
      </c>
      <c r="AF59" s="17">
        <f t="shared" ref="AF59:BD59" si="18">SUMPRODUCT(AF60:AF63,D60:D63)</f>
        <v>4.1613092220354621E-2</v>
      </c>
      <c r="AG59" s="17">
        <f t="shared" si="18"/>
        <v>5.2742800627488776E-2</v>
      </c>
      <c r="AH59" s="17">
        <f t="shared" si="18"/>
        <v>4.5330453104223914E-2</v>
      </c>
      <c r="AI59" s="17">
        <f t="shared" si="18"/>
        <v>3.9419312685427248E-2</v>
      </c>
      <c r="AJ59" s="17">
        <f t="shared" si="18"/>
        <v>3.5624712547651462E-2</v>
      </c>
      <c r="AK59" s="17">
        <f t="shared" si="18"/>
        <v>3.3387551480277833E-2</v>
      </c>
      <c r="AL59" s="17">
        <f t="shared" si="18"/>
        <v>4.8709370366269746E-2</v>
      </c>
      <c r="AM59" s="17">
        <f t="shared" si="18"/>
        <v>4.185393446069556E-2</v>
      </c>
      <c r="AN59" s="17">
        <f t="shared" si="18"/>
        <v>6.5749355664873693E-2</v>
      </c>
      <c r="AO59" s="17">
        <f t="shared" si="18"/>
        <v>8.11001869754778E-2</v>
      </c>
      <c r="AP59" s="17">
        <f t="shared" si="18"/>
        <v>5.9909535455628611E-2</v>
      </c>
      <c r="AQ59" s="17">
        <f t="shared" si="18"/>
        <v>5.4935032959126259E-2</v>
      </c>
      <c r="AR59" s="17">
        <f t="shared" si="18"/>
        <v>7.3312130614938797E-2</v>
      </c>
      <c r="AS59" s="17">
        <f t="shared" si="18"/>
        <v>5.0306833278421718E-2</v>
      </c>
      <c r="AT59" s="17">
        <f t="shared" si="18"/>
        <v>4.6751094824540318E-2</v>
      </c>
      <c r="AU59" s="17">
        <f t="shared" si="18"/>
        <v>6.5977341541818876E-2</v>
      </c>
      <c r="AV59" s="17">
        <f t="shared" si="18"/>
        <v>6.0730467049572905E-2</v>
      </c>
      <c r="AW59" s="17">
        <f t="shared" si="18"/>
        <v>5.4823600349144637E-2</v>
      </c>
      <c r="AX59" s="17">
        <f t="shared" si="18"/>
        <v>4.9669510280281208E-2</v>
      </c>
      <c r="AY59" s="17">
        <f t="shared" si="18"/>
        <v>6.6205204230471118E-2</v>
      </c>
      <c r="AZ59" s="17">
        <f t="shared" si="18"/>
        <v>7.3284659395639079E-2</v>
      </c>
      <c r="BA59" s="17">
        <f t="shared" si="18"/>
        <v>5.8940082707379854E-2</v>
      </c>
      <c r="BB59" s="17">
        <f t="shared" si="18"/>
        <v>5.5207053200927045E-2</v>
      </c>
      <c r="BC59" s="17">
        <f t="shared" si="18"/>
        <v>4.8542691894371624E-2</v>
      </c>
      <c r="BD59" s="17">
        <f t="shared" si="18"/>
        <v>4.385530744109388E-2</v>
      </c>
      <c r="BF59" s="1" t="s">
        <v>53</v>
      </c>
      <c r="BG59" t="s">
        <v>97</v>
      </c>
      <c r="BH59" t="s">
        <v>98</v>
      </c>
      <c r="BI59" t="s">
        <v>98</v>
      </c>
      <c r="BJ59" t="s">
        <v>97</v>
      </c>
      <c r="BK59" t="s">
        <v>100</v>
      </c>
      <c r="BL59" t="s">
        <v>100</v>
      </c>
      <c r="BM59" t="s">
        <v>96</v>
      </c>
      <c r="BN59" t="s">
        <v>94</v>
      </c>
      <c r="BO59" t="s">
        <v>98</v>
      </c>
      <c r="BP59" t="s">
        <v>99</v>
      </c>
      <c r="BQ59" t="s">
        <v>100</v>
      </c>
      <c r="BR59" t="s">
        <v>99</v>
      </c>
      <c r="BS59" t="s">
        <v>97</v>
      </c>
      <c r="BT59" t="s">
        <v>98</v>
      </c>
      <c r="BU59" t="s">
        <v>99</v>
      </c>
      <c r="BV59" t="s">
        <v>94</v>
      </c>
      <c r="BW59" t="s">
        <v>98</v>
      </c>
      <c r="BX59" t="s">
        <v>100</v>
      </c>
      <c r="BY59" t="s">
        <v>97</v>
      </c>
      <c r="BZ59" t="s">
        <v>100</v>
      </c>
      <c r="CA59" t="s">
        <v>100</v>
      </c>
      <c r="CB59" t="s">
        <v>96</v>
      </c>
      <c r="CC59" t="s">
        <v>94</v>
      </c>
      <c r="CD59" t="s">
        <v>100</v>
      </c>
      <c r="CE59" t="s">
        <v>94</v>
      </c>
      <c r="CF59" t="s">
        <v>99</v>
      </c>
    </row>
    <row r="60" spans="1:84" x14ac:dyDescent="0.35">
      <c r="A60" s="8"/>
      <c r="B60" s="2" t="s">
        <v>54</v>
      </c>
      <c r="C60" s="12">
        <f>1-SUM(C61:C63)</f>
        <v>0.4233440608513459</v>
      </c>
      <c r="D60" s="12">
        <f t="shared" ref="D60:AB60" si="19">1-SUM(D61:D63)</f>
        <v>0.3729440608513459</v>
      </c>
      <c r="E60" s="12">
        <f t="shared" si="19"/>
        <v>0.41644406085134589</v>
      </c>
      <c r="F60" s="12">
        <f t="shared" si="19"/>
        <v>0.3971440608513459</v>
      </c>
      <c r="G60" s="12">
        <f t="shared" si="19"/>
        <v>0.40994406085134583</v>
      </c>
      <c r="H60" s="12">
        <f t="shared" si="19"/>
        <v>0.40844406085134588</v>
      </c>
      <c r="I60" s="12">
        <f t="shared" si="19"/>
        <v>0.4012440608513459</v>
      </c>
      <c r="J60" s="12">
        <f t="shared" si="19"/>
        <v>0.42414406085134593</v>
      </c>
      <c r="K60" s="12">
        <f t="shared" si="19"/>
        <v>0.39184406085134593</v>
      </c>
      <c r="L60" s="12">
        <f t="shared" si="19"/>
        <v>0.43624406085134593</v>
      </c>
      <c r="M60" s="12">
        <f t="shared" si="19"/>
        <v>0.40994406085134594</v>
      </c>
      <c r="N60" s="12">
        <f t="shared" si="19"/>
        <v>0.3921440608513459</v>
      </c>
      <c r="O60" s="12">
        <f t="shared" si="19"/>
        <v>0.38954406085134585</v>
      </c>
      <c r="P60" s="12">
        <f t="shared" si="19"/>
        <v>0.40744406085134588</v>
      </c>
      <c r="Q60" s="12">
        <f t="shared" si="19"/>
        <v>0.41354406085134587</v>
      </c>
      <c r="R60" s="12">
        <f t="shared" si="19"/>
        <v>0.40184406085134583</v>
      </c>
      <c r="S60" s="12">
        <f t="shared" si="19"/>
        <v>0.41114406085134592</v>
      </c>
      <c r="T60" s="12">
        <f t="shared" si="19"/>
        <v>0.42044406085134589</v>
      </c>
      <c r="U60" s="12">
        <f t="shared" si="19"/>
        <v>0.42084406085134596</v>
      </c>
      <c r="V60" s="12">
        <f t="shared" si="19"/>
        <v>0.40664406085134597</v>
      </c>
      <c r="W60" s="12">
        <f t="shared" si="19"/>
        <v>0.41774406085134597</v>
      </c>
      <c r="X60" s="12">
        <f t="shared" si="19"/>
        <v>0.40804406085134592</v>
      </c>
      <c r="Y60" s="12">
        <f t="shared" si="19"/>
        <v>0.40514406085134591</v>
      </c>
      <c r="Z60" s="12">
        <f t="shared" si="19"/>
        <v>0.38894406085134592</v>
      </c>
      <c r="AA60" s="12">
        <f t="shared" si="19"/>
        <v>0.39884406085134594</v>
      </c>
      <c r="AB60" s="12">
        <f t="shared" si="19"/>
        <v>0.41474406085134585</v>
      </c>
      <c r="AD60" s="2" t="s">
        <v>54</v>
      </c>
      <c r="AE60" s="12">
        <v>6.4012022525101089E-2</v>
      </c>
      <c r="AF60" s="12">
        <v>4.947811790800348E-2</v>
      </c>
      <c r="AG60" s="12">
        <v>5.9789726315137633E-2</v>
      </c>
      <c r="AH60" s="12">
        <v>5.2853278791872772E-2</v>
      </c>
      <c r="AI60" s="12">
        <v>4.6733338373076111E-2</v>
      </c>
      <c r="AJ60" s="12">
        <v>4.2968438235300312E-2</v>
      </c>
      <c r="AK60" s="12">
        <v>3.9774974870943204E-2</v>
      </c>
      <c r="AL60" s="12">
        <v>5.58039960539186E-2</v>
      </c>
      <c r="AM60" s="12">
        <v>4.960266014834442E-2</v>
      </c>
      <c r="AN60" s="12">
        <v>7.2749681352522549E-2</v>
      </c>
      <c r="AO60" s="12">
        <v>8.8375812663126663E-2</v>
      </c>
      <c r="AP60" s="12">
        <v>6.7696961143277473E-2</v>
      </c>
      <c r="AQ60" s="12">
        <v>6.2783058646775108E-2</v>
      </c>
      <c r="AR60" s="12">
        <v>8.0696456302587677E-2</v>
      </c>
      <c r="AS60" s="12">
        <v>5.7775658966070578E-2</v>
      </c>
      <c r="AT60" s="12">
        <v>5.4276220512189173E-2</v>
      </c>
      <c r="AU60" s="12">
        <v>7.3543767229467719E-2</v>
      </c>
      <c r="AV60" s="12">
        <v>6.7968592737221764E-2</v>
      </c>
      <c r="AW60" s="12">
        <v>6.2011726036793488E-2</v>
      </c>
      <c r="AX60" s="12">
        <v>5.7186635967930055E-2</v>
      </c>
      <c r="AY60" s="12">
        <v>7.3389429918119975E-2</v>
      </c>
      <c r="AZ60" s="12">
        <v>8.0504785083287927E-2</v>
      </c>
      <c r="BA60" s="12">
        <v>6.6230108395028714E-2</v>
      </c>
      <c r="BB60" s="12">
        <v>6.27560788885759E-2</v>
      </c>
      <c r="BC60" s="12">
        <v>5.6081617582020481E-2</v>
      </c>
      <c r="BD60" s="12">
        <v>5.1014933128742744E-2</v>
      </c>
      <c r="BF60" s="2" t="s">
        <v>54</v>
      </c>
      <c r="BG60" t="s">
        <v>99</v>
      </c>
      <c r="BH60" t="s">
        <v>98</v>
      </c>
      <c r="BI60" t="s">
        <v>94</v>
      </c>
      <c r="BJ60" t="s">
        <v>100</v>
      </c>
      <c r="BK60" t="s">
        <v>100</v>
      </c>
      <c r="BL60" t="s">
        <v>100</v>
      </c>
      <c r="BM60" t="s">
        <v>95</v>
      </c>
      <c r="BN60" t="s">
        <v>98</v>
      </c>
      <c r="BO60" t="s">
        <v>99</v>
      </c>
      <c r="BP60" t="s">
        <v>100</v>
      </c>
      <c r="BQ60" t="s">
        <v>96</v>
      </c>
      <c r="BR60" t="s">
        <v>99</v>
      </c>
      <c r="BS60" t="s">
        <v>100</v>
      </c>
      <c r="BT60" t="s">
        <v>96</v>
      </c>
      <c r="BU60" t="s">
        <v>100</v>
      </c>
      <c r="BV60" t="s">
        <v>97</v>
      </c>
      <c r="BW60" t="s">
        <v>96</v>
      </c>
      <c r="BX60" t="s">
        <v>94</v>
      </c>
      <c r="BY60" t="s">
        <v>94</v>
      </c>
      <c r="BZ60" t="s">
        <v>96</v>
      </c>
      <c r="CA60" t="s">
        <v>96</v>
      </c>
      <c r="CB60" t="s">
        <v>97</v>
      </c>
      <c r="CC60" t="s">
        <v>96</v>
      </c>
      <c r="CD60" t="s">
        <v>95</v>
      </c>
      <c r="CE60" t="s">
        <v>99</v>
      </c>
      <c r="CF60" t="s">
        <v>95</v>
      </c>
    </row>
    <row r="61" spans="1:84" x14ac:dyDescent="0.35">
      <c r="A61" s="8"/>
      <c r="B61" s="2" t="s">
        <v>55</v>
      </c>
      <c r="C61" s="12">
        <v>0.31258304563850942</v>
      </c>
      <c r="D61" s="12">
        <v>0.32578304563850941</v>
      </c>
      <c r="E61" s="12">
        <v>0.3242830456385094</v>
      </c>
      <c r="F61" s="12">
        <v>0.31748304563850938</v>
      </c>
      <c r="G61" s="12">
        <v>0.30858304563850941</v>
      </c>
      <c r="H61" s="12">
        <v>0.30558304563850941</v>
      </c>
      <c r="I61" s="12">
        <v>0.31458304563850942</v>
      </c>
      <c r="J61" s="12">
        <v>0.3101830456385094</v>
      </c>
      <c r="K61" s="12">
        <v>0.31038304563850938</v>
      </c>
      <c r="L61" s="12">
        <v>0.29618304563850939</v>
      </c>
      <c r="M61" s="12">
        <v>0.3172830456385094</v>
      </c>
      <c r="N61" s="12">
        <v>0.3076830456385094</v>
      </c>
      <c r="O61" s="12">
        <v>0.30228304563850938</v>
      </c>
      <c r="P61" s="12">
        <v>0.31378304563850939</v>
      </c>
      <c r="Q61" s="12">
        <v>0.29488304563850942</v>
      </c>
      <c r="R61" s="12">
        <v>0.30748304563850942</v>
      </c>
      <c r="S61" s="12">
        <v>0.29748304563850941</v>
      </c>
      <c r="T61" s="12">
        <v>0.30448304563850942</v>
      </c>
      <c r="U61" s="12">
        <v>0.3026830456385094</v>
      </c>
      <c r="V61" s="12">
        <v>0.31028304563850939</v>
      </c>
      <c r="W61" s="12">
        <v>0.31748304563850938</v>
      </c>
      <c r="X61" s="12">
        <v>0.3252830456385094</v>
      </c>
      <c r="Y61" s="12">
        <v>0.32488304563850939</v>
      </c>
      <c r="Z61" s="12">
        <v>0.32508304563850943</v>
      </c>
      <c r="AA61" s="12">
        <v>0.32268304563850941</v>
      </c>
      <c r="AB61" s="12">
        <v>0.32108304563850942</v>
      </c>
      <c r="AD61" s="2" t="s">
        <v>55</v>
      </c>
      <c r="AE61" s="12">
        <v>5.701202252510109E-2</v>
      </c>
      <c r="AF61" s="12">
        <v>4.2478117908003481E-2</v>
      </c>
      <c r="AG61" s="12">
        <v>5.2789726315137633E-2</v>
      </c>
      <c r="AH61" s="12">
        <v>4.5853278791872773E-2</v>
      </c>
      <c r="AI61" s="12">
        <v>3.9733338373076112E-2</v>
      </c>
      <c r="AJ61" s="12">
        <v>3.5968438235300312E-2</v>
      </c>
      <c r="AK61" s="12">
        <v>3.4791296260947617E-2</v>
      </c>
      <c r="AL61" s="12">
        <v>4.8803996053918601E-2</v>
      </c>
      <c r="AM61" s="12">
        <v>4.2602660148344421E-2</v>
      </c>
      <c r="AN61" s="12">
        <v>6.5749681352522557E-2</v>
      </c>
      <c r="AO61" s="12">
        <v>8.137581266312667E-2</v>
      </c>
      <c r="AP61" s="12">
        <v>6.0696961143277467E-2</v>
      </c>
      <c r="AQ61" s="12">
        <v>5.5783058646775116E-2</v>
      </c>
      <c r="AR61" s="12">
        <v>7.3696456302587671E-2</v>
      </c>
      <c r="AS61" s="12">
        <v>5.0775658966070579E-2</v>
      </c>
      <c r="AT61" s="12">
        <v>4.7276220512189174E-2</v>
      </c>
      <c r="AU61" s="12">
        <v>6.6543767229467726E-2</v>
      </c>
      <c r="AV61" s="12">
        <v>6.0968592737221765E-2</v>
      </c>
      <c r="AW61" s="12">
        <v>5.5011726036793489E-2</v>
      </c>
      <c r="AX61" s="12">
        <v>5.0186635967930056E-2</v>
      </c>
      <c r="AY61" s="12">
        <v>6.6389429918119969E-2</v>
      </c>
      <c r="AZ61" s="12">
        <v>7.3504785083287921E-2</v>
      </c>
      <c r="BA61" s="12">
        <v>5.9230108395028708E-2</v>
      </c>
      <c r="BB61" s="12">
        <v>5.5756078888575894E-2</v>
      </c>
      <c r="BC61" s="12">
        <v>4.9081617582020481E-2</v>
      </c>
      <c r="BD61" s="12">
        <v>4.4014933128742745E-2</v>
      </c>
      <c r="BF61" s="2" t="s">
        <v>55</v>
      </c>
      <c r="BG61" t="s">
        <v>100</v>
      </c>
      <c r="BH61" t="s">
        <v>97</v>
      </c>
      <c r="BI61" t="s">
        <v>100</v>
      </c>
      <c r="BJ61" t="s">
        <v>94</v>
      </c>
      <c r="BK61" t="s">
        <v>100</v>
      </c>
      <c r="BL61" t="s">
        <v>94</v>
      </c>
      <c r="BM61" t="s">
        <v>94</v>
      </c>
      <c r="BN61" t="s">
        <v>98</v>
      </c>
      <c r="BO61" t="s">
        <v>97</v>
      </c>
      <c r="BP61" t="s">
        <v>94</v>
      </c>
      <c r="BQ61" t="s">
        <v>100</v>
      </c>
      <c r="BR61" t="s">
        <v>100</v>
      </c>
      <c r="BS61" t="s">
        <v>98</v>
      </c>
      <c r="BT61" t="s">
        <v>96</v>
      </c>
      <c r="BU61" t="s">
        <v>97</v>
      </c>
      <c r="BV61" t="s">
        <v>97</v>
      </c>
      <c r="BW61" t="s">
        <v>94</v>
      </c>
      <c r="BX61" t="s">
        <v>99</v>
      </c>
      <c r="BY61" t="s">
        <v>96</v>
      </c>
      <c r="BZ61" t="s">
        <v>96</v>
      </c>
      <c r="CA61" t="s">
        <v>94</v>
      </c>
      <c r="CB61" t="s">
        <v>95</v>
      </c>
      <c r="CC61" t="s">
        <v>96</v>
      </c>
      <c r="CD61" t="s">
        <v>99</v>
      </c>
      <c r="CE61" t="s">
        <v>98</v>
      </c>
      <c r="CF61" t="s">
        <v>96</v>
      </c>
    </row>
    <row r="62" spans="1:84" x14ac:dyDescent="0.35">
      <c r="A62" s="8"/>
      <c r="B62" s="2" t="s">
        <v>56</v>
      </c>
      <c r="C62" s="12">
        <v>0.1432915228192547</v>
      </c>
      <c r="D62" s="12">
        <v>0.16809152281925471</v>
      </c>
      <c r="E62" s="12">
        <v>0.1482915228192547</v>
      </c>
      <c r="F62" s="12">
        <v>0.1578915228192547</v>
      </c>
      <c r="G62" s="12">
        <v>0.16499152281925469</v>
      </c>
      <c r="H62" s="12">
        <v>0.17159152281925472</v>
      </c>
      <c r="I62" s="12">
        <v>0.1515915228192547</v>
      </c>
      <c r="J62" s="12">
        <v>0.14839152281925469</v>
      </c>
      <c r="K62" s="12">
        <v>0.1590915228192547</v>
      </c>
      <c r="L62" s="12">
        <v>0.15339152281925469</v>
      </c>
      <c r="M62" s="12">
        <v>0.15239152281925469</v>
      </c>
      <c r="N62" s="12">
        <v>0.15879152281925471</v>
      </c>
      <c r="O62" s="12">
        <v>0.1694915228192547</v>
      </c>
      <c r="P62" s="12">
        <v>0.15299152281925471</v>
      </c>
      <c r="Q62" s="12">
        <v>0.1626915228192547</v>
      </c>
      <c r="R62" s="12">
        <v>0.16409152281925471</v>
      </c>
      <c r="S62" s="12">
        <v>0.15219152281925469</v>
      </c>
      <c r="T62" s="12">
        <v>0.15249152281925471</v>
      </c>
      <c r="U62" s="12">
        <v>0.1611915228192547</v>
      </c>
      <c r="V62" s="12">
        <v>0.14569152281925471</v>
      </c>
      <c r="W62" s="12">
        <v>0.1409915228192547</v>
      </c>
      <c r="X62" s="12">
        <v>0.1487915228192547</v>
      </c>
      <c r="Y62" s="12">
        <v>0.14919152281925471</v>
      </c>
      <c r="Z62" s="12">
        <v>0.16299152281925469</v>
      </c>
      <c r="AA62" s="12">
        <v>0.14059152281925469</v>
      </c>
      <c r="AB62" s="12">
        <v>0.1454915228192547</v>
      </c>
      <c r="AD62" s="2" t="s">
        <v>56</v>
      </c>
      <c r="AE62" s="12">
        <v>4.901202252510109E-2</v>
      </c>
      <c r="AF62" s="12">
        <v>3.4478117908003481E-2</v>
      </c>
      <c r="AG62" s="12">
        <v>4.4789726315137633E-2</v>
      </c>
      <c r="AH62" s="12">
        <v>3.7853278791872773E-2</v>
      </c>
      <c r="AI62" s="12">
        <v>3.1733338373076111E-2</v>
      </c>
      <c r="AJ62" s="12">
        <v>2.7968438235300312E-2</v>
      </c>
      <c r="AK62" s="12">
        <v>2.6562126406701018E-2</v>
      </c>
      <c r="AL62" s="12">
        <v>4.0803996053918601E-2</v>
      </c>
      <c r="AM62" s="12">
        <v>3.460266014834442E-2</v>
      </c>
      <c r="AN62" s="12">
        <v>5.7749681352522557E-2</v>
      </c>
      <c r="AO62" s="12">
        <v>7.3375812663126677E-2</v>
      </c>
      <c r="AP62" s="12">
        <v>5.2696961143277467E-2</v>
      </c>
      <c r="AQ62" s="12">
        <v>4.7783058646775116E-2</v>
      </c>
      <c r="AR62" s="12">
        <v>6.5696456302587664E-2</v>
      </c>
      <c r="AS62" s="12">
        <v>4.2775658966070579E-2</v>
      </c>
      <c r="AT62" s="12">
        <v>3.9276220512189174E-2</v>
      </c>
      <c r="AU62" s="12">
        <v>5.8543767229467719E-2</v>
      </c>
      <c r="AV62" s="12">
        <v>5.2968592737221765E-2</v>
      </c>
      <c r="AW62" s="12">
        <v>4.7011726036793489E-2</v>
      </c>
      <c r="AX62" s="12">
        <v>4.2186635967930056E-2</v>
      </c>
      <c r="AY62" s="12">
        <v>5.8389429918119976E-2</v>
      </c>
      <c r="AZ62" s="12">
        <v>6.5504785083287914E-2</v>
      </c>
      <c r="BA62" s="12">
        <v>5.1230108395028708E-2</v>
      </c>
      <c r="BB62" s="12">
        <v>4.7756078888575894E-2</v>
      </c>
      <c r="BC62" s="12">
        <v>4.1081617582020481E-2</v>
      </c>
      <c r="BD62" s="12">
        <v>3.6014933128742745E-2</v>
      </c>
      <c r="BF62" s="2" t="s">
        <v>56</v>
      </c>
      <c r="BG62" t="s">
        <v>98</v>
      </c>
      <c r="BH62" t="s">
        <v>97</v>
      </c>
      <c r="BI62" t="s">
        <v>99</v>
      </c>
      <c r="BJ62" t="s">
        <v>98</v>
      </c>
      <c r="BK62" t="s">
        <v>100</v>
      </c>
      <c r="BL62" t="s">
        <v>95</v>
      </c>
      <c r="BM62" t="s">
        <v>97</v>
      </c>
      <c r="BN62" t="s">
        <v>100</v>
      </c>
      <c r="BO62" t="s">
        <v>97</v>
      </c>
      <c r="BP62" t="s">
        <v>96</v>
      </c>
      <c r="BQ62" t="s">
        <v>98</v>
      </c>
      <c r="BR62" t="s">
        <v>97</v>
      </c>
      <c r="BS62" t="s">
        <v>95</v>
      </c>
      <c r="BT62" t="s">
        <v>95</v>
      </c>
      <c r="BU62" t="s">
        <v>96</v>
      </c>
      <c r="BV62" t="s">
        <v>96</v>
      </c>
      <c r="BW62" t="s">
        <v>97</v>
      </c>
      <c r="BX62" t="s">
        <v>95</v>
      </c>
      <c r="BY62" t="s">
        <v>97</v>
      </c>
      <c r="BZ62" t="s">
        <v>95</v>
      </c>
      <c r="CA62" t="s">
        <v>98</v>
      </c>
      <c r="CB62" t="s">
        <v>94</v>
      </c>
      <c r="CC62" t="s">
        <v>99</v>
      </c>
      <c r="CD62" t="s">
        <v>94</v>
      </c>
      <c r="CE62" t="s">
        <v>99</v>
      </c>
      <c r="CF62" t="s">
        <v>94</v>
      </c>
    </row>
    <row r="63" spans="1:84" x14ac:dyDescent="0.35">
      <c r="A63" s="8"/>
      <c r="B63" s="2" t="s">
        <v>57</v>
      </c>
      <c r="C63" s="12">
        <v>0.12078137069089</v>
      </c>
      <c r="D63" s="12">
        <v>0.13318137069088998</v>
      </c>
      <c r="E63" s="12">
        <v>0.11098137069088999</v>
      </c>
      <c r="F63" s="12">
        <v>0.12748137069088999</v>
      </c>
      <c r="G63" s="12">
        <v>0.11648137069088998</v>
      </c>
      <c r="H63" s="12">
        <v>0.11438137069088999</v>
      </c>
      <c r="I63" s="12">
        <v>0.13258137069088999</v>
      </c>
      <c r="J63" s="12">
        <v>0.11728137069088999</v>
      </c>
      <c r="K63" s="12">
        <v>0.13868137069088998</v>
      </c>
      <c r="L63" s="12">
        <v>0.11418137069088999</v>
      </c>
      <c r="M63" s="12">
        <v>0.12038137069088999</v>
      </c>
      <c r="N63" s="12">
        <v>0.14138137069088999</v>
      </c>
      <c r="O63" s="12">
        <v>0.13868137069088998</v>
      </c>
      <c r="P63" s="12">
        <v>0.12578137069088999</v>
      </c>
      <c r="Q63" s="12">
        <v>0.12888137069088998</v>
      </c>
      <c r="R63" s="12">
        <v>0.12658137069088998</v>
      </c>
      <c r="S63" s="12">
        <v>0.13918137069088998</v>
      </c>
      <c r="T63" s="12">
        <v>0.12258137069088999</v>
      </c>
      <c r="U63" s="12">
        <v>0.11528137069088999</v>
      </c>
      <c r="V63" s="12">
        <v>0.13738137069088999</v>
      </c>
      <c r="W63" s="12">
        <v>0.12378137069088999</v>
      </c>
      <c r="X63" s="12">
        <v>0.11788137069089</v>
      </c>
      <c r="Y63" s="12">
        <v>0.12078137069089</v>
      </c>
      <c r="Z63" s="12">
        <v>0.12298137069088999</v>
      </c>
      <c r="AA63" s="12">
        <v>0.13788137069088999</v>
      </c>
      <c r="AB63" s="12">
        <v>0.11868137069088999</v>
      </c>
      <c r="AD63" s="2" t="s">
        <v>57</v>
      </c>
      <c r="AE63" s="12">
        <v>4.101202252510109E-2</v>
      </c>
      <c r="AF63" s="12">
        <v>2.647811790800348E-2</v>
      </c>
      <c r="AG63" s="12">
        <v>3.6789726315137633E-2</v>
      </c>
      <c r="AH63" s="12">
        <v>2.9853278791872773E-2</v>
      </c>
      <c r="AI63" s="12">
        <v>2.3733338373076111E-2</v>
      </c>
      <c r="AJ63" s="12">
        <v>1.9968438235300312E-2</v>
      </c>
      <c r="AK63" s="12">
        <v>1.8530008395660831E-2</v>
      </c>
      <c r="AL63" s="12">
        <v>3.2803996053918601E-2</v>
      </c>
      <c r="AM63" s="12">
        <v>2.660266014834442E-2</v>
      </c>
      <c r="AN63" s="12">
        <v>4.9749681352522557E-2</v>
      </c>
      <c r="AO63" s="12">
        <v>6.537581266312667E-2</v>
      </c>
      <c r="AP63" s="12">
        <v>4.4696961143277467E-2</v>
      </c>
      <c r="AQ63" s="12">
        <v>3.9783058646775116E-2</v>
      </c>
      <c r="AR63" s="12">
        <v>5.769645630258767E-2</v>
      </c>
      <c r="AS63" s="12">
        <v>3.4775658966070579E-2</v>
      </c>
      <c r="AT63" s="12">
        <v>3.1276220512189173E-2</v>
      </c>
      <c r="AU63" s="12">
        <v>5.0543767229467719E-2</v>
      </c>
      <c r="AV63" s="12">
        <v>4.4968592737221764E-2</v>
      </c>
      <c r="AW63" s="12">
        <v>3.9011726036793488E-2</v>
      </c>
      <c r="AX63" s="12">
        <v>3.4186635967930055E-2</v>
      </c>
      <c r="AY63" s="12">
        <v>5.0389429918119975E-2</v>
      </c>
      <c r="AZ63" s="12">
        <v>5.7504785083287921E-2</v>
      </c>
      <c r="BA63" s="12">
        <v>4.3230108395028707E-2</v>
      </c>
      <c r="BB63" s="12">
        <v>3.9756078888575894E-2</v>
      </c>
      <c r="BC63" s="12">
        <v>3.3081617582020481E-2</v>
      </c>
      <c r="BD63" s="12">
        <v>2.8014933128742744E-2</v>
      </c>
      <c r="BF63" s="2" t="s">
        <v>57</v>
      </c>
      <c r="BG63" t="s">
        <v>98</v>
      </c>
      <c r="BH63" t="s">
        <v>98</v>
      </c>
      <c r="BI63" t="s">
        <v>97</v>
      </c>
      <c r="BJ63" t="s">
        <v>100</v>
      </c>
      <c r="BK63" t="s">
        <v>99</v>
      </c>
      <c r="BL63" t="s">
        <v>99</v>
      </c>
      <c r="BM63" t="s">
        <v>99</v>
      </c>
      <c r="BN63" t="s">
        <v>94</v>
      </c>
      <c r="BO63" t="s">
        <v>96</v>
      </c>
      <c r="BP63" t="s">
        <v>97</v>
      </c>
      <c r="BQ63" t="s">
        <v>99</v>
      </c>
      <c r="BR63" t="s">
        <v>97</v>
      </c>
      <c r="BS63" t="s">
        <v>97</v>
      </c>
      <c r="BT63" t="s">
        <v>99</v>
      </c>
      <c r="BU63" t="s">
        <v>95</v>
      </c>
      <c r="BV63" t="s">
        <v>97</v>
      </c>
      <c r="BW63" t="s">
        <v>95</v>
      </c>
      <c r="BX63" t="s">
        <v>100</v>
      </c>
      <c r="BY63" t="s">
        <v>97</v>
      </c>
      <c r="BZ63" t="s">
        <v>94</v>
      </c>
      <c r="CA63" t="s">
        <v>99</v>
      </c>
      <c r="CB63" t="s">
        <v>99</v>
      </c>
      <c r="CC63" t="s">
        <v>97</v>
      </c>
      <c r="CD63" t="s">
        <v>97</v>
      </c>
      <c r="CE63" t="s">
        <v>95</v>
      </c>
      <c r="CF63" t="s">
        <v>96</v>
      </c>
    </row>
    <row r="64" spans="1:84" x14ac:dyDescent="0.35">
      <c r="A64" s="7"/>
      <c r="B64" s="1" t="s">
        <v>58</v>
      </c>
      <c r="C64" s="12">
        <v>0.10341111111111116</v>
      </c>
      <c r="D64" s="12">
        <v>0.11271111111111116</v>
      </c>
      <c r="E64" s="12">
        <v>0.11821111111111116</v>
      </c>
      <c r="F64" s="12">
        <v>0.10771111111111116</v>
      </c>
      <c r="G64" s="12">
        <v>0.10911111111111116</v>
      </c>
      <c r="H64" s="12">
        <v>0.11911111111111117</v>
      </c>
      <c r="I64" s="12">
        <v>0.11021111111111116</v>
      </c>
      <c r="J64" s="12">
        <v>0.10261111111111115</v>
      </c>
      <c r="K64" s="12">
        <v>0.11321111111111117</v>
      </c>
      <c r="L64" s="12">
        <v>0.10281111111111116</v>
      </c>
      <c r="M64" s="12">
        <v>0.11671111111111115</v>
      </c>
      <c r="N64" s="12">
        <v>0.12121111111111116</v>
      </c>
      <c r="O64" s="12">
        <v>0.10961111111111116</v>
      </c>
      <c r="P64" s="12">
        <v>0.11851111111111116</v>
      </c>
      <c r="Q64" s="12">
        <v>0.11481111111111116</v>
      </c>
      <c r="R64" s="12">
        <v>0.12121111111111116</v>
      </c>
      <c r="S64" s="12">
        <v>0.11241111111111116</v>
      </c>
      <c r="T64" s="12">
        <v>0.11741111111111116</v>
      </c>
      <c r="U64" s="12">
        <v>0.10271111111111116</v>
      </c>
      <c r="V64" s="12">
        <v>0.12221111111111116</v>
      </c>
      <c r="W64" s="12">
        <v>0.11351111111111116</v>
      </c>
      <c r="X64" s="12">
        <v>0.11621111111111115</v>
      </c>
      <c r="Y64" s="12">
        <v>0.12221111111111116</v>
      </c>
      <c r="Z64" s="12">
        <v>0.11031111111111117</v>
      </c>
      <c r="AA64" s="12">
        <v>0.10011111111111116</v>
      </c>
      <c r="AB64" s="12">
        <v>0.12021111111111116</v>
      </c>
      <c r="AD64" s="1" t="s">
        <v>58</v>
      </c>
      <c r="AE64" s="12">
        <v>3.2012022525101089E-2</v>
      </c>
      <c r="AF64" s="12">
        <v>1.7478117908003479E-2</v>
      </c>
      <c r="AG64" s="12">
        <v>2.7789726315137632E-2</v>
      </c>
      <c r="AH64" s="12">
        <v>2.0853278791872772E-2</v>
      </c>
      <c r="AI64" s="12">
        <v>1.473333837307611E-2</v>
      </c>
      <c r="AJ64" s="12">
        <v>1.3119869707379566E-2</v>
      </c>
      <c r="AK64" s="12">
        <v>1.3174429097690548E-2</v>
      </c>
      <c r="AL64" s="12">
        <v>2.38039960539186E-2</v>
      </c>
      <c r="AM64" s="12">
        <v>1.7602660148344419E-2</v>
      </c>
      <c r="AN64" s="12">
        <v>4.0749681352522556E-2</v>
      </c>
      <c r="AO64" s="12">
        <v>5.6375812663126669E-2</v>
      </c>
      <c r="AP64" s="12">
        <v>3.5696961143277466E-2</v>
      </c>
      <c r="AQ64" s="12">
        <v>3.0783058646775115E-2</v>
      </c>
      <c r="AR64" s="12">
        <v>4.8696456302587669E-2</v>
      </c>
      <c r="AS64" s="12">
        <v>2.5775658966070578E-2</v>
      </c>
      <c r="AT64" s="12">
        <v>2.2276220512189172E-2</v>
      </c>
      <c r="AU64" s="12">
        <v>4.1543767229467718E-2</v>
      </c>
      <c r="AV64" s="12">
        <v>3.5968592737221763E-2</v>
      </c>
      <c r="AW64" s="12">
        <v>3.0011726036793487E-2</v>
      </c>
      <c r="AX64" s="12">
        <v>2.5186635967930054E-2</v>
      </c>
      <c r="AY64" s="12">
        <v>4.1389429918119974E-2</v>
      </c>
      <c r="AZ64" s="12">
        <v>4.850478508328792E-2</v>
      </c>
      <c r="BA64" s="12">
        <v>3.4230108395028706E-2</v>
      </c>
      <c r="BB64" s="12">
        <v>3.0756078888575893E-2</v>
      </c>
      <c r="BC64" s="12">
        <v>2.408161758202048E-2</v>
      </c>
      <c r="BD64" s="12">
        <v>1.9014933128742743E-2</v>
      </c>
      <c r="BF64" s="1" t="s">
        <v>58</v>
      </c>
      <c r="BG64" t="s">
        <v>99</v>
      </c>
      <c r="BH64" t="s">
        <v>97</v>
      </c>
      <c r="BI64" t="s">
        <v>99</v>
      </c>
      <c r="BJ64" t="s">
        <v>98</v>
      </c>
      <c r="BK64" t="s">
        <v>100</v>
      </c>
      <c r="BL64" t="s">
        <v>96</v>
      </c>
      <c r="BM64" t="s">
        <v>97</v>
      </c>
      <c r="BN64" t="s">
        <v>98</v>
      </c>
      <c r="BO64" t="s">
        <v>100</v>
      </c>
      <c r="BP64" t="s">
        <v>96</v>
      </c>
      <c r="BQ64" t="s">
        <v>96</v>
      </c>
      <c r="BR64" t="s">
        <v>94</v>
      </c>
      <c r="BS64" t="s">
        <v>100</v>
      </c>
      <c r="BT64" t="s">
        <v>100</v>
      </c>
      <c r="BU64" t="s">
        <v>95</v>
      </c>
      <c r="BV64" t="s">
        <v>95</v>
      </c>
      <c r="BW64" t="s">
        <v>98</v>
      </c>
      <c r="BX64" t="s">
        <v>95</v>
      </c>
      <c r="BY64" t="s">
        <v>100</v>
      </c>
      <c r="BZ64" t="s">
        <v>98</v>
      </c>
      <c r="CA64" t="s">
        <v>95</v>
      </c>
      <c r="CB64" t="s">
        <v>95</v>
      </c>
      <c r="CC64" t="s">
        <v>97</v>
      </c>
      <c r="CD64" t="s">
        <v>95</v>
      </c>
      <c r="CE64" t="s">
        <v>98</v>
      </c>
      <c r="CF64" t="s">
        <v>100</v>
      </c>
    </row>
    <row r="65" spans="1:84" x14ac:dyDescent="0.35">
      <c r="A65" s="8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</row>
    <row r="66" spans="1:84" x14ac:dyDescent="0.35">
      <c r="A66" s="8"/>
      <c r="B66" s="1" t="s">
        <v>59</v>
      </c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D66" s="1" t="s">
        <v>59</v>
      </c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F66" s="1" t="s">
        <v>59</v>
      </c>
    </row>
    <row r="67" spans="1:84" x14ac:dyDescent="0.35">
      <c r="A67" s="8"/>
      <c r="B67" t="s">
        <v>60</v>
      </c>
      <c r="C67" s="12">
        <f>1-C68</f>
        <v>0.65706565656565652</v>
      </c>
      <c r="D67" s="12">
        <f t="shared" ref="D67:AB67" si="20">1-D68</f>
        <v>0.66066565656565657</v>
      </c>
      <c r="E67" s="12">
        <f t="shared" si="20"/>
        <v>0.66696565656565654</v>
      </c>
      <c r="F67" s="12">
        <f t="shared" si="20"/>
        <v>0.65986565656565666</v>
      </c>
      <c r="G67" s="12">
        <f t="shared" si="20"/>
        <v>0.64476565656565654</v>
      </c>
      <c r="H67" s="12">
        <f t="shared" si="20"/>
        <v>0.66286565656565655</v>
      </c>
      <c r="I67" s="12">
        <f t="shared" si="20"/>
        <v>0.65506565656565652</v>
      </c>
      <c r="J67" s="12">
        <f t="shared" si="20"/>
        <v>0.67086565656565655</v>
      </c>
      <c r="K67" s="12">
        <f t="shared" si="20"/>
        <v>0.65016565656565661</v>
      </c>
      <c r="L67" s="12">
        <f t="shared" si="20"/>
        <v>0.66706565656565653</v>
      </c>
      <c r="M67" s="12">
        <f t="shared" si="20"/>
        <v>0.6684656565656566</v>
      </c>
      <c r="N67" s="12">
        <f t="shared" si="20"/>
        <v>0.66106565656565652</v>
      </c>
      <c r="O67" s="12">
        <f t="shared" si="20"/>
        <v>0.6422656565656566</v>
      </c>
      <c r="P67" s="12">
        <f t="shared" si="20"/>
        <v>0.66276565656565656</v>
      </c>
      <c r="Q67" s="12">
        <f t="shared" si="20"/>
        <v>0.63946565656565657</v>
      </c>
      <c r="R67" s="12">
        <f t="shared" si="20"/>
        <v>0.65586565656565665</v>
      </c>
      <c r="S67" s="12">
        <f t="shared" si="20"/>
        <v>0.66116565656565651</v>
      </c>
      <c r="T67" s="12">
        <f t="shared" si="20"/>
        <v>0.65946565656565659</v>
      </c>
      <c r="U67" s="12">
        <f t="shared" si="20"/>
        <v>0.64076565656565654</v>
      </c>
      <c r="V67" s="12">
        <f t="shared" si="20"/>
        <v>0.64636565656565659</v>
      </c>
      <c r="W67" s="12">
        <f t="shared" si="20"/>
        <v>0.66906565656565653</v>
      </c>
      <c r="X67" s="12">
        <f t="shared" si="20"/>
        <v>0.66706565656565653</v>
      </c>
      <c r="Y67" s="12">
        <f t="shared" si="20"/>
        <v>0.66666565656565657</v>
      </c>
      <c r="Z67" s="12">
        <f t="shared" si="20"/>
        <v>0.66106565656565652</v>
      </c>
      <c r="AA67" s="12">
        <f t="shared" si="20"/>
        <v>0.66056565656565658</v>
      </c>
      <c r="AB67" s="12">
        <f t="shared" si="20"/>
        <v>0.66476565656565656</v>
      </c>
      <c r="AD67" t="s">
        <v>60</v>
      </c>
      <c r="AE67" s="12">
        <v>4.9091874140117772E-2</v>
      </c>
      <c r="AF67" s="12">
        <v>3.4187874140117772E-2</v>
      </c>
      <c r="AG67" s="12">
        <v>4.4205630391629072E-2</v>
      </c>
      <c r="AH67" s="12">
        <v>3.7303202648671277E-2</v>
      </c>
      <c r="AI67" s="12">
        <v>3.1300460693364923E-2</v>
      </c>
      <c r="AJ67" s="12">
        <v>2.7464185746076161E-2</v>
      </c>
      <c r="AK67" s="12">
        <v>2.4662230813065802E-2</v>
      </c>
      <c r="AL67" s="12">
        <v>4.0503257826984315E-2</v>
      </c>
      <c r="AM67" s="12">
        <v>3.4341130648771971E-2</v>
      </c>
      <c r="AN67" s="12">
        <v>5.7787382036468389E-2</v>
      </c>
      <c r="AO67" s="12">
        <v>7.2608206587457313E-2</v>
      </c>
      <c r="AP67" s="12">
        <v>5.2313125575315679E-2</v>
      </c>
      <c r="AQ67" s="12">
        <v>4.7454383691307354E-2</v>
      </c>
      <c r="AR67" s="12">
        <v>6.5353182922014988E-2</v>
      </c>
      <c r="AS67" s="12">
        <v>4.2528322855519593E-2</v>
      </c>
      <c r="AT67" s="12">
        <v>3.8805821437222034E-2</v>
      </c>
      <c r="AU67" s="12">
        <v>5.7820168338805163E-2</v>
      </c>
      <c r="AV67" s="12">
        <v>5.2124519350951637E-2</v>
      </c>
      <c r="AW67" s="12">
        <v>4.7203574565152048E-2</v>
      </c>
      <c r="AX67" s="12">
        <v>4.1957677185524095E-2</v>
      </c>
      <c r="AY67" s="12">
        <v>5.7731914649749118E-2</v>
      </c>
      <c r="AZ67" s="12">
        <v>6.4993163704899215E-2</v>
      </c>
      <c r="BA67" s="12">
        <v>5.0768452641906617E-2</v>
      </c>
      <c r="BB67" s="12">
        <v>4.6987725081698323E-2</v>
      </c>
      <c r="BC67" s="12">
        <v>4.1053434848890465E-2</v>
      </c>
      <c r="BD67" s="12">
        <v>3.5402483992109546E-2</v>
      </c>
      <c r="BF67" t="s">
        <v>60</v>
      </c>
      <c r="BG67" t="s">
        <v>97</v>
      </c>
      <c r="BH67" t="s">
        <v>96</v>
      </c>
      <c r="BI67" t="s">
        <v>97</v>
      </c>
      <c r="BJ67" t="s">
        <v>96</v>
      </c>
      <c r="BK67" t="s">
        <v>95</v>
      </c>
      <c r="BL67" t="s">
        <v>95</v>
      </c>
      <c r="BM67" t="s">
        <v>94</v>
      </c>
      <c r="BN67" t="s">
        <v>97</v>
      </c>
      <c r="BO67" t="s">
        <v>95</v>
      </c>
      <c r="BP67" t="s">
        <v>99</v>
      </c>
      <c r="BQ67" t="s">
        <v>95</v>
      </c>
      <c r="BR67" t="s">
        <v>95</v>
      </c>
      <c r="BS67" t="s">
        <v>95</v>
      </c>
      <c r="BT67" t="s">
        <v>94</v>
      </c>
      <c r="BU67" t="s">
        <v>96</v>
      </c>
      <c r="BV67" t="s">
        <v>97</v>
      </c>
      <c r="BW67" t="s">
        <v>98</v>
      </c>
      <c r="BX67" t="s">
        <v>95</v>
      </c>
      <c r="BY67" t="s">
        <v>95</v>
      </c>
      <c r="BZ67" t="s">
        <v>97</v>
      </c>
      <c r="CA67" t="s">
        <v>97</v>
      </c>
      <c r="CB67" t="s">
        <v>98</v>
      </c>
      <c r="CC67" t="s">
        <v>99</v>
      </c>
      <c r="CD67" t="s">
        <v>96</v>
      </c>
      <c r="CE67" t="s">
        <v>98</v>
      </c>
      <c r="CF67" t="s">
        <v>96</v>
      </c>
    </row>
    <row r="68" spans="1:84" x14ac:dyDescent="0.35">
      <c r="A68" s="6"/>
      <c r="B68" t="s">
        <v>61</v>
      </c>
      <c r="C68" s="12">
        <v>0.34293434343434342</v>
      </c>
      <c r="D68" s="12">
        <v>0.33933434343434343</v>
      </c>
      <c r="E68" s="12">
        <v>0.33303434343434341</v>
      </c>
      <c r="F68" s="12">
        <v>0.3401343434343434</v>
      </c>
      <c r="G68" s="12">
        <v>0.3552343434343434</v>
      </c>
      <c r="H68" s="12">
        <v>0.33713434343434345</v>
      </c>
      <c r="I68" s="12">
        <v>0.34493434343434343</v>
      </c>
      <c r="J68" s="12">
        <v>0.32913434343434345</v>
      </c>
      <c r="K68" s="12">
        <v>0.34983434343434344</v>
      </c>
      <c r="L68" s="12">
        <v>0.33293434343434342</v>
      </c>
      <c r="M68" s="12">
        <v>0.3315343434343434</v>
      </c>
      <c r="N68" s="12">
        <v>0.33893434343434342</v>
      </c>
      <c r="O68" s="12">
        <v>0.3577343434343434</v>
      </c>
      <c r="P68" s="12">
        <v>0.33723434343434344</v>
      </c>
      <c r="Q68" s="12">
        <v>0.36053434343434343</v>
      </c>
      <c r="R68" s="12">
        <v>0.3441343434343434</v>
      </c>
      <c r="S68" s="12">
        <v>0.33883434343434343</v>
      </c>
      <c r="T68" s="12">
        <v>0.34053434343434341</v>
      </c>
      <c r="U68" s="12">
        <v>0.35923434343434341</v>
      </c>
      <c r="V68" s="12">
        <v>0.35363434343434341</v>
      </c>
      <c r="W68" s="12">
        <v>0.33093434343434341</v>
      </c>
      <c r="X68" s="12">
        <v>0.33293434343434342</v>
      </c>
      <c r="Y68" s="12">
        <v>0.33333434343434343</v>
      </c>
      <c r="Z68" s="12">
        <v>0.33893434343434342</v>
      </c>
      <c r="AA68" s="12">
        <v>0.33943434343434342</v>
      </c>
      <c r="AB68" s="12">
        <v>0.33523434343434344</v>
      </c>
      <c r="AD68" t="s">
        <v>61</v>
      </c>
      <c r="AE68" s="12">
        <v>3.4091874140117773E-2</v>
      </c>
      <c r="AF68" s="12">
        <v>1.9187874140117772E-2</v>
      </c>
      <c r="AG68" s="12">
        <v>2.9205630391629073E-2</v>
      </c>
      <c r="AH68" s="12">
        <v>2.2303202648671278E-2</v>
      </c>
      <c r="AI68" s="12">
        <v>1.6300460693364924E-2</v>
      </c>
      <c r="AJ68" s="12">
        <v>1.39058975038542E-2</v>
      </c>
      <c r="AK68" s="12">
        <v>1.6372319767615377E-2</v>
      </c>
      <c r="AL68" s="12">
        <v>2.5503257826984316E-2</v>
      </c>
      <c r="AM68" s="12">
        <v>1.9341130648771972E-2</v>
      </c>
      <c r="AN68" s="12">
        <v>4.278738203646839E-2</v>
      </c>
      <c r="AO68" s="12">
        <v>5.7608206587457307E-2</v>
      </c>
      <c r="AP68" s="12">
        <v>3.731312557531568E-2</v>
      </c>
      <c r="AQ68" s="12">
        <v>3.2454383691307355E-2</v>
      </c>
      <c r="AR68" s="12">
        <v>5.0353182922014988E-2</v>
      </c>
      <c r="AS68" s="12">
        <v>2.7528322855519594E-2</v>
      </c>
      <c r="AT68" s="12">
        <v>2.3805821437222034E-2</v>
      </c>
      <c r="AU68" s="12">
        <v>4.2820168338805163E-2</v>
      </c>
      <c r="AV68" s="12">
        <v>3.7124519350951637E-2</v>
      </c>
      <c r="AW68" s="12">
        <v>3.2203574565152049E-2</v>
      </c>
      <c r="AX68" s="12">
        <v>2.6957677185524095E-2</v>
      </c>
      <c r="AY68" s="12">
        <v>4.2731914649749118E-2</v>
      </c>
      <c r="AZ68" s="12">
        <v>4.9993163704899223E-2</v>
      </c>
      <c r="BA68" s="12">
        <v>3.5768452641906617E-2</v>
      </c>
      <c r="BB68" s="12">
        <v>3.1987725081698323E-2</v>
      </c>
      <c r="BC68" s="12">
        <v>2.6053434848890465E-2</v>
      </c>
      <c r="BD68" s="12">
        <v>2.0402483992109546E-2</v>
      </c>
      <c r="BF68" t="s">
        <v>61</v>
      </c>
      <c r="BG68" t="s">
        <v>99</v>
      </c>
      <c r="BH68" t="s">
        <v>100</v>
      </c>
      <c r="BI68" t="s">
        <v>99</v>
      </c>
      <c r="BJ68" t="s">
        <v>94</v>
      </c>
      <c r="BK68" t="s">
        <v>95</v>
      </c>
      <c r="BL68" t="s">
        <v>96</v>
      </c>
      <c r="BM68" t="s">
        <v>97</v>
      </c>
      <c r="BN68" t="s">
        <v>96</v>
      </c>
      <c r="BO68" t="s">
        <v>94</v>
      </c>
      <c r="BP68" t="s">
        <v>98</v>
      </c>
      <c r="BQ68" t="s">
        <v>96</v>
      </c>
      <c r="BR68" t="s">
        <v>96</v>
      </c>
      <c r="BS68" t="s">
        <v>95</v>
      </c>
      <c r="BT68" t="s">
        <v>96</v>
      </c>
      <c r="BU68" t="s">
        <v>100</v>
      </c>
      <c r="BV68" t="s">
        <v>97</v>
      </c>
      <c r="BW68" t="s">
        <v>94</v>
      </c>
      <c r="BX68" t="s">
        <v>97</v>
      </c>
      <c r="BY68" t="s">
        <v>94</v>
      </c>
      <c r="BZ68" t="s">
        <v>95</v>
      </c>
      <c r="CA68" t="s">
        <v>95</v>
      </c>
      <c r="CB68" t="s">
        <v>98</v>
      </c>
      <c r="CC68" t="s">
        <v>98</v>
      </c>
      <c r="CD68" t="s">
        <v>98</v>
      </c>
      <c r="CE68" t="s">
        <v>96</v>
      </c>
      <c r="CF68" t="s">
        <v>95</v>
      </c>
    </row>
    <row r="70" spans="1:84" x14ac:dyDescent="0.35">
      <c r="E70" s="13">
        <v>28851.595175173192</v>
      </c>
    </row>
    <row r="71" spans="1:84" x14ac:dyDescent="0.35">
      <c r="B71" s="1" t="s">
        <v>62</v>
      </c>
      <c r="C71" s="18">
        <v>0.28399999999999997</v>
      </c>
      <c r="D71" s="18">
        <v>4.2106458988602623E-2</v>
      </c>
      <c r="E71" s="19">
        <f>C71*$E$70</f>
        <v>8193.8530297491852</v>
      </c>
    </row>
    <row r="72" spans="1:84" x14ac:dyDescent="0.35">
      <c r="B72" t="s">
        <v>64</v>
      </c>
      <c r="C72" s="12">
        <v>0.876</v>
      </c>
      <c r="D72" s="20">
        <v>4.3947858988602623E-2</v>
      </c>
      <c r="E72" s="13">
        <f>C72*$E$71</f>
        <v>7177.815254060286</v>
      </c>
    </row>
    <row r="73" spans="1:84" x14ac:dyDescent="0.35">
      <c r="B73" t="s">
        <v>65</v>
      </c>
      <c r="C73" s="12">
        <v>0.124</v>
      </c>
      <c r="D73" s="12">
        <v>2.9097858988602621E-2</v>
      </c>
      <c r="E73" s="13">
        <f>C73*$E$71</f>
        <v>1016.0377756888989</v>
      </c>
    </row>
    <row r="74" spans="1:84" x14ac:dyDescent="0.35">
      <c r="B74" s="1" t="s">
        <v>63</v>
      </c>
      <c r="C74" s="18">
        <v>0.18181818181818182</v>
      </c>
      <c r="D74" s="18">
        <v>3.1140635940736544E-2</v>
      </c>
      <c r="E74" s="19">
        <f>C74*$E$70</f>
        <v>5245.7445773042173</v>
      </c>
    </row>
    <row r="75" spans="1:84" x14ac:dyDescent="0.35">
      <c r="B75" t="s">
        <v>66</v>
      </c>
      <c r="C75" s="11">
        <v>0.30609121518212429</v>
      </c>
      <c r="D75" s="11">
        <v>3.9210115240113919E-2</v>
      </c>
      <c r="E75" s="13">
        <f>C75*$E$74</f>
        <v>1605.6763322020868</v>
      </c>
    </row>
    <row r="76" spans="1:84" x14ac:dyDescent="0.35">
      <c r="B76" t="s">
        <v>67</v>
      </c>
      <c r="C76" s="11">
        <v>0.20406081012141622</v>
      </c>
      <c r="D76" s="11">
        <v>3.2201187497156128E-2</v>
      </c>
      <c r="E76" s="13">
        <f t="shared" ref="E76:E81" si="21">C76*$E$74</f>
        <v>1070.4508881347247</v>
      </c>
    </row>
    <row r="77" spans="1:84" x14ac:dyDescent="0.35">
      <c r="B77" t="s">
        <v>68</v>
      </c>
      <c r="C77" s="11">
        <v>0.15304560759106214</v>
      </c>
      <c r="D77" s="11">
        <v>2.597194554184977E-2</v>
      </c>
      <c r="E77" s="13">
        <f t="shared" si="21"/>
        <v>802.83816610104338</v>
      </c>
    </row>
    <row r="78" spans="1:84" x14ac:dyDescent="0.35">
      <c r="B78" t="s">
        <v>69</v>
      </c>
      <c r="C78" s="11">
        <v>0.12243648607284971</v>
      </c>
      <c r="D78" s="11">
        <v>2.2407170594561009E-2</v>
      </c>
      <c r="E78" s="13">
        <f t="shared" si="21"/>
        <v>642.27053288083471</v>
      </c>
    </row>
    <row r="79" spans="1:84" x14ac:dyDescent="0.35">
      <c r="B79" t="s">
        <v>70</v>
      </c>
      <c r="C79" s="11">
        <v>8.1624324048566482E-2</v>
      </c>
      <c r="D79" s="11">
        <v>1.9488215661550651E-2</v>
      </c>
      <c r="E79" s="13">
        <f t="shared" si="21"/>
        <v>428.18035525388984</v>
      </c>
    </row>
    <row r="80" spans="1:84" x14ac:dyDescent="0.35">
      <c r="B80" t="s">
        <v>71</v>
      </c>
      <c r="C80" s="11">
        <v>6.13E-2</v>
      </c>
      <c r="D80" s="11">
        <v>3.5566242675469165E-2</v>
      </c>
      <c r="E80" s="13">
        <f t="shared" si="21"/>
        <v>321.5641425887485</v>
      </c>
    </row>
    <row r="81" spans="2:5" x14ac:dyDescent="0.35">
      <c r="B81" t="s">
        <v>72</v>
      </c>
      <c r="C81" s="11">
        <v>7.1441556983981136E-2</v>
      </c>
      <c r="D81" s="11">
        <v>2.9093615497256822E-2</v>
      </c>
      <c r="E81" s="13">
        <f t="shared" si="21"/>
        <v>374.7641601428893</v>
      </c>
    </row>
    <row r="82" spans="2:5" x14ac:dyDescent="0.35">
      <c r="B82" s="1" t="s">
        <v>73</v>
      </c>
      <c r="C82" s="18">
        <v>0.44600000000000001</v>
      </c>
      <c r="D82" s="18">
        <v>5.343343338834293E-2</v>
      </c>
      <c r="E82" s="19">
        <f>C82*$E$70</f>
        <v>12867.811448127244</v>
      </c>
    </row>
    <row r="83" spans="2:5" x14ac:dyDescent="0.35">
      <c r="B83" t="s">
        <v>74</v>
      </c>
      <c r="C83" s="11">
        <v>0.45404040404040402</v>
      </c>
      <c r="D83" s="11">
        <v>5.2793366884953237E-2</v>
      </c>
      <c r="E83" s="13">
        <f>C83*$E$82</f>
        <v>5842.5063090234307</v>
      </c>
    </row>
    <row r="84" spans="2:5" x14ac:dyDescent="0.35">
      <c r="B84" t="s">
        <v>75</v>
      </c>
      <c r="C84" s="11">
        <v>0.14699999999999999</v>
      </c>
      <c r="D84" s="11">
        <v>6.7635191435942155E-2</v>
      </c>
      <c r="E84" s="13">
        <f t="shared" ref="E84:E89" si="22">C84*$E$82</f>
        <v>1891.5682828747049</v>
      </c>
    </row>
    <row r="85" spans="2:5" x14ac:dyDescent="0.35">
      <c r="B85" t="s">
        <v>76</v>
      </c>
      <c r="C85" s="11">
        <v>0.13500000000000001</v>
      </c>
      <c r="D85" s="11">
        <v>4.7229110423800527E-2</v>
      </c>
      <c r="E85" s="13">
        <f t="shared" si="22"/>
        <v>1737.1545454971781</v>
      </c>
    </row>
    <row r="86" spans="2:5" x14ac:dyDescent="0.35">
      <c r="B86" t="s">
        <v>77</v>
      </c>
      <c r="C86" s="11">
        <v>7.0707070707070718E-2</v>
      </c>
      <c r="D86" s="11">
        <v>4.2088368539792205E-2</v>
      </c>
      <c r="E86" s="13">
        <f t="shared" si="22"/>
        <v>909.84525390798706</v>
      </c>
    </row>
    <row r="87" spans="2:5" x14ac:dyDescent="0.35">
      <c r="B87" t="s">
        <v>78</v>
      </c>
      <c r="C87" s="11">
        <v>0.13101010101010099</v>
      </c>
      <c r="D87" s="11">
        <v>6.0294667770499834E-2</v>
      </c>
      <c r="E87" s="13">
        <f t="shared" si="22"/>
        <v>1685.8132775980841</v>
      </c>
    </row>
    <row r="88" spans="2:5" x14ac:dyDescent="0.35">
      <c r="B88" t="s">
        <v>79</v>
      </c>
      <c r="C88" s="11">
        <v>5.0505050505050511E-2</v>
      </c>
      <c r="D88" s="11">
        <v>3.7120307704004443E-2</v>
      </c>
      <c r="E88" s="13">
        <f t="shared" si="22"/>
        <v>649.88946707713365</v>
      </c>
    </row>
    <row r="89" spans="2:5" x14ac:dyDescent="0.35">
      <c r="B89" t="s">
        <v>80</v>
      </c>
      <c r="C89" s="11">
        <v>1.1737373737373713E-2</v>
      </c>
      <c r="D89" s="11">
        <v>3.364380628570688E-2</v>
      </c>
      <c r="E89" s="13">
        <f t="shared" si="22"/>
        <v>151.03431214872552</v>
      </c>
    </row>
    <row r="90" spans="2:5" x14ac:dyDescent="0.35">
      <c r="B90" s="1" t="s">
        <v>81</v>
      </c>
      <c r="C90" s="18">
        <v>4.2999999999999997E-2</v>
      </c>
      <c r="D90" s="18">
        <v>4.8382928337837874E-2</v>
      </c>
      <c r="E90" s="19">
        <f>C90*$E$70</f>
        <v>1240.6185925324471</v>
      </c>
    </row>
    <row r="91" spans="2:5" x14ac:dyDescent="0.35">
      <c r="B91" t="s">
        <v>82</v>
      </c>
      <c r="C91" s="11">
        <v>0.4637745684577641</v>
      </c>
      <c r="D91" s="11">
        <v>5.2737653187290005E-2</v>
      </c>
      <c r="E91" s="13">
        <f>C91*$E$90</f>
        <v>575.3673523724143</v>
      </c>
    </row>
    <row r="92" spans="2:5" x14ac:dyDescent="0.35">
      <c r="B92" t="s">
        <v>83</v>
      </c>
      <c r="C92" s="11">
        <v>0.3607135532449276</v>
      </c>
      <c r="D92" s="11">
        <v>4.7016504199436482E-2</v>
      </c>
      <c r="E92" s="13">
        <f t="shared" ref="E92:E94" si="23">C92*$E$90</f>
        <v>447.50794073409998</v>
      </c>
    </row>
    <row r="93" spans="2:5" x14ac:dyDescent="0.35">
      <c r="B93" t="s">
        <v>84</v>
      </c>
      <c r="C93" s="11">
        <v>0.10306101521283648</v>
      </c>
      <c r="D93" s="11">
        <v>4.181505941363689E-2</v>
      </c>
      <c r="E93" s="13">
        <f t="shared" si="23"/>
        <v>127.85941163831431</v>
      </c>
    </row>
    <row r="94" spans="2:5" x14ac:dyDescent="0.35">
      <c r="B94" t="s">
        <v>85</v>
      </c>
      <c r="C94" s="11">
        <v>7.2450863084471795E-2</v>
      </c>
      <c r="D94" s="11">
        <v>3.6653162034008938E-2</v>
      </c>
      <c r="E94" s="13">
        <f t="shared" si="23"/>
        <v>89.883887787618434</v>
      </c>
    </row>
    <row r="95" spans="2:5" x14ac:dyDescent="0.35">
      <c r="B95" s="1" t="s">
        <v>86</v>
      </c>
      <c r="C95" s="18">
        <v>3.2000000000000001E-2</v>
      </c>
      <c r="D95" s="18">
        <v>5.5453635408544942E-2</v>
      </c>
      <c r="E95" s="19">
        <f>C95*$E$70</f>
        <v>923.25104560554212</v>
      </c>
    </row>
    <row r="96" spans="2:5" x14ac:dyDescent="0.35">
      <c r="B96" t="s">
        <v>87</v>
      </c>
      <c r="C96" s="11">
        <v>0.15151515151515152</v>
      </c>
      <c r="D96" s="11">
        <v>5.2767899498233961E-2</v>
      </c>
      <c r="E96" s="13">
        <f>C96*$E$95</f>
        <v>139.88652206144579</v>
      </c>
    </row>
    <row r="97" spans="2:5" x14ac:dyDescent="0.35">
      <c r="B97" t="s">
        <v>88</v>
      </c>
      <c r="C97" s="11">
        <v>0.60606060606060608</v>
      </c>
      <c r="D97" s="11">
        <v>5.999914855338407E-2</v>
      </c>
      <c r="E97" s="13">
        <f t="shared" ref="E97:E98" si="24">C97*$E$95</f>
        <v>559.54608824578315</v>
      </c>
    </row>
    <row r="98" spans="2:5" x14ac:dyDescent="0.35">
      <c r="B98" t="s">
        <v>89</v>
      </c>
      <c r="C98" s="11">
        <v>0.24242424242424243</v>
      </c>
      <c r="D98" s="11">
        <v>4.5768437490391466E-2</v>
      </c>
      <c r="E98" s="13">
        <f t="shared" si="24"/>
        <v>223.81843529831323</v>
      </c>
    </row>
    <row r="99" spans="2:5" x14ac:dyDescent="0.35">
      <c r="B99" s="1" t="s">
        <v>90</v>
      </c>
      <c r="C99" s="18">
        <v>1.3181818181818072E-2</v>
      </c>
      <c r="D99" s="18">
        <v>3.6340279198238165E-2</v>
      </c>
      <c r="E99" s="19">
        <f>C99*$E$70</f>
        <v>380.31648185455253</v>
      </c>
    </row>
    <row r="100" spans="2:5" x14ac:dyDescent="0.35">
      <c r="B100" t="s">
        <v>91</v>
      </c>
      <c r="C100" s="11">
        <v>0.44550000000000001</v>
      </c>
      <c r="D100" s="11">
        <v>4.1903709930183171E-2</v>
      </c>
      <c r="E100" s="13">
        <f>C100*$E$99</f>
        <v>169.43099266620317</v>
      </c>
    </row>
    <row r="101" spans="2:5" x14ac:dyDescent="0.35">
      <c r="B101" t="s">
        <v>92</v>
      </c>
      <c r="C101" s="11">
        <v>0.14849999999999999</v>
      </c>
      <c r="D101" s="11">
        <v>3.5961919697375312E-2</v>
      </c>
      <c r="E101" s="13">
        <f t="shared" ref="E101:E102" si="25">C101*$E$99</f>
        <v>56.476997555401049</v>
      </c>
    </row>
    <row r="102" spans="2:5" x14ac:dyDescent="0.35">
      <c r="B102" t="s">
        <v>93</v>
      </c>
      <c r="C102" s="11">
        <v>0.40600000000000003</v>
      </c>
      <c r="D102" s="11">
        <v>3.0373968840594401E-2</v>
      </c>
      <c r="E102" s="13">
        <f t="shared" si="25"/>
        <v>154.40849163294834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6B703-A744-4090-94A7-94F3FAE4B7EA}">
  <dimension ref="A2:BD21"/>
  <sheetViews>
    <sheetView workbookViewId="0"/>
  </sheetViews>
  <sheetFormatPr defaultRowHeight="14.5" x14ac:dyDescent="0.35"/>
  <cols>
    <col min="1" max="1" width="9.08984375" bestFit="1" customWidth="1"/>
    <col min="2" max="2" width="10.08984375" bestFit="1" customWidth="1"/>
    <col min="3" max="3" width="10.36328125" bestFit="1" customWidth="1"/>
  </cols>
  <sheetData>
    <row r="2" spans="1:56" x14ac:dyDescent="0.35"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r="3" spans="1:56" x14ac:dyDescent="0.35">
      <c r="A3" s="9"/>
      <c r="B3" s="14"/>
      <c r="C3" s="15" t="s">
        <v>64</v>
      </c>
      <c r="D3" s="15" t="s">
        <v>65</v>
      </c>
      <c r="E3" s="15" t="s">
        <v>66</v>
      </c>
      <c r="F3" s="15" t="s">
        <v>67</v>
      </c>
      <c r="G3" s="15" t="s">
        <v>68</v>
      </c>
      <c r="H3" s="15" t="s">
        <v>69</v>
      </c>
      <c r="I3" s="15" t="s">
        <v>70</v>
      </c>
      <c r="J3" s="15" t="s">
        <v>71</v>
      </c>
      <c r="K3" s="15" t="s">
        <v>72</v>
      </c>
      <c r="L3" s="15" t="s">
        <v>74</v>
      </c>
      <c r="M3" s="15" t="s">
        <v>75</v>
      </c>
      <c r="N3" s="15" t="s">
        <v>76</v>
      </c>
      <c r="O3" s="15" t="s">
        <v>77</v>
      </c>
      <c r="P3" s="15" t="s">
        <v>78</v>
      </c>
      <c r="Q3" s="15" t="s">
        <v>79</v>
      </c>
      <c r="R3" s="15" t="s">
        <v>80</v>
      </c>
      <c r="S3" s="15" t="s">
        <v>82</v>
      </c>
      <c r="T3" s="15" t="s">
        <v>83</v>
      </c>
      <c r="U3" s="15" t="s">
        <v>84</v>
      </c>
      <c r="V3" s="15" t="s">
        <v>85</v>
      </c>
      <c r="W3" s="15" t="s">
        <v>87</v>
      </c>
      <c r="X3" s="15" t="s">
        <v>88</v>
      </c>
      <c r="Y3" s="15" t="s">
        <v>89</v>
      </c>
      <c r="Z3" s="15" t="s">
        <v>91</v>
      </c>
      <c r="AA3" s="15" t="s">
        <v>92</v>
      </c>
      <c r="AB3" s="15" t="s">
        <v>93</v>
      </c>
      <c r="AE3" s="15" t="s">
        <v>64</v>
      </c>
      <c r="AF3" s="15" t="s">
        <v>65</v>
      </c>
      <c r="AG3" s="15" t="s">
        <v>66</v>
      </c>
      <c r="AH3" s="15" t="s">
        <v>67</v>
      </c>
      <c r="AI3" s="15" t="s">
        <v>68</v>
      </c>
      <c r="AJ3" s="15" t="s">
        <v>69</v>
      </c>
      <c r="AK3" s="15" t="s">
        <v>70</v>
      </c>
      <c r="AL3" s="15" t="s">
        <v>71</v>
      </c>
      <c r="AM3" s="15" t="s">
        <v>72</v>
      </c>
      <c r="AN3" s="15" t="s">
        <v>74</v>
      </c>
      <c r="AO3" s="15" t="s">
        <v>75</v>
      </c>
      <c r="AP3" s="15" t="s">
        <v>76</v>
      </c>
      <c r="AQ3" s="15" t="s">
        <v>77</v>
      </c>
      <c r="AR3" s="15" t="s">
        <v>78</v>
      </c>
      <c r="AS3" s="15" t="s">
        <v>79</v>
      </c>
      <c r="AT3" s="15" t="s">
        <v>80</v>
      </c>
      <c r="AU3" s="15" t="s">
        <v>82</v>
      </c>
      <c r="AV3" s="15" t="s">
        <v>83</v>
      </c>
      <c r="AW3" s="15" t="s">
        <v>84</v>
      </c>
      <c r="AX3" s="15" t="s">
        <v>85</v>
      </c>
      <c r="AY3" s="15" t="s">
        <v>87</v>
      </c>
      <c r="AZ3" s="15" t="s">
        <v>88</v>
      </c>
      <c r="BA3" s="15" t="s">
        <v>89</v>
      </c>
      <c r="BB3" s="15" t="s">
        <v>91</v>
      </c>
      <c r="BC3" s="15" t="s">
        <v>92</v>
      </c>
      <c r="BD3" s="15" t="s">
        <v>93</v>
      </c>
    </row>
    <row r="4" spans="1:56" x14ac:dyDescent="0.35">
      <c r="B4" s="3" t="s">
        <v>0</v>
      </c>
      <c r="AD4" s="3" t="s">
        <v>0</v>
      </c>
    </row>
    <row r="5" spans="1:56" x14ac:dyDescent="0.35">
      <c r="B5" s="4" t="s">
        <v>1</v>
      </c>
      <c r="AD5" s="4" t="s">
        <v>1</v>
      </c>
      <c r="AE5" s="17" t="s">
        <v>104</v>
      </c>
      <c r="AF5" s="17" t="s">
        <v>104</v>
      </c>
      <c r="AG5" s="17" t="s">
        <v>106</v>
      </c>
      <c r="AH5" s="17" t="s">
        <v>105</v>
      </c>
      <c r="AI5" s="17" t="s">
        <v>107</v>
      </c>
      <c r="AJ5" s="17" t="s">
        <v>106</v>
      </c>
      <c r="AK5" s="17" t="s">
        <v>107</v>
      </c>
      <c r="AL5" s="17" t="s">
        <v>107</v>
      </c>
      <c r="AM5" s="17" t="s">
        <v>108</v>
      </c>
      <c r="AN5" s="17" t="s">
        <v>104</v>
      </c>
      <c r="AO5" s="17" t="s">
        <v>105</v>
      </c>
      <c r="AP5" s="17" t="s">
        <v>108</v>
      </c>
      <c r="AQ5" s="17" t="s">
        <v>107</v>
      </c>
      <c r="AR5" s="17" t="s">
        <v>104</v>
      </c>
      <c r="AS5" s="17" t="s">
        <v>103</v>
      </c>
      <c r="AT5" s="17" t="s">
        <v>106</v>
      </c>
      <c r="AU5" s="17" t="s">
        <v>102</v>
      </c>
      <c r="AV5" s="17" t="s">
        <v>101</v>
      </c>
      <c r="AW5" s="17" t="s">
        <v>105</v>
      </c>
      <c r="AX5" s="17" t="s">
        <v>105</v>
      </c>
      <c r="AY5" s="17" t="s">
        <v>106</v>
      </c>
      <c r="AZ5" s="17" t="s">
        <v>108</v>
      </c>
      <c r="BA5" s="17" t="s">
        <v>107</v>
      </c>
      <c r="BB5" s="17" t="s">
        <v>107</v>
      </c>
      <c r="BC5" s="17" t="s">
        <v>102</v>
      </c>
      <c r="BD5" s="17" t="s">
        <v>108</v>
      </c>
    </row>
    <row r="6" spans="1:56" x14ac:dyDescent="0.35">
      <c r="B6" s="5" t="s">
        <v>2</v>
      </c>
      <c r="C6" s="13">
        <v>2402.5563836009997</v>
      </c>
      <c r="D6" s="13">
        <v>2400.1295589710994</v>
      </c>
      <c r="E6" s="13">
        <v>2540.5820344265621</v>
      </c>
      <c r="F6" s="13">
        <v>2599.015421218372</v>
      </c>
      <c r="G6" s="13">
        <v>2515.1762140822966</v>
      </c>
      <c r="H6" s="13">
        <v>2583.7719290118134</v>
      </c>
      <c r="I6" s="13">
        <v>2565.9878547708272</v>
      </c>
      <c r="J6" s="13">
        <v>2522.7979601855759</v>
      </c>
      <c r="K6" s="13">
        <v>2550.7443625642682</v>
      </c>
      <c r="L6" s="13">
        <v>1794.8643286201025</v>
      </c>
      <c r="M6" s="13">
        <v>1763.4672849707713</v>
      </c>
      <c r="N6" s="13">
        <v>1747.7687631461058</v>
      </c>
      <c r="O6" s="13">
        <v>1744.2802027406249</v>
      </c>
      <c r="P6" s="13">
        <v>1794.8643286201025</v>
      </c>
      <c r="Q6" s="13">
        <v>1796.6086088228437</v>
      </c>
      <c r="R6" s="13">
        <v>1732.0702413214401</v>
      </c>
      <c r="S6" s="13">
        <v>2021.7724315157529</v>
      </c>
      <c r="T6" s="13">
        <v>2039.8598588354755</v>
      </c>
      <c r="U6" s="13">
        <v>2023.7821456623881</v>
      </c>
      <c r="V6" s="13">
        <v>2039.8598588354755</v>
      </c>
      <c r="W6" s="13">
        <v>2150.2045412262419</v>
      </c>
      <c r="X6" s="13">
        <v>2079.2957590713513</v>
      </c>
      <c r="Y6" s="13">
        <v>2131.4345694793587</v>
      </c>
      <c r="Z6" s="13">
        <v>2219.1036092344962</v>
      </c>
      <c r="AA6" s="13">
        <v>2236.6980878012714</v>
      </c>
      <c r="AB6" s="13">
        <v>2179.516032459253</v>
      </c>
      <c r="AD6" s="5" t="s">
        <v>2</v>
      </c>
      <c r="AE6" s="17" t="s">
        <v>102</v>
      </c>
      <c r="AF6" s="17" t="s">
        <v>102</v>
      </c>
      <c r="AG6" s="17" t="s">
        <v>108</v>
      </c>
      <c r="AH6" s="17" t="s">
        <v>109</v>
      </c>
      <c r="AI6" s="17" t="s">
        <v>108</v>
      </c>
      <c r="AJ6" s="17" t="s">
        <v>101</v>
      </c>
      <c r="AK6" s="17" t="s">
        <v>108</v>
      </c>
      <c r="AL6" s="17" t="s">
        <v>105</v>
      </c>
      <c r="AM6" s="17" t="s">
        <v>101</v>
      </c>
      <c r="AN6" s="17" t="s">
        <v>104</v>
      </c>
      <c r="AO6" s="17" t="s">
        <v>109</v>
      </c>
      <c r="AP6" s="17" t="s">
        <v>104</v>
      </c>
      <c r="AQ6" s="17" t="s">
        <v>106</v>
      </c>
      <c r="AR6" s="17" t="s">
        <v>106</v>
      </c>
      <c r="AS6" s="17" t="s">
        <v>108</v>
      </c>
      <c r="AT6" s="17" t="s">
        <v>103</v>
      </c>
      <c r="AU6" s="17" t="s">
        <v>106</v>
      </c>
      <c r="AV6" s="17" t="s">
        <v>106</v>
      </c>
      <c r="AW6" s="17" t="s">
        <v>104</v>
      </c>
      <c r="AX6" s="17" t="s">
        <v>107</v>
      </c>
      <c r="AY6" s="17" t="s">
        <v>109</v>
      </c>
      <c r="AZ6" s="17" t="s">
        <v>106</v>
      </c>
      <c r="BA6" s="17" t="s">
        <v>102</v>
      </c>
      <c r="BB6" s="17" t="s">
        <v>103</v>
      </c>
      <c r="BC6" s="17" t="s">
        <v>105</v>
      </c>
      <c r="BD6" s="17" t="s">
        <v>101</v>
      </c>
    </row>
    <row r="7" spans="1:56" x14ac:dyDescent="0.35">
      <c r="B7" s="5" t="s">
        <v>3</v>
      </c>
      <c r="C7" s="13">
        <v>3088.134341547749</v>
      </c>
      <c r="D7" s="13">
        <v>3082.0672799729996</v>
      </c>
      <c r="E7" s="13">
        <v>3172.4664974367743</v>
      </c>
      <c r="F7" s="13">
        <v>3258.4670952588554</v>
      </c>
      <c r="G7" s="13">
        <v>3156.5404608030558</v>
      </c>
      <c r="H7" s="13">
        <v>3252.096680605368</v>
      </c>
      <c r="I7" s="13">
        <v>3159.725668129799</v>
      </c>
      <c r="J7" s="13">
        <v>3274.3931318925743</v>
      </c>
      <c r="K7" s="13">
        <v>3217.0594000111873</v>
      </c>
      <c r="L7" s="13">
        <v>2252.3966096259369</v>
      </c>
      <c r="M7" s="13">
        <v>2291.0741271649686</v>
      </c>
      <c r="N7" s="13">
        <v>2250.1214615354061</v>
      </c>
      <c r="O7" s="13">
        <v>2302.4498676176249</v>
      </c>
      <c r="P7" s="13">
        <v>2302.4498676176249</v>
      </c>
      <c r="Q7" s="13">
        <v>2304.7250157081553</v>
      </c>
      <c r="R7" s="13">
        <v>2279.6983867123117</v>
      </c>
      <c r="S7" s="13">
        <v>2288.7989790744373</v>
      </c>
      <c r="T7" s="13">
        <v>2313.8256080702804</v>
      </c>
      <c r="U7" s="13">
        <v>2284.2486828933747</v>
      </c>
      <c r="V7" s="13">
        <v>2252.3966096259369</v>
      </c>
      <c r="W7" s="13">
        <v>2347.95282942825</v>
      </c>
      <c r="X7" s="13">
        <v>2318.3759042513434</v>
      </c>
      <c r="Y7" s="13">
        <v>2272.8729424407184</v>
      </c>
      <c r="Z7" s="13">
        <v>2256.9469058069999</v>
      </c>
      <c r="AA7" s="13">
        <v>2281.9735348028435</v>
      </c>
      <c r="AB7" s="13">
        <v>2291.0741271649686</v>
      </c>
      <c r="AD7" s="5" t="s">
        <v>3</v>
      </c>
      <c r="AE7" s="17" t="s">
        <v>102</v>
      </c>
      <c r="AF7" s="17" t="s">
        <v>106</v>
      </c>
      <c r="AG7" s="17" t="s">
        <v>104</v>
      </c>
      <c r="AH7" s="17" t="s">
        <v>109</v>
      </c>
      <c r="AI7" s="17" t="s">
        <v>108</v>
      </c>
      <c r="AJ7" s="17" t="s">
        <v>103</v>
      </c>
      <c r="AK7" s="17" t="s">
        <v>109</v>
      </c>
      <c r="AL7" s="17" t="s">
        <v>102</v>
      </c>
      <c r="AM7" s="17" t="s">
        <v>104</v>
      </c>
      <c r="AN7" s="17" t="s">
        <v>104</v>
      </c>
      <c r="AO7" s="17" t="s">
        <v>104</v>
      </c>
      <c r="AP7" s="17" t="s">
        <v>105</v>
      </c>
      <c r="AQ7" s="17" t="s">
        <v>106</v>
      </c>
      <c r="AR7" s="17" t="s">
        <v>109</v>
      </c>
      <c r="AS7" s="17" t="s">
        <v>109</v>
      </c>
      <c r="AT7" s="17" t="s">
        <v>107</v>
      </c>
      <c r="AU7" s="17" t="s">
        <v>102</v>
      </c>
      <c r="AV7" s="17" t="s">
        <v>104</v>
      </c>
      <c r="AW7" s="17" t="s">
        <v>105</v>
      </c>
      <c r="AX7" s="17" t="s">
        <v>106</v>
      </c>
      <c r="AY7" s="17" t="s">
        <v>104</v>
      </c>
      <c r="AZ7" s="17" t="s">
        <v>101</v>
      </c>
      <c r="BA7" s="17" t="s">
        <v>102</v>
      </c>
      <c r="BB7" s="17" t="s">
        <v>103</v>
      </c>
      <c r="BC7" s="17" t="s">
        <v>104</v>
      </c>
      <c r="BD7" s="17" t="s">
        <v>101</v>
      </c>
    </row>
    <row r="8" spans="1:56" x14ac:dyDescent="0.35">
      <c r="B8" s="5" t="s">
        <v>4</v>
      </c>
      <c r="C8" s="13">
        <v>4720.7806113129736</v>
      </c>
      <c r="D8" s="13">
        <v>4800.7141475603048</v>
      </c>
      <c r="E8" s="13">
        <v>4949.2054796023122</v>
      </c>
      <c r="F8" s="13">
        <v>4880.19265418953</v>
      </c>
      <c r="G8" s="13">
        <v>4875.2631666600455</v>
      </c>
      <c r="H8" s="13">
        <v>4885.1221417190136</v>
      </c>
      <c r="I8" s="13">
        <v>4939.3465045433413</v>
      </c>
      <c r="J8" s="13">
        <v>5003.429842426639</v>
      </c>
      <c r="K8" s="13">
        <v>5067.5131803099357</v>
      </c>
      <c r="L8" s="13">
        <v>3544.3773719689489</v>
      </c>
      <c r="M8" s="13">
        <v>3512.9803283196179</v>
      </c>
      <c r="N8" s="13">
        <v>3502.5146471031744</v>
      </c>
      <c r="O8" s="13">
        <v>3446.6976806154735</v>
      </c>
      <c r="P8" s="13">
        <v>3443.2091202099923</v>
      </c>
      <c r="Q8" s="13">
        <v>3544.3773719689489</v>
      </c>
      <c r="R8" s="13">
        <v>3558.3316135908749</v>
      </c>
      <c r="S8" s="13">
        <v>3509.4917679141367</v>
      </c>
      <c r="T8" s="13">
        <v>3593.2172176456875</v>
      </c>
      <c r="U8" s="13">
        <v>3509.4917679141367</v>
      </c>
      <c r="V8" s="13">
        <v>3526.9345699415426</v>
      </c>
      <c r="W8" s="13">
        <v>3547.8659323744296</v>
      </c>
      <c r="X8" s="13">
        <v>3467.6290430483614</v>
      </c>
      <c r="Y8" s="13">
        <v>3526.9345699415426</v>
      </c>
      <c r="Z8" s="13">
        <v>3600.1943384566498</v>
      </c>
      <c r="AA8" s="13">
        <v>3460.651922237399</v>
      </c>
      <c r="AB8" s="13">
        <v>3523.4460095360619</v>
      </c>
      <c r="AD8" s="5" t="s">
        <v>4</v>
      </c>
      <c r="AE8" s="17" t="s">
        <v>105</v>
      </c>
      <c r="AF8" s="17" t="s">
        <v>109</v>
      </c>
      <c r="AG8" s="17" t="s">
        <v>106</v>
      </c>
      <c r="AH8" s="17" t="s">
        <v>101</v>
      </c>
      <c r="AI8" s="17" t="s">
        <v>109</v>
      </c>
      <c r="AJ8" s="17" t="s">
        <v>101</v>
      </c>
      <c r="AK8" s="17" t="s">
        <v>105</v>
      </c>
      <c r="AL8" s="17" t="s">
        <v>108</v>
      </c>
      <c r="AM8" s="17" t="s">
        <v>104</v>
      </c>
      <c r="AN8" s="17" t="s">
        <v>103</v>
      </c>
      <c r="AO8" s="17" t="s">
        <v>103</v>
      </c>
      <c r="AP8" s="17" t="s">
        <v>107</v>
      </c>
      <c r="AQ8" s="17" t="s">
        <v>108</v>
      </c>
      <c r="AR8" s="17" t="s">
        <v>108</v>
      </c>
      <c r="AS8" s="17" t="s">
        <v>104</v>
      </c>
      <c r="AT8" s="17" t="s">
        <v>108</v>
      </c>
      <c r="AU8" s="17" t="s">
        <v>108</v>
      </c>
      <c r="AV8" s="17" t="s">
        <v>109</v>
      </c>
      <c r="AW8" s="17" t="s">
        <v>109</v>
      </c>
      <c r="AX8" s="17" t="s">
        <v>102</v>
      </c>
      <c r="AY8" s="17" t="s">
        <v>102</v>
      </c>
      <c r="AZ8" s="17" t="s">
        <v>106</v>
      </c>
      <c r="BA8" s="17" t="s">
        <v>101</v>
      </c>
      <c r="BB8" s="17" t="s">
        <v>105</v>
      </c>
      <c r="BC8" s="17" t="s">
        <v>102</v>
      </c>
      <c r="BD8" s="17" t="s">
        <v>101</v>
      </c>
    </row>
    <row r="9" spans="1:56" x14ac:dyDescent="0.35">
      <c r="B9" s="5" t="s">
        <v>5</v>
      </c>
      <c r="C9" s="13">
        <v>5591.4039472895993</v>
      </c>
      <c r="D9" s="13">
        <v>5433.0536401886247</v>
      </c>
      <c r="E9" s="13">
        <v>5824.3791117599994</v>
      </c>
      <c r="F9" s="13">
        <v>5716.3095774597632</v>
      </c>
      <c r="G9" s="13">
        <v>5653.7430049701543</v>
      </c>
      <c r="H9" s="13">
        <v>5807.3155010810133</v>
      </c>
      <c r="I9" s="13">
        <v>5733.3731881387484</v>
      </c>
      <c r="J9" s="13">
        <v>5693.5580965544505</v>
      </c>
      <c r="K9" s="13">
        <v>5665.1187454228102</v>
      </c>
      <c r="L9" s="13">
        <v>4038.2361841535985</v>
      </c>
      <c r="M9" s="13">
        <v>4018.5182340356619</v>
      </c>
      <c r="N9" s="13">
        <v>3900.210533328036</v>
      </c>
      <c r="O9" s="13">
        <v>3994.8566938941362</v>
      </c>
      <c r="P9" s="13">
        <v>3983.0259238233734</v>
      </c>
      <c r="Q9" s="13">
        <v>4022.461824059249</v>
      </c>
      <c r="R9" s="13">
        <v>4006.6874639648986</v>
      </c>
      <c r="S9" s="13">
        <v>3931.759253516736</v>
      </c>
      <c r="T9" s="13">
        <v>3959.3643836818487</v>
      </c>
      <c r="U9" s="13">
        <v>3904.1541233516241</v>
      </c>
      <c r="V9" s="13">
        <v>3986.9695138469615</v>
      </c>
      <c r="W9" s="13">
        <v>3955.4207936582607</v>
      </c>
      <c r="X9" s="13">
        <v>3923.8720734695617</v>
      </c>
      <c r="Y9" s="13">
        <v>3986.9695138469615</v>
      </c>
      <c r="Z9" s="13">
        <v>4061.8977242951232</v>
      </c>
      <c r="AA9" s="13">
        <v>4010.6310539884848</v>
      </c>
      <c r="AB9" s="13">
        <v>4057.9541342715361</v>
      </c>
      <c r="AD9" s="5" t="s">
        <v>5</v>
      </c>
      <c r="AE9" s="17" t="s">
        <v>108</v>
      </c>
      <c r="AF9" s="17" t="s">
        <v>102</v>
      </c>
      <c r="AG9" s="17" t="s">
        <v>105</v>
      </c>
      <c r="AH9" s="17" t="s">
        <v>102</v>
      </c>
      <c r="AI9" s="17" t="s">
        <v>103</v>
      </c>
      <c r="AJ9" s="17" t="s">
        <v>107</v>
      </c>
      <c r="AK9" s="17" t="s">
        <v>104</v>
      </c>
      <c r="AL9" s="17" t="s">
        <v>106</v>
      </c>
      <c r="AM9" s="17" t="s">
        <v>105</v>
      </c>
      <c r="AN9" s="17" t="s">
        <v>109</v>
      </c>
      <c r="AO9" s="17" t="s">
        <v>102</v>
      </c>
      <c r="AP9" s="17" t="s">
        <v>109</v>
      </c>
      <c r="AQ9" s="17" t="s">
        <v>104</v>
      </c>
      <c r="AR9" s="17" t="s">
        <v>107</v>
      </c>
      <c r="AS9" s="17" t="s">
        <v>105</v>
      </c>
      <c r="AT9" s="17" t="s">
        <v>108</v>
      </c>
      <c r="AU9" s="17" t="s">
        <v>104</v>
      </c>
      <c r="AV9" s="17" t="s">
        <v>102</v>
      </c>
      <c r="AW9" s="17" t="s">
        <v>104</v>
      </c>
      <c r="AX9" s="17" t="s">
        <v>102</v>
      </c>
      <c r="AY9" s="17" t="s">
        <v>106</v>
      </c>
      <c r="AZ9" s="17" t="s">
        <v>104</v>
      </c>
      <c r="BA9" s="17" t="s">
        <v>107</v>
      </c>
      <c r="BB9" s="17" t="s">
        <v>103</v>
      </c>
      <c r="BC9" s="17" t="s">
        <v>109</v>
      </c>
      <c r="BD9" s="17" t="s">
        <v>109</v>
      </c>
    </row>
    <row r="10" spans="1:56" x14ac:dyDescent="0.35">
      <c r="B10" s="5" t="s">
        <v>6</v>
      </c>
      <c r="C10" s="13">
        <v>1497.0474435695621</v>
      </c>
      <c r="D10" s="13">
        <v>1530.4162822306871</v>
      </c>
      <c r="E10" s="13">
        <v>1617.4786158283496</v>
      </c>
      <c r="F10" s="13">
        <v>1617.4786158283496</v>
      </c>
      <c r="G10" s="13">
        <v>1628.8922754158482</v>
      </c>
      <c r="H10" s="13">
        <v>1614.2175702319216</v>
      </c>
      <c r="I10" s="13">
        <v>1641.9364578015607</v>
      </c>
      <c r="J10" s="13">
        <v>1681.0690049586981</v>
      </c>
      <c r="K10" s="13">
        <v>1682.6995277569124</v>
      </c>
      <c r="L10" s="13">
        <v>1026.8880906612792</v>
      </c>
      <c r="M10" s="13">
        <v>1018.6975575353671</v>
      </c>
      <c r="N10" s="13">
        <v>1014.6022909724107</v>
      </c>
      <c r="O10" s="13">
        <v>1041.2215236316263</v>
      </c>
      <c r="P10" s="13">
        <v>1050.4358733982781</v>
      </c>
      <c r="Q10" s="13">
        <v>1029.9595405834966</v>
      </c>
      <c r="R10" s="13">
        <v>1054.5311399612342</v>
      </c>
      <c r="S10" s="13">
        <v>1028.9357239427575</v>
      </c>
      <c r="T10" s="13">
        <v>1030.9833572242355</v>
      </c>
      <c r="U10" s="13">
        <v>1032.0071738649749</v>
      </c>
      <c r="V10" s="13">
        <v>1028.9357239427575</v>
      </c>
      <c r="W10" s="13">
        <v>1046.3406068353218</v>
      </c>
      <c r="X10" s="13">
        <v>1044.2929735538437</v>
      </c>
      <c r="Y10" s="13">
        <v>1051.4596900390168</v>
      </c>
      <c r="Z10" s="13">
        <v>1021.7690074575841</v>
      </c>
      <c r="AA10" s="13">
        <v>1020.745190816845</v>
      </c>
      <c r="AB10" s="13">
        <v>1017.6737408946277</v>
      </c>
      <c r="AD10" s="5" t="s">
        <v>6</v>
      </c>
      <c r="AE10" s="17" t="s">
        <v>102</v>
      </c>
      <c r="AF10" s="17" t="s">
        <v>102</v>
      </c>
      <c r="AG10" s="17" t="s">
        <v>105</v>
      </c>
      <c r="AH10" s="17" t="s">
        <v>108</v>
      </c>
      <c r="AI10" s="17" t="s">
        <v>106</v>
      </c>
      <c r="AJ10" s="17" t="s">
        <v>104</v>
      </c>
      <c r="AK10" s="17" t="s">
        <v>102</v>
      </c>
      <c r="AL10" s="17" t="s">
        <v>103</v>
      </c>
      <c r="AM10" s="17" t="s">
        <v>104</v>
      </c>
      <c r="AN10" s="17" t="s">
        <v>102</v>
      </c>
      <c r="AO10" s="17" t="s">
        <v>109</v>
      </c>
      <c r="AP10" s="17" t="s">
        <v>107</v>
      </c>
      <c r="AQ10" s="17" t="s">
        <v>103</v>
      </c>
      <c r="AR10" s="17" t="s">
        <v>101</v>
      </c>
      <c r="AS10" s="17" t="s">
        <v>105</v>
      </c>
      <c r="AT10" s="17" t="s">
        <v>102</v>
      </c>
      <c r="AU10" s="17" t="s">
        <v>106</v>
      </c>
      <c r="AV10" s="17" t="s">
        <v>108</v>
      </c>
      <c r="AW10" s="17" t="s">
        <v>105</v>
      </c>
      <c r="AX10" s="17" t="s">
        <v>105</v>
      </c>
      <c r="AY10" s="17" t="s">
        <v>107</v>
      </c>
      <c r="AZ10" s="17" t="s">
        <v>109</v>
      </c>
      <c r="BA10" s="17" t="s">
        <v>102</v>
      </c>
      <c r="BB10" s="17" t="s">
        <v>103</v>
      </c>
      <c r="BC10" s="17" t="s">
        <v>101</v>
      </c>
      <c r="BD10" s="17" t="s">
        <v>103</v>
      </c>
    </row>
    <row r="11" spans="1:56" x14ac:dyDescent="0.35">
      <c r="B11" s="5" t="s">
        <v>7</v>
      </c>
      <c r="C11" s="13">
        <v>2134.088908918312</v>
      </c>
      <c r="D11" s="13">
        <v>2191.4226407996998</v>
      </c>
      <c r="E11" s="13">
        <v>2286.5238309839056</v>
      </c>
      <c r="F11" s="13">
        <v>2345.6776813377178</v>
      </c>
      <c r="G11" s="13">
        <v>2347.95282942825</v>
      </c>
      <c r="H11" s="13">
        <v>2343.4025332471874</v>
      </c>
      <c r="I11" s="13">
        <v>2343.4025332471874</v>
      </c>
      <c r="J11" s="13">
        <v>2256.9469058069999</v>
      </c>
      <c r="K11" s="13">
        <v>2309.2753118892183</v>
      </c>
      <c r="L11" s="13">
        <v>1536.483343805437</v>
      </c>
      <c r="M11" s="13">
        <v>1544.0671707738745</v>
      </c>
      <c r="N11" s="13">
        <v>1541.0336399864998</v>
      </c>
      <c r="O11" s="13">
        <v>1501.5977397506247</v>
      </c>
      <c r="P11" s="13">
        <v>1498.5642089632495</v>
      </c>
      <c r="Q11" s="13">
        <v>1503.1145051443123</v>
      </c>
      <c r="R11" s="13">
        <v>1507.6648013253748</v>
      </c>
      <c r="S11" s="13">
        <v>1525.8659860496248</v>
      </c>
      <c r="T11" s="13">
        <v>1510.6983321127498</v>
      </c>
      <c r="U11" s="13">
        <v>1531.9330476243747</v>
      </c>
      <c r="V11" s="13">
        <v>1497.0474435695621</v>
      </c>
      <c r="W11" s="13">
        <v>1538.0001091991248</v>
      </c>
      <c r="X11" s="13">
        <v>1509.1815667190622</v>
      </c>
      <c r="Y11" s="13">
        <v>1504.6312705379999</v>
      </c>
      <c r="Z11" s="13">
        <v>1513.7318629001247</v>
      </c>
      <c r="AA11" s="13">
        <v>1565.3018862854994</v>
      </c>
      <c r="AB11" s="13">
        <v>1538.0001091991248</v>
      </c>
      <c r="AD11" s="5" t="s">
        <v>7</v>
      </c>
      <c r="AE11" s="17" t="s">
        <v>105</v>
      </c>
      <c r="AF11" s="17" t="s">
        <v>108</v>
      </c>
      <c r="AG11" s="17" t="s">
        <v>101</v>
      </c>
      <c r="AH11" s="17" t="s">
        <v>107</v>
      </c>
      <c r="AI11" s="17" t="s">
        <v>103</v>
      </c>
      <c r="AJ11" s="17" t="s">
        <v>102</v>
      </c>
      <c r="AK11" s="17" t="s">
        <v>101</v>
      </c>
      <c r="AL11" s="17" t="s">
        <v>101</v>
      </c>
      <c r="AM11" s="17" t="s">
        <v>109</v>
      </c>
      <c r="AN11" s="17" t="s">
        <v>103</v>
      </c>
      <c r="AO11" s="17" t="s">
        <v>102</v>
      </c>
      <c r="AP11" s="17" t="s">
        <v>102</v>
      </c>
      <c r="AQ11" s="17" t="s">
        <v>107</v>
      </c>
      <c r="AR11" s="17" t="s">
        <v>108</v>
      </c>
      <c r="AS11" s="17" t="s">
        <v>107</v>
      </c>
      <c r="AT11" s="17" t="s">
        <v>106</v>
      </c>
      <c r="AU11" s="17" t="s">
        <v>105</v>
      </c>
      <c r="AV11" s="17" t="s">
        <v>101</v>
      </c>
      <c r="AW11" s="17" t="s">
        <v>103</v>
      </c>
      <c r="AX11" s="17" t="s">
        <v>106</v>
      </c>
      <c r="AY11" s="17" t="s">
        <v>101</v>
      </c>
      <c r="AZ11" s="17" t="s">
        <v>107</v>
      </c>
      <c r="BA11" s="17" t="s">
        <v>103</v>
      </c>
      <c r="BB11" s="17" t="s">
        <v>101</v>
      </c>
      <c r="BC11" s="17" t="s">
        <v>101</v>
      </c>
      <c r="BD11" s="17" t="s">
        <v>102</v>
      </c>
    </row>
    <row r="12" spans="1:56" x14ac:dyDescent="0.35">
      <c r="B12" s="5" t="s">
        <v>8</v>
      </c>
      <c r="C12" s="13">
        <v>2084.4906805447313</v>
      </c>
      <c r="D12" s="13">
        <v>2051.728548041081</v>
      </c>
      <c r="E12" s="13">
        <v>2271.887044934821</v>
      </c>
      <c r="F12" s="13">
        <v>2245.4953270846581</v>
      </c>
      <c r="G12" s="13">
        <v>2249.8939467263526</v>
      </c>
      <c r="H12" s="13">
        <v>2188.3132717426402</v>
      </c>
      <c r="I12" s="13">
        <v>2179.516032459253</v>
      </c>
      <c r="J12" s="13">
        <v>2234.4987779804246</v>
      </c>
      <c r="K12" s="13">
        <v>2274.0863547556683</v>
      </c>
      <c r="L12" s="13">
        <v>1422.195071391084</v>
      </c>
      <c r="M12" s="13">
        <v>1440.9271240031246</v>
      </c>
      <c r="N12" s="13">
        <v>1427.9587798870966</v>
      </c>
      <c r="O12" s="13">
        <v>1438.0452697551184</v>
      </c>
      <c r="P12" s="13">
        <v>1474.0684478551964</v>
      </c>
      <c r="Q12" s="13">
        <v>1456.7773223671591</v>
      </c>
      <c r="R12" s="13">
        <v>1423.6359985150871</v>
      </c>
      <c r="S12" s="13">
        <v>1481.2730834752124</v>
      </c>
      <c r="T12" s="13">
        <v>1472.6275207311935</v>
      </c>
      <c r="U12" s="13">
        <v>1430.8406341351028</v>
      </c>
      <c r="V12" s="13">
        <v>1427.9587798870966</v>
      </c>
      <c r="W12" s="13">
        <v>1425.0769256390906</v>
      </c>
      <c r="X12" s="13">
        <v>1448.1317596231402</v>
      </c>
      <c r="Y12" s="13">
        <v>1439.4861968791215</v>
      </c>
      <c r="Z12" s="13">
        <v>1422.195071391084</v>
      </c>
      <c r="AA12" s="13">
        <v>1465.4228851111777</v>
      </c>
      <c r="AB12" s="13">
        <v>1442.3680511271275</v>
      </c>
      <c r="AD12" s="5" t="s">
        <v>8</v>
      </c>
      <c r="AE12" s="17" t="s">
        <v>101</v>
      </c>
      <c r="AF12" s="17" t="s">
        <v>102</v>
      </c>
      <c r="AG12" s="17" t="s">
        <v>106</v>
      </c>
      <c r="AH12" s="17" t="s">
        <v>103</v>
      </c>
      <c r="AI12" s="17" t="s">
        <v>108</v>
      </c>
      <c r="AJ12" s="17" t="s">
        <v>103</v>
      </c>
      <c r="AK12" s="17" t="s">
        <v>103</v>
      </c>
      <c r="AL12" s="17" t="s">
        <v>102</v>
      </c>
      <c r="AM12" s="17" t="s">
        <v>107</v>
      </c>
      <c r="AN12" s="17" t="s">
        <v>109</v>
      </c>
      <c r="AO12" s="17" t="s">
        <v>106</v>
      </c>
      <c r="AP12" s="17" t="s">
        <v>108</v>
      </c>
      <c r="AQ12" s="17" t="s">
        <v>108</v>
      </c>
      <c r="AR12" s="17" t="s">
        <v>102</v>
      </c>
      <c r="AS12" s="17" t="s">
        <v>107</v>
      </c>
      <c r="AT12" s="17" t="s">
        <v>109</v>
      </c>
      <c r="AU12" s="17" t="s">
        <v>108</v>
      </c>
      <c r="AV12" s="17" t="s">
        <v>105</v>
      </c>
      <c r="AW12" s="17" t="s">
        <v>107</v>
      </c>
      <c r="AX12" s="17" t="s">
        <v>104</v>
      </c>
      <c r="AY12" s="17" t="s">
        <v>109</v>
      </c>
      <c r="AZ12" s="17" t="s">
        <v>106</v>
      </c>
      <c r="BA12" s="17" t="s">
        <v>108</v>
      </c>
      <c r="BB12" s="17" t="s">
        <v>109</v>
      </c>
      <c r="BC12" s="17" t="s">
        <v>109</v>
      </c>
      <c r="BD12" s="17" t="s">
        <v>103</v>
      </c>
    </row>
    <row r="13" spans="1:56" x14ac:dyDescent="0.35">
      <c r="B13" s="5" t="s">
        <v>9</v>
      </c>
      <c r="C13" s="13">
        <v>11688.781737689389</v>
      </c>
      <c r="D13" s="13">
        <v>11794.297320075757</v>
      </c>
      <c r="E13" s="13">
        <v>12593.089358585854</v>
      </c>
      <c r="F13" s="13">
        <v>12868.211469696966</v>
      </c>
      <c r="G13" s="13">
        <v>12493.044954545452</v>
      </c>
      <c r="H13" s="13">
        <v>12868.211469696966</v>
      </c>
      <c r="I13" s="13">
        <v>12543.067156565652</v>
      </c>
      <c r="J13" s="13">
        <v>12355.483898989896</v>
      </c>
      <c r="K13" s="13">
        <v>12568.078257575755</v>
      </c>
      <c r="L13" s="13">
        <v>7761.2572821969688</v>
      </c>
      <c r="M13" s="13">
        <v>7917.5766635100981</v>
      </c>
      <c r="N13" s="13">
        <v>7987.9203851010088</v>
      </c>
      <c r="O13" s="13">
        <v>8058.2641066919159</v>
      </c>
      <c r="P13" s="13">
        <v>7894.1287563131291</v>
      </c>
      <c r="Q13" s="13">
        <v>7948.8405397727256</v>
      </c>
      <c r="R13" s="13">
        <v>7878.4968181818158</v>
      </c>
      <c r="S13" s="13">
        <v>7909.7606944444433</v>
      </c>
      <c r="T13" s="13">
        <v>7980.1044160353504</v>
      </c>
      <c r="U13" s="13">
        <v>7941.024570707069</v>
      </c>
      <c r="V13" s="13">
        <v>7722.1774368686847</v>
      </c>
      <c r="W13" s="13">
        <v>8019.1842613636345</v>
      </c>
      <c r="X13" s="13">
        <v>8058.2641066919159</v>
      </c>
      <c r="Y13" s="13">
        <v>7808.1530965909069</v>
      </c>
      <c r="Z13" s="13">
        <v>7987.9203851010088</v>
      </c>
      <c r="AA13" s="13">
        <v>7917.5766635100981</v>
      </c>
      <c r="AB13" s="13">
        <v>7761.2572821969688</v>
      </c>
      <c r="AD13" s="5" t="s">
        <v>9</v>
      </c>
      <c r="AE13" s="17" t="s">
        <v>106</v>
      </c>
      <c r="AF13" s="17" t="s">
        <v>107</v>
      </c>
      <c r="AG13" s="17" t="s">
        <v>104</v>
      </c>
      <c r="AH13" s="17" t="s">
        <v>107</v>
      </c>
      <c r="AI13" s="17" t="s">
        <v>107</v>
      </c>
      <c r="AJ13" s="17" t="s">
        <v>105</v>
      </c>
      <c r="AK13" s="17" t="s">
        <v>109</v>
      </c>
      <c r="AL13" s="17" t="s">
        <v>105</v>
      </c>
      <c r="AM13" s="17" t="s">
        <v>106</v>
      </c>
      <c r="AN13" s="17" t="s">
        <v>107</v>
      </c>
      <c r="AO13" s="17" t="s">
        <v>105</v>
      </c>
      <c r="AP13" s="17" t="s">
        <v>107</v>
      </c>
      <c r="AQ13" s="17" t="s">
        <v>106</v>
      </c>
      <c r="AR13" s="17" t="s">
        <v>107</v>
      </c>
      <c r="AS13" s="17" t="s">
        <v>104</v>
      </c>
      <c r="AT13" s="17" t="s">
        <v>104</v>
      </c>
      <c r="AU13" s="17" t="s">
        <v>104</v>
      </c>
      <c r="AV13" s="17" t="s">
        <v>102</v>
      </c>
      <c r="AW13" s="17" t="s">
        <v>107</v>
      </c>
      <c r="AX13" s="17" t="s">
        <v>108</v>
      </c>
      <c r="AY13" s="17" t="s">
        <v>103</v>
      </c>
      <c r="AZ13" s="17" t="s">
        <v>103</v>
      </c>
      <c r="BA13" s="17" t="s">
        <v>103</v>
      </c>
      <c r="BB13" s="17" t="s">
        <v>108</v>
      </c>
      <c r="BC13" s="17" t="s">
        <v>108</v>
      </c>
      <c r="BD13" s="17" t="s">
        <v>104</v>
      </c>
    </row>
    <row r="14" spans="1:56" x14ac:dyDescent="0.35">
      <c r="B14" s="5" t="s">
        <v>10</v>
      </c>
      <c r="C14" s="13">
        <v>2369.7942510973489</v>
      </c>
      <c r="D14" s="13">
        <v>2407.4100328607997</v>
      </c>
      <c r="E14" s="13">
        <v>2492.3488949072994</v>
      </c>
      <c r="F14" s="13">
        <v>2499.6293687969996</v>
      </c>
      <c r="G14" s="13">
        <v>2421.9709806401997</v>
      </c>
      <c r="H14" s="13">
        <v>2426.8246298999993</v>
      </c>
      <c r="I14" s="13">
        <v>2407.4100328607997</v>
      </c>
      <c r="J14" s="13">
        <v>2429.2514545298995</v>
      </c>
      <c r="K14" s="13">
        <v>2451.0928761989994</v>
      </c>
      <c r="L14" s="13">
        <v>1656.762839524856</v>
      </c>
      <c r="M14" s="13">
        <v>1685.1263523868117</v>
      </c>
      <c r="N14" s="13">
        <v>1655.0943975917994</v>
      </c>
      <c r="O14" s="13">
        <v>1660.0997233909682</v>
      </c>
      <c r="P14" s="13">
        <v>1708.4845394495994</v>
      </c>
      <c r="Q14" s="13">
        <v>1725.1689587801616</v>
      </c>
      <c r="R14" s="13">
        <v>1655.0943975917994</v>
      </c>
      <c r="S14" s="13">
        <v>1681.7894685206998</v>
      </c>
      <c r="T14" s="13">
        <v>1666.7734911231933</v>
      </c>
      <c r="U14" s="13">
        <v>1720.163632980993</v>
      </c>
      <c r="V14" s="13">
        <v>1650.0890717926306</v>
      </c>
      <c r="W14" s="13">
        <v>1703.4792136504307</v>
      </c>
      <c r="X14" s="13">
        <v>1675.1157007884742</v>
      </c>
      <c r="Y14" s="13">
        <v>1700.142329784318</v>
      </c>
      <c r="Z14" s="13">
        <v>1711.8214233157121</v>
      </c>
      <c r="AA14" s="13">
        <v>1691.8001201190373</v>
      </c>
      <c r="AB14" s="13">
        <v>1696.8054459182058</v>
      </c>
      <c r="AD14" s="5" t="s">
        <v>10</v>
      </c>
      <c r="AE14" s="17" t="s">
        <v>103</v>
      </c>
      <c r="AF14" s="17" t="s">
        <v>108</v>
      </c>
      <c r="AG14" s="17" t="s">
        <v>106</v>
      </c>
      <c r="AH14" s="17" t="s">
        <v>106</v>
      </c>
      <c r="AI14" s="17" t="s">
        <v>101</v>
      </c>
      <c r="AJ14" s="17" t="s">
        <v>106</v>
      </c>
      <c r="AK14" s="17" t="s">
        <v>103</v>
      </c>
      <c r="AL14" s="17" t="s">
        <v>106</v>
      </c>
      <c r="AM14" s="17" t="s">
        <v>108</v>
      </c>
      <c r="AN14" s="17" t="s">
        <v>107</v>
      </c>
      <c r="AO14" s="17" t="s">
        <v>109</v>
      </c>
      <c r="AP14" s="17" t="s">
        <v>105</v>
      </c>
      <c r="AQ14" s="17" t="s">
        <v>105</v>
      </c>
      <c r="AR14" s="17" t="s">
        <v>103</v>
      </c>
      <c r="AS14" s="17" t="s">
        <v>102</v>
      </c>
      <c r="AT14" s="17" t="s">
        <v>107</v>
      </c>
      <c r="AU14" s="17" t="s">
        <v>104</v>
      </c>
      <c r="AV14" s="17" t="s">
        <v>108</v>
      </c>
      <c r="AW14" s="17" t="s">
        <v>108</v>
      </c>
      <c r="AX14" s="17" t="s">
        <v>105</v>
      </c>
      <c r="AY14" s="17" t="s">
        <v>107</v>
      </c>
      <c r="AZ14" s="17" t="s">
        <v>105</v>
      </c>
      <c r="BA14" s="17" t="s">
        <v>102</v>
      </c>
      <c r="BB14" s="17" t="s">
        <v>109</v>
      </c>
      <c r="BC14" s="17" t="s">
        <v>107</v>
      </c>
      <c r="BD14" s="17" t="s">
        <v>106</v>
      </c>
    </row>
    <row r="15" spans="1:56" x14ac:dyDescent="0.35">
      <c r="B15" s="4" t="s">
        <v>11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D15" s="4" t="s">
        <v>11</v>
      </c>
      <c r="AE15" s="17" t="s">
        <v>106</v>
      </c>
      <c r="AF15" s="17" t="s">
        <v>105</v>
      </c>
      <c r="AG15" s="17" t="s">
        <v>103</v>
      </c>
      <c r="AH15" s="17" t="s">
        <v>101</v>
      </c>
      <c r="AI15" s="17" t="s">
        <v>107</v>
      </c>
      <c r="AJ15" s="17" t="s">
        <v>101</v>
      </c>
      <c r="AK15" s="17" t="s">
        <v>107</v>
      </c>
      <c r="AL15" s="17" t="s">
        <v>105</v>
      </c>
      <c r="AM15" s="17" t="s">
        <v>103</v>
      </c>
      <c r="AN15" s="17" t="s">
        <v>106</v>
      </c>
      <c r="AO15" s="17" t="s">
        <v>106</v>
      </c>
      <c r="AP15" s="17" t="s">
        <v>101</v>
      </c>
      <c r="AQ15" s="17" t="s">
        <v>107</v>
      </c>
      <c r="AR15" s="17" t="s">
        <v>107</v>
      </c>
      <c r="AS15" s="17" t="s">
        <v>109</v>
      </c>
      <c r="AT15" s="17" t="s">
        <v>105</v>
      </c>
      <c r="AU15" s="17" t="s">
        <v>109</v>
      </c>
      <c r="AV15" s="17" t="s">
        <v>109</v>
      </c>
      <c r="AW15" s="17" t="s">
        <v>107</v>
      </c>
      <c r="AX15" s="17" t="s">
        <v>109</v>
      </c>
      <c r="AY15" s="17" t="s">
        <v>108</v>
      </c>
      <c r="AZ15" s="17" t="s">
        <v>105</v>
      </c>
      <c r="BA15" s="17" t="s">
        <v>109</v>
      </c>
      <c r="BB15" s="17" t="s">
        <v>106</v>
      </c>
      <c r="BC15" s="17" t="s">
        <v>108</v>
      </c>
      <c r="BD15" s="17" t="s">
        <v>108</v>
      </c>
    </row>
    <row r="16" spans="1:56" x14ac:dyDescent="0.35">
      <c r="B16" s="5" t="s">
        <v>12</v>
      </c>
      <c r="C16" s="13">
        <v>4229.5003002975927</v>
      </c>
      <c r="D16" s="13">
        <v>4221.1580906323115</v>
      </c>
      <c r="E16" s="13">
        <v>4460.2003166774612</v>
      </c>
      <c r="F16" s="13">
        <v>4367.8293042018922</v>
      </c>
      <c r="G16" s="13">
        <v>4451.403077394074</v>
      </c>
      <c r="H16" s="13">
        <v>4512.983752377786</v>
      </c>
      <c r="I16" s="13">
        <v>4473.3961756025428</v>
      </c>
      <c r="J16" s="13">
        <v>4372.2279238435876</v>
      </c>
      <c r="K16" s="13">
        <v>4389.8224024103611</v>
      </c>
      <c r="L16" s="13">
        <v>2957.6925176906243</v>
      </c>
      <c r="M16" s="13">
        <v>3046.4232932213426</v>
      </c>
      <c r="N16" s="13">
        <v>2972.4809802790769</v>
      </c>
      <c r="O16" s="13">
        <v>3040.5079081859622</v>
      </c>
      <c r="P16" s="13">
        <v>3007.9732904913644</v>
      </c>
      <c r="Q16" s="13">
        <v>3002.0579054559835</v>
      </c>
      <c r="R16" s="13">
        <v>3010.9309830090551</v>
      </c>
      <c r="S16" s="13">
        <v>3031.6348306328896</v>
      </c>
      <c r="T16" s="13">
        <v>2990.2271353852211</v>
      </c>
      <c r="U16" s="13">
        <v>2978.3963653144583</v>
      </c>
      <c r="V16" s="13">
        <v>2936.9886700667898</v>
      </c>
      <c r="W16" s="13">
        <v>3002.0579054559835</v>
      </c>
      <c r="X16" s="13">
        <v>3058.2540632921055</v>
      </c>
      <c r="Y16" s="13">
        <v>2931.0732850314084</v>
      </c>
      <c r="Z16" s="13">
        <v>2984.3117503498393</v>
      </c>
      <c r="AA16" s="13">
        <v>2996.1425204206016</v>
      </c>
      <c r="AB16" s="13">
        <v>3007.9732904913644</v>
      </c>
      <c r="AD16" s="5" t="s">
        <v>12</v>
      </c>
      <c r="AE16" s="17" t="s">
        <v>105</v>
      </c>
      <c r="AF16" s="17" t="s">
        <v>107</v>
      </c>
      <c r="AG16" s="17" t="s">
        <v>105</v>
      </c>
      <c r="AH16" s="17" t="s">
        <v>105</v>
      </c>
      <c r="AI16" s="17" t="s">
        <v>105</v>
      </c>
      <c r="AJ16" s="17" t="s">
        <v>106</v>
      </c>
      <c r="AK16" s="17" t="s">
        <v>106</v>
      </c>
      <c r="AL16" s="17" t="s">
        <v>109</v>
      </c>
      <c r="AM16" s="17" t="s">
        <v>101</v>
      </c>
      <c r="AN16" s="17" t="s">
        <v>102</v>
      </c>
      <c r="AO16" s="17" t="s">
        <v>106</v>
      </c>
      <c r="AP16" s="17" t="s">
        <v>104</v>
      </c>
      <c r="AQ16" s="17" t="s">
        <v>105</v>
      </c>
      <c r="AR16" s="17" t="s">
        <v>108</v>
      </c>
      <c r="AS16" s="17" t="s">
        <v>103</v>
      </c>
      <c r="AT16" s="17" t="s">
        <v>107</v>
      </c>
      <c r="AU16" s="17" t="s">
        <v>101</v>
      </c>
      <c r="AV16" s="17" t="s">
        <v>109</v>
      </c>
      <c r="AW16" s="17" t="s">
        <v>109</v>
      </c>
      <c r="AX16" s="17" t="s">
        <v>103</v>
      </c>
      <c r="AY16" s="17" t="s">
        <v>101</v>
      </c>
      <c r="AZ16" s="17" t="s">
        <v>101</v>
      </c>
      <c r="BA16" s="17" t="s">
        <v>109</v>
      </c>
      <c r="BB16" s="17" t="s">
        <v>103</v>
      </c>
      <c r="BC16" s="17" t="s">
        <v>107</v>
      </c>
      <c r="BD16" s="17" t="s">
        <v>105</v>
      </c>
    </row>
    <row r="17" spans="2:56" x14ac:dyDescent="0.35">
      <c r="B17" s="5" t="s">
        <v>13</v>
      </c>
      <c r="C17" s="13">
        <v>2993.1848279029123</v>
      </c>
      <c r="D17" s="13">
        <v>2951.7771326552429</v>
      </c>
      <c r="E17" s="13">
        <v>3137.3533785729078</v>
      </c>
      <c r="F17" s="13">
        <v>3159.1189619723241</v>
      </c>
      <c r="G17" s="13">
        <v>3090.7128427170178</v>
      </c>
      <c r="H17" s="13">
        <v>3177.7751763146807</v>
      </c>
      <c r="I17" s="13">
        <v>3140.4627476299679</v>
      </c>
      <c r="J17" s="13">
        <v>3134.2440095158495</v>
      </c>
      <c r="K17" s="13">
        <v>3137.3533785729078</v>
      </c>
      <c r="L17" s="13">
        <v>2021.0140488189086</v>
      </c>
      <c r="M17" s="13">
        <v>2104.9670133595123</v>
      </c>
      <c r="N17" s="13">
        <v>2037.3951150707342</v>
      </c>
      <c r="O17" s="13">
        <v>2107.0146466409897</v>
      </c>
      <c r="P17" s="13">
        <v>2051.728548041081</v>
      </c>
      <c r="Q17" s="13">
        <v>2072.2048808558616</v>
      </c>
      <c r="R17" s="13">
        <v>2078.347780700296</v>
      </c>
      <c r="S17" s="13">
        <v>2104.9670133595123</v>
      </c>
      <c r="T17" s="13">
        <v>2074.2525141373399</v>
      </c>
      <c r="U17" s="13">
        <v>2109.0622799224684</v>
      </c>
      <c r="V17" s="13">
        <v>2047.6332814781247</v>
      </c>
      <c r="W17" s="13">
        <v>2061.9667144484711</v>
      </c>
      <c r="X17" s="13">
        <v>2100.8717467965562</v>
      </c>
      <c r="Y17" s="13">
        <v>2098.824113515077</v>
      </c>
      <c r="Z17" s="13">
        <v>2117.2528130483806</v>
      </c>
      <c r="AA17" s="13">
        <v>2070.1572475743837</v>
      </c>
      <c r="AB17" s="13">
        <v>2023.0616821003873</v>
      </c>
      <c r="AD17" s="5" t="s">
        <v>13</v>
      </c>
      <c r="AE17" s="17" t="s">
        <v>106</v>
      </c>
      <c r="AF17" s="17" t="s">
        <v>102</v>
      </c>
      <c r="AG17" s="17" t="s">
        <v>103</v>
      </c>
      <c r="AH17" s="17" t="s">
        <v>103</v>
      </c>
      <c r="AI17" s="17" t="s">
        <v>107</v>
      </c>
      <c r="AJ17" s="17" t="s">
        <v>109</v>
      </c>
      <c r="AK17" s="17" t="s">
        <v>106</v>
      </c>
      <c r="AL17" s="17" t="s">
        <v>108</v>
      </c>
      <c r="AM17" s="17" t="s">
        <v>107</v>
      </c>
      <c r="AN17" s="17" t="s">
        <v>108</v>
      </c>
      <c r="AO17" s="17" t="s">
        <v>105</v>
      </c>
      <c r="AP17" s="17" t="s">
        <v>102</v>
      </c>
      <c r="AQ17" s="17" t="s">
        <v>109</v>
      </c>
      <c r="AR17" s="17" t="s">
        <v>101</v>
      </c>
      <c r="AS17" s="17" t="s">
        <v>106</v>
      </c>
      <c r="AT17" s="17" t="s">
        <v>106</v>
      </c>
      <c r="AU17" s="17" t="s">
        <v>101</v>
      </c>
      <c r="AV17" s="17" t="s">
        <v>103</v>
      </c>
      <c r="AW17" s="17" t="s">
        <v>102</v>
      </c>
      <c r="AX17" s="17" t="s">
        <v>104</v>
      </c>
      <c r="AY17" s="17" t="s">
        <v>106</v>
      </c>
      <c r="AZ17" s="17" t="s">
        <v>101</v>
      </c>
      <c r="BA17" s="17" t="s">
        <v>102</v>
      </c>
      <c r="BB17" s="17" t="s">
        <v>103</v>
      </c>
      <c r="BC17" s="17" t="s">
        <v>107</v>
      </c>
      <c r="BD17" s="17" t="s">
        <v>109</v>
      </c>
    </row>
    <row r="18" spans="2:56" x14ac:dyDescent="0.35">
      <c r="B18" s="5" t="s">
        <v>14</v>
      </c>
      <c r="C18" s="13">
        <v>1646.7521879265182</v>
      </c>
      <c r="D18" s="13">
        <v>1710.1529813826555</v>
      </c>
      <c r="E18" s="13">
        <v>1777.4215265926964</v>
      </c>
      <c r="F18" s="13">
        <v>1737.3030819296621</v>
      </c>
      <c r="G18" s="13">
        <v>1726.8374007132181</v>
      </c>
      <c r="H18" s="13">
        <v>1782.6543672009186</v>
      </c>
      <c r="I18" s="13">
        <v>1758.2344443625493</v>
      </c>
      <c r="J18" s="13">
        <v>1730.3259611186995</v>
      </c>
      <c r="K18" s="13">
        <v>1780.9100869981771</v>
      </c>
      <c r="L18" s="13">
        <v>1065.9827186835746</v>
      </c>
      <c r="M18" s="13">
        <v>1052.1801536010187</v>
      </c>
      <c r="N18" s="13">
        <v>1053.2418893765998</v>
      </c>
      <c r="O18" s="13">
        <v>1070.2296617858999</v>
      </c>
      <c r="P18" s="13">
        <v>1075.5383406638064</v>
      </c>
      <c r="Q18" s="13">
        <v>1067.044454459156</v>
      </c>
      <c r="R18" s="13">
        <v>1081.9087553172935</v>
      </c>
      <c r="S18" s="13">
        <v>1079.7852837661312</v>
      </c>
      <c r="T18" s="13">
        <v>1076.6000764393873</v>
      </c>
      <c r="U18" s="13">
        <v>1055.3653609277624</v>
      </c>
      <c r="V18" s="13">
        <v>1079.7852837661312</v>
      </c>
      <c r="W18" s="13">
        <v>1081.9087553172935</v>
      </c>
      <c r="X18" s="13">
        <v>1048.9949462742748</v>
      </c>
      <c r="Y18" s="13">
        <v>1058.5505682545063</v>
      </c>
      <c r="Z18" s="13">
        <v>1053.2418893765998</v>
      </c>
      <c r="AA18" s="13">
        <v>1052.1801536010187</v>
      </c>
      <c r="AB18" s="13">
        <v>1056.4270967033438</v>
      </c>
      <c r="AD18" s="5" t="s">
        <v>14</v>
      </c>
      <c r="AE18" s="17" t="s">
        <v>109</v>
      </c>
      <c r="AF18" s="17" t="s">
        <v>106</v>
      </c>
      <c r="AG18" s="17" t="s">
        <v>104</v>
      </c>
      <c r="AH18" s="17" t="s">
        <v>101</v>
      </c>
      <c r="AI18" s="17" t="s">
        <v>107</v>
      </c>
      <c r="AJ18" s="17" t="s">
        <v>105</v>
      </c>
      <c r="AK18" s="17" t="s">
        <v>105</v>
      </c>
      <c r="AL18" s="17" t="s">
        <v>104</v>
      </c>
      <c r="AM18" s="17" t="s">
        <v>103</v>
      </c>
      <c r="AN18" s="17" t="s">
        <v>106</v>
      </c>
      <c r="AO18" s="17" t="s">
        <v>101</v>
      </c>
      <c r="AP18" s="17" t="s">
        <v>106</v>
      </c>
      <c r="AQ18" s="17" t="s">
        <v>108</v>
      </c>
      <c r="AR18" s="17" t="s">
        <v>101</v>
      </c>
      <c r="AS18" s="17" t="s">
        <v>108</v>
      </c>
      <c r="AT18" s="17" t="s">
        <v>105</v>
      </c>
      <c r="AU18" s="17" t="s">
        <v>106</v>
      </c>
      <c r="AV18" s="17" t="s">
        <v>109</v>
      </c>
      <c r="AW18" s="17" t="s">
        <v>109</v>
      </c>
      <c r="AX18" s="17" t="s">
        <v>104</v>
      </c>
      <c r="AY18" s="17" t="s">
        <v>105</v>
      </c>
      <c r="AZ18" s="17" t="s">
        <v>105</v>
      </c>
      <c r="BA18" s="17" t="s">
        <v>101</v>
      </c>
      <c r="BB18" s="17" t="s">
        <v>107</v>
      </c>
      <c r="BC18" s="17" t="s">
        <v>101</v>
      </c>
      <c r="BD18" s="17" t="s">
        <v>105</v>
      </c>
    </row>
    <row r="19" spans="2:56" x14ac:dyDescent="0.35">
      <c r="B19" s="5" t="s">
        <v>15</v>
      </c>
      <c r="C19" s="13">
        <v>4857.1378202054793</v>
      </c>
      <c r="D19" s="13">
        <v>4861.8397929259108</v>
      </c>
      <c r="E19" s="13">
        <v>4939.3465045433413</v>
      </c>
      <c r="F19" s="13">
        <v>4993.57086736767</v>
      </c>
      <c r="G19" s="13">
        <v>4993.57086736767</v>
      </c>
      <c r="H19" s="13">
        <v>4924.5580419548896</v>
      </c>
      <c r="I19" s="13">
        <v>4880.19265418953</v>
      </c>
      <c r="J19" s="13">
        <v>4993.57086736767</v>
      </c>
      <c r="K19" s="13">
        <v>4968.9234297202484</v>
      </c>
      <c r="L19" s="13">
        <v>3443.6641498280987</v>
      </c>
      <c r="M19" s="13">
        <v>3450.3379175603231</v>
      </c>
      <c r="N19" s="13">
        <v>3340.2207499786109</v>
      </c>
      <c r="O19" s="13">
        <v>3306.8519113174866</v>
      </c>
      <c r="P19" s="13">
        <v>3447.0010336942114</v>
      </c>
      <c r="Q19" s="13">
        <v>3430.3166143636481</v>
      </c>
      <c r="R19" s="13">
        <v>3303.5150274513744</v>
      </c>
      <c r="S19" s="13">
        <v>3350.2314015769484</v>
      </c>
      <c r="T19" s="13">
        <v>3423.6428466314242</v>
      </c>
      <c r="U19" s="13">
        <v>3333.5469822463865</v>
      </c>
      <c r="V19" s="13">
        <v>3443.6641498280987</v>
      </c>
      <c r="W19" s="13">
        <v>3386.9371241041858</v>
      </c>
      <c r="X19" s="13">
        <v>3346.8945177108353</v>
      </c>
      <c r="Y19" s="13">
        <v>3306.8519113174866</v>
      </c>
      <c r="Z19" s="13">
        <v>3403.6215434347496</v>
      </c>
      <c r="AA19" s="13">
        <v>3360.2420531752864</v>
      </c>
      <c r="AB19" s="13">
        <v>3430.3166143636481</v>
      </c>
      <c r="AD19" s="5" t="s">
        <v>15</v>
      </c>
      <c r="AE19" s="17" t="s">
        <v>107</v>
      </c>
      <c r="AF19" s="17" t="s">
        <v>102</v>
      </c>
      <c r="AG19" s="17" t="s">
        <v>103</v>
      </c>
      <c r="AH19" s="17" t="s">
        <v>102</v>
      </c>
      <c r="AI19" s="17" t="s">
        <v>101</v>
      </c>
      <c r="AJ19" s="17" t="s">
        <v>101</v>
      </c>
      <c r="AK19" s="17" t="s">
        <v>103</v>
      </c>
      <c r="AL19" s="17" t="s">
        <v>101</v>
      </c>
      <c r="AM19" s="17" t="s">
        <v>109</v>
      </c>
      <c r="AN19" s="17" t="s">
        <v>101</v>
      </c>
      <c r="AO19" s="17" t="s">
        <v>109</v>
      </c>
      <c r="AP19" s="17" t="s">
        <v>107</v>
      </c>
      <c r="AQ19" s="17" t="s">
        <v>101</v>
      </c>
      <c r="AR19" s="17" t="s">
        <v>107</v>
      </c>
      <c r="AS19" s="17" t="s">
        <v>102</v>
      </c>
      <c r="AT19" s="17" t="s">
        <v>105</v>
      </c>
      <c r="AU19" s="17" t="s">
        <v>103</v>
      </c>
      <c r="AV19" s="17" t="s">
        <v>106</v>
      </c>
      <c r="AW19" s="17" t="s">
        <v>102</v>
      </c>
      <c r="AX19" s="17" t="s">
        <v>101</v>
      </c>
      <c r="AY19" s="17" t="s">
        <v>108</v>
      </c>
      <c r="AZ19" s="17" t="s">
        <v>103</v>
      </c>
      <c r="BA19" s="17" t="s">
        <v>109</v>
      </c>
      <c r="BB19" s="17" t="s">
        <v>108</v>
      </c>
      <c r="BC19" s="17" t="s">
        <v>105</v>
      </c>
      <c r="BD19" s="17" t="s">
        <v>101</v>
      </c>
    </row>
    <row r="20" spans="2:56" x14ac:dyDescent="0.35">
      <c r="B20" s="5" t="s">
        <v>16</v>
      </c>
      <c r="C20" s="13">
        <v>2327.476496613468</v>
      </c>
      <c r="D20" s="13">
        <v>2316.1007561608121</v>
      </c>
      <c r="E20" s="13">
        <v>2451.0928761989994</v>
      </c>
      <c r="F20" s="13">
        <v>2497.2025441670999</v>
      </c>
      <c r="G20" s="13">
        <v>2492.3488949072994</v>
      </c>
      <c r="H20" s="13">
        <v>2494.7757195371992</v>
      </c>
      <c r="I20" s="13">
        <v>2482.6415963876993</v>
      </c>
      <c r="J20" s="13">
        <v>2414.6905067504995</v>
      </c>
      <c r="K20" s="13">
        <v>2509.3366673165992</v>
      </c>
      <c r="L20" s="13">
        <v>1497.0474435695621</v>
      </c>
      <c r="M20" s="13">
        <v>1507.6648013253748</v>
      </c>
      <c r="N20" s="13">
        <v>1516.7653936874997</v>
      </c>
      <c r="O20" s="13">
        <v>1539.516874592812</v>
      </c>
      <c r="P20" s="13">
        <v>1539.516874592812</v>
      </c>
      <c r="Q20" s="13">
        <v>1513.7318629001247</v>
      </c>
      <c r="R20" s="13">
        <v>1544.0671707738745</v>
      </c>
      <c r="S20" s="13">
        <v>1557.7180593170622</v>
      </c>
      <c r="T20" s="13">
        <v>1521.315689868562</v>
      </c>
      <c r="U20" s="13">
        <v>1516.7653936874997</v>
      </c>
      <c r="V20" s="13">
        <v>1525.8659860496248</v>
      </c>
      <c r="W20" s="13">
        <v>1525.8659860496248</v>
      </c>
      <c r="X20" s="13">
        <v>1516.7653936874997</v>
      </c>
      <c r="Y20" s="13">
        <v>1548.6174669549368</v>
      </c>
      <c r="Z20" s="13">
        <v>1513.7318629001247</v>
      </c>
      <c r="AA20" s="13">
        <v>1531.9330476243747</v>
      </c>
      <c r="AB20" s="13">
        <v>1548.6174669549368</v>
      </c>
      <c r="AD20" s="5" t="s">
        <v>16</v>
      </c>
      <c r="AE20" s="17" t="s">
        <v>105</v>
      </c>
      <c r="AF20" s="17" t="s">
        <v>108</v>
      </c>
      <c r="AG20" s="17" t="s">
        <v>103</v>
      </c>
      <c r="AH20" s="17" t="s">
        <v>101</v>
      </c>
      <c r="AI20" s="17" t="s">
        <v>107</v>
      </c>
      <c r="AJ20" s="17" t="s">
        <v>107</v>
      </c>
      <c r="AK20" s="17" t="s">
        <v>103</v>
      </c>
      <c r="AL20" s="17" t="s">
        <v>105</v>
      </c>
      <c r="AM20" s="17" t="s">
        <v>102</v>
      </c>
      <c r="AN20" s="17" t="s">
        <v>108</v>
      </c>
      <c r="AO20" s="17" t="s">
        <v>107</v>
      </c>
      <c r="AP20" s="17" t="s">
        <v>108</v>
      </c>
      <c r="AQ20" s="17" t="s">
        <v>107</v>
      </c>
      <c r="AR20" s="17" t="s">
        <v>102</v>
      </c>
      <c r="AS20" s="17" t="s">
        <v>106</v>
      </c>
      <c r="AT20" s="17" t="s">
        <v>105</v>
      </c>
      <c r="AU20" s="17" t="s">
        <v>101</v>
      </c>
      <c r="AV20" s="17" t="s">
        <v>108</v>
      </c>
      <c r="AW20" s="17" t="s">
        <v>105</v>
      </c>
      <c r="AX20" s="17" t="s">
        <v>104</v>
      </c>
      <c r="AY20" s="17" t="s">
        <v>106</v>
      </c>
      <c r="AZ20" s="17" t="s">
        <v>103</v>
      </c>
      <c r="BA20" s="17" t="s">
        <v>102</v>
      </c>
      <c r="BB20" s="17" t="s">
        <v>107</v>
      </c>
      <c r="BC20" s="17" t="s">
        <v>104</v>
      </c>
      <c r="BD20" s="17" t="s">
        <v>106</v>
      </c>
    </row>
    <row r="21" spans="2:56" x14ac:dyDescent="0.35">
      <c r="B21" s="5" t="s">
        <v>17</v>
      </c>
      <c r="C21" s="13">
        <v>5045.3684055620988</v>
      </c>
      <c r="D21" s="13">
        <v>5010.3311249679173</v>
      </c>
      <c r="E21" s="13">
        <v>5190.9778833560986</v>
      </c>
      <c r="F21" s="13">
        <v>5306.1003767369803</v>
      </c>
      <c r="G21" s="13">
        <v>5279.9361736958699</v>
      </c>
      <c r="H21" s="13">
        <v>5342.7302609945318</v>
      </c>
      <c r="I21" s="13">
        <v>5253.7719706547614</v>
      </c>
      <c r="J21" s="13">
        <v>5379.360145252087</v>
      </c>
      <c r="K21" s="13">
        <v>5185.7450427478771</v>
      </c>
      <c r="L21" s="13">
        <v>3720.3221576366986</v>
      </c>
      <c r="M21" s="13">
        <v>3622.0357601257492</v>
      </c>
      <c r="N21" s="13">
        <v>3625.6759970705984</v>
      </c>
      <c r="O21" s="13">
        <v>3698.4807359675983</v>
      </c>
      <c r="P21" s="13">
        <v>3727.6026315263985</v>
      </c>
      <c r="Q21" s="13">
        <v>3669.3588404087986</v>
      </c>
      <c r="R21" s="13">
        <v>3698.4807359675983</v>
      </c>
      <c r="S21" s="13">
        <v>3622.0357601257492</v>
      </c>
      <c r="T21" s="13">
        <v>3731.2428684712481</v>
      </c>
      <c r="U21" s="13">
        <v>3618.3955231808982</v>
      </c>
      <c r="V21" s="13">
        <v>3723.9623945815474</v>
      </c>
      <c r="W21" s="13">
        <v>3702.1209729124485</v>
      </c>
      <c r="X21" s="13">
        <v>3716.6819206918481</v>
      </c>
      <c r="Y21" s="13">
        <v>3705.761209857299</v>
      </c>
      <c r="Z21" s="13">
        <v>3720.3221576366986</v>
      </c>
      <c r="AA21" s="13">
        <v>3632.9564709602992</v>
      </c>
      <c r="AB21" s="13">
        <v>3749.4440531954997</v>
      </c>
      <c r="AD21" s="5" t="s">
        <v>17</v>
      </c>
      <c r="AE21" s="17" t="s">
        <v>102</v>
      </c>
      <c r="AF21" s="17" t="s">
        <v>101</v>
      </c>
      <c r="AG21" s="17" t="s">
        <v>108</v>
      </c>
      <c r="AH21" s="17" t="s">
        <v>109</v>
      </c>
      <c r="AI21" s="17" t="s">
        <v>108</v>
      </c>
      <c r="AJ21" s="17" t="s">
        <v>101</v>
      </c>
      <c r="AK21" s="17" t="s">
        <v>108</v>
      </c>
      <c r="AL21" s="17" t="s">
        <v>103</v>
      </c>
      <c r="AM21" s="17" t="s">
        <v>109</v>
      </c>
      <c r="AN21" s="17" t="s">
        <v>108</v>
      </c>
      <c r="AO21" s="17" t="s">
        <v>104</v>
      </c>
      <c r="AP21" s="17" t="s">
        <v>103</v>
      </c>
      <c r="AQ21" s="17" t="s">
        <v>101</v>
      </c>
      <c r="AR21" s="17" t="s">
        <v>102</v>
      </c>
      <c r="AS21" s="17" t="s">
        <v>108</v>
      </c>
      <c r="AT21" s="17" t="s">
        <v>102</v>
      </c>
      <c r="AU21" s="17" t="s">
        <v>106</v>
      </c>
      <c r="AV21" s="17" t="s">
        <v>104</v>
      </c>
      <c r="AW21" s="17" t="s">
        <v>108</v>
      </c>
      <c r="AX21" s="17" t="s">
        <v>102</v>
      </c>
      <c r="AY21" s="17" t="s">
        <v>106</v>
      </c>
      <c r="AZ21" s="17" t="s">
        <v>109</v>
      </c>
      <c r="BA21" s="17" t="s">
        <v>106</v>
      </c>
      <c r="BB21" s="17" t="s">
        <v>104</v>
      </c>
      <c r="BC21" s="17" t="s">
        <v>103</v>
      </c>
      <c r="BD21" s="17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ASP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 Munde</dc:creator>
  <cp:lastModifiedBy>Vijay Budhwani</cp:lastModifiedBy>
  <dcterms:created xsi:type="dcterms:W3CDTF">2026-04-29T10:35:14Z</dcterms:created>
  <dcterms:modified xsi:type="dcterms:W3CDTF">2026-06-19T09:35:11Z</dcterms:modified>
</cp:coreProperties>
</file>