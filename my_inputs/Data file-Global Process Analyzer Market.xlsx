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0.190\IT-Temp-Folder\Vijay Budhwani\Data files\"/>
    </mc:Choice>
  </mc:AlternateContent>
  <xr:revisionPtr revIDLastSave="0" documentId="13_ncr:1_{BD622BD4-7F4F-450E-AC11-75B325DEA32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3" r:id="rId1"/>
    <sheet name="ASP" sheetId="2" r:id="rId2"/>
    <sheet name="Market Value" sheetId="4" r:id="rId3"/>
  </sheets>
  <definedNames>
    <definedName name="_xlnm._FilterDatabase" localSheetId="0" hidden="1">Data!$B$103:$F$139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27" i="2" l="1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E136" i="3"/>
  <c r="E139" i="3" s="1"/>
  <c r="AB30" i="2" s="1"/>
  <c r="AB33" i="2" s="1"/>
  <c r="AB38" i="2" s="1"/>
  <c r="AB52" i="2" s="1"/>
  <c r="D136" i="3"/>
  <c r="C136" i="3"/>
  <c r="E131" i="3"/>
  <c r="D131" i="3"/>
  <c r="C131" i="3"/>
  <c r="E123" i="3"/>
  <c r="E127" i="3" s="1"/>
  <c r="V30" i="2" s="1"/>
  <c r="D123" i="3"/>
  <c r="C123" i="3"/>
  <c r="E108" i="3"/>
  <c r="E113" i="3" s="1"/>
  <c r="I30" i="2" s="1"/>
  <c r="I41" i="2" s="1"/>
  <c r="I55" i="2" s="1"/>
  <c r="D108" i="3"/>
  <c r="C108" i="3"/>
  <c r="E105" i="3"/>
  <c r="E106" i="3" s="1"/>
  <c r="C30" i="2" s="1"/>
  <c r="C41" i="2" s="1"/>
  <c r="C55" i="2" s="1"/>
  <c r="E112" i="3" l="1"/>
  <c r="H30" i="2" s="1"/>
  <c r="H33" i="2" s="1"/>
  <c r="H37" i="2" s="1"/>
  <c r="H51" i="2" s="1"/>
  <c r="E107" i="3"/>
  <c r="D30" i="2" s="1"/>
  <c r="I33" i="2"/>
  <c r="E138" i="3"/>
  <c r="AA30" i="2" s="1"/>
  <c r="E120" i="3"/>
  <c r="P30" i="2" s="1"/>
  <c r="V33" i="2"/>
  <c r="V41" i="2"/>
  <c r="V55" i="2" s="1"/>
  <c r="P41" i="2"/>
  <c r="P55" i="2" s="1"/>
  <c r="P33" i="2"/>
  <c r="AB40" i="2"/>
  <c r="AB54" i="2" s="1"/>
  <c r="H38" i="2"/>
  <c r="H52" i="2" s="1"/>
  <c r="H40" i="2"/>
  <c r="H54" i="2" s="1"/>
  <c r="H34" i="2"/>
  <c r="H48" i="2" s="1"/>
  <c r="AB41" i="2"/>
  <c r="AB55" i="2" s="1"/>
  <c r="AB37" i="2"/>
  <c r="AB51" i="2" s="1"/>
  <c r="AB34" i="2"/>
  <c r="AB48" i="2" s="1"/>
  <c r="AB36" i="2"/>
  <c r="AB50" i="2" s="1"/>
  <c r="AB35" i="2"/>
  <c r="AB49" i="2" s="1"/>
  <c r="AB39" i="2"/>
  <c r="AB53" i="2" s="1"/>
  <c r="AA41" i="2"/>
  <c r="AA55" i="2" s="1"/>
  <c r="AA33" i="2"/>
  <c r="E135" i="3"/>
  <c r="AF30" i="2" s="1"/>
  <c r="E134" i="3"/>
  <c r="AE30" i="2" s="1"/>
  <c r="I36" i="2"/>
  <c r="I50" i="2" s="1"/>
  <c r="I40" i="2"/>
  <c r="I54" i="2" s="1"/>
  <c r="I35" i="2"/>
  <c r="I49" i="2" s="1"/>
  <c r="I34" i="2"/>
  <c r="I48" i="2" s="1"/>
  <c r="I38" i="2"/>
  <c r="I52" i="2" s="1"/>
  <c r="H41" i="2"/>
  <c r="H55" i="2" s="1"/>
  <c r="H39" i="2"/>
  <c r="H53" i="2" s="1"/>
  <c r="H35" i="2"/>
  <c r="H49" i="2" s="1"/>
  <c r="C33" i="2"/>
  <c r="E116" i="3"/>
  <c r="L30" i="2" s="1"/>
  <c r="E109" i="3"/>
  <c r="E30" i="2" s="1"/>
  <c r="E119" i="3"/>
  <c r="O30" i="2" s="1"/>
  <c r="E115" i="3"/>
  <c r="K30" i="2" s="1"/>
  <c r="E111" i="3"/>
  <c r="G30" i="2" s="1"/>
  <c r="E129" i="3"/>
  <c r="X30" i="2" s="1"/>
  <c r="E125" i="3"/>
  <c r="T30" i="2" s="1"/>
  <c r="E133" i="3"/>
  <c r="AD30" i="2" s="1"/>
  <c r="E130" i="3"/>
  <c r="Y30" i="2" s="1"/>
  <c r="E122" i="3"/>
  <c r="R30" i="2" s="1"/>
  <c r="E118" i="3"/>
  <c r="N30" i="2" s="1"/>
  <c r="E114" i="3"/>
  <c r="J30" i="2" s="1"/>
  <c r="E110" i="3"/>
  <c r="F30" i="2" s="1"/>
  <c r="E128" i="3"/>
  <c r="W30" i="2" s="1"/>
  <c r="E132" i="3"/>
  <c r="AC30" i="2" s="1"/>
  <c r="E137" i="3"/>
  <c r="Z30" i="2" s="1"/>
  <c r="E126" i="3"/>
  <c r="U30" i="2" s="1"/>
  <c r="E121" i="3"/>
  <c r="Q30" i="2" s="1"/>
  <c r="E117" i="3"/>
  <c r="M30" i="2" s="1"/>
  <c r="E124" i="3"/>
  <c r="S30" i="2" s="1"/>
  <c r="H36" i="2" l="1"/>
  <c r="H50" i="2" s="1"/>
  <c r="I39" i="2"/>
  <c r="I53" i="2" s="1"/>
  <c r="I47" i="2" s="1"/>
  <c r="I37" i="2"/>
  <c r="I51" i="2" s="1"/>
  <c r="D41" i="2"/>
  <c r="D55" i="2" s="1"/>
  <c r="D33" i="2"/>
  <c r="S41" i="2"/>
  <c r="S55" i="2" s="1"/>
  <c r="S33" i="2"/>
  <c r="K41" i="2"/>
  <c r="K55" i="2" s="1"/>
  <c r="K33" i="2"/>
  <c r="C35" i="2"/>
  <c r="C49" i="2" s="1"/>
  <c r="C39" i="2"/>
  <c r="C53" i="2" s="1"/>
  <c r="C37" i="2"/>
  <c r="C51" i="2" s="1"/>
  <c r="C38" i="2"/>
  <c r="C52" i="2" s="1"/>
  <c r="C34" i="2"/>
  <c r="C48" i="2" s="1"/>
  <c r="C36" i="2"/>
  <c r="C50" i="2" s="1"/>
  <c r="C40" i="2"/>
  <c r="C54" i="2" s="1"/>
  <c r="AA34" i="2"/>
  <c r="AA48" i="2" s="1"/>
  <c r="AA38" i="2"/>
  <c r="AA52" i="2" s="1"/>
  <c r="AA39" i="2"/>
  <c r="AA53" i="2" s="1"/>
  <c r="AA35" i="2"/>
  <c r="AA49" i="2" s="1"/>
  <c r="AA37" i="2"/>
  <c r="AA51" i="2" s="1"/>
  <c r="AA36" i="2"/>
  <c r="AA50" i="2" s="1"/>
  <c r="AA40" i="2"/>
  <c r="AA54" i="2" s="1"/>
  <c r="P37" i="2"/>
  <c r="P51" i="2" s="1"/>
  <c r="P39" i="2"/>
  <c r="P53" i="2" s="1"/>
  <c r="P35" i="2"/>
  <c r="P49" i="2" s="1"/>
  <c r="P34" i="2"/>
  <c r="P48" i="2" s="1"/>
  <c r="P38" i="2"/>
  <c r="P52" i="2" s="1"/>
  <c r="P40" i="2"/>
  <c r="P54" i="2" s="1"/>
  <c r="P36" i="2"/>
  <c r="P50" i="2" s="1"/>
  <c r="Z41" i="2"/>
  <c r="Z55" i="2" s="1"/>
  <c r="Z33" i="2"/>
  <c r="M33" i="2"/>
  <c r="M41" i="2"/>
  <c r="M55" i="2" s="1"/>
  <c r="N41" i="2"/>
  <c r="N55" i="2" s="1"/>
  <c r="N33" i="2"/>
  <c r="AB47" i="2"/>
  <c r="AB44" i="2"/>
  <c r="AB2" i="2" s="1"/>
  <c r="AD41" i="2"/>
  <c r="AD55" i="2" s="1"/>
  <c r="AD33" i="2"/>
  <c r="T41" i="2"/>
  <c r="T55" i="2" s="1"/>
  <c r="T33" i="2"/>
  <c r="Q33" i="2"/>
  <c r="Q41" i="2"/>
  <c r="Q55" i="2" s="1"/>
  <c r="R33" i="2"/>
  <c r="R41" i="2"/>
  <c r="R55" i="2" s="1"/>
  <c r="E41" i="2"/>
  <c r="E55" i="2" s="1"/>
  <c r="E33" i="2"/>
  <c r="AE41" i="2"/>
  <c r="AE55" i="2" s="1"/>
  <c r="AE33" i="2"/>
  <c r="J41" i="2"/>
  <c r="J55" i="2" s="1"/>
  <c r="J33" i="2"/>
  <c r="AC33" i="2"/>
  <c r="AC41" i="2"/>
  <c r="AC55" i="2" s="1"/>
  <c r="O41" i="2"/>
  <c r="O55" i="2" s="1"/>
  <c r="O33" i="2"/>
  <c r="W41" i="2"/>
  <c r="W55" i="2" s="1"/>
  <c r="W33" i="2"/>
  <c r="X33" i="2"/>
  <c r="X41" i="2"/>
  <c r="X55" i="2" s="1"/>
  <c r="U41" i="2"/>
  <c r="U55" i="2" s="1"/>
  <c r="U33" i="2"/>
  <c r="F33" i="2"/>
  <c r="F41" i="2"/>
  <c r="F55" i="2" s="1"/>
  <c r="Y41" i="2"/>
  <c r="Y55" i="2" s="1"/>
  <c r="Y33" i="2"/>
  <c r="G41" i="2"/>
  <c r="G55" i="2" s="1"/>
  <c r="G33" i="2"/>
  <c r="L33" i="2"/>
  <c r="L41" i="2"/>
  <c r="L55" i="2" s="1"/>
  <c r="AF41" i="2"/>
  <c r="AF55" i="2" s="1"/>
  <c r="AF33" i="2"/>
  <c r="H47" i="2"/>
  <c r="H44" i="2"/>
  <c r="H2" i="2" s="1"/>
  <c r="V35" i="2"/>
  <c r="V49" i="2" s="1"/>
  <c r="V39" i="2"/>
  <c r="V53" i="2" s="1"/>
  <c r="V34" i="2"/>
  <c r="V48" i="2" s="1"/>
  <c r="V37" i="2"/>
  <c r="V51" i="2" s="1"/>
  <c r="V36" i="2"/>
  <c r="V50" i="2" s="1"/>
  <c r="V40" i="2"/>
  <c r="V54" i="2" s="1"/>
  <c r="V38" i="2"/>
  <c r="V52" i="2" s="1"/>
  <c r="D105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C13" i="3"/>
  <c r="C12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C20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C24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C35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C38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BD3" i="3"/>
  <c r="BE3" i="3"/>
  <c r="BF3" i="3"/>
  <c r="BG3" i="3"/>
  <c r="BH3" i="3"/>
  <c r="BI3" i="3"/>
  <c r="BJ3" i="3"/>
  <c r="BK3" i="3"/>
  <c r="BL3" i="3"/>
  <c r="AI3" i="3"/>
  <c r="D8" i="4"/>
  <c r="C105" i="3"/>
  <c r="D39" i="2" l="1"/>
  <c r="D53" i="2" s="1"/>
  <c r="D35" i="2"/>
  <c r="D49" i="2" s="1"/>
  <c r="D40" i="2"/>
  <c r="D54" i="2" s="1"/>
  <c r="D34" i="2"/>
  <c r="D48" i="2" s="1"/>
  <c r="D36" i="2"/>
  <c r="D50" i="2" s="1"/>
  <c r="D37" i="2"/>
  <c r="D51" i="2" s="1"/>
  <c r="D38" i="2"/>
  <c r="D52" i="2" s="1"/>
  <c r="I44" i="2"/>
  <c r="I2" i="2" s="1"/>
  <c r="BZ3" i="3"/>
  <c r="AT2" i="3"/>
  <c r="BD5" i="3"/>
  <c r="AJ5" i="3"/>
  <c r="AC36" i="2"/>
  <c r="AC50" i="2" s="1"/>
  <c r="AC40" i="2"/>
  <c r="AC54" i="2" s="1"/>
  <c r="AC38" i="2"/>
  <c r="AC52" i="2" s="1"/>
  <c r="AC37" i="2"/>
  <c r="AC51" i="2" s="1"/>
  <c r="AC34" i="2"/>
  <c r="AC48" i="2" s="1"/>
  <c r="AC35" i="2"/>
  <c r="AC49" i="2" s="1"/>
  <c r="AC39" i="2"/>
  <c r="AC53" i="2" s="1"/>
  <c r="AE34" i="2"/>
  <c r="AE48" i="2" s="1"/>
  <c r="AE38" i="2"/>
  <c r="AE52" i="2" s="1"/>
  <c r="AE35" i="2"/>
  <c r="AE49" i="2" s="1"/>
  <c r="AE37" i="2"/>
  <c r="AE51" i="2" s="1"/>
  <c r="AE36" i="2"/>
  <c r="AE50" i="2" s="1"/>
  <c r="AE40" i="2"/>
  <c r="AE54" i="2" s="1"/>
  <c r="AE39" i="2"/>
  <c r="AE53" i="2" s="1"/>
  <c r="Q36" i="2"/>
  <c r="Q50" i="2" s="1"/>
  <c r="Q40" i="2"/>
  <c r="Q54" i="2" s="1"/>
  <c r="Q34" i="2"/>
  <c r="Q48" i="2" s="1"/>
  <c r="Q35" i="2"/>
  <c r="Q49" i="2" s="1"/>
  <c r="Q37" i="2"/>
  <c r="Q51" i="2" s="1"/>
  <c r="Q39" i="2"/>
  <c r="Q53" i="2" s="1"/>
  <c r="Q38" i="2"/>
  <c r="Q52" i="2" s="1"/>
  <c r="M36" i="2"/>
  <c r="M50" i="2" s="1"/>
  <c r="M40" i="2"/>
  <c r="M54" i="2" s="1"/>
  <c r="M38" i="2"/>
  <c r="M52" i="2" s="1"/>
  <c r="M37" i="2"/>
  <c r="M51" i="2" s="1"/>
  <c r="M34" i="2"/>
  <c r="M48" i="2" s="1"/>
  <c r="M35" i="2"/>
  <c r="M49" i="2" s="1"/>
  <c r="M39" i="2"/>
  <c r="M53" i="2" s="1"/>
  <c r="AA44" i="2"/>
  <c r="AA2" i="2" s="1"/>
  <c r="AA47" i="2"/>
  <c r="K34" i="2"/>
  <c r="K48" i="2" s="1"/>
  <c r="K38" i="2"/>
  <c r="K52" i="2" s="1"/>
  <c r="K39" i="2"/>
  <c r="K53" i="2" s="1"/>
  <c r="K35" i="2"/>
  <c r="K49" i="2" s="1"/>
  <c r="K37" i="2"/>
  <c r="K51" i="2" s="1"/>
  <c r="K40" i="2"/>
  <c r="K54" i="2" s="1"/>
  <c r="K36" i="2"/>
  <c r="K50" i="2" s="1"/>
  <c r="CK3" i="3"/>
  <c r="BE2" i="3"/>
  <c r="BY3" i="3"/>
  <c r="AS2" i="3"/>
  <c r="AK38" i="3"/>
  <c r="AS38" i="3"/>
  <c r="BA38" i="3"/>
  <c r="BE38" i="3"/>
  <c r="AI22" i="3"/>
  <c r="BK5" i="3"/>
  <c r="AF37" i="2"/>
  <c r="AF51" i="2" s="1"/>
  <c r="AF39" i="2"/>
  <c r="AF53" i="2" s="1"/>
  <c r="AF35" i="2"/>
  <c r="AF49" i="2" s="1"/>
  <c r="AF40" i="2"/>
  <c r="AF54" i="2" s="1"/>
  <c r="AF36" i="2"/>
  <c r="AF50" i="2" s="1"/>
  <c r="AF38" i="2"/>
  <c r="AF52" i="2" s="1"/>
  <c r="AF34" i="2"/>
  <c r="AF48" i="2" s="1"/>
  <c r="G34" i="2"/>
  <c r="G48" i="2" s="1"/>
  <c r="G38" i="2"/>
  <c r="G52" i="2" s="1"/>
  <c r="G36" i="2"/>
  <c r="G50" i="2" s="1"/>
  <c r="G35" i="2"/>
  <c r="G49" i="2" s="1"/>
  <c r="G37" i="2"/>
  <c r="G51" i="2" s="1"/>
  <c r="G39" i="2"/>
  <c r="G53" i="2" s="1"/>
  <c r="G40" i="2"/>
  <c r="G54" i="2" s="1"/>
  <c r="O34" i="2"/>
  <c r="O48" i="2" s="1"/>
  <c r="O38" i="2"/>
  <c r="O52" i="2" s="1"/>
  <c r="O35" i="2"/>
  <c r="O49" i="2" s="1"/>
  <c r="O37" i="2"/>
  <c r="O51" i="2" s="1"/>
  <c r="O36" i="2"/>
  <c r="O50" i="2" s="1"/>
  <c r="O40" i="2"/>
  <c r="O54" i="2" s="1"/>
  <c r="O39" i="2"/>
  <c r="O53" i="2" s="1"/>
  <c r="T37" i="2"/>
  <c r="T51" i="2" s="1"/>
  <c r="T35" i="2"/>
  <c r="T49" i="2" s="1"/>
  <c r="T34" i="2"/>
  <c r="T48" i="2" s="1"/>
  <c r="T36" i="2"/>
  <c r="T50" i="2" s="1"/>
  <c r="T38" i="2"/>
  <c r="T52" i="2" s="1"/>
  <c r="T40" i="2"/>
  <c r="T54" i="2" s="1"/>
  <c r="T39" i="2"/>
  <c r="T53" i="2" s="1"/>
  <c r="AD35" i="2"/>
  <c r="AD49" i="2" s="1"/>
  <c r="AD39" i="2"/>
  <c r="AD53" i="2" s="1"/>
  <c r="AD40" i="2"/>
  <c r="AD54" i="2" s="1"/>
  <c r="AD34" i="2"/>
  <c r="AD48" i="2" s="1"/>
  <c r="AD36" i="2"/>
  <c r="AD50" i="2" s="1"/>
  <c r="AD38" i="2"/>
  <c r="AD52" i="2" s="1"/>
  <c r="AD37" i="2"/>
  <c r="AD51" i="2" s="1"/>
  <c r="N35" i="2"/>
  <c r="N49" i="2" s="1"/>
  <c r="N39" i="2"/>
  <c r="N53" i="2" s="1"/>
  <c r="N40" i="2"/>
  <c r="N54" i="2" s="1"/>
  <c r="N34" i="2"/>
  <c r="N48" i="2" s="1"/>
  <c r="N36" i="2"/>
  <c r="N50" i="2" s="1"/>
  <c r="N38" i="2"/>
  <c r="N52" i="2" s="1"/>
  <c r="N37" i="2"/>
  <c r="N51" i="2" s="1"/>
  <c r="Z35" i="2"/>
  <c r="Z49" i="2" s="1"/>
  <c r="Z39" i="2"/>
  <c r="Z53" i="2" s="1"/>
  <c r="Z37" i="2"/>
  <c r="Z51" i="2" s="1"/>
  <c r="Z36" i="2"/>
  <c r="Z50" i="2" s="1"/>
  <c r="Z40" i="2"/>
  <c r="Z54" i="2" s="1"/>
  <c r="Z38" i="2"/>
  <c r="Z52" i="2" s="1"/>
  <c r="Z34" i="2"/>
  <c r="Z48" i="2" s="1"/>
  <c r="CL3" i="3"/>
  <c r="BF2" i="3"/>
  <c r="CH3" i="3"/>
  <c r="BB2" i="3"/>
  <c r="BR3" i="3"/>
  <c r="AL2" i="3"/>
  <c r="AJ38" i="3"/>
  <c r="AN38" i="3"/>
  <c r="AR38" i="3"/>
  <c r="AV38" i="3"/>
  <c r="AZ38" i="3"/>
  <c r="BD38" i="3"/>
  <c r="BH38" i="3"/>
  <c r="BL38" i="3"/>
  <c r="BH5" i="3"/>
  <c r="AV5" i="3"/>
  <c r="AN5" i="3"/>
  <c r="L37" i="2"/>
  <c r="L51" i="2" s="1"/>
  <c r="L34" i="2"/>
  <c r="L48" i="2" s="1"/>
  <c r="L36" i="2"/>
  <c r="L50" i="2" s="1"/>
  <c r="L35" i="2"/>
  <c r="L49" i="2" s="1"/>
  <c r="L39" i="2"/>
  <c r="L53" i="2" s="1"/>
  <c r="L40" i="2"/>
  <c r="L54" i="2" s="1"/>
  <c r="L38" i="2"/>
  <c r="L52" i="2" s="1"/>
  <c r="BO3" i="3"/>
  <c r="AI2" i="3"/>
  <c r="CG3" i="3"/>
  <c r="BA2" i="3"/>
  <c r="BQ3" i="3"/>
  <c r="AK2" i="3"/>
  <c r="BC5" i="3"/>
  <c r="AU5" i="3"/>
  <c r="AM5" i="3"/>
  <c r="CR3" i="3"/>
  <c r="BL2" i="3"/>
  <c r="CN3" i="3"/>
  <c r="BH2" i="3"/>
  <c r="CJ3" i="3"/>
  <c r="BD2" i="3"/>
  <c r="CF3" i="3"/>
  <c r="AZ2" i="3"/>
  <c r="CB3" i="3"/>
  <c r="AV2" i="3"/>
  <c r="BX3" i="3"/>
  <c r="AR2" i="3"/>
  <c r="BT3" i="3"/>
  <c r="AN2" i="3"/>
  <c r="BP3" i="3"/>
  <c r="AJ2" i="3"/>
  <c r="AL38" i="3"/>
  <c r="AP38" i="3"/>
  <c r="AT38" i="3"/>
  <c r="AX38" i="3"/>
  <c r="BB38" i="3"/>
  <c r="BF38" i="3"/>
  <c r="BJ38" i="3"/>
  <c r="BJ5" i="3"/>
  <c r="BF5" i="3"/>
  <c r="BB5" i="3"/>
  <c r="AX5" i="3"/>
  <c r="AT5" i="3"/>
  <c r="AP5" i="3"/>
  <c r="AL5" i="3"/>
  <c r="V44" i="2"/>
  <c r="V2" i="2" s="1"/>
  <c r="V47" i="2"/>
  <c r="F35" i="2"/>
  <c r="F49" i="2" s="1"/>
  <c r="F39" i="2"/>
  <c r="F53" i="2" s="1"/>
  <c r="F34" i="2"/>
  <c r="F48" i="2" s="1"/>
  <c r="F37" i="2"/>
  <c r="F51" i="2" s="1"/>
  <c r="F36" i="2"/>
  <c r="F50" i="2" s="1"/>
  <c r="F38" i="2"/>
  <c r="F52" i="2" s="1"/>
  <c r="F40" i="2"/>
  <c r="F54" i="2" s="1"/>
  <c r="X37" i="2"/>
  <c r="X51" i="2" s="1"/>
  <c r="X38" i="2"/>
  <c r="X52" i="2" s="1"/>
  <c r="X40" i="2"/>
  <c r="X54" i="2" s="1"/>
  <c r="X34" i="2"/>
  <c r="X48" i="2" s="1"/>
  <c r="X36" i="2"/>
  <c r="X50" i="2" s="1"/>
  <c r="X35" i="2"/>
  <c r="X49" i="2" s="1"/>
  <c r="X39" i="2"/>
  <c r="X53" i="2" s="1"/>
  <c r="J35" i="2"/>
  <c r="J49" i="2" s="1"/>
  <c r="J39" i="2"/>
  <c r="J53" i="2" s="1"/>
  <c r="J37" i="2"/>
  <c r="J51" i="2" s="1"/>
  <c r="J36" i="2"/>
  <c r="J50" i="2" s="1"/>
  <c r="J40" i="2"/>
  <c r="J54" i="2" s="1"/>
  <c r="J38" i="2"/>
  <c r="J52" i="2" s="1"/>
  <c r="J34" i="2"/>
  <c r="J48" i="2" s="1"/>
  <c r="R35" i="2"/>
  <c r="R49" i="2" s="1"/>
  <c r="R39" i="2"/>
  <c r="R53" i="2" s="1"/>
  <c r="R36" i="2"/>
  <c r="R50" i="2" s="1"/>
  <c r="R38" i="2"/>
  <c r="R52" i="2" s="1"/>
  <c r="R37" i="2"/>
  <c r="R51" i="2" s="1"/>
  <c r="R34" i="2"/>
  <c r="R48" i="2" s="1"/>
  <c r="R40" i="2"/>
  <c r="R54" i="2" s="1"/>
  <c r="P47" i="2"/>
  <c r="P44" i="2"/>
  <c r="P2" i="2" s="1"/>
  <c r="S34" i="2"/>
  <c r="S48" i="2" s="1"/>
  <c r="S38" i="2"/>
  <c r="S52" i="2" s="1"/>
  <c r="S40" i="2"/>
  <c r="S54" i="2" s="1"/>
  <c r="S36" i="2"/>
  <c r="S50" i="2" s="1"/>
  <c r="S39" i="2"/>
  <c r="S53" i="2" s="1"/>
  <c r="S37" i="2"/>
  <c r="S51" i="2" s="1"/>
  <c r="S35" i="2"/>
  <c r="S49" i="2" s="1"/>
  <c r="CP3" i="3"/>
  <c r="BJ2" i="3"/>
  <c r="CD3" i="3"/>
  <c r="AX2" i="3"/>
  <c r="BV3" i="3"/>
  <c r="AP2" i="3"/>
  <c r="BL5" i="3"/>
  <c r="AZ5" i="3"/>
  <c r="AR5" i="3"/>
  <c r="CO3" i="3"/>
  <c r="BI2" i="3"/>
  <c r="CC3" i="3"/>
  <c r="AW2" i="3"/>
  <c r="BU3" i="3"/>
  <c r="AO2" i="3"/>
  <c r="AO38" i="3"/>
  <c r="AW38" i="3"/>
  <c r="BI38" i="3"/>
  <c r="AI5" i="3"/>
  <c r="BG5" i="3"/>
  <c r="AY5" i="3"/>
  <c r="AQ5" i="3"/>
  <c r="CQ3" i="3"/>
  <c r="BK2" i="3"/>
  <c r="CM3" i="3"/>
  <c r="BG2" i="3"/>
  <c r="CI3" i="3"/>
  <c r="BC2" i="3"/>
  <c r="CE3" i="3"/>
  <c r="AY2" i="3"/>
  <c r="CA3" i="3"/>
  <c r="AU2" i="3"/>
  <c r="BW3" i="3"/>
  <c r="AQ2" i="3"/>
  <c r="BS3" i="3"/>
  <c r="AM2" i="3"/>
  <c r="AI38" i="3"/>
  <c r="AM38" i="3"/>
  <c r="AQ38" i="3"/>
  <c r="AU38" i="3"/>
  <c r="AY38" i="3"/>
  <c r="BC38" i="3"/>
  <c r="BG38" i="3"/>
  <c r="BK38" i="3"/>
  <c r="BI5" i="3"/>
  <c r="BE5" i="3"/>
  <c r="BA5" i="3"/>
  <c r="AW5" i="3"/>
  <c r="AS5" i="3"/>
  <c r="AO5" i="3"/>
  <c r="AK5" i="3"/>
  <c r="Y36" i="2"/>
  <c r="Y50" i="2" s="1"/>
  <c r="Y40" i="2"/>
  <c r="Y54" i="2" s="1"/>
  <c r="Y35" i="2"/>
  <c r="Y49" i="2" s="1"/>
  <c r="Y34" i="2"/>
  <c r="Y48" i="2" s="1"/>
  <c r="Y38" i="2"/>
  <c r="Y52" i="2" s="1"/>
  <c r="Y39" i="2"/>
  <c r="Y53" i="2" s="1"/>
  <c r="Y37" i="2"/>
  <c r="Y51" i="2" s="1"/>
  <c r="U36" i="2"/>
  <c r="U50" i="2" s="1"/>
  <c r="U40" i="2"/>
  <c r="U54" i="2" s="1"/>
  <c r="U37" i="2"/>
  <c r="U51" i="2" s="1"/>
  <c r="U39" i="2"/>
  <c r="U53" i="2" s="1"/>
  <c r="U35" i="2"/>
  <c r="U49" i="2" s="1"/>
  <c r="U34" i="2"/>
  <c r="U48" i="2" s="1"/>
  <c r="U38" i="2"/>
  <c r="U52" i="2" s="1"/>
  <c r="W34" i="2"/>
  <c r="W48" i="2" s="1"/>
  <c r="W38" i="2"/>
  <c r="W52" i="2" s="1"/>
  <c r="W36" i="2"/>
  <c r="W50" i="2" s="1"/>
  <c r="W35" i="2"/>
  <c r="W49" i="2" s="1"/>
  <c r="W37" i="2"/>
  <c r="W51" i="2" s="1"/>
  <c r="W39" i="2"/>
  <c r="W53" i="2" s="1"/>
  <c r="W40" i="2"/>
  <c r="W54" i="2" s="1"/>
  <c r="E36" i="2"/>
  <c r="E50" i="2" s="1"/>
  <c r="E40" i="2"/>
  <c r="E54" i="2" s="1"/>
  <c r="E37" i="2"/>
  <c r="E51" i="2" s="1"/>
  <c r="E39" i="2"/>
  <c r="E53" i="2" s="1"/>
  <c r="E35" i="2"/>
  <c r="E49" i="2" s="1"/>
  <c r="E38" i="2"/>
  <c r="E52" i="2" s="1"/>
  <c r="E34" i="2"/>
  <c r="E48" i="2" s="1"/>
  <c r="C47" i="2"/>
  <c r="C44" i="2"/>
  <c r="C4" i="4"/>
  <c r="D44" i="2" l="1"/>
  <c r="D2" i="2" s="1"/>
  <c r="D47" i="2"/>
  <c r="W44" i="2"/>
  <c r="W2" i="2" s="1"/>
  <c r="W47" i="2"/>
  <c r="AD44" i="2"/>
  <c r="AD2" i="2" s="1"/>
  <c r="AD47" i="2"/>
  <c r="T47" i="2"/>
  <c r="T44" i="2"/>
  <c r="T2" i="2" s="1"/>
  <c r="G44" i="2"/>
  <c r="G2" i="2" s="1"/>
  <c r="G47" i="2"/>
  <c r="AI21" i="3"/>
  <c r="M47" i="2"/>
  <c r="M44" i="2"/>
  <c r="M2" i="2" s="1"/>
  <c r="S44" i="2"/>
  <c r="S2" i="2" s="1"/>
  <c r="S47" i="2"/>
  <c r="J44" i="2"/>
  <c r="J2" i="2" s="1"/>
  <c r="J47" i="2"/>
  <c r="Z44" i="2"/>
  <c r="Z2" i="2" s="1"/>
  <c r="Z47" i="2"/>
  <c r="O44" i="2"/>
  <c r="O2" i="2" s="1"/>
  <c r="O47" i="2"/>
  <c r="AF47" i="2"/>
  <c r="AF44" i="2"/>
  <c r="AF2" i="2" s="1"/>
  <c r="Q47" i="2"/>
  <c r="Q44" i="2"/>
  <c r="Q2" i="2" s="1"/>
  <c r="AC47" i="2"/>
  <c r="AC44" i="2"/>
  <c r="AC2" i="2" s="1"/>
  <c r="C2" i="2"/>
  <c r="E47" i="2"/>
  <c r="E44" i="2"/>
  <c r="E2" i="2" s="1"/>
  <c r="U47" i="2"/>
  <c r="U44" i="2"/>
  <c r="U2" i="2" s="1"/>
  <c r="AE44" i="2"/>
  <c r="AE2" i="2" s="1"/>
  <c r="AE47" i="2"/>
  <c r="Y47" i="2"/>
  <c r="Y44" i="2"/>
  <c r="Y2" i="2" s="1"/>
  <c r="R44" i="2"/>
  <c r="R2" i="2" s="1"/>
  <c r="R47" i="2"/>
  <c r="X47" i="2"/>
  <c r="X44" i="2"/>
  <c r="X2" i="2" s="1"/>
  <c r="F44" i="2"/>
  <c r="F2" i="2" s="1"/>
  <c r="F47" i="2"/>
  <c r="L47" i="2"/>
  <c r="L44" i="2"/>
  <c r="L2" i="2" s="1"/>
  <c r="N44" i="2"/>
  <c r="N2" i="2" s="1"/>
  <c r="N47" i="2"/>
  <c r="K44" i="2"/>
  <c r="K2" i="2" s="1"/>
  <c r="K47" i="2"/>
  <c r="D9" i="4"/>
  <c r="C5" i="4"/>
  <c r="C6" i="4"/>
  <c r="C7" i="4"/>
  <c r="C8" i="4"/>
  <c r="B44" i="2" l="1"/>
  <c r="B2" i="2" s="1"/>
</calcChain>
</file>

<file path=xl/sharedStrings.xml><?xml version="1.0" encoding="utf-8"?>
<sst xmlns="http://schemas.openxmlformats.org/spreadsheetml/2006/main" count="1673" uniqueCount="107">
  <si>
    <t>Region</t>
  </si>
  <si>
    <t>Market Name</t>
  </si>
  <si>
    <t>Segment Name in B Column Only</t>
  </si>
  <si>
    <t>Segment</t>
  </si>
  <si>
    <t>North America</t>
  </si>
  <si>
    <t>Canada</t>
  </si>
  <si>
    <t>Latin America</t>
  </si>
  <si>
    <t>Mexico</t>
  </si>
  <si>
    <t>Rest of Latin America</t>
  </si>
  <si>
    <t>France</t>
  </si>
  <si>
    <t>Italy</t>
  </si>
  <si>
    <t>China</t>
  </si>
  <si>
    <t>Japan</t>
  </si>
  <si>
    <t>India</t>
  </si>
  <si>
    <t>South Africa</t>
  </si>
  <si>
    <t>Market Share</t>
  </si>
  <si>
    <t>CAGR</t>
  </si>
  <si>
    <t>Always should start from 100th Row</t>
  </si>
  <si>
    <t>U.S.</t>
  </si>
  <si>
    <t>Russia</t>
  </si>
  <si>
    <t>Rest of Europe</t>
  </si>
  <si>
    <t>Europe</t>
  </si>
  <si>
    <t>Asia Pacific</t>
  </si>
  <si>
    <t>Argentina</t>
  </si>
  <si>
    <t>CMI_Trend_25</t>
  </si>
  <si>
    <t>South Korea</t>
  </si>
  <si>
    <t>ASEAN</t>
  </si>
  <si>
    <t>Global</t>
  </si>
  <si>
    <t>Brazil</t>
  </si>
  <si>
    <t>CMI_Trend_46</t>
  </si>
  <si>
    <t>Spain</t>
  </si>
  <si>
    <t>GCC</t>
  </si>
  <si>
    <t>Germany</t>
  </si>
  <si>
    <t>CMI_Trend_56</t>
  </si>
  <si>
    <t>Australia</t>
  </si>
  <si>
    <t>Rest of Asia Pacific</t>
  </si>
  <si>
    <t>Rest of Middle East &amp; Africa</t>
  </si>
  <si>
    <t>Middle East &amp; Africa</t>
  </si>
  <si>
    <t>USD Mn</t>
  </si>
  <si>
    <t>CMI_Trend_60</t>
  </si>
  <si>
    <t>CMI_Trend_20</t>
  </si>
  <si>
    <t>CMI_Trend_52</t>
  </si>
  <si>
    <t>Share</t>
  </si>
  <si>
    <t>Value</t>
  </si>
  <si>
    <t>Volume</t>
  </si>
  <si>
    <t>Regions</t>
  </si>
  <si>
    <t>Expected CAGR</t>
  </si>
  <si>
    <t>By End-use Industry</t>
  </si>
  <si>
    <t>Power Generation</t>
  </si>
  <si>
    <t>Natural Gas</t>
  </si>
  <si>
    <t>Biogas</t>
  </si>
  <si>
    <t>Biomethane</t>
  </si>
  <si>
    <t>Hydrogen</t>
  </si>
  <si>
    <t>UK</t>
  </si>
  <si>
    <t>Poland</t>
  </si>
  <si>
    <t>Romania</t>
  </si>
  <si>
    <t>Croatia</t>
  </si>
  <si>
    <t>Sweden</t>
  </si>
  <si>
    <t>Denmark</t>
  </si>
  <si>
    <t>Finland</t>
  </si>
  <si>
    <t>Norway</t>
  </si>
  <si>
    <t>By Analyzer Type</t>
  </si>
  <si>
    <t>Gas Analyzers</t>
  </si>
  <si>
    <t>Liquid Analyzers</t>
  </si>
  <si>
    <t>By Technology</t>
  </si>
  <si>
    <t>Spectroscopic Analyzers</t>
  </si>
  <si>
    <t>Chromatography Analyzers</t>
  </si>
  <si>
    <t>Electrochemical Analyzers</t>
  </si>
  <si>
    <t>Thermal Conductivity Analyzers</t>
  </si>
  <si>
    <t>Paramagnetic Analyzers</t>
  </si>
  <si>
    <t>By Sampling Type</t>
  </si>
  <si>
    <t>Continuous Sampling Analyzers</t>
  </si>
  <si>
    <t>Batch Sampling Analyzers</t>
  </si>
  <si>
    <t>By Application</t>
  </si>
  <si>
    <t>Process Monitoring</t>
  </si>
  <si>
    <t>Quality Control</t>
  </si>
  <si>
    <t>Environmental Monitoring</t>
  </si>
  <si>
    <t>Safety and Compliance Monitoring</t>
  </si>
  <si>
    <t>Others (Emission Monitoring, Leak Detection)</t>
  </si>
  <si>
    <t>Oil and Gas</t>
  </si>
  <si>
    <t>Upstream</t>
  </si>
  <si>
    <t>Midstream</t>
  </si>
  <si>
    <t>Downstream</t>
  </si>
  <si>
    <t>Chemical and Petrochemical</t>
  </si>
  <si>
    <t>Pharmaceuticals and Biotechnology</t>
  </si>
  <si>
    <t>Water and Wastewater Treatment</t>
  </si>
  <si>
    <t>Renewable Energy</t>
  </si>
  <si>
    <t>Food and Beverage</t>
  </si>
  <si>
    <t>Others (Pulp &amp; Paper, Metals &amp; Mining, etc.)</t>
  </si>
  <si>
    <t>Industrial Gases (O₂, N₂, CO₂)</t>
  </si>
  <si>
    <t>Toxic &amp; Hazardous Gases (H₂S, CO)</t>
  </si>
  <si>
    <t>Emission Gases (NOx, SO₂)</t>
  </si>
  <si>
    <t xml:space="preserve">Country </t>
  </si>
  <si>
    <t>CMI_Trend_38</t>
  </si>
  <si>
    <t>ASP1</t>
  </si>
  <si>
    <t>ASP2</t>
  </si>
  <si>
    <t>ASP3</t>
  </si>
  <si>
    <t>ASP4</t>
  </si>
  <si>
    <t>ASP5</t>
  </si>
  <si>
    <t>ASP6</t>
  </si>
  <si>
    <t>ASP7</t>
  </si>
  <si>
    <t>ASP8</t>
  </si>
  <si>
    <t>ASP9</t>
  </si>
  <si>
    <t>Process Analyzer Market</t>
  </si>
  <si>
    <t>By Installation Type</t>
  </si>
  <si>
    <t>Fixed / Stationary Analyzers</t>
  </si>
  <si>
    <t>Portable / Handheld Analyzers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</si>
</sst>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* #,##0.00_ ;_ * \-#,##0.00_ ;_ * &quot;-&quot;??_ ;_ @_ "/>
    <numFmt numFmtId="165" formatCode="0.0%"/>
    <numFmt numFmtId="166" formatCode="_ * #,##0.0_ ;_ * \-#,##0.0_ ;_ * &quot;-&quot;??_ ;_ @_ "/>
    <numFmt numFmtId="167" formatCode="_ * #,##0.000_ ;_ * \-#,##0.000_ ;_ * &quot;-&quot;??_ ;_ @_ "/>
    <numFmt numFmtId="168" formatCode="0.0"/>
    <numFmt numFmtId="169" formatCode="_ * #,##0_ ;_ * \-#,##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7">
    <xf numFmtId="0" fontId="0" fillId="0" borderId="0" xfId="0"/>
    <xf numFmtId="165" fontId="0" fillId="0" borderId="0" xfId="2" applyNumberFormat="1" applyFont="1" applyFill="1" applyAlignment="1">
      <alignment horizontal="center"/>
    </xf>
    <xf numFmtId="165" fontId="0" fillId="0" borderId="0" xfId="2" applyNumberFormat="1" applyFont="1" applyFill="1" applyAlignment="1">
      <alignment horizontal="center" vertical="center"/>
    </xf>
    <xf numFmtId="9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/>
    <xf numFmtId="165" fontId="0" fillId="0" borderId="0" xfId="0" applyNumberFormat="1" applyAlignment="1">
      <alignment horizontal="center"/>
    </xf>
    <xf numFmtId="0" fontId="3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10" fontId="2" fillId="0" borderId="0" xfId="0" applyNumberFormat="1" applyFont="1"/>
    <xf numFmtId="165" fontId="0" fillId="0" borderId="0" xfId="2" applyNumberFormat="1" applyFont="1"/>
    <xf numFmtId="165" fontId="0" fillId="0" borderId="0" xfId="2" applyNumberFormat="1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165" fontId="0" fillId="0" borderId="0" xfId="2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5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left" vertical="center"/>
    </xf>
    <xf numFmtId="167" fontId="0" fillId="0" borderId="0" xfId="1" applyNumberFormat="1" applyFont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1" applyNumberFormat="1" applyFont="1" applyBorder="1" applyAlignment="1">
      <alignment horizontal="center"/>
    </xf>
    <xf numFmtId="0" fontId="2" fillId="0" borderId="1" xfId="0" applyFont="1" applyBorder="1"/>
    <xf numFmtId="9" fontId="0" fillId="0" borderId="0" xfId="2" applyFont="1"/>
    <xf numFmtId="10" fontId="0" fillId="0" borderId="0" xfId="2" applyNumberFormat="1" applyFont="1"/>
    <xf numFmtId="165" fontId="4" fillId="2" borderId="1" xfId="0" applyNumberFormat="1" applyFont="1" applyFill="1" applyBorder="1" applyAlignment="1">
      <alignment horizontal="center"/>
    </xf>
    <xf numFmtId="10" fontId="2" fillId="0" borderId="0" xfId="2" applyNumberFormat="1" applyFont="1" applyFill="1" applyAlignment="1">
      <alignment horizontal="center" vertical="center"/>
    </xf>
    <xf numFmtId="10" fontId="1" fillId="0" borderId="0" xfId="2" applyNumberFormat="1" applyFont="1" applyFill="1" applyAlignment="1">
      <alignment horizontal="center" vertical="center"/>
    </xf>
    <xf numFmtId="165" fontId="0" fillId="0" borderId="1" xfId="2" applyNumberFormat="1" applyFont="1" applyBorder="1" applyAlignment="1">
      <alignment horizontal="center"/>
    </xf>
    <xf numFmtId="10" fontId="0" fillId="0" borderId="0" xfId="0" applyNumberFormat="1"/>
    <xf numFmtId="2" fontId="0" fillId="0" borderId="0" xfId="0" applyNumberFormat="1"/>
    <xf numFmtId="165" fontId="0" fillId="0" borderId="0" xfId="0" applyNumberFormat="1"/>
    <xf numFmtId="168" fontId="0" fillId="0" borderId="0" xfId="2" applyNumberFormat="1" applyFont="1"/>
    <xf numFmtId="165" fontId="0" fillId="4" borderId="0" xfId="2" applyNumberFormat="1" applyFont="1" applyFill="1"/>
    <xf numFmtId="166" fontId="2" fillId="0" borderId="1" xfId="1" applyNumberFormat="1" applyFont="1" applyBorder="1" applyAlignment="1">
      <alignment horizontal="center" vertical="center"/>
    </xf>
    <xf numFmtId="169" fontId="0" fillId="0" borderId="0" xfId="0" applyNumberFormat="1"/>
    <xf numFmtId="0" fontId="0" fillId="0" borderId="0" xfId="0" applyAlignment="1">
      <alignment horizontal="right"/>
    </xf>
    <xf numFmtId="167" fontId="0" fillId="0" borderId="0" xfId="1" applyNumberFormat="1" applyFont="1" applyFill="1" applyAlignment="1">
      <alignment horizontal="center"/>
    </xf>
    <xf numFmtId="165" fontId="0" fillId="0" borderId="0" xfId="2" applyNumberFormat="1" applyFont="1" applyFill="1"/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left" indent="1"/>
    </xf>
    <xf numFmtId="0" fontId="0" fillId="4" borderId="0" xfId="0" applyFill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indent="2"/>
    </xf>
    <xf numFmtId="165" fontId="2" fillId="0" borderId="0" xfId="2" applyNumberFormat="1" applyFont="1" applyFill="1" applyAlignment="1">
      <alignment horizontal="center"/>
    </xf>
    <xf numFmtId="165" fontId="2" fillId="0" borderId="0" xfId="2" applyNumberFormat="1" applyFont="1" applyAlignment="1">
      <alignment horizontal="center" vertical="center"/>
    </xf>
    <xf numFmtId="164" fontId="2" fillId="0" borderId="0" xfId="1" applyFont="1" applyAlignment="1">
      <alignment horizontal="center" vertical="center"/>
    </xf>
    <xf numFmtId="164" fontId="0" fillId="0" borderId="0" xfId="1" applyFont="1"/>
    <xf numFmtId="3" fontId="0" fillId="0" borderId="0" xfId="0" applyNumberFormat="1" applyAlignment="1">
      <alignment horizontal="center" vertical="center"/>
    </xf>
    <xf numFmtId="166" fontId="2" fillId="0" borderId="0" xfId="1" applyNumberFormat="1" applyFont="1" applyBorder="1" applyAlignment="1">
      <alignment horizontal="center" vertical="center"/>
    </xf>
    <xf numFmtId="2" fontId="0" fillId="0" borderId="0" xfId="2" applyNumberFormat="1" applyFont="1" applyFill="1" applyAlignment="1">
      <alignment horizontal="center" vertical="center"/>
    </xf>
    <xf numFmtId="2" fontId="0" fillId="0" borderId="0" xfId="2" applyNumberFormat="1" applyFont="1" applyFill="1" applyAlignment="1">
      <alignment horizont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left" vertical="center"/>
    </xf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vertical="center"/>
    </xf>
    <xf numFmtId="0" fontId="0" fillId="0" borderId="0" xfId="0" applyAlignment="1">
      <alignment horizontal="center"/>
    </xf>
    <xf numFmtId="0" fontId="4" fillId="3" borderId="2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154A3-6DE4-42C5-9AA4-C8EB1FF2B756}">
  <sheetPr codeName="Sheet1"/>
  <dimension ref="A1:CR142"/>
  <sheetViews>
    <sheetView tabSelected="1" zoomScale="50" zoomScaleNormal="50"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5" x14ac:dyDescent="0.35"/>
  <cols>
    <col min="2" max="2" width="24.453125" customWidth="1"/>
    <col min="3" max="3" width="18.1796875" customWidth="1"/>
    <col min="4" max="4" width="12.7265625" bestFit="1" customWidth="1"/>
    <col min="5" max="5" width="15.54296875" customWidth="1"/>
    <col min="6" max="6" width="13.54296875" bestFit="1" customWidth="1"/>
    <col min="7" max="25" width="10.54296875" customWidth="1"/>
    <col min="26" max="26" width="8.7265625" customWidth="1"/>
    <col min="27" max="27" width="13.453125" bestFit="1" customWidth="1"/>
    <col min="28" max="30" width="13.26953125" bestFit="1" customWidth="1"/>
    <col min="31" max="31" width="18.453125" bestFit="1" customWidth="1"/>
    <col min="32" max="32" width="18.453125" customWidth="1"/>
    <col min="35" max="35" width="13.453125" bestFit="1" customWidth="1"/>
    <col min="36" max="39" width="13.26953125" bestFit="1" customWidth="1"/>
  </cols>
  <sheetData>
    <row r="1" spans="1:96" x14ac:dyDescent="0.35">
      <c r="B1" t="s">
        <v>1</v>
      </c>
      <c r="C1" t="s">
        <v>103</v>
      </c>
      <c r="X1" s="28">
        <v>1E-3</v>
      </c>
      <c r="AA1" s="11"/>
      <c r="AB1" s="11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>
        <v>1E-3</v>
      </c>
      <c r="AR1" s="13"/>
      <c r="AS1" s="13"/>
      <c r="AT1" s="13"/>
      <c r="AU1" s="13"/>
      <c r="AV1" s="13"/>
      <c r="AW1" s="13"/>
      <c r="AX1" s="13"/>
      <c r="AY1" s="26"/>
      <c r="AZ1" s="25"/>
      <c r="BA1" s="26"/>
      <c r="BB1" s="26"/>
      <c r="BC1" s="26"/>
    </row>
    <row r="2" spans="1:96" x14ac:dyDescent="0.35">
      <c r="B2" s="3"/>
      <c r="C2" t="s">
        <v>15</v>
      </c>
      <c r="AA2" s="32"/>
      <c r="AB2" s="32"/>
      <c r="AC2" s="32"/>
      <c r="AD2" s="32"/>
      <c r="AE2" s="32"/>
      <c r="AF2" s="32"/>
      <c r="AG2" s="32"/>
      <c r="AH2" s="32"/>
      <c r="AI2" s="32">
        <f>VLOOKUP(AI3,$B$106:$D$139,3,0)</f>
        <v>5.3419198217821776E-2</v>
      </c>
      <c r="AJ2" s="32">
        <f t="shared" ref="AJ2:BL2" si="0">VLOOKUP(AJ3,$B$106:$D$139,3,0)</f>
        <v>5.8513950693069305E-2</v>
      </c>
      <c r="AK2" s="32">
        <f t="shared" si="0"/>
        <v>4.0033006466892895E-2</v>
      </c>
      <c r="AL2" s="32">
        <f t="shared" si="0"/>
        <v>3.6132997211883448E-2</v>
      </c>
      <c r="AM2" s="32">
        <f t="shared" si="0"/>
        <v>4.8503573588366572E-2</v>
      </c>
      <c r="AN2" s="32">
        <f t="shared" si="0"/>
        <v>5.210690546938327E-2</v>
      </c>
      <c r="AO2" s="32">
        <f t="shared" si="0"/>
        <v>3.1424638354805079E-2</v>
      </c>
      <c r="AP2" s="32">
        <f t="shared" si="0"/>
        <v>5.6507879861611585E-2</v>
      </c>
      <c r="AQ2" s="32">
        <f t="shared" si="0"/>
        <v>8.0459151700312037E-2</v>
      </c>
      <c r="AR2" s="32">
        <f t="shared" si="0"/>
        <v>8.4663191900712031E-2</v>
      </c>
      <c r="AS2" s="32">
        <f t="shared" si="0"/>
        <v>7.5980742343612045E-2</v>
      </c>
      <c r="AT2" s="32">
        <f t="shared" si="0"/>
        <v>6.4526988470068436E-2</v>
      </c>
      <c r="AU2" s="32">
        <f t="shared" si="0"/>
        <v>7.204147834361202E-2</v>
      </c>
      <c r="AV2" s="32">
        <f t="shared" si="0"/>
        <v>5.9859750096258185E-2</v>
      </c>
      <c r="AW2" s="32">
        <f t="shared" si="0"/>
        <v>6.7700299012581011E-2</v>
      </c>
      <c r="AX2" s="32">
        <f t="shared" si="0"/>
        <v>4.4174634970644E-2</v>
      </c>
      <c r="AY2" s="32">
        <f t="shared" si="0"/>
        <v>7.2358999999999993E-2</v>
      </c>
      <c r="AZ2" s="32">
        <f t="shared" si="0"/>
        <v>8.7358999999999992E-2</v>
      </c>
      <c r="BA2" s="32">
        <f t="shared" si="0"/>
        <v>5.1358999999999988E-2</v>
      </c>
      <c r="BB2" s="32">
        <f t="shared" si="0"/>
        <v>6.0358999999999989E-2</v>
      </c>
      <c r="BC2" s="32">
        <f t="shared" si="0"/>
        <v>5.6358999999999985E-2</v>
      </c>
      <c r="BD2" s="32">
        <f t="shared" si="0"/>
        <v>8.0358999999999986E-2</v>
      </c>
      <c r="BE2" s="32">
        <f t="shared" si="0"/>
        <v>6.5358999999999987E-2</v>
      </c>
      <c r="BF2" s="32">
        <f t="shared" si="0"/>
        <v>6.3477550798181959E-2</v>
      </c>
      <c r="BG2" s="32">
        <f t="shared" si="0"/>
        <v>4.9918828638347103E-2</v>
      </c>
      <c r="BH2" s="32">
        <f t="shared" si="0"/>
        <v>5.6516957742193619E-2</v>
      </c>
      <c r="BI2" s="32">
        <f t="shared" si="0"/>
        <v>4.9202200135959738E-2</v>
      </c>
      <c r="BJ2" s="32">
        <f t="shared" si="0"/>
        <v>5.3865790409495407E-2</v>
      </c>
      <c r="BK2" s="32">
        <f t="shared" si="0"/>
        <v>5.9613780245003523E-2</v>
      </c>
      <c r="BL2" s="32">
        <f t="shared" si="0"/>
        <v>6.4835425181774431E-2</v>
      </c>
    </row>
    <row r="3" spans="1:96" x14ac:dyDescent="0.35">
      <c r="A3" t="s">
        <v>2</v>
      </c>
      <c r="B3" t="s">
        <v>3</v>
      </c>
      <c r="C3" s="12" t="s">
        <v>18</v>
      </c>
      <c r="D3" s="12" t="s">
        <v>5</v>
      </c>
      <c r="E3" s="12" t="s">
        <v>32</v>
      </c>
      <c r="F3" s="12" t="s">
        <v>9</v>
      </c>
      <c r="G3" s="12" t="s">
        <v>10</v>
      </c>
      <c r="H3" s="12" t="s">
        <v>53</v>
      </c>
      <c r="I3" s="12" t="s">
        <v>19</v>
      </c>
      <c r="J3" s="12" t="s">
        <v>30</v>
      </c>
      <c r="K3" s="17" t="s">
        <v>54</v>
      </c>
      <c r="L3" s="12" t="s">
        <v>55</v>
      </c>
      <c r="M3" s="12" t="s">
        <v>56</v>
      </c>
      <c r="N3" s="12" t="s">
        <v>57</v>
      </c>
      <c r="O3" s="12" t="s">
        <v>58</v>
      </c>
      <c r="P3" s="12" t="s">
        <v>59</v>
      </c>
      <c r="Q3" s="12" t="s">
        <v>60</v>
      </c>
      <c r="R3" s="12" t="s">
        <v>20</v>
      </c>
      <c r="S3" s="12" t="s">
        <v>11</v>
      </c>
      <c r="T3" s="12" t="s">
        <v>13</v>
      </c>
      <c r="U3" s="12" t="s">
        <v>12</v>
      </c>
      <c r="V3" s="12" t="s">
        <v>25</v>
      </c>
      <c r="W3" s="12" t="s">
        <v>34</v>
      </c>
      <c r="X3" s="12" t="s">
        <v>26</v>
      </c>
      <c r="Y3" s="12" t="s">
        <v>35</v>
      </c>
      <c r="Z3" s="12" t="s">
        <v>31</v>
      </c>
      <c r="AA3" s="12" t="s">
        <v>14</v>
      </c>
      <c r="AB3" s="12" t="s">
        <v>36</v>
      </c>
      <c r="AC3" s="12" t="s">
        <v>28</v>
      </c>
      <c r="AD3" s="12" t="s">
        <v>23</v>
      </c>
      <c r="AE3" s="12" t="s">
        <v>7</v>
      </c>
      <c r="AF3" s="12" t="s">
        <v>8</v>
      </c>
      <c r="AG3" s="4"/>
      <c r="AH3" s="4"/>
      <c r="AI3" s="12" t="str">
        <f>C3</f>
        <v>U.S.</v>
      </c>
      <c r="AJ3" s="12" t="str">
        <f t="shared" ref="AJ3:BL3" si="1">D3</f>
        <v>Canada</v>
      </c>
      <c r="AK3" s="12" t="str">
        <f t="shared" si="1"/>
        <v>Germany</v>
      </c>
      <c r="AL3" s="12" t="str">
        <f t="shared" si="1"/>
        <v>France</v>
      </c>
      <c r="AM3" s="12" t="str">
        <f t="shared" si="1"/>
        <v>Italy</v>
      </c>
      <c r="AN3" s="12" t="str">
        <f t="shared" si="1"/>
        <v>UK</v>
      </c>
      <c r="AO3" s="12" t="str">
        <f t="shared" si="1"/>
        <v>Russia</v>
      </c>
      <c r="AP3" s="12" t="str">
        <f t="shared" si="1"/>
        <v>Spain</v>
      </c>
      <c r="AQ3" s="12" t="str">
        <f t="shared" si="1"/>
        <v>Poland</v>
      </c>
      <c r="AR3" s="12" t="str">
        <f t="shared" si="1"/>
        <v>Romania</v>
      </c>
      <c r="AS3" s="12" t="str">
        <f t="shared" si="1"/>
        <v>Croatia</v>
      </c>
      <c r="AT3" s="12" t="str">
        <f t="shared" si="1"/>
        <v>Sweden</v>
      </c>
      <c r="AU3" s="12" t="str">
        <f t="shared" si="1"/>
        <v>Denmark</v>
      </c>
      <c r="AV3" s="12" t="str">
        <f t="shared" si="1"/>
        <v>Finland</v>
      </c>
      <c r="AW3" s="12" t="str">
        <f t="shared" si="1"/>
        <v>Norway</v>
      </c>
      <c r="AX3" s="12" t="str">
        <f t="shared" si="1"/>
        <v>Rest of Europe</v>
      </c>
      <c r="AY3" s="12" t="str">
        <f t="shared" si="1"/>
        <v>China</v>
      </c>
      <c r="AZ3" s="12" t="str">
        <f t="shared" si="1"/>
        <v>India</v>
      </c>
      <c r="BA3" s="12" t="str">
        <f t="shared" si="1"/>
        <v>Japan</v>
      </c>
      <c r="BB3" s="12" t="str">
        <f t="shared" si="1"/>
        <v>South Korea</v>
      </c>
      <c r="BC3" s="12" t="str">
        <f t="shared" si="1"/>
        <v>Australia</v>
      </c>
      <c r="BD3" s="12" t="str">
        <f t="shared" si="1"/>
        <v>ASEAN</v>
      </c>
      <c r="BE3" s="12" t="str">
        <f t="shared" si="1"/>
        <v>Rest of Asia Pacific</v>
      </c>
      <c r="BF3" s="12" t="str">
        <f t="shared" si="1"/>
        <v>GCC</v>
      </c>
      <c r="BG3" s="12" t="str">
        <f t="shared" si="1"/>
        <v>South Africa</v>
      </c>
      <c r="BH3" s="12" t="str">
        <f t="shared" si="1"/>
        <v>Rest of Middle East &amp; Africa</v>
      </c>
      <c r="BI3" s="12" t="str">
        <f t="shared" si="1"/>
        <v>Brazil</v>
      </c>
      <c r="BJ3" s="12" t="str">
        <f t="shared" si="1"/>
        <v>Argentina</v>
      </c>
      <c r="BK3" s="12" t="str">
        <f t="shared" si="1"/>
        <v>Mexico</v>
      </c>
      <c r="BL3" s="12" t="str">
        <f t="shared" si="1"/>
        <v>Rest of Latin America</v>
      </c>
      <c r="BM3" s="12"/>
      <c r="BN3" s="12"/>
      <c r="BO3" s="12" t="str">
        <f>AI3</f>
        <v>U.S.</v>
      </c>
      <c r="BP3" s="12" t="str">
        <f t="shared" ref="BP3" si="2">AJ3</f>
        <v>Canada</v>
      </c>
      <c r="BQ3" s="12" t="str">
        <f t="shared" ref="BQ3" si="3">AK3</f>
        <v>Germany</v>
      </c>
      <c r="BR3" s="12" t="str">
        <f t="shared" ref="BR3" si="4">AL3</f>
        <v>France</v>
      </c>
      <c r="BS3" s="12" t="str">
        <f t="shared" ref="BS3" si="5">AM3</f>
        <v>Italy</v>
      </c>
      <c r="BT3" s="12" t="str">
        <f t="shared" ref="BT3" si="6">AN3</f>
        <v>UK</v>
      </c>
      <c r="BU3" s="12" t="str">
        <f t="shared" ref="BU3" si="7">AO3</f>
        <v>Russia</v>
      </c>
      <c r="BV3" s="12" t="str">
        <f t="shared" ref="BV3" si="8">AP3</f>
        <v>Spain</v>
      </c>
      <c r="BW3" s="12" t="str">
        <f t="shared" ref="BW3" si="9">AQ3</f>
        <v>Poland</v>
      </c>
      <c r="BX3" s="12" t="str">
        <f t="shared" ref="BX3" si="10">AR3</f>
        <v>Romania</v>
      </c>
      <c r="BY3" s="12" t="str">
        <f t="shared" ref="BY3" si="11">AS3</f>
        <v>Croatia</v>
      </c>
      <c r="BZ3" s="12" t="str">
        <f t="shared" ref="BZ3" si="12">AT3</f>
        <v>Sweden</v>
      </c>
      <c r="CA3" s="12" t="str">
        <f t="shared" ref="CA3" si="13">AU3</f>
        <v>Denmark</v>
      </c>
      <c r="CB3" s="12" t="str">
        <f t="shared" ref="CB3" si="14">AV3</f>
        <v>Finland</v>
      </c>
      <c r="CC3" s="12" t="str">
        <f t="shared" ref="CC3" si="15">AW3</f>
        <v>Norway</v>
      </c>
      <c r="CD3" s="12" t="str">
        <f t="shared" ref="CD3" si="16">AX3</f>
        <v>Rest of Europe</v>
      </c>
      <c r="CE3" s="12" t="str">
        <f t="shared" ref="CE3" si="17">AY3</f>
        <v>China</v>
      </c>
      <c r="CF3" s="12" t="str">
        <f t="shared" ref="CF3" si="18">AZ3</f>
        <v>India</v>
      </c>
      <c r="CG3" s="12" t="str">
        <f t="shared" ref="CG3" si="19">BA3</f>
        <v>Japan</v>
      </c>
      <c r="CH3" s="12" t="str">
        <f t="shared" ref="CH3" si="20">BB3</f>
        <v>South Korea</v>
      </c>
      <c r="CI3" s="12" t="str">
        <f t="shared" ref="CI3" si="21">BC3</f>
        <v>Australia</v>
      </c>
      <c r="CJ3" s="12" t="str">
        <f t="shared" ref="CJ3" si="22">BD3</f>
        <v>ASEAN</v>
      </c>
      <c r="CK3" s="12" t="str">
        <f t="shared" ref="CK3" si="23">BE3</f>
        <v>Rest of Asia Pacific</v>
      </c>
      <c r="CL3" s="12" t="str">
        <f t="shared" ref="CL3" si="24">BF3</f>
        <v>GCC</v>
      </c>
      <c r="CM3" s="12" t="str">
        <f t="shared" ref="CM3" si="25">BG3</f>
        <v>South Africa</v>
      </c>
      <c r="CN3" s="12" t="str">
        <f t="shared" ref="CN3" si="26">BH3</f>
        <v>Rest of Middle East &amp; Africa</v>
      </c>
      <c r="CO3" s="12" t="str">
        <f t="shared" ref="CO3" si="27">BI3</f>
        <v>Brazil</v>
      </c>
      <c r="CP3" s="12" t="str">
        <f t="shared" ref="CP3" si="28">BJ3</f>
        <v>Argentina</v>
      </c>
      <c r="CQ3" s="12" t="str">
        <f t="shared" ref="CQ3" si="29">BK3</f>
        <v>Mexico</v>
      </c>
      <c r="CR3" s="12" t="str">
        <f t="shared" ref="CR3" si="30">BL3</f>
        <v>Rest of Latin America</v>
      </c>
    </row>
    <row r="4" spans="1:96" x14ac:dyDescent="0.35">
      <c r="B4" s="5" t="s">
        <v>61</v>
      </c>
      <c r="C4" s="35"/>
      <c r="E4" s="1"/>
      <c r="F4" s="1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1"/>
      <c r="AA4" s="2"/>
      <c r="AC4" s="2"/>
      <c r="AD4" s="2"/>
      <c r="AE4" s="2"/>
      <c r="AF4" s="2"/>
      <c r="AG4" s="2"/>
      <c r="AH4" s="5" t="s">
        <v>61</v>
      </c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N4" s="5" t="s">
        <v>61</v>
      </c>
    </row>
    <row r="5" spans="1:96" ht="14.25" customHeight="1" x14ac:dyDescent="0.35">
      <c r="A5" s="37"/>
      <c r="B5" t="s">
        <v>62</v>
      </c>
      <c r="C5" s="2">
        <v>0.57519999999999993</v>
      </c>
      <c r="D5" s="2">
        <v>0.59939999999999993</v>
      </c>
      <c r="E5" s="2">
        <v>0.58929999999999993</v>
      </c>
      <c r="F5" s="2">
        <v>0.5756</v>
      </c>
      <c r="G5" s="2">
        <v>0.59249999999999992</v>
      </c>
      <c r="H5" s="2">
        <v>0.58989999999999998</v>
      </c>
      <c r="I5" s="2">
        <v>0.57879999999999998</v>
      </c>
      <c r="J5" s="2">
        <v>0.59870000000000001</v>
      </c>
      <c r="K5" s="2">
        <v>0.57879999999999998</v>
      </c>
      <c r="L5" s="2">
        <v>0.59279999999999999</v>
      </c>
      <c r="M5" s="2">
        <v>0.57969999999999999</v>
      </c>
      <c r="N5" s="2">
        <v>0.59349999999999992</v>
      </c>
      <c r="O5" s="2">
        <v>0.58189999999999997</v>
      </c>
      <c r="P5" s="2">
        <v>0.59039999999999992</v>
      </c>
      <c r="Q5" s="2">
        <v>0.59949999999999992</v>
      </c>
      <c r="R5" s="2">
        <v>0.59179999999999999</v>
      </c>
      <c r="S5" s="2">
        <v>0.58160000000000001</v>
      </c>
      <c r="T5" s="2">
        <v>0.56969999999999998</v>
      </c>
      <c r="U5" s="2">
        <v>0.5917</v>
      </c>
      <c r="V5" s="2">
        <v>0.57129999999999992</v>
      </c>
      <c r="W5" s="2">
        <v>0.59409999999999996</v>
      </c>
      <c r="X5" s="2">
        <v>0.57199999999999995</v>
      </c>
      <c r="Y5" s="2">
        <v>0.59239999999999993</v>
      </c>
      <c r="Z5" s="2">
        <v>0.58489999999999998</v>
      </c>
      <c r="AA5" s="2">
        <v>0.58299999999999996</v>
      </c>
      <c r="AB5" s="2">
        <v>0.59709999999999996</v>
      </c>
      <c r="AC5" s="2">
        <v>0.59109999999999996</v>
      </c>
      <c r="AD5" s="2">
        <v>0.57469999999999999</v>
      </c>
      <c r="AE5" s="2">
        <v>0.57329999999999992</v>
      </c>
      <c r="AF5" s="2">
        <v>0.57929999999999993</v>
      </c>
      <c r="AG5" s="1"/>
      <c r="AH5" t="s">
        <v>62</v>
      </c>
      <c r="AI5" s="2">
        <f>SUMPRODUCT(AI6:AI12,C6:C12)</f>
        <v>5.8850572713406754E-2</v>
      </c>
      <c r="AJ5" s="2">
        <f t="shared" ref="AJ5:BL5" si="31">SUMPRODUCT(AJ6:AJ12,D6:D12)</f>
        <v>6.3609461825700764E-2</v>
      </c>
      <c r="AK5" s="2">
        <f t="shared" si="31"/>
        <v>4.5693060035506314E-2</v>
      </c>
      <c r="AL5" s="2">
        <f t="shared" si="31"/>
        <v>4.1683795936963586E-2</v>
      </c>
      <c r="AM5" s="2">
        <f t="shared" si="31"/>
        <v>5.3731606735122568E-2</v>
      </c>
      <c r="AN5" s="2">
        <f t="shared" si="31"/>
        <v>5.776382055644734E-2</v>
      </c>
      <c r="AO5" s="2">
        <f t="shared" si="31"/>
        <v>3.7080935451789303E-2</v>
      </c>
      <c r="AP5" s="2">
        <f t="shared" si="31"/>
        <v>6.1955378396194624E-2</v>
      </c>
      <c r="AQ5" s="2">
        <f t="shared" si="31"/>
        <v>8.5844709141415565E-2</v>
      </c>
      <c r="AR5" s="2">
        <f t="shared" si="31"/>
        <v>9.0262047180003441E-2</v>
      </c>
      <c r="AS5" s="2">
        <f t="shared" si="31"/>
        <v>8.1691440950558705E-2</v>
      </c>
      <c r="AT5" s="2">
        <f t="shared" si="31"/>
        <v>6.9754217505134497E-2</v>
      </c>
      <c r="AU5" s="2">
        <f t="shared" si="31"/>
        <v>7.7573494450150188E-2</v>
      </c>
      <c r="AV5" s="2">
        <f t="shared" si="31"/>
        <v>6.5434135132034374E-2</v>
      </c>
      <c r="AW5" s="2">
        <f t="shared" si="31"/>
        <v>7.322537351243151E-2</v>
      </c>
      <c r="AX5" s="2">
        <f t="shared" si="31"/>
        <v>4.9633959081486705E-2</v>
      </c>
      <c r="AY5" s="2">
        <f t="shared" si="31"/>
        <v>7.7841892803634738E-2</v>
      </c>
      <c r="AZ5" s="2">
        <f t="shared" si="31"/>
        <v>9.3181710781833585E-2</v>
      </c>
      <c r="BA5" s="2">
        <f t="shared" si="31"/>
        <v>5.6915760381921782E-2</v>
      </c>
      <c r="BB5" s="2">
        <f t="shared" si="31"/>
        <v>6.596463257399271E-2</v>
      </c>
      <c r="BC5" s="2">
        <f t="shared" si="31"/>
        <v>6.163123119960634E-2</v>
      </c>
      <c r="BD5" s="2">
        <f t="shared" si="31"/>
        <v>8.604020258706116E-2</v>
      </c>
      <c r="BE5" s="2">
        <f t="shared" si="31"/>
        <v>7.0734407507711594E-2</v>
      </c>
      <c r="BF5" s="2">
        <f t="shared" si="31"/>
        <v>6.8975709339239341E-2</v>
      </c>
      <c r="BG5" s="2">
        <f t="shared" si="31"/>
        <v>5.5570459788940277E-2</v>
      </c>
      <c r="BH5" s="2">
        <f t="shared" si="31"/>
        <v>6.2081660527015858E-2</v>
      </c>
      <c r="BI5" s="2">
        <f t="shared" si="31"/>
        <v>5.4590922838174114E-2</v>
      </c>
      <c r="BJ5" s="2">
        <f t="shared" si="31"/>
        <v>5.9358500944386647E-2</v>
      </c>
      <c r="BK5" s="2">
        <f t="shared" si="31"/>
        <v>6.5153740324422477E-2</v>
      </c>
      <c r="BL5" s="2">
        <f t="shared" si="31"/>
        <v>7.0209795362806304E-2</v>
      </c>
      <c r="BN5" t="s">
        <v>62</v>
      </c>
      <c r="BO5" t="s">
        <v>29</v>
      </c>
      <c r="BP5" t="s">
        <v>29</v>
      </c>
      <c r="BQ5" t="s">
        <v>29</v>
      </c>
      <c r="BR5" t="s">
        <v>33</v>
      </c>
      <c r="BS5" t="s">
        <v>40</v>
      </c>
      <c r="BT5" t="s">
        <v>41</v>
      </c>
      <c r="BU5" t="s">
        <v>40</v>
      </c>
      <c r="BV5" t="s">
        <v>39</v>
      </c>
      <c r="BW5" t="s">
        <v>33</v>
      </c>
      <c r="BX5" t="s">
        <v>41</v>
      </c>
      <c r="BY5" t="s">
        <v>40</v>
      </c>
      <c r="BZ5" t="s">
        <v>39</v>
      </c>
      <c r="CA5" t="s">
        <v>40</v>
      </c>
      <c r="CB5" t="s">
        <v>41</v>
      </c>
      <c r="CC5" t="s">
        <v>24</v>
      </c>
      <c r="CD5" t="s">
        <v>41</v>
      </c>
      <c r="CE5" t="s">
        <v>41</v>
      </c>
      <c r="CF5" t="s">
        <v>33</v>
      </c>
      <c r="CG5" t="s">
        <v>93</v>
      </c>
      <c r="CH5" t="s">
        <v>40</v>
      </c>
      <c r="CI5" t="s">
        <v>41</v>
      </c>
      <c r="CJ5" t="s">
        <v>41</v>
      </c>
      <c r="CK5" t="s">
        <v>33</v>
      </c>
      <c r="CL5" t="s">
        <v>93</v>
      </c>
      <c r="CM5" t="s">
        <v>39</v>
      </c>
      <c r="CN5" t="s">
        <v>29</v>
      </c>
      <c r="CO5" t="s">
        <v>33</v>
      </c>
      <c r="CP5" t="s">
        <v>40</v>
      </c>
      <c r="CQ5" t="s">
        <v>33</v>
      </c>
      <c r="CR5" t="s">
        <v>40</v>
      </c>
    </row>
    <row r="6" spans="1:96" ht="14.25" customHeight="1" x14ac:dyDescent="0.35">
      <c r="A6" s="30"/>
      <c r="B6" s="39" t="s">
        <v>49</v>
      </c>
      <c r="C6" s="2">
        <v>0.21050000000000002</v>
      </c>
      <c r="D6" s="2">
        <v>0.19440000000000002</v>
      </c>
      <c r="E6" s="2">
        <v>0.2109</v>
      </c>
      <c r="F6" s="2">
        <v>0.20780000000000001</v>
      </c>
      <c r="G6" s="2">
        <v>0.19970000000000002</v>
      </c>
      <c r="H6" s="2">
        <v>0.19320000000000001</v>
      </c>
      <c r="I6" s="2">
        <v>0.20020000000000002</v>
      </c>
      <c r="J6" s="2">
        <v>0.19600000000000001</v>
      </c>
      <c r="K6" s="2">
        <v>0.19700000000000001</v>
      </c>
      <c r="L6" s="2">
        <v>0.193</v>
      </c>
      <c r="M6" s="2">
        <v>0.20700000000000002</v>
      </c>
      <c r="N6" s="2">
        <v>0.21330000000000002</v>
      </c>
      <c r="O6" s="2">
        <v>0.21330000000000002</v>
      </c>
      <c r="P6" s="2">
        <v>0.20570000000000002</v>
      </c>
      <c r="Q6" s="2">
        <v>0.1895</v>
      </c>
      <c r="R6" s="2">
        <v>0.20600000000000002</v>
      </c>
      <c r="S6" s="2">
        <v>0.21160000000000001</v>
      </c>
      <c r="T6" s="2">
        <v>0.21740000000000001</v>
      </c>
      <c r="U6" s="2">
        <v>0.19740000000000002</v>
      </c>
      <c r="V6" s="2">
        <v>0.19820000000000002</v>
      </c>
      <c r="W6" s="2">
        <v>0.22050000000000003</v>
      </c>
      <c r="X6" s="2">
        <v>0.18960000000000002</v>
      </c>
      <c r="Y6" s="2">
        <v>0.21280000000000002</v>
      </c>
      <c r="Z6" s="2">
        <v>0.2016</v>
      </c>
      <c r="AA6" s="2">
        <v>0.20250000000000001</v>
      </c>
      <c r="AB6" s="2">
        <v>0.20120000000000002</v>
      </c>
      <c r="AC6" s="2">
        <v>0.19540000000000002</v>
      </c>
      <c r="AD6" s="2">
        <v>0.21240000000000001</v>
      </c>
      <c r="AE6" s="2">
        <v>0.2094</v>
      </c>
      <c r="AF6" s="2">
        <v>0.2102</v>
      </c>
      <c r="AG6" s="1"/>
      <c r="AH6" s="39" t="s">
        <v>49</v>
      </c>
      <c r="AI6" s="14">
        <v>5.0068103126838924E-2</v>
      </c>
      <c r="AJ6" s="14">
        <v>5.4893015460594878E-2</v>
      </c>
      <c r="AK6" s="14">
        <v>3.5914832605603693E-2</v>
      </c>
      <c r="AL6" s="14">
        <v>3.2607880266283126E-2</v>
      </c>
      <c r="AM6" s="14">
        <v>4.4905329459675854E-2</v>
      </c>
      <c r="AN6" s="14">
        <v>4.7973082992284713E-2</v>
      </c>
      <c r="AO6" s="14">
        <v>2.7655181917406998E-2</v>
      </c>
      <c r="AP6" s="14">
        <v>5.2384001522360384E-2</v>
      </c>
      <c r="AQ6" s="14">
        <v>7.7061737316151735E-2</v>
      </c>
      <c r="AR6" s="14">
        <v>8.051565450354059E-2</v>
      </c>
      <c r="AS6" s="14">
        <v>7.2107496564711923E-2</v>
      </c>
      <c r="AT6" s="14">
        <v>6.0898357406798324E-2</v>
      </c>
      <c r="AU6" s="14">
        <v>6.834542346429795E-2</v>
      </c>
      <c r="AV6" s="14">
        <v>5.5828048584830418E-2</v>
      </c>
      <c r="AW6" s="14">
        <v>6.3433183484285782E-2</v>
      </c>
      <c r="AX6" s="14">
        <v>4.026307060160448E-2</v>
      </c>
      <c r="AY6" s="14">
        <v>6.8740716415714803E-2</v>
      </c>
      <c r="AZ6" s="14">
        <v>8.365321558994912E-2</v>
      </c>
      <c r="BA6" s="14">
        <v>4.7309508549016797E-2</v>
      </c>
      <c r="BB6" s="14">
        <v>5.6891997919694903E-2</v>
      </c>
      <c r="BC6" s="14">
        <v>5.2645492727900603E-2</v>
      </c>
      <c r="BD6" s="14">
        <v>7.6769616685871317E-2</v>
      </c>
      <c r="BE6" s="14">
        <v>6.1549711664953384E-2</v>
      </c>
      <c r="BF6" s="14">
        <v>5.973357811914496E-2</v>
      </c>
      <c r="BG6" s="14">
        <v>4.6020639404406039E-2</v>
      </c>
      <c r="BH6" s="14">
        <v>5.2273289748563649E-2</v>
      </c>
      <c r="BI6" s="14">
        <v>4.5415591479611502E-2</v>
      </c>
      <c r="BJ6" s="14">
        <v>5.0446844481370517E-2</v>
      </c>
      <c r="BK6" s="14">
        <v>5.6173725125074458E-2</v>
      </c>
      <c r="BL6" s="14">
        <v>6.1438219183369676E-2</v>
      </c>
      <c r="BN6" s="39" t="s">
        <v>49</v>
      </c>
      <c r="BO6" t="s">
        <v>40</v>
      </c>
      <c r="BP6" t="s">
        <v>29</v>
      </c>
      <c r="BQ6" t="s">
        <v>40</v>
      </c>
      <c r="BR6" t="s">
        <v>39</v>
      </c>
      <c r="BS6" t="s">
        <v>29</v>
      </c>
      <c r="BT6" t="s">
        <v>40</v>
      </c>
      <c r="BU6" t="s">
        <v>33</v>
      </c>
      <c r="BV6" t="s">
        <v>29</v>
      </c>
      <c r="BW6" t="s">
        <v>40</v>
      </c>
      <c r="BX6" t="s">
        <v>93</v>
      </c>
      <c r="BY6" t="s">
        <v>41</v>
      </c>
      <c r="BZ6" t="s">
        <v>24</v>
      </c>
      <c r="CA6" t="s">
        <v>40</v>
      </c>
      <c r="CB6" t="s">
        <v>41</v>
      </c>
      <c r="CC6" t="s">
        <v>93</v>
      </c>
      <c r="CD6" t="s">
        <v>29</v>
      </c>
      <c r="CE6" t="s">
        <v>41</v>
      </c>
      <c r="CF6" t="s">
        <v>40</v>
      </c>
      <c r="CG6" t="s">
        <v>29</v>
      </c>
      <c r="CH6" t="s">
        <v>39</v>
      </c>
      <c r="CI6" t="s">
        <v>24</v>
      </c>
      <c r="CJ6" t="s">
        <v>33</v>
      </c>
      <c r="CK6" t="s">
        <v>41</v>
      </c>
      <c r="CL6" t="s">
        <v>39</v>
      </c>
      <c r="CM6" t="s">
        <v>24</v>
      </c>
      <c r="CN6" t="s">
        <v>93</v>
      </c>
      <c r="CO6" t="s">
        <v>39</v>
      </c>
      <c r="CP6" t="s">
        <v>39</v>
      </c>
      <c r="CQ6" t="s">
        <v>24</v>
      </c>
      <c r="CR6" t="s">
        <v>39</v>
      </c>
    </row>
    <row r="7" spans="1:96" ht="14.25" customHeight="1" x14ac:dyDescent="0.35">
      <c r="A7" s="37"/>
      <c r="B7" s="39" t="s">
        <v>50</v>
      </c>
      <c r="C7" s="2">
        <v>5.5599999999999997E-2</v>
      </c>
      <c r="D7" s="2">
        <v>5.8900000000000008E-2</v>
      </c>
      <c r="E7" s="2">
        <v>7.6300000000000007E-2</v>
      </c>
      <c r="F7" s="2">
        <v>7.0800000000000002E-2</v>
      </c>
      <c r="G7" s="2">
        <v>7.4900000000000008E-2</v>
      </c>
      <c r="H7" s="2">
        <v>7.5700000000000003E-2</v>
      </c>
      <c r="I7" s="2">
        <v>7.1800000000000003E-2</v>
      </c>
      <c r="J7" s="2">
        <v>6.9800000000000001E-2</v>
      </c>
      <c r="K7" s="2">
        <v>5.8400000000000007E-2</v>
      </c>
      <c r="L7" s="2">
        <v>7.6800000000000007E-2</v>
      </c>
      <c r="M7" s="2">
        <v>7.7899999999999997E-2</v>
      </c>
      <c r="N7" s="2">
        <v>5.6900000000000006E-2</v>
      </c>
      <c r="O7" s="2">
        <v>6.2100000000000002E-2</v>
      </c>
      <c r="P7" s="2">
        <v>6.2600000000000003E-2</v>
      </c>
      <c r="Q7" s="2">
        <v>7.7100000000000002E-2</v>
      </c>
      <c r="R7" s="2">
        <v>6.2899999999999998E-2</v>
      </c>
      <c r="S7" s="2">
        <v>5.850000000000001E-2</v>
      </c>
      <c r="T7" s="2">
        <v>7.1400000000000005E-2</v>
      </c>
      <c r="U7" s="2">
        <v>7.0800000000000002E-2</v>
      </c>
      <c r="V7" s="2">
        <v>6.83E-2</v>
      </c>
      <c r="W7" s="2">
        <v>6.1600000000000009E-2</v>
      </c>
      <c r="X7" s="2">
        <v>5.970000000000001E-2</v>
      </c>
      <c r="Y7" s="2">
        <v>6.1600000000000009E-2</v>
      </c>
      <c r="Z7" s="2">
        <v>7.6700000000000004E-2</v>
      </c>
      <c r="AA7" s="2">
        <v>6.1800000000000008E-2</v>
      </c>
      <c r="AB7" s="2">
        <v>6.6500000000000004E-2</v>
      </c>
      <c r="AC7" s="2">
        <v>5.7700000000000008E-2</v>
      </c>
      <c r="AD7" s="2">
        <v>5.5600000000000004E-2</v>
      </c>
      <c r="AE7" s="2">
        <v>5.6899999999999999E-2</v>
      </c>
      <c r="AF7" s="2">
        <v>6.0600000000000001E-2</v>
      </c>
      <c r="AG7" s="1"/>
      <c r="AH7" s="39" t="s">
        <v>50</v>
      </c>
      <c r="AI7" s="2">
        <v>7.1970897319527063E-2</v>
      </c>
      <c r="AJ7" s="2">
        <v>7.6795809653283018E-2</v>
      </c>
      <c r="AK7" s="2">
        <v>5.7817626798291832E-2</v>
      </c>
      <c r="AL7" s="2">
        <v>5.4510674458971266E-2</v>
      </c>
      <c r="AM7" s="2">
        <v>6.6808123652363993E-2</v>
      </c>
      <c r="AN7" s="2">
        <v>6.9875877184972846E-2</v>
      </c>
      <c r="AO7" s="2">
        <v>4.9557976110095138E-2</v>
      </c>
      <c r="AP7" s="2">
        <v>7.4286795715048523E-2</v>
      </c>
      <c r="AQ7" s="2">
        <v>9.8964531508839867E-2</v>
      </c>
      <c r="AR7" s="2">
        <v>0.10241844869622874</v>
      </c>
      <c r="AS7" s="2">
        <v>9.4010290757400056E-2</v>
      </c>
      <c r="AT7" s="2">
        <v>8.2801151599486464E-2</v>
      </c>
      <c r="AU7" s="2">
        <v>9.0248217656986096E-2</v>
      </c>
      <c r="AV7" s="2">
        <v>7.7730842777518558E-2</v>
      </c>
      <c r="AW7" s="2">
        <v>8.5335977676973915E-2</v>
      </c>
      <c r="AX7" s="2">
        <v>6.2165864794292619E-2</v>
      </c>
      <c r="AY7" s="2">
        <v>9.064351060840295E-2</v>
      </c>
      <c r="AZ7" s="2">
        <v>0.10555600978263727</v>
      </c>
      <c r="BA7" s="2">
        <v>6.9212302741704937E-2</v>
      </c>
      <c r="BB7" s="2">
        <v>7.879479211238305E-2</v>
      </c>
      <c r="BC7" s="2">
        <v>7.4548286920588736E-2</v>
      </c>
      <c r="BD7" s="2">
        <v>9.8672410878559449E-2</v>
      </c>
      <c r="BE7" s="2">
        <v>8.3452505857641524E-2</v>
      </c>
      <c r="BF7" s="2">
        <v>8.16363723118331E-2</v>
      </c>
      <c r="BG7" s="2">
        <v>6.7923433597094185E-2</v>
      </c>
      <c r="BH7" s="2">
        <v>7.4176083941251789E-2</v>
      </c>
      <c r="BI7" s="2">
        <v>6.7318385672299641E-2</v>
      </c>
      <c r="BJ7" s="2">
        <v>7.2349638674058664E-2</v>
      </c>
      <c r="BK7" s="2">
        <v>7.8076519317762605E-2</v>
      </c>
      <c r="BL7" s="2">
        <v>8.3341013376057815E-2</v>
      </c>
      <c r="BN7" s="39" t="s">
        <v>50</v>
      </c>
      <c r="BO7" t="s">
        <v>33</v>
      </c>
      <c r="BP7" t="s">
        <v>24</v>
      </c>
      <c r="BQ7" t="s">
        <v>24</v>
      </c>
      <c r="BR7" t="s">
        <v>39</v>
      </c>
      <c r="BS7" t="s">
        <v>40</v>
      </c>
      <c r="BT7" t="s">
        <v>24</v>
      </c>
      <c r="BU7" t="s">
        <v>39</v>
      </c>
      <c r="BV7" t="s">
        <v>33</v>
      </c>
      <c r="BW7" t="s">
        <v>24</v>
      </c>
      <c r="BX7" t="s">
        <v>29</v>
      </c>
      <c r="BY7" t="s">
        <v>93</v>
      </c>
      <c r="BZ7" t="s">
        <v>39</v>
      </c>
      <c r="CA7" t="s">
        <v>40</v>
      </c>
      <c r="CB7" t="s">
        <v>41</v>
      </c>
      <c r="CC7" t="s">
        <v>33</v>
      </c>
      <c r="CD7" t="s">
        <v>40</v>
      </c>
      <c r="CE7" t="s">
        <v>24</v>
      </c>
      <c r="CF7" t="s">
        <v>33</v>
      </c>
      <c r="CG7" t="s">
        <v>93</v>
      </c>
      <c r="CH7" t="s">
        <v>93</v>
      </c>
      <c r="CI7" t="s">
        <v>24</v>
      </c>
      <c r="CJ7" t="s">
        <v>33</v>
      </c>
      <c r="CK7" t="s">
        <v>29</v>
      </c>
      <c r="CL7" t="s">
        <v>33</v>
      </c>
      <c r="CM7" t="s">
        <v>41</v>
      </c>
      <c r="CN7" t="s">
        <v>40</v>
      </c>
      <c r="CO7" t="s">
        <v>93</v>
      </c>
      <c r="CP7" t="s">
        <v>24</v>
      </c>
      <c r="CQ7" t="s">
        <v>93</v>
      </c>
      <c r="CR7" t="s">
        <v>41</v>
      </c>
    </row>
    <row r="8" spans="1:96" ht="14.25" customHeight="1" x14ac:dyDescent="0.35">
      <c r="A8" s="37"/>
      <c r="B8" s="39" t="s">
        <v>51</v>
      </c>
      <c r="C8" s="2">
        <v>5.4299999999999987E-2</v>
      </c>
      <c r="D8" s="2">
        <v>4.8899999999999999E-2</v>
      </c>
      <c r="E8" s="2">
        <v>5.7899999999999993E-2</v>
      </c>
      <c r="F8" s="2">
        <v>4.0500000000000008E-2</v>
      </c>
      <c r="G8" s="2">
        <v>4.5499999999999999E-2</v>
      </c>
      <c r="H8" s="2">
        <v>5.0900000000000001E-2</v>
      </c>
      <c r="I8" s="2">
        <v>4.19E-2</v>
      </c>
      <c r="J8" s="2">
        <v>4.4299999999999999E-2</v>
      </c>
      <c r="K8" s="2">
        <v>5.0099999999999999E-2</v>
      </c>
      <c r="L8" s="2">
        <v>5.7099999999999998E-2</v>
      </c>
      <c r="M8" s="2">
        <v>5.5199999999999999E-2</v>
      </c>
      <c r="N8" s="2">
        <v>5.9400000000000001E-2</v>
      </c>
      <c r="O8" s="2">
        <v>5.0200000000000002E-2</v>
      </c>
      <c r="P8" s="2">
        <v>5.9200000000000003E-2</v>
      </c>
      <c r="Q8" s="2">
        <v>5.6300000000000003E-2</v>
      </c>
      <c r="R8" s="2">
        <v>5.7300000000000004E-2</v>
      </c>
      <c r="S8" s="2">
        <v>4.1400000000000006E-2</v>
      </c>
      <c r="T8" s="2">
        <v>5.16E-2</v>
      </c>
      <c r="U8" s="2">
        <v>5.8900000000000001E-2</v>
      </c>
      <c r="V8" s="2">
        <v>4.5999999999999999E-2</v>
      </c>
      <c r="W8" s="2">
        <v>4.1300000000000003E-2</v>
      </c>
      <c r="X8" s="2">
        <v>5.8400000000000001E-2</v>
      </c>
      <c r="Y8" s="2">
        <v>4.8000000000000001E-2</v>
      </c>
      <c r="Z8" s="2">
        <v>3.9300000000000002E-2</v>
      </c>
      <c r="AA8" s="2">
        <v>5.8299999999999991E-2</v>
      </c>
      <c r="AB8" s="2">
        <v>5.4199999999999998E-2</v>
      </c>
      <c r="AC8" s="2">
        <v>5.7500000000000002E-2</v>
      </c>
      <c r="AD8" s="2">
        <v>4.5699999999999991E-2</v>
      </c>
      <c r="AE8" s="2">
        <v>5.3699999999999998E-2</v>
      </c>
      <c r="AF8" s="2">
        <v>4.9300000000000004E-2</v>
      </c>
      <c r="AG8" s="1"/>
      <c r="AH8" s="39" t="s">
        <v>51</v>
      </c>
      <c r="AI8" s="2">
        <v>8.0821139139878734E-2</v>
      </c>
      <c r="AJ8" s="2">
        <v>8.5646051473634688E-2</v>
      </c>
      <c r="AK8" s="2">
        <v>6.6667868618643503E-2</v>
      </c>
      <c r="AL8" s="2">
        <v>6.3360916279322943E-2</v>
      </c>
      <c r="AM8" s="2">
        <v>7.5658365472715663E-2</v>
      </c>
      <c r="AN8" s="2">
        <v>7.872611900532453E-2</v>
      </c>
      <c r="AO8" s="2">
        <v>5.8408217930446808E-2</v>
      </c>
      <c r="AP8" s="2">
        <v>8.3137037535400193E-2</v>
      </c>
      <c r="AQ8" s="2">
        <v>0.10781477332919154</v>
      </c>
      <c r="AR8" s="2">
        <v>0.11126869051658039</v>
      </c>
      <c r="AS8" s="2">
        <v>0.10286053257775174</v>
      </c>
      <c r="AT8" s="2">
        <v>9.1651393419838134E-2</v>
      </c>
      <c r="AU8" s="2">
        <v>9.9098459477337766E-2</v>
      </c>
      <c r="AV8" s="2">
        <v>8.6581084597870228E-2</v>
      </c>
      <c r="AW8" s="2">
        <v>9.4186219497325585E-2</v>
      </c>
      <c r="AX8" s="2">
        <v>7.1016106614644289E-2</v>
      </c>
      <c r="AY8" s="2">
        <v>9.949375242875462E-2</v>
      </c>
      <c r="AZ8" s="2">
        <v>0.11440625160298892</v>
      </c>
      <c r="BA8" s="2">
        <v>7.8062544562056607E-2</v>
      </c>
      <c r="BB8" s="2">
        <v>8.7645033932734706E-2</v>
      </c>
      <c r="BC8" s="2">
        <v>8.339852874094042E-2</v>
      </c>
      <c r="BD8" s="2">
        <v>0.10752265269891112</v>
      </c>
      <c r="BE8" s="2">
        <v>9.2302747677993194E-2</v>
      </c>
      <c r="BF8" s="2">
        <v>9.048661413218477E-2</v>
      </c>
      <c r="BG8" s="2">
        <v>7.6773675417445841E-2</v>
      </c>
      <c r="BH8" s="2">
        <v>8.3026325761603459E-2</v>
      </c>
      <c r="BI8" s="2">
        <v>7.6168627492651311E-2</v>
      </c>
      <c r="BJ8" s="2">
        <v>8.119988049441032E-2</v>
      </c>
      <c r="BK8" s="2">
        <v>8.6926761138114261E-2</v>
      </c>
      <c r="BL8" s="2">
        <v>9.2191255196409486E-2</v>
      </c>
      <c r="BN8" s="39" t="s">
        <v>51</v>
      </c>
      <c r="BO8" t="s">
        <v>39</v>
      </c>
      <c r="BP8" t="s">
        <v>33</v>
      </c>
      <c r="BQ8" t="s">
        <v>29</v>
      </c>
      <c r="BR8" t="s">
        <v>39</v>
      </c>
      <c r="BS8" t="s">
        <v>41</v>
      </c>
      <c r="BT8" t="s">
        <v>29</v>
      </c>
      <c r="BU8" t="s">
        <v>39</v>
      </c>
      <c r="BV8" t="s">
        <v>93</v>
      </c>
      <c r="BW8" t="s">
        <v>39</v>
      </c>
      <c r="BX8" t="s">
        <v>29</v>
      </c>
      <c r="BY8" t="s">
        <v>41</v>
      </c>
      <c r="BZ8" t="s">
        <v>24</v>
      </c>
      <c r="CA8" t="s">
        <v>93</v>
      </c>
      <c r="CB8" t="s">
        <v>93</v>
      </c>
      <c r="CC8" t="s">
        <v>93</v>
      </c>
      <c r="CD8" t="s">
        <v>93</v>
      </c>
      <c r="CE8" t="s">
        <v>40</v>
      </c>
      <c r="CF8" t="s">
        <v>41</v>
      </c>
      <c r="CG8" t="s">
        <v>41</v>
      </c>
      <c r="CH8" t="s">
        <v>33</v>
      </c>
      <c r="CI8" t="s">
        <v>41</v>
      </c>
      <c r="CJ8" t="s">
        <v>39</v>
      </c>
      <c r="CK8" t="s">
        <v>93</v>
      </c>
      <c r="CL8" t="s">
        <v>93</v>
      </c>
      <c r="CM8" t="s">
        <v>39</v>
      </c>
      <c r="CN8" t="s">
        <v>29</v>
      </c>
      <c r="CO8" t="s">
        <v>39</v>
      </c>
      <c r="CP8" t="s">
        <v>39</v>
      </c>
      <c r="CQ8" t="s">
        <v>33</v>
      </c>
      <c r="CR8" t="s">
        <v>29</v>
      </c>
    </row>
    <row r="9" spans="1:96" ht="14.25" customHeight="1" x14ac:dyDescent="0.35">
      <c r="A9" s="37"/>
      <c r="B9" s="39" t="s">
        <v>89</v>
      </c>
      <c r="C9" s="2">
        <v>0.25209999999999999</v>
      </c>
      <c r="D9" s="2">
        <v>0.24809999999999999</v>
      </c>
      <c r="E9" s="2">
        <v>0.23139999999999999</v>
      </c>
      <c r="F9" s="2">
        <v>0.23130000000000001</v>
      </c>
      <c r="G9" s="2">
        <v>0.2525</v>
      </c>
      <c r="H9" s="2">
        <v>0.22889999999999999</v>
      </c>
      <c r="I9" s="2">
        <v>0.23149999999999998</v>
      </c>
      <c r="J9" s="2">
        <v>0.23049999999999998</v>
      </c>
      <c r="K9" s="2">
        <v>0.25159999999999999</v>
      </c>
      <c r="L9" s="2">
        <v>0.2288</v>
      </c>
      <c r="M9" s="2">
        <v>0.2286</v>
      </c>
      <c r="N9" s="2">
        <v>0.23779999999999998</v>
      </c>
      <c r="O9" s="2">
        <v>0.2432</v>
      </c>
      <c r="P9" s="2">
        <v>0.23130000000000001</v>
      </c>
      <c r="Q9" s="2">
        <v>0.2298</v>
      </c>
      <c r="R9" s="2">
        <v>0.23599999999999999</v>
      </c>
      <c r="S9" s="2">
        <v>0.2384</v>
      </c>
      <c r="T9" s="2">
        <v>0.2306</v>
      </c>
      <c r="U9" s="2">
        <v>0.2316</v>
      </c>
      <c r="V9" s="2">
        <v>0.24539999999999998</v>
      </c>
      <c r="W9" s="2">
        <v>0.23319999999999999</v>
      </c>
      <c r="X9" s="2">
        <v>0.25</v>
      </c>
      <c r="Y9" s="2">
        <v>0.23779999999999998</v>
      </c>
      <c r="Z9" s="2">
        <v>0.24609999999999999</v>
      </c>
      <c r="AA9" s="2">
        <v>0.24279999999999999</v>
      </c>
      <c r="AB9" s="2">
        <v>0.23099999999999998</v>
      </c>
      <c r="AC9" s="2">
        <v>0.24329999999999999</v>
      </c>
      <c r="AD9" s="2">
        <v>0.2515</v>
      </c>
      <c r="AE9" s="2">
        <v>0.24629999999999996</v>
      </c>
      <c r="AF9" s="2">
        <v>0.24179999999999999</v>
      </c>
      <c r="AG9" s="1"/>
      <c r="AH9" s="39" t="s">
        <v>89</v>
      </c>
      <c r="AI9" s="2">
        <v>4.4925992720246999E-2</v>
      </c>
      <c r="AJ9" s="2">
        <v>4.9750905054002953E-2</v>
      </c>
      <c r="AK9" s="2">
        <v>3.0772722199011768E-2</v>
      </c>
      <c r="AL9" s="2">
        <v>2.7465769859691201E-2</v>
      </c>
      <c r="AM9" s="2">
        <v>3.9763219053083929E-2</v>
      </c>
      <c r="AN9" s="2">
        <v>4.2830972585692788E-2</v>
      </c>
      <c r="AO9" s="2">
        <v>2.2513071510815073E-2</v>
      </c>
      <c r="AP9" s="2">
        <v>4.7241891115768458E-2</v>
      </c>
      <c r="AQ9" s="2">
        <v>7.1919626909559803E-2</v>
      </c>
      <c r="AR9" s="2">
        <v>7.5373544096948658E-2</v>
      </c>
      <c r="AS9" s="2">
        <v>6.6965386158120005E-2</v>
      </c>
      <c r="AT9" s="2">
        <v>5.5756247000206399E-2</v>
      </c>
      <c r="AU9" s="2">
        <v>6.3203313057706031E-2</v>
      </c>
      <c r="AV9" s="2">
        <v>5.0685938178238493E-2</v>
      </c>
      <c r="AW9" s="2">
        <v>5.829107307769385E-2</v>
      </c>
      <c r="AX9" s="2">
        <v>3.5120960195012554E-2</v>
      </c>
      <c r="AY9" s="2">
        <v>6.3598606009122885E-2</v>
      </c>
      <c r="AZ9" s="2">
        <v>7.8511105183357188E-2</v>
      </c>
      <c r="BA9" s="2">
        <v>4.2167398142424872E-2</v>
      </c>
      <c r="BB9" s="2">
        <v>5.1749887513102978E-2</v>
      </c>
      <c r="BC9" s="2">
        <v>4.7503382321308678E-2</v>
      </c>
      <c r="BD9" s="2">
        <v>7.1627506279279385E-2</v>
      </c>
      <c r="BE9" s="2">
        <v>5.6407601258361459E-2</v>
      </c>
      <c r="BF9" s="2">
        <v>5.4591467712553035E-2</v>
      </c>
      <c r="BG9" s="2">
        <v>4.0878528997814113E-2</v>
      </c>
      <c r="BH9" s="2">
        <v>4.7131179341971724E-2</v>
      </c>
      <c r="BI9" s="2">
        <v>4.0273481073019576E-2</v>
      </c>
      <c r="BJ9" s="2">
        <v>4.5304734074778592E-2</v>
      </c>
      <c r="BK9" s="2">
        <v>5.1031614718482533E-2</v>
      </c>
      <c r="BL9" s="2">
        <v>5.6296108776777751E-2</v>
      </c>
      <c r="BN9" s="39" t="s">
        <v>89</v>
      </c>
      <c r="BO9" t="s">
        <v>29</v>
      </c>
      <c r="BP9" t="s">
        <v>39</v>
      </c>
      <c r="BQ9" t="s">
        <v>40</v>
      </c>
      <c r="BR9" t="s">
        <v>93</v>
      </c>
      <c r="BS9" t="s">
        <v>33</v>
      </c>
      <c r="BT9" t="s">
        <v>93</v>
      </c>
      <c r="BU9" t="s">
        <v>41</v>
      </c>
      <c r="BV9" t="s">
        <v>39</v>
      </c>
      <c r="BW9" t="s">
        <v>29</v>
      </c>
      <c r="BX9" t="s">
        <v>39</v>
      </c>
      <c r="BY9" t="s">
        <v>40</v>
      </c>
      <c r="BZ9" t="s">
        <v>29</v>
      </c>
      <c r="CA9" t="s">
        <v>33</v>
      </c>
      <c r="CB9" t="s">
        <v>33</v>
      </c>
      <c r="CC9" t="s">
        <v>93</v>
      </c>
      <c r="CD9" t="s">
        <v>40</v>
      </c>
      <c r="CE9" t="s">
        <v>93</v>
      </c>
      <c r="CF9" t="s">
        <v>41</v>
      </c>
      <c r="CG9" t="s">
        <v>93</v>
      </c>
      <c r="CH9" t="s">
        <v>93</v>
      </c>
      <c r="CI9" t="s">
        <v>93</v>
      </c>
      <c r="CJ9" t="s">
        <v>24</v>
      </c>
      <c r="CK9" t="s">
        <v>33</v>
      </c>
      <c r="CL9" t="s">
        <v>29</v>
      </c>
      <c r="CM9" t="s">
        <v>40</v>
      </c>
      <c r="CN9" t="s">
        <v>93</v>
      </c>
      <c r="CO9" t="s">
        <v>93</v>
      </c>
      <c r="CP9" t="s">
        <v>93</v>
      </c>
      <c r="CQ9" t="s">
        <v>29</v>
      </c>
      <c r="CR9" t="s">
        <v>41</v>
      </c>
    </row>
    <row r="10" spans="1:96" ht="14.25" customHeight="1" x14ac:dyDescent="0.35">
      <c r="A10" s="37"/>
      <c r="B10" s="39" t="s">
        <v>52</v>
      </c>
      <c r="C10" s="2">
        <v>9.0899999999999995E-2</v>
      </c>
      <c r="D10" s="2">
        <v>8.2100000000000006E-2</v>
      </c>
      <c r="E10" s="2">
        <v>0.10249999999999999</v>
      </c>
      <c r="F10" s="2">
        <v>8.9300000000000004E-2</v>
      </c>
      <c r="G10" s="2">
        <v>8.3100000000000007E-2</v>
      </c>
      <c r="H10" s="2">
        <v>9.8799999999999999E-2</v>
      </c>
      <c r="I10" s="2">
        <v>0.1038</v>
      </c>
      <c r="J10" s="2">
        <v>9.9299999999999999E-2</v>
      </c>
      <c r="K10" s="2">
        <v>8.7999999999999995E-2</v>
      </c>
      <c r="L10" s="2">
        <v>9.64E-2</v>
      </c>
      <c r="M10" s="2">
        <v>9.1399999999999995E-2</v>
      </c>
      <c r="N10" s="2">
        <v>8.5400000000000004E-2</v>
      </c>
      <c r="O10" s="2">
        <v>0.10149999999999999</v>
      </c>
      <c r="P10" s="2">
        <v>9.8400000000000001E-2</v>
      </c>
      <c r="Q10" s="2">
        <v>9.5700000000000007E-2</v>
      </c>
      <c r="R10" s="2">
        <v>9.1999999999999998E-2</v>
      </c>
      <c r="S10" s="2">
        <v>0.1016</v>
      </c>
      <c r="T10" s="2">
        <v>0.10189999999999999</v>
      </c>
      <c r="U10" s="2">
        <v>8.9599999999999999E-2</v>
      </c>
      <c r="V10" s="2">
        <v>9.5199999999999993E-2</v>
      </c>
      <c r="W10" s="2">
        <v>9.7100000000000006E-2</v>
      </c>
      <c r="X10" s="2">
        <v>9.0300000000000005E-2</v>
      </c>
      <c r="Y10" s="2">
        <v>9.7799999999999998E-2</v>
      </c>
      <c r="Z10" s="2">
        <v>0.10189999999999999</v>
      </c>
      <c r="AA10" s="2">
        <v>0.10199999999999999</v>
      </c>
      <c r="AB10" s="2">
        <v>0.1033</v>
      </c>
      <c r="AC10" s="2">
        <v>8.8599999999999998E-2</v>
      </c>
      <c r="AD10" s="2">
        <v>9.8900000000000002E-2</v>
      </c>
      <c r="AE10" s="2">
        <v>9.4699999999999993E-2</v>
      </c>
      <c r="AF10" s="2">
        <v>8.2799999999999999E-2</v>
      </c>
      <c r="AG10" s="1"/>
      <c r="AH10" s="39" t="s">
        <v>52</v>
      </c>
      <c r="AI10" s="2">
        <v>8.9279945103115751E-2</v>
      </c>
      <c r="AJ10" s="2">
        <v>9.4104857436871706E-2</v>
      </c>
      <c r="AK10" s="2">
        <v>7.512667458188052E-2</v>
      </c>
      <c r="AL10" s="2">
        <v>7.1819722242559947E-2</v>
      </c>
      <c r="AM10" s="2">
        <v>8.4117171435952681E-2</v>
      </c>
      <c r="AN10" s="2">
        <v>8.7184924968561534E-2</v>
      </c>
      <c r="AO10" s="2">
        <v>6.6867023893683819E-2</v>
      </c>
      <c r="AP10" s="2">
        <v>9.1595843498637211E-2</v>
      </c>
      <c r="AQ10" s="2">
        <v>0.11627357929242856</v>
      </c>
      <c r="AR10" s="2">
        <v>0.11972749647981742</v>
      </c>
      <c r="AS10" s="2">
        <v>0.11131933854098874</v>
      </c>
      <c r="AT10" s="2">
        <v>0.10011019938307515</v>
      </c>
      <c r="AU10" s="2">
        <v>0.10755726544057478</v>
      </c>
      <c r="AV10" s="2">
        <v>9.5039890561107246E-2</v>
      </c>
      <c r="AW10" s="2">
        <v>0.1026450254605626</v>
      </c>
      <c r="AX10" s="2">
        <v>7.9474912577881307E-2</v>
      </c>
      <c r="AY10" s="2">
        <v>0.10795255839199164</v>
      </c>
      <c r="AZ10" s="2">
        <v>0.12286505756622595</v>
      </c>
      <c r="BA10" s="2">
        <v>8.6521350525293625E-2</v>
      </c>
      <c r="BB10" s="2">
        <v>9.6103839895971738E-2</v>
      </c>
      <c r="BC10" s="2">
        <v>9.1857334704177424E-2</v>
      </c>
      <c r="BD10" s="2">
        <v>0.11598145866214814</v>
      </c>
      <c r="BE10" s="2">
        <v>0.10076155364123021</v>
      </c>
      <c r="BF10" s="2">
        <v>9.8945420095421788E-2</v>
      </c>
      <c r="BG10" s="2">
        <v>8.5232481380682873E-2</v>
      </c>
      <c r="BH10" s="2">
        <v>9.1485131724840477E-2</v>
      </c>
      <c r="BI10" s="2">
        <v>8.4627433455888329E-2</v>
      </c>
      <c r="BJ10" s="2">
        <v>8.9658686457647352E-2</v>
      </c>
      <c r="BK10" s="2">
        <v>9.5385567101351293E-2</v>
      </c>
      <c r="BL10" s="2">
        <v>0.1006500611596465</v>
      </c>
      <c r="BN10" s="39" t="s">
        <v>52</v>
      </c>
      <c r="BO10" t="s">
        <v>40</v>
      </c>
      <c r="BP10" t="s">
        <v>33</v>
      </c>
      <c r="BQ10" t="s">
        <v>24</v>
      </c>
      <c r="BR10" t="s">
        <v>29</v>
      </c>
      <c r="BS10" t="s">
        <v>29</v>
      </c>
      <c r="BT10" t="s">
        <v>33</v>
      </c>
      <c r="BU10" t="s">
        <v>39</v>
      </c>
      <c r="BV10" t="s">
        <v>93</v>
      </c>
      <c r="BW10" t="s">
        <v>40</v>
      </c>
      <c r="BX10" t="s">
        <v>39</v>
      </c>
      <c r="BY10" t="s">
        <v>39</v>
      </c>
      <c r="BZ10" t="s">
        <v>40</v>
      </c>
      <c r="CA10" t="s">
        <v>41</v>
      </c>
      <c r="CB10" t="s">
        <v>33</v>
      </c>
      <c r="CC10" t="s">
        <v>41</v>
      </c>
      <c r="CD10" t="s">
        <v>41</v>
      </c>
      <c r="CE10" t="s">
        <v>39</v>
      </c>
      <c r="CF10" t="s">
        <v>93</v>
      </c>
      <c r="CG10" t="s">
        <v>33</v>
      </c>
      <c r="CH10" t="s">
        <v>41</v>
      </c>
      <c r="CI10" t="s">
        <v>29</v>
      </c>
      <c r="CJ10" t="s">
        <v>41</v>
      </c>
      <c r="CK10" t="s">
        <v>40</v>
      </c>
      <c r="CL10" t="s">
        <v>33</v>
      </c>
      <c r="CM10" t="s">
        <v>24</v>
      </c>
      <c r="CN10" t="s">
        <v>33</v>
      </c>
      <c r="CO10" t="s">
        <v>41</v>
      </c>
      <c r="CP10" t="s">
        <v>41</v>
      </c>
      <c r="CQ10" t="s">
        <v>39</v>
      </c>
      <c r="CR10" t="s">
        <v>29</v>
      </c>
    </row>
    <row r="11" spans="1:96" ht="14.25" customHeight="1" x14ac:dyDescent="0.35">
      <c r="A11" s="37"/>
      <c r="B11" s="39" t="s">
        <v>90</v>
      </c>
      <c r="C11" s="2">
        <v>0.16159999999999999</v>
      </c>
      <c r="D11" s="2">
        <v>0.17420000000000002</v>
      </c>
      <c r="E11" s="2">
        <v>0.14930000000000002</v>
      </c>
      <c r="F11" s="2">
        <v>0.1623</v>
      </c>
      <c r="G11" s="2">
        <v>0.1507</v>
      </c>
      <c r="H11" s="2">
        <v>0.16020000000000001</v>
      </c>
      <c r="I11" s="2">
        <v>0.18030000000000002</v>
      </c>
      <c r="J11" s="2">
        <v>0.16140000000000002</v>
      </c>
      <c r="K11" s="2">
        <v>0.1726</v>
      </c>
      <c r="L11" s="2">
        <v>0.17250000000000001</v>
      </c>
      <c r="M11" s="2">
        <v>0.14949999999999999</v>
      </c>
      <c r="N11" s="2">
        <v>0.1772</v>
      </c>
      <c r="O11" s="2">
        <v>0.153</v>
      </c>
      <c r="P11" s="2">
        <v>0.15810000000000002</v>
      </c>
      <c r="Q11" s="2">
        <v>0.16720000000000002</v>
      </c>
      <c r="R11" s="2">
        <v>0.15210000000000001</v>
      </c>
      <c r="S11" s="2">
        <v>0.16310000000000002</v>
      </c>
      <c r="T11" s="2">
        <v>0.15160000000000001</v>
      </c>
      <c r="U11" s="2">
        <v>0.15230000000000002</v>
      </c>
      <c r="V11" s="2">
        <v>0.1724</v>
      </c>
      <c r="W11" s="2">
        <v>0.16290000000000002</v>
      </c>
      <c r="X11" s="2">
        <v>0.15410000000000001</v>
      </c>
      <c r="Y11" s="2">
        <v>0.15640000000000001</v>
      </c>
      <c r="Z11" s="2">
        <v>0.158</v>
      </c>
      <c r="AA11" s="2">
        <v>0.15110000000000001</v>
      </c>
      <c r="AB11" s="2">
        <v>0.15030000000000002</v>
      </c>
      <c r="AC11" s="2">
        <v>0.16310000000000002</v>
      </c>
      <c r="AD11" s="2">
        <v>0.1507</v>
      </c>
      <c r="AE11" s="2">
        <v>0.16489999999999999</v>
      </c>
      <c r="AF11" s="2">
        <v>0.1585</v>
      </c>
      <c r="AG11" s="1"/>
      <c r="AH11" s="39" t="s">
        <v>90</v>
      </c>
      <c r="AI11" s="2">
        <v>5.6687776871237508E-2</v>
      </c>
      <c r="AJ11" s="2">
        <v>6.1512689204993462E-2</v>
      </c>
      <c r="AK11" s="2">
        <v>4.2534506350002277E-2</v>
      </c>
      <c r="AL11" s="2">
        <v>3.922755401068171E-2</v>
      </c>
      <c r="AM11" s="2">
        <v>5.1525003204074438E-2</v>
      </c>
      <c r="AN11" s="2">
        <v>5.4592756736683297E-2</v>
      </c>
      <c r="AO11" s="2">
        <v>3.4274855661805582E-2</v>
      </c>
      <c r="AP11" s="2">
        <v>5.9003675266758968E-2</v>
      </c>
      <c r="AQ11" s="2">
        <v>8.3681411060550312E-2</v>
      </c>
      <c r="AR11" s="2">
        <v>8.7135328247939181E-2</v>
      </c>
      <c r="AS11" s="2">
        <v>7.87271703091105E-2</v>
      </c>
      <c r="AT11" s="2">
        <v>6.7518031151196908E-2</v>
      </c>
      <c r="AU11" s="2">
        <v>7.4965097208696541E-2</v>
      </c>
      <c r="AV11" s="2">
        <v>6.2447722329229002E-2</v>
      </c>
      <c r="AW11" s="2">
        <v>7.0052857228684359E-2</v>
      </c>
      <c r="AX11" s="2">
        <v>4.6882744346003064E-2</v>
      </c>
      <c r="AY11" s="2">
        <v>7.5360390160113394E-2</v>
      </c>
      <c r="AZ11" s="2">
        <v>9.0272889334347711E-2</v>
      </c>
      <c r="BA11" s="2">
        <v>5.3929182293415381E-2</v>
      </c>
      <c r="BB11" s="2">
        <v>6.3511671664093494E-2</v>
      </c>
      <c r="BC11" s="2">
        <v>5.9265166472299187E-2</v>
      </c>
      <c r="BD11" s="2">
        <v>8.3389290430269894E-2</v>
      </c>
      <c r="BE11" s="2">
        <v>6.8169385409351968E-2</v>
      </c>
      <c r="BF11" s="2">
        <v>6.6353251863543544E-2</v>
      </c>
      <c r="BG11" s="2">
        <v>5.2640313148804622E-2</v>
      </c>
      <c r="BH11" s="2">
        <v>5.8892963492962233E-2</v>
      </c>
      <c r="BI11" s="2">
        <v>5.2035265224010085E-2</v>
      </c>
      <c r="BJ11" s="2">
        <v>5.7066518225769101E-2</v>
      </c>
      <c r="BK11" s="2">
        <v>6.2793398869473049E-2</v>
      </c>
      <c r="BL11" s="2">
        <v>6.805789292776826E-2</v>
      </c>
      <c r="BN11" s="39" t="s">
        <v>90</v>
      </c>
      <c r="BO11" t="s">
        <v>39</v>
      </c>
      <c r="BP11" t="s">
        <v>40</v>
      </c>
      <c r="BQ11" t="s">
        <v>24</v>
      </c>
      <c r="BR11" t="s">
        <v>40</v>
      </c>
      <c r="BS11" t="s">
        <v>40</v>
      </c>
      <c r="BT11" t="s">
        <v>40</v>
      </c>
      <c r="BU11" t="s">
        <v>24</v>
      </c>
      <c r="BV11" t="s">
        <v>93</v>
      </c>
      <c r="BW11" t="s">
        <v>41</v>
      </c>
      <c r="BX11" t="s">
        <v>93</v>
      </c>
      <c r="BY11" t="s">
        <v>41</v>
      </c>
      <c r="BZ11" t="s">
        <v>29</v>
      </c>
      <c r="CA11" t="s">
        <v>33</v>
      </c>
      <c r="CB11" t="s">
        <v>41</v>
      </c>
      <c r="CC11" t="s">
        <v>24</v>
      </c>
      <c r="CD11" t="s">
        <v>39</v>
      </c>
      <c r="CE11" t="s">
        <v>33</v>
      </c>
      <c r="CF11" t="s">
        <v>93</v>
      </c>
      <c r="CG11" t="s">
        <v>93</v>
      </c>
      <c r="CH11" t="s">
        <v>41</v>
      </c>
      <c r="CI11" t="s">
        <v>41</v>
      </c>
      <c r="CJ11" t="s">
        <v>41</v>
      </c>
      <c r="CK11" t="s">
        <v>93</v>
      </c>
      <c r="CL11" t="s">
        <v>41</v>
      </c>
      <c r="CM11" t="s">
        <v>39</v>
      </c>
      <c r="CN11" t="s">
        <v>93</v>
      </c>
      <c r="CO11" t="s">
        <v>39</v>
      </c>
      <c r="CP11" t="s">
        <v>24</v>
      </c>
      <c r="CQ11" t="s">
        <v>24</v>
      </c>
      <c r="CR11" t="s">
        <v>24</v>
      </c>
    </row>
    <row r="12" spans="1:96" ht="14.25" customHeight="1" x14ac:dyDescent="0.35">
      <c r="A12" s="37"/>
      <c r="B12" s="39" t="s">
        <v>91</v>
      </c>
      <c r="C12" s="1">
        <f>1-SUM(C6:C11)</f>
        <v>0.17500000000000004</v>
      </c>
      <c r="D12" s="1">
        <f t="shared" ref="D12:AF12" si="32">1-SUM(D6:D11)</f>
        <v>0.19339999999999991</v>
      </c>
      <c r="E12" s="1">
        <f t="shared" si="32"/>
        <v>0.17169999999999996</v>
      </c>
      <c r="F12" s="1">
        <f t="shared" si="32"/>
        <v>0.19799999999999995</v>
      </c>
      <c r="G12" s="1">
        <f t="shared" si="32"/>
        <v>0.19359999999999999</v>
      </c>
      <c r="H12" s="1">
        <f t="shared" si="32"/>
        <v>0.19230000000000003</v>
      </c>
      <c r="I12" s="1">
        <f t="shared" si="32"/>
        <v>0.17049999999999998</v>
      </c>
      <c r="J12" s="1">
        <f t="shared" si="32"/>
        <v>0.1987000000000001</v>
      </c>
      <c r="K12" s="1">
        <f t="shared" si="32"/>
        <v>0.18230000000000013</v>
      </c>
      <c r="L12" s="1">
        <f t="shared" si="32"/>
        <v>0.17539999999999989</v>
      </c>
      <c r="M12" s="1">
        <f t="shared" si="32"/>
        <v>0.1903999999999999</v>
      </c>
      <c r="N12" s="1">
        <f t="shared" si="32"/>
        <v>0.16999999999999993</v>
      </c>
      <c r="O12" s="1">
        <f t="shared" si="32"/>
        <v>0.17669999999999986</v>
      </c>
      <c r="P12" s="1">
        <f t="shared" si="32"/>
        <v>0.18469999999999998</v>
      </c>
      <c r="Q12" s="1">
        <f t="shared" si="32"/>
        <v>0.18440000000000001</v>
      </c>
      <c r="R12" s="1">
        <f t="shared" si="32"/>
        <v>0.19369999999999998</v>
      </c>
      <c r="S12" s="1">
        <f t="shared" si="32"/>
        <v>0.1853999999999999</v>
      </c>
      <c r="T12" s="1">
        <f t="shared" si="32"/>
        <v>0.17549999999999999</v>
      </c>
      <c r="U12" s="1">
        <f t="shared" si="32"/>
        <v>0.19940000000000002</v>
      </c>
      <c r="V12" s="1">
        <f t="shared" si="32"/>
        <v>0.1745000000000001</v>
      </c>
      <c r="W12" s="1">
        <f t="shared" si="32"/>
        <v>0.18340000000000001</v>
      </c>
      <c r="X12" s="1">
        <f t="shared" si="32"/>
        <v>0.19789999999999985</v>
      </c>
      <c r="Y12" s="1">
        <f t="shared" si="32"/>
        <v>0.18559999999999999</v>
      </c>
      <c r="Z12" s="1">
        <f t="shared" si="32"/>
        <v>0.1764</v>
      </c>
      <c r="AA12" s="1">
        <f t="shared" si="32"/>
        <v>0.18149999999999999</v>
      </c>
      <c r="AB12" s="1">
        <f t="shared" si="32"/>
        <v>0.19349999999999989</v>
      </c>
      <c r="AC12" s="1">
        <f t="shared" si="32"/>
        <v>0.19439999999999991</v>
      </c>
      <c r="AD12" s="1">
        <f t="shared" si="32"/>
        <v>0.18520000000000003</v>
      </c>
      <c r="AE12" s="1">
        <f t="shared" si="32"/>
        <v>0.17410000000000014</v>
      </c>
      <c r="AF12" s="1">
        <f t="shared" si="32"/>
        <v>0.19680000000000009</v>
      </c>
      <c r="AG12" s="1"/>
      <c r="AH12" s="39" t="s">
        <v>91</v>
      </c>
      <c r="AI12" s="2">
        <v>6.467961566803751E-2</v>
      </c>
      <c r="AJ12" s="2">
        <v>6.9504528001793464E-2</v>
      </c>
      <c r="AK12" s="2">
        <v>5.0526345146802279E-2</v>
      </c>
      <c r="AL12" s="2">
        <v>4.7219392807481712E-2</v>
      </c>
      <c r="AM12" s="2">
        <v>5.951684200087444E-2</v>
      </c>
      <c r="AN12" s="2">
        <v>6.2584595533483306E-2</v>
      </c>
      <c r="AO12" s="2">
        <v>4.2266694458605585E-2</v>
      </c>
      <c r="AP12" s="2">
        <v>6.699551406355897E-2</v>
      </c>
      <c r="AQ12" s="2">
        <v>9.1673249857350314E-2</v>
      </c>
      <c r="AR12" s="2">
        <v>9.5127167044739169E-2</v>
      </c>
      <c r="AS12" s="2">
        <v>8.6719009105910516E-2</v>
      </c>
      <c r="AT12" s="2">
        <v>7.550986994799691E-2</v>
      </c>
      <c r="AU12" s="2">
        <v>8.2956936005496543E-2</v>
      </c>
      <c r="AV12" s="2">
        <v>7.0439561126029004E-2</v>
      </c>
      <c r="AW12" s="2">
        <v>7.8044696025484361E-2</v>
      </c>
      <c r="AX12" s="2">
        <v>5.4874583142803066E-2</v>
      </c>
      <c r="AY12" s="2">
        <v>8.3352228956913396E-2</v>
      </c>
      <c r="AZ12" s="2">
        <v>9.8264728131147699E-2</v>
      </c>
      <c r="BA12" s="2">
        <v>6.1921021090215383E-2</v>
      </c>
      <c r="BB12" s="2">
        <v>7.1503510460893482E-2</v>
      </c>
      <c r="BC12" s="2">
        <v>6.7257005269099196E-2</v>
      </c>
      <c r="BD12" s="2">
        <v>9.1381129227069896E-2</v>
      </c>
      <c r="BE12" s="2">
        <v>7.616122420615197E-2</v>
      </c>
      <c r="BF12" s="2">
        <v>7.4345090660343546E-2</v>
      </c>
      <c r="BG12" s="2">
        <v>6.0632151945604625E-2</v>
      </c>
      <c r="BH12" s="2">
        <v>6.6884802289762235E-2</v>
      </c>
      <c r="BI12" s="2">
        <v>6.0027104020810088E-2</v>
      </c>
      <c r="BJ12" s="2">
        <v>6.5058357022569097E-2</v>
      </c>
      <c r="BK12" s="2">
        <v>7.0785237666273038E-2</v>
      </c>
      <c r="BL12" s="2">
        <v>7.6049731724568262E-2</v>
      </c>
      <c r="BN12" s="39" t="s">
        <v>91</v>
      </c>
      <c r="BO12" t="s">
        <v>93</v>
      </c>
      <c r="BP12" t="s">
        <v>41</v>
      </c>
      <c r="BQ12" t="s">
        <v>40</v>
      </c>
      <c r="BR12" t="s">
        <v>29</v>
      </c>
      <c r="BS12" t="s">
        <v>39</v>
      </c>
      <c r="BT12" t="s">
        <v>40</v>
      </c>
      <c r="BU12" t="s">
        <v>39</v>
      </c>
      <c r="BV12" t="s">
        <v>24</v>
      </c>
      <c r="BW12" t="s">
        <v>41</v>
      </c>
      <c r="BX12" t="s">
        <v>40</v>
      </c>
      <c r="BY12" t="s">
        <v>93</v>
      </c>
      <c r="BZ12" t="s">
        <v>41</v>
      </c>
      <c r="CA12" t="s">
        <v>40</v>
      </c>
      <c r="CB12" t="s">
        <v>40</v>
      </c>
      <c r="CC12" t="s">
        <v>93</v>
      </c>
      <c r="CD12" t="s">
        <v>33</v>
      </c>
      <c r="CE12" t="s">
        <v>40</v>
      </c>
      <c r="CF12" t="s">
        <v>33</v>
      </c>
      <c r="CG12" t="s">
        <v>24</v>
      </c>
      <c r="CH12" t="s">
        <v>41</v>
      </c>
      <c r="CI12" t="s">
        <v>41</v>
      </c>
      <c r="CJ12" t="s">
        <v>29</v>
      </c>
      <c r="CK12" t="s">
        <v>24</v>
      </c>
      <c r="CL12" t="s">
        <v>40</v>
      </c>
      <c r="CM12" t="s">
        <v>33</v>
      </c>
      <c r="CN12" t="s">
        <v>24</v>
      </c>
      <c r="CO12" t="s">
        <v>93</v>
      </c>
      <c r="CP12" t="s">
        <v>33</v>
      </c>
      <c r="CQ12" t="s">
        <v>39</v>
      </c>
      <c r="CR12" t="s">
        <v>39</v>
      </c>
    </row>
    <row r="13" spans="1:96" ht="14.25" customHeight="1" x14ac:dyDescent="0.35">
      <c r="A13" s="37"/>
      <c r="B13" t="s">
        <v>63</v>
      </c>
      <c r="C13" s="1">
        <f>1-C5</f>
        <v>0.42480000000000007</v>
      </c>
      <c r="D13" s="1">
        <f t="shared" ref="D13:AF13" si="33">1-D5</f>
        <v>0.40060000000000007</v>
      </c>
      <c r="E13" s="1">
        <f t="shared" si="33"/>
        <v>0.41070000000000007</v>
      </c>
      <c r="F13" s="1">
        <f t="shared" si="33"/>
        <v>0.4244</v>
      </c>
      <c r="G13" s="1">
        <f t="shared" si="33"/>
        <v>0.40750000000000008</v>
      </c>
      <c r="H13" s="1">
        <f t="shared" si="33"/>
        <v>0.41010000000000002</v>
      </c>
      <c r="I13" s="1">
        <f t="shared" si="33"/>
        <v>0.42120000000000002</v>
      </c>
      <c r="J13" s="1">
        <f t="shared" si="33"/>
        <v>0.40129999999999999</v>
      </c>
      <c r="K13" s="1">
        <f t="shared" si="33"/>
        <v>0.42120000000000002</v>
      </c>
      <c r="L13" s="1">
        <f t="shared" si="33"/>
        <v>0.40720000000000001</v>
      </c>
      <c r="M13" s="1">
        <f t="shared" si="33"/>
        <v>0.42030000000000001</v>
      </c>
      <c r="N13" s="1">
        <f t="shared" si="33"/>
        <v>0.40650000000000008</v>
      </c>
      <c r="O13" s="1">
        <f t="shared" si="33"/>
        <v>0.41810000000000003</v>
      </c>
      <c r="P13" s="1">
        <f t="shared" si="33"/>
        <v>0.40960000000000008</v>
      </c>
      <c r="Q13" s="1">
        <f t="shared" si="33"/>
        <v>0.40050000000000008</v>
      </c>
      <c r="R13" s="1">
        <f t="shared" si="33"/>
        <v>0.40820000000000001</v>
      </c>
      <c r="S13" s="1">
        <f t="shared" si="33"/>
        <v>0.41839999999999999</v>
      </c>
      <c r="T13" s="1">
        <f t="shared" si="33"/>
        <v>0.43030000000000002</v>
      </c>
      <c r="U13" s="1">
        <f t="shared" si="33"/>
        <v>0.4083</v>
      </c>
      <c r="V13" s="1">
        <f t="shared" si="33"/>
        <v>0.42870000000000008</v>
      </c>
      <c r="W13" s="1">
        <f t="shared" si="33"/>
        <v>0.40590000000000004</v>
      </c>
      <c r="X13" s="1">
        <f t="shared" si="33"/>
        <v>0.42800000000000005</v>
      </c>
      <c r="Y13" s="1">
        <f t="shared" si="33"/>
        <v>0.40760000000000007</v>
      </c>
      <c r="Z13" s="1">
        <f t="shared" si="33"/>
        <v>0.41510000000000002</v>
      </c>
      <c r="AA13" s="1">
        <f t="shared" si="33"/>
        <v>0.41700000000000004</v>
      </c>
      <c r="AB13" s="1">
        <f t="shared" si="33"/>
        <v>0.40290000000000004</v>
      </c>
      <c r="AC13" s="1">
        <f t="shared" si="33"/>
        <v>0.40890000000000004</v>
      </c>
      <c r="AD13" s="1">
        <f t="shared" si="33"/>
        <v>0.42530000000000001</v>
      </c>
      <c r="AE13" s="1">
        <f t="shared" si="33"/>
        <v>0.42670000000000008</v>
      </c>
      <c r="AF13" s="1">
        <f t="shared" si="33"/>
        <v>0.42070000000000007</v>
      </c>
      <c r="AG13" s="1"/>
      <c r="AH13" t="s">
        <v>63</v>
      </c>
      <c r="AI13" s="2">
        <v>4.6064851207792405E-2</v>
      </c>
      <c r="AJ13" s="2">
        <v>5.0889763541548359E-2</v>
      </c>
      <c r="AK13" s="2">
        <v>3.1911580686557174E-2</v>
      </c>
      <c r="AL13" s="2">
        <v>2.8604628347236608E-2</v>
      </c>
      <c r="AM13" s="2">
        <v>4.0902077540629335E-2</v>
      </c>
      <c r="AN13" s="2">
        <v>4.3969831073238194E-2</v>
      </c>
      <c r="AO13" s="2">
        <v>2.365192999836048E-2</v>
      </c>
      <c r="AP13" s="2">
        <v>4.8380749603313865E-2</v>
      </c>
      <c r="AQ13" s="2">
        <v>7.3058485397105216E-2</v>
      </c>
      <c r="AR13" s="2">
        <v>7.6512402584494071E-2</v>
      </c>
      <c r="AS13" s="2">
        <v>6.8104244645665404E-2</v>
      </c>
      <c r="AT13" s="2">
        <v>5.6895105487751806E-2</v>
      </c>
      <c r="AU13" s="2">
        <v>6.4342171545251431E-2</v>
      </c>
      <c r="AV13" s="2">
        <v>5.18247966657839E-2</v>
      </c>
      <c r="AW13" s="2">
        <v>5.9429931565239257E-2</v>
      </c>
      <c r="AX13" s="2">
        <v>3.6259818682557961E-2</v>
      </c>
      <c r="AY13" s="2">
        <v>6.4737464496668284E-2</v>
      </c>
      <c r="AZ13" s="2">
        <v>7.9649963670902602E-2</v>
      </c>
      <c r="BA13" s="2">
        <v>4.3306256629970279E-2</v>
      </c>
      <c r="BB13" s="2">
        <v>5.2888746000648384E-2</v>
      </c>
      <c r="BC13" s="2">
        <v>4.8642240808854084E-2</v>
      </c>
      <c r="BD13" s="2">
        <v>7.2766364766824798E-2</v>
      </c>
      <c r="BE13" s="2">
        <v>5.7546459745906865E-2</v>
      </c>
      <c r="BF13" s="2">
        <v>5.5730326200098441E-2</v>
      </c>
      <c r="BG13" s="2">
        <v>4.201738748535952E-2</v>
      </c>
      <c r="BH13" s="2">
        <v>4.827003782951713E-2</v>
      </c>
      <c r="BI13" s="2">
        <v>4.1412339560564983E-2</v>
      </c>
      <c r="BJ13" s="2">
        <v>4.6443592562323999E-2</v>
      </c>
      <c r="BK13" s="2">
        <v>5.217047320602794E-2</v>
      </c>
      <c r="BL13" s="2">
        <v>5.7434967264323157E-2</v>
      </c>
      <c r="BN13" t="s">
        <v>63</v>
      </c>
      <c r="BO13" t="s">
        <v>93</v>
      </c>
      <c r="BP13" t="s">
        <v>40</v>
      </c>
      <c r="BQ13" t="s">
        <v>29</v>
      </c>
      <c r="BR13" t="s">
        <v>41</v>
      </c>
      <c r="BS13" t="s">
        <v>41</v>
      </c>
      <c r="BT13" t="s">
        <v>33</v>
      </c>
      <c r="BU13" t="s">
        <v>24</v>
      </c>
      <c r="BV13" t="s">
        <v>40</v>
      </c>
      <c r="BW13" t="s">
        <v>93</v>
      </c>
      <c r="BX13" t="s">
        <v>93</v>
      </c>
      <c r="BY13" t="s">
        <v>40</v>
      </c>
      <c r="BZ13" t="s">
        <v>39</v>
      </c>
      <c r="CA13" t="s">
        <v>39</v>
      </c>
      <c r="CB13" t="s">
        <v>33</v>
      </c>
      <c r="CC13" t="s">
        <v>41</v>
      </c>
      <c r="CD13" t="s">
        <v>29</v>
      </c>
      <c r="CE13" t="s">
        <v>29</v>
      </c>
      <c r="CF13" t="s">
        <v>93</v>
      </c>
      <c r="CG13" t="s">
        <v>24</v>
      </c>
      <c r="CH13" t="s">
        <v>40</v>
      </c>
      <c r="CI13" t="s">
        <v>29</v>
      </c>
      <c r="CJ13" t="s">
        <v>93</v>
      </c>
      <c r="CK13" t="s">
        <v>29</v>
      </c>
      <c r="CL13" t="s">
        <v>40</v>
      </c>
      <c r="CM13" t="s">
        <v>33</v>
      </c>
      <c r="CN13" t="s">
        <v>41</v>
      </c>
      <c r="CO13" t="s">
        <v>24</v>
      </c>
      <c r="CP13" t="s">
        <v>93</v>
      </c>
      <c r="CQ13" t="s">
        <v>29</v>
      </c>
      <c r="CR13" t="s">
        <v>24</v>
      </c>
    </row>
    <row r="14" spans="1:96" ht="14.25" customHeight="1" x14ac:dyDescent="0.35">
      <c r="A14" s="37"/>
      <c r="B14" s="39"/>
      <c r="C14" s="1"/>
      <c r="D14" s="1"/>
      <c r="E14" s="1"/>
      <c r="F14" s="1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1"/>
      <c r="AA14" s="2"/>
      <c r="AB14" s="4"/>
      <c r="AC14" s="1"/>
      <c r="AD14" s="1"/>
      <c r="AE14" s="1"/>
      <c r="AF14" s="1"/>
      <c r="AG14" s="1"/>
      <c r="AH14" s="39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N14" s="39"/>
    </row>
    <row r="15" spans="1:96" ht="14.25" customHeight="1" x14ac:dyDescent="0.35">
      <c r="A15" s="37"/>
      <c r="B15" s="5" t="s">
        <v>64</v>
      </c>
      <c r="C15" s="1"/>
      <c r="D15" s="1"/>
      <c r="E15" s="1"/>
      <c r="F15" s="1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1"/>
      <c r="AA15" s="38"/>
      <c r="AB15" s="4"/>
      <c r="AC15" s="1"/>
      <c r="AD15" s="1"/>
      <c r="AE15" s="1"/>
      <c r="AF15" s="1"/>
      <c r="AG15" s="1"/>
      <c r="AH15" s="5" t="s">
        <v>64</v>
      </c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N15" s="5" t="s">
        <v>64</v>
      </c>
    </row>
    <row r="16" spans="1:96" ht="14.25" customHeight="1" x14ac:dyDescent="0.35">
      <c r="A16" s="37"/>
      <c r="B16" t="s">
        <v>65</v>
      </c>
      <c r="C16" s="2">
        <v>0.28489999999999999</v>
      </c>
      <c r="D16" s="2">
        <v>0.29869999999999997</v>
      </c>
      <c r="E16" s="2">
        <v>0.30809999999999998</v>
      </c>
      <c r="F16" s="2">
        <v>0.28249999999999997</v>
      </c>
      <c r="G16" s="2">
        <v>0.30990000000000001</v>
      </c>
      <c r="H16" s="2">
        <v>0.2913</v>
      </c>
      <c r="I16" s="2">
        <v>0.29799999999999999</v>
      </c>
      <c r="J16" s="2">
        <v>0.28029999999999999</v>
      </c>
      <c r="K16" s="2">
        <v>0.29859999999999998</v>
      </c>
      <c r="L16" s="2">
        <v>0.30399999999999999</v>
      </c>
      <c r="M16" s="2">
        <v>0.29049999999999998</v>
      </c>
      <c r="N16" s="2">
        <v>0.30259999999999998</v>
      </c>
      <c r="O16" s="2">
        <v>0.28549999999999998</v>
      </c>
      <c r="P16" s="2">
        <v>0.29329999999999995</v>
      </c>
      <c r="Q16" s="2">
        <v>0.2873</v>
      </c>
      <c r="R16" s="2">
        <v>0.2873</v>
      </c>
      <c r="S16" s="2">
        <v>0.30419999999999997</v>
      </c>
      <c r="T16" s="2">
        <v>0.30379999999999996</v>
      </c>
      <c r="U16" s="2">
        <v>0.29139999999999999</v>
      </c>
      <c r="V16" s="2">
        <v>0.30559999999999998</v>
      </c>
      <c r="W16" s="2">
        <v>0.29730000000000001</v>
      </c>
      <c r="X16" s="2">
        <v>0.30149999999999999</v>
      </c>
      <c r="Y16" s="2">
        <v>0.30019999999999997</v>
      </c>
      <c r="Z16" s="2">
        <v>0.28559999999999997</v>
      </c>
      <c r="AA16" s="2">
        <v>0.2954</v>
      </c>
      <c r="AB16" s="2">
        <v>0.29849999999999999</v>
      </c>
      <c r="AC16" s="2">
        <v>0.2898</v>
      </c>
      <c r="AD16" s="2">
        <v>0.30719999999999997</v>
      </c>
      <c r="AE16" s="2">
        <v>0.28539999999999999</v>
      </c>
      <c r="AF16" s="2">
        <v>0.28789999999999999</v>
      </c>
      <c r="AG16" s="1"/>
      <c r="AH16" t="s">
        <v>65</v>
      </c>
      <c r="AI16" s="2">
        <v>6.5239123522998127E-2</v>
      </c>
      <c r="AJ16" s="2">
        <v>6.9692642118046613E-2</v>
      </c>
      <c r="AK16" s="2">
        <v>5.1108885278454454E-2</v>
      </c>
      <c r="AL16" s="2">
        <v>4.7795278949967455E-2</v>
      </c>
      <c r="AM16" s="2">
        <v>5.9770557748173907E-2</v>
      </c>
      <c r="AN16" s="2">
        <v>6.340809956848345E-2</v>
      </c>
      <c r="AO16" s="2">
        <v>4.2638675768598047E-2</v>
      </c>
      <c r="AP16" s="2">
        <v>6.8269212936757043E-2</v>
      </c>
      <c r="AQ16" s="2">
        <v>9.1483796757874325E-2</v>
      </c>
      <c r="AR16" s="2">
        <v>9.6136032241027458E-2</v>
      </c>
      <c r="AS16" s="2">
        <v>8.7077777209481913E-2</v>
      </c>
      <c r="AT16" s="2">
        <v>7.5927623588337878E-2</v>
      </c>
      <c r="AU16" s="2">
        <v>8.3449046584881809E-2</v>
      </c>
      <c r="AV16" s="2">
        <v>7.1189664704943006E-2</v>
      </c>
      <c r="AW16" s="2">
        <v>7.9225793616480342E-2</v>
      </c>
      <c r="AX16" s="2">
        <v>5.5823201168789818E-2</v>
      </c>
      <c r="AY16" s="2">
        <v>8.3755704416992371E-2</v>
      </c>
      <c r="AZ16" s="2">
        <v>9.8710488877054192E-2</v>
      </c>
      <c r="BA16" s="2">
        <v>6.2647568241269783E-2</v>
      </c>
      <c r="BB16" s="2">
        <v>7.1438396647023283E-2</v>
      </c>
      <c r="BC16" s="2">
        <v>6.7831066324345587E-2</v>
      </c>
      <c r="BD16" s="2">
        <v>9.144366314542357E-2</v>
      </c>
      <c r="BE16" s="2">
        <v>7.6446445309961836E-2</v>
      </c>
      <c r="BF16" s="2">
        <v>7.5181419670450667E-2</v>
      </c>
      <c r="BG16" s="2">
        <v>6.1138609619232426E-2</v>
      </c>
      <c r="BH16" s="2">
        <v>6.7692810822124569E-2</v>
      </c>
      <c r="BI16" s="2">
        <v>6.0498301626429676E-2</v>
      </c>
      <c r="BJ16" s="2">
        <v>6.5265692530964259E-2</v>
      </c>
      <c r="BK16" s="2">
        <v>7.1125448738672881E-2</v>
      </c>
      <c r="BL16" s="2">
        <v>7.623047278725982E-2</v>
      </c>
      <c r="BN16" t="s">
        <v>65</v>
      </c>
      <c r="BO16" t="s">
        <v>40</v>
      </c>
      <c r="BP16" t="s">
        <v>40</v>
      </c>
      <c r="BQ16" t="s">
        <v>33</v>
      </c>
      <c r="BR16" t="s">
        <v>39</v>
      </c>
      <c r="BS16" t="s">
        <v>93</v>
      </c>
      <c r="BT16" t="s">
        <v>41</v>
      </c>
      <c r="BU16" t="s">
        <v>40</v>
      </c>
      <c r="BV16" t="s">
        <v>93</v>
      </c>
      <c r="BW16" t="s">
        <v>41</v>
      </c>
      <c r="BX16" t="s">
        <v>33</v>
      </c>
      <c r="BY16" t="s">
        <v>93</v>
      </c>
      <c r="BZ16" t="s">
        <v>39</v>
      </c>
      <c r="CA16" t="s">
        <v>93</v>
      </c>
      <c r="CB16" t="s">
        <v>33</v>
      </c>
      <c r="CC16" t="s">
        <v>41</v>
      </c>
      <c r="CD16" t="s">
        <v>39</v>
      </c>
      <c r="CE16" t="s">
        <v>41</v>
      </c>
      <c r="CF16" t="s">
        <v>33</v>
      </c>
      <c r="CG16" t="s">
        <v>40</v>
      </c>
      <c r="CH16" t="s">
        <v>29</v>
      </c>
      <c r="CI16" t="s">
        <v>39</v>
      </c>
      <c r="CJ16" t="s">
        <v>93</v>
      </c>
      <c r="CK16" t="s">
        <v>93</v>
      </c>
      <c r="CL16" t="s">
        <v>41</v>
      </c>
      <c r="CM16" t="s">
        <v>39</v>
      </c>
      <c r="CN16" t="s">
        <v>41</v>
      </c>
      <c r="CO16" t="s">
        <v>33</v>
      </c>
      <c r="CP16" t="s">
        <v>41</v>
      </c>
      <c r="CQ16" t="s">
        <v>40</v>
      </c>
      <c r="CR16" t="s">
        <v>39</v>
      </c>
    </row>
    <row r="17" spans="1:96" x14ac:dyDescent="0.35">
      <c r="A17" s="30"/>
      <c r="B17" t="s">
        <v>66</v>
      </c>
      <c r="C17" s="2">
        <v>0.22650000000000001</v>
      </c>
      <c r="D17" s="2">
        <v>0.22870000000000001</v>
      </c>
      <c r="E17" s="2">
        <v>0.2208</v>
      </c>
      <c r="F17" s="2">
        <v>0.23090000000000002</v>
      </c>
      <c r="G17" s="2">
        <v>0.22590000000000002</v>
      </c>
      <c r="H17" s="2">
        <v>0.24230000000000002</v>
      </c>
      <c r="I17" s="2">
        <v>0.2344</v>
      </c>
      <c r="J17" s="2">
        <v>0.2336</v>
      </c>
      <c r="K17" s="2">
        <v>0.22900000000000001</v>
      </c>
      <c r="L17" s="2">
        <v>0.21890000000000001</v>
      </c>
      <c r="M17" s="2">
        <v>0.2427</v>
      </c>
      <c r="N17" s="2">
        <v>0.2356</v>
      </c>
      <c r="O17" s="2">
        <v>0.2288</v>
      </c>
      <c r="P17" s="2">
        <v>0.23230000000000001</v>
      </c>
      <c r="Q17" s="2">
        <v>0.22160000000000002</v>
      </c>
      <c r="R17" s="2">
        <v>0.24000000000000002</v>
      </c>
      <c r="S17" s="2">
        <v>0.22340000000000002</v>
      </c>
      <c r="T17" s="2">
        <v>0.22160000000000002</v>
      </c>
      <c r="U17" s="2">
        <v>0.23630000000000001</v>
      </c>
      <c r="V17" s="2">
        <v>0.23040000000000002</v>
      </c>
      <c r="W17" s="2">
        <v>0.22840000000000002</v>
      </c>
      <c r="X17" s="2">
        <v>0.24030000000000001</v>
      </c>
      <c r="Y17" s="2">
        <v>0.23680000000000001</v>
      </c>
      <c r="Z17" s="2">
        <v>0.23650000000000002</v>
      </c>
      <c r="AA17" s="2">
        <v>0.2387</v>
      </c>
      <c r="AB17" s="2">
        <v>0.23500000000000001</v>
      </c>
      <c r="AC17" s="2">
        <v>0.2427</v>
      </c>
      <c r="AD17" s="2">
        <v>0.21660000000000001</v>
      </c>
      <c r="AE17" s="2">
        <v>0.223</v>
      </c>
      <c r="AF17" s="2">
        <v>0.23630000000000001</v>
      </c>
      <c r="AG17" s="1"/>
      <c r="AH17" t="s">
        <v>66</v>
      </c>
      <c r="AI17" s="14">
        <v>5.1239123522998142E-2</v>
      </c>
      <c r="AJ17" s="14">
        <v>5.5692642118046622E-2</v>
      </c>
      <c r="AK17" s="14">
        <v>3.7108885278454462E-2</v>
      </c>
      <c r="AL17" s="14">
        <v>3.3795278949967464E-2</v>
      </c>
      <c r="AM17" s="14">
        <v>4.5770557748173915E-2</v>
      </c>
      <c r="AN17" s="14">
        <v>4.9408099568483466E-2</v>
      </c>
      <c r="AO17" s="14">
        <v>2.8638675768598056E-2</v>
      </c>
      <c r="AP17" s="14">
        <v>5.4269212936757051E-2</v>
      </c>
      <c r="AQ17" s="14">
        <v>7.7483796757874326E-2</v>
      </c>
      <c r="AR17" s="14">
        <v>8.2136032241027473E-2</v>
      </c>
      <c r="AS17" s="14">
        <v>7.3077777209481914E-2</v>
      </c>
      <c r="AT17" s="14">
        <v>6.192762358833788E-2</v>
      </c>
      <c r="AU17" s="14">
        <v>6.9449046584881824E-2</v>
      </c>
      <c r="AV17" s="14">
        <v>5.7189664704943008E-2</v>
      </c>
      <c r="AW17" s="14">
        <v>6.5225793616480343E-2</v>
      </c>
      <c r="AX17" s="14">
        <v>4.1823201168789827E-2</v>
      </c>
      <c r="AY17" s="14">
        <v>6.9755704416992387E-2</v>
      </c>
      <c r="AZ17" s="14">
        <v>8.4710488877054207E-2</v>
      </c>
      <c r="BA17" s="14">
        <v>4.8647568241269791E-2</v>
      </c>
      <c r="BB17" s="14">
        <v>5.7438396647023292E-2</v>
      </c>
      <c r="BC17" s="14">
        <v>5.3831066324345596E-2</v>
      </c>
      <c r="BD17" s="14">
        <v>7.7443663145423586E-2</v>
      </c>
      <c r="BE17" s="14">
        <v>6.2446445309961844E-2</v>
      </c>
      <c r="BF17" s="14">
        <v>6.1181419670450682E-2</v>
      </c>
      <c r="BG17" s="14">
        <v>4.7138609619232434E-2</v>
      </c>
      <c r="BH17" s="14">
        <v>5.3692810822124577E-2</v>
      </c>
      <c r="BI17" s="14">
        <v>4.6498301626429685E-2</v>
      </c>
      <c r="BJ17" s="14">
        <v>5.1265692530964274E-2</v>
      </c>
      <c r="BK17" s="14">
        <v>5.7125448738672882E-2</v>
      </c>
      <c r="BL17" s="14">
        <v>6.2230472787259829E-2</v>
      </c>
      <c r="BN17" t="s">
        <v>66</v>
      </c>
      <c r="BO17" t="s">
        <v>39</v>
      </c>
      <c r="BP17" t="s">
        <v>93</v>
      </c>
      <c r="BQ17" t="s">
        <v>93</v>
      </c>
      <c r="BR17" t="s">
        <v>40</v>
      </c>
      <c r="BS17" t="s">
        <v>24</v>
      </c>
      <c r="BT17" t="s">
        <v>93</v>
      </c>
      <c r="BU17" t="s">
        <v>24</v>
      </c>
      <c r="BV17" t="s">
        <v>41</v>
      </c>
      <c r="BW17" t="s">
        <v>33</v>
      </c>
      <c r="BX17" t="s">
        <v>93</v>
      </c>
      <c r="BY17" t="s">
        <v>33</v>
      </c>
      <c r="BZ17" t="s">
        <v>40</v>
      </c>
      <c r="CA17" t="s">
        <v>93</v>
      </c>
      <c r="CB17" t="s">
        <v>29</v>
      </c>
      <c r="CC17" t="s">
        <v>40</v>
      </c>
      <c r="CD17" t="s">
        <v>39</v>
      </c>
      <c r="CE17" t="s">
        <v>39</v>
      </c>
      <c r="CF17" t="s">
        <v>24</v>
      </c>
      <c r="CG17" t="s">
        <v>41</v>
      </c>
      <c r="CH17" t="s">
        <v>39</v>
      </c>
      <c r="CI17" t="s">
        <v>93</v>
      </c>
      <c r="CJ17" t="s">
        <v>29</v>
      </c>
      <c r="CK17" t="s">
        <v>39</v>
      </c>
      <c r="CL17" t="s">
        <v>29</v>
      </c>
      <c r="CM17" t="s">
        <v>33</v>
      </c>
      <c r="CN17" t="s">
        <v>29</v>
      </c>
      <c r="CO17" t="s">
        <v>39</v>
      </c>
      <c r="CP17" t="s">
        <v>93</v>
      </c>
      <c r="CQ17" t="s">
        <v>24</v>
      </c>
      <c r="CR17" t="s">
        <v>29</v>
      </c>
    </row>
    <row r="18" spans="1:96" x14ac:dyDescent="0.35">
      <c r="A18" s="30"/>
      <c r="B18" t="s">
        <v>67</v>
      </c>
      <c r="C18" s="2">
        <v>0.187</v>
      </c>
      <c r="D18" s="2">
        <v>0.20280000000000001</v>
      </c>
      <c r="E18" s="2">
        <v>0.2031</v>
      </c>
      <c r="F18" s="2">
        <v>0.2</v>
      </c>
      <c r="G18" s="2">
        <v>0.1875</v>
      </c>
      <c r="H18" s="2">
        <v>0.2</v>
      </c>
      <c r="I18" s="2">
        <v>0.19600000000000001</v>
      </c>
      <c r="J18" s="2">
        <v>0.19570000000000001</v>
      </c>
      <c r="K18" s="2">
        <v>0.21060000000000001</v>
      </c>
      <c r="L18" s="2">
        <v>0.1817</v>
      </c>
      <c r="M18" s="2">
        <v>0.2117</v>
      </c>
      <c r="N18" s="2">
        <v>0.1792</v>
      </c>
      <c r="O18" s="2">
        <v>0.2046</v>
      </c>
      <c r="P18" s="2">
        <v>0.19989999999999999</v>
      </c>
      <c r="Q18" s="2">
        <v>0.2079</v>
      </c>
      <c r="R18" s="2">
        <v>0.18690000000000001</v>
      </c>
      <c r="S18" s="2">
        <v>0.1842</v>
      </c>
      <c r="T18" s="2">
        <v>0.18660000000000002</v>
      </c>
      <c r="U18" s="2">
        <v>0.20050000000000001</v>
      </c>
      <c r="V18" s="2">
        <v>0.2001</v>
      </c>
      <c r="W18" s="2">
        <v>0.19220000000000001</v>
      </c>
      <c r="X18" s="2">
        <v>0.19840000000000002</v>
      </c>
      <c r="Y18" s="2">
        <v>0.2036</v>
      </c>
      <c r="Z18" s="2">
        <v>0.18890000000000001</v>
      </c>
      <c r="AA18" s="2">
        <v>0.19700000000000001</v>
      </c>
      <c r="AB18" s="2">
        <v>0.2019</v>
      </c>
      <c r="AC18" s="2">
        <v>0.19789999999999999</v>
      </c>
      <c r="AD18" s="2">
        <v>0.18690000000000001</v>
      </c>
      <c r="AE18" s="2">
        <v>0.20400000000000001</v>
      </c>
      <c r="AF18" s="2">
        <v>0.1963</v>
      </c>
      <c r="AG18" s="1"/>
      <c r="AH18" t="s">
        <v>67</v>
      </c>
      <c r="AI18" s="14">
        <v>5.8239123522998142E-2</v>
      </c>
      <c r="AJ18" s="14">
        <v>6.2692642118046621E-2</v>
      </c>
      <c r="AK18" s="14">
        <v>4.4108885278454461E-2</v>
      </c>
      <c r="AL18" s="14">
        <v>4.0795278949967463E-2</v>
      </c>
      <c r="AM18" s="14">
        <v>5.2770557748173914E-2</v>
      </c>
      <c r="AN18" s="14">
        <v>5.6408099568483465E-2</v>
      </c>
      <c r="AO18" s="14">
        <v>3.5638675768598055E-2</v>
      </c>
      <c r="AP18" s="14">
        <v>6.126921293675705E-2</v>
      </c>
      <c r="AQ18" s="14">
        <v>8.4483796757874319E-2</v>
      </c>
      <c r="AR18" s="14">
        <v>8.913603224102748E-2</v>
      </c>
      <c r="AS18" s="14">
        <v>8.0077777209481921E-2</v>
      </c>
      <c r="AT18" s="14">
        <v>6.8927623588337872E-2</v>
      </c>
      <c r="AU18" s="14">
        <v>7.644904658488183E-2</v>
      </c>
      <c r="AV18" s="14">
        <v>6.4189664704943E-2</v>
      </c>
      <c r="AW18" s="14">
        <v>7.2225793616480349E-2</v>
      </c>
      <c r="AX18" s="14">
        <v>4.8823201168789826E-2</v>
      </c>
      <c r="AY18" s="14">
        <v>7.6755704416992393E-2</v>
      </c>
      <c r="AZ18" s="14">
        <v>9.17104888770542E-2</v>
      </c>
      <c r="BA18" s="14">
        <v>5.564756824126979E-2</v>
      </c>
      <c r="BB18" s="14">
        <v>6.4438396647023291E-2</v>
      </c>
      <c r="BC18" s="14">
        <v>6.0831066324345595E-2</v>
      </c>
      <c r="BD18" s="14">
        <v>8.4443663145423592E-2</v>
      </c>
      <c r="BE18" s="14">
        <v>6.9446445309961843E-2</v>
      </c>
      <c r="BF18" s="14">
        <v>6.8181419670450688E-2</v>
      </c>
      <c r="BG18" s="14">
        <v>5.4138609619232433E-2</v>
      </c>
      <c r="BH18" s="14">
        <v>6.0692810822124577E-2</v>
      </c>
      <c r="BI18" s="14">
        <v>5.3498301626429684E-2</v>
      </c>
      <c r="BJ18" s="14">
        <v>5.8265692530964273E-2</v>
      </c>
      <c r="BK18" s="14">
        <v>6.4125448738672874E-2</v>
      </c>
      <c r="BL18" s="14">
        <v>6.9230472787259828E-2</v>
      </c>
      <c r="BN18" t="s">
        <v>67</v>
      </c>
      <c r="BO18" t="s">
        <v>40</v>
      </c>
      <c r="BP18" t="s">
        <v>33</v>
      </c>
      <c r="BQ18" t="s">
        <v>24</v>
      </c>
      <c r="BR18" t="s">
        <v>24</v>
      </c>
      <c r="BS18" t="s">
        <v>93</v>
      </c>
      <c r="BT18" t="s">
        <v>40</v>
      </c>
      <c r="BU18" t="s">
        <v>39</v>
      </c>
      <c r="BV18" t="s">
        <v>33</v>
      </c>
      <c r="BW18" t="s">
        <v>41</v>
      </c>
      <c r="BX18" t="s">
        <v>24</v>
      </c>
      <c r="BY18" t="s">
        <v>39</v>
      </c>
      <c r="BZ18" t="s">
        <v>40</v>
      </c>
      <c r="CA18" t="s">
        <v>41</v>
      </c>
      <c r="CB18" t="s">
        <v>93</v>
      </c>
      <c r="CC18" t="s">
        <v>40</v>
      </c>
      <c r="CD18" t="s">
        <v>40</v>
      </c>
      <c r="CE18" t="s">
        <v>24</v>
      </c>
      <c r="CF18" t="s">
        <v>39</v>
      </c>
      <c r="CG18" t="s">
        <v>33</v>
      </c>
      <c r="CH18" t="s">
        <v>40</v>
      </c>
      <c r="CI18" t="s">
        <v>24</v>
      </c>
      <c r="CJ18" t="s">
        <v>33</v>
      </c>
      <c r="CK18" t="s">
        <v>24</v>
      </c>
      <c r="CL18" t="s">
        <v>24</v>
      </c>
      <c r="CM18" t="s">
        <v>41</v>
      </c>
      <c r="CN18" t="s">
        <v>33</v>
      </c>
      <c r="CO18" t="s">
        <v>93</v>
      </c>
      <c r="CP18" t="s">
        <v>33</v>
      </c>
      <c r="CQ18" t="s">
        <v>93</v>
      </c>
      <c r="CR18" t="s">
        <v>24</v>
      </c>
    </row>
    <row r="19" spans="1:96" x14ac:dyDescent="0.35">
      <c r="A19" s="30"/>
      <c r="B19" t="s">
        <v>68</v>
      </c>
      <c r="C19" s="2">
        <v>0.1535</v>
      </c>
      <c r="D19" s="2">
        <v>0.13859999999999997</v>
      </c>
      <c r="E19" s="2">
        <v>0.13039999999999999</v>
      </c>
      <c r="F19" s="2">
        <v>0.13779999999999998</v>
      </c>
      <c r="G19" s="2">
        <v>0.1323</v>
      </c>
      <c r="H19" s="2">
        <v>0.13179999999999997</v>
      </c>
      <c r="I19" s="2">
        <v>0.14549999999999999</v>
      </c>
      <c r="J19" s="2">
        <v>0.1399</v>
      </c>
      <c r="K19" s="2">
        <v>0.13719999999999999</v>
      </c>
      <c r="L19" s="2">
        <v>0.15809999999999999</v>
      </c>
      <c r="M19" s="2">
        <v>0.12849999999999998</v>
      </c>
      <c r="N19" s="2">
        <v>0.1482</v>
      </c>
      <c r="O19" s="2">
        <v>0.15319999999999998</v>
      </c>
      <c r="P19" s="2">
        <v>0.13999999999999999</v>
      </c>
      <c r="Q19" s="2">
        <v>0.13299999999999998</v>
      </c>
      <c r="R19" s="2">
        <v>0.14179999999999998</v>
      </c>
      <c r="S19" s="2">
        <v>0.1517</v>
      </c>
      <c r="T19" s="2">
        <v>0.15629999999999999</v>
      </c>
      <c r="U19" s="2">
        <v>0.1439</v>
      </c>
      <c r="V19" s="2">
        <v>0.1298</v>
      </c>
      <c r="W19" s="2">
        <v>0.13419999999999999</v>
      </c>
      <c r="X19" s="2">
        <v>0.13089999999999999</v>
      </c>
      <c r="Y19" s="2">
        <v>0.127</v>
      </c>
      <c r="Z19" s="2">
        <v>0.1416</v>
      </c>
      <c r="AA19" s="2">
        <v>0.14349999999999999</v>
      </c>
      <c r="AB19" s="2">
        <v>0.1298</v>
      </c>
      <c r="AC19" s="2">
        <v>0.14429999999999998</v>
      </c>
      <c r="AD19" s="2">
        <v>0.14449999999999999</v>
      </c>
      <c r="AE19" s="2">
        <v>0.15189999999999998</v>
      </c>
      <c r="AF19" s="2">
        <v>0.15539999999999998</v>
      </c>
      <c r="AG19" s="1"/>
      <c r="AH19" t="s">
        <v>68</v>
      </c>
      <c r="AI19" s="14">
        <v>4.4239123522998136E-2</v>
      </c>
      <c r="AJ19" s="14">
        <v>4.8692642118046615E-2</v>
      </c>
      <c r="AK19" s="14">
        <v>3.0108885278454456E-2</v>
      </c>
      <c r="AL19" s="14">
        <v>2.6795278949967458E-2</v>
      </c>
      <c r="AM19" s="14">
        <v>3.8770557748173909E-2</v>
      </c>
      <c r="AN19" s="14">
        <v>4.2408099568483459E-2</v>
      </c>
      <c r="AO19" s="14">
        <v>2.4638675768598052E-2</v>
      </c>
      <c r="AP19" s="14">
        <v>4.7269212936757045E-2</v>
      </c>
      <c r="AQ19" s="14">
        <v>7.048379675787432E-2</v>
      </c>
      <c r="AR19" s="14">
        <v>7.5136032241027467E-2</v>
      </c>
      <c r="AS19" s="14">
        <v>6.6077777209481908E-2</v>
      </c>
      <c r="AT19" s="14">
        <v>5.4927623588337873E-2</v>
      </c>
      <c r="AU19" s="14">
        <v>6.2449046584881818E-2</v>
      </c>
      <c r="AV19" s="14">
        <v>5.0189664704943002E-2</v>
      </c>
      <c r="AW19" s="14">
        <v>5.8225793616480344E-2</v>
      </c>
      <c r="AX19" s="14">
        <v>3.482320116878982E-2</v>
      </c>
      <c r="AY19" s="14">
        <v>6.2755704416992381E-2</v>
      </c>
      <c r="AZ19" s="14">
        <v>7.7710488877054201E-2</v>
      </c>
      <c r="BA19" s="14">
        <v>4.1647568241269785E-2</v>
      </c>
      <c r="BB19" s="14">
        <v>5.0438396647023286E-2</v>
      </c>
      <c r="BC19" s="14">
        <v>4.683106632434559E-2</v>
      </c>
      <c r="BD19" s="14">
        <v>7.044366314542358E-2</v>
      </c>
      <c r="BE19" s="14">
        <v>5.5446445309961838E-2</v>
      </c>
      <c r="BF19" s="14">
        <v>5.4181419670450676E-2</v>
      </c>
      <c r="BG19" s="14">
        <v>4.0138609619232428E-2</v>
      </c>
      <c r="BH19" s="14">
        <v>4.6692810822124571E-2</v>
      </c>
      <c r="BI19" s="14">
        <v>3.9498301626429679E-2</v>
      </c>
      <c r="BJ19" s="14">
        <v>4.4265692530964268E-2</v>
      </c>
      <c r="BK19" s="14">
        <v>5.0125448738672876E-2</v>
      </c>
      <c r="BL19" s="14">
        <v>5.5230472787259823E-2</v>
      </c>
      <c r="BN19" t="s">
        <v>68</v>
      </c>
      <c r="BO19" t="s">
        <v>29</v>
      </c>
      <c r="BP19" t="s">
        <v>39</v>
      </c>
      <c r="BQ19" t="s">
        <v>33</v>
      </c>
      <c r="BR19" t="s">
        <v>40</v>
      </c>
      <c r="BS19" t="s">
        <v>29</v>
      </c>
      <c r="BT19" t="s">
        <v>40</v>
      </c>
      <c r="BU19" t="s">
        <v>41</v>
      </c>
      <c r="BV19" t="s">
        <v>39</v>
      </c>
      <c r="BW19" t="s">
        <v>29</v>
      </c>
      <c r="BX19" t="s">
        <v>29</v>
      </c>
      <c r="BY19" t="s">
        <v>39</v>
      </c>
      <c r="BZ19" t="s">
        <v>39</v>
      </c>
      <c r="CA19" t="s">
        <v>93</v>
      </c>
      <c r="CB19" t="s">
        <v>33</v>
      </c>
      <c r="CC19" t="s">
        <v>29</v>
      </c>
      <c r="CD19" t="s">
        <v>24</v>
      </c>
      <c r="CE19" t="s">
        <v>39</v>
      </c>
      <c r="CF19" t="s">
        <v>39</v>
      </c>
      <c r="CG19" t="s">
        <v>39</v>
      </c>
      <c r="CH19" t="s">
        <v>40</v>
      </c>
      <c r="CI19" t="s">
        <v>24</v>
      </c>
      <c r="CJ19" t="s">
        <v>29</v>
      </c>
      <c r="CK19" t="s">
        <v>41</v>
      </c>
      <c r="CL19" t="s">
        <v>24</v>
      </c>
      <c r="CM19" t="s">
        <v>29</v>
      </c>
      <c r="CN19" t="s">
        <v>33</v>
      </c>
      <c r="CO19" t="s">
        <v>29</v>
      </c>
      <c r="CP19" t="s">
        <v>29</v>
      </c>
      <c r="CQ19" t="s">
        <v>40</v>
      </c>
      <c r="CR19" t="s">
        <v>41</v>
      </c>
    </row>
    <row r="20" spans="1:96" x14ac:dyDescent="0.35">
      <c r="A20" s="37"/>
      <c r="B20" t="s">
        <v>69</v>
      </c>
      <c r="C20" s="1">
        <f>1-SUM(C16:C19)</f>
        <v>0.14810000000000012</v>
      </c>
      <c r="D20" s="1">
        <f t="shared" ref="D20:AF20" si="34">1-SUM(D16:D19)</f>
        <v>0.13120000000000009</v>
      </c>
      <c r="E20" s="1">
        <f t="shared" si="34"/>
        <v>0.13760000000000006</v>
      </c>
      <c r="F20" s="1">
        <f t="shared" si="34"/>
        <v>0.14880000000000004</v>
      </c>
      <c r="G20" s="1">
        <f t="shared" si="34"/>
        <v>0.14439999999999997</v>
      </c>
      <c r="H20" s="1">
        <f t="shared" si="34"/>
        <v>0.13460000000000005</v>
      </c>
      <c r="I20" s="1">
        <f t="shared" si="34"/>
        <v>0.1261000000000001</v>
      </c>
      <c r="J20" s="1">
        <f t="shared" si="34"/>
        <v>0.15049999999999997</v>
      </c>
      <c r="K20" s="1">
        <f t="shared" si="34"/>
        <v>0.12460000000000004</v>
      </c>
      <c r="L20" s="1">
        <f t="shared" si="34"/>
        <v>0.13729999999999998</v>
      </c>
      <c r="M20" s="1">
        <f t="shared" si="34"/>
        <v>0.12660000000000005</v>
      </c>
      <c r="N20" s="1">
        <f t="shared" si="34"/>
        <v>0.13439999999999996</v>
      </c>
      <c r="O20" s="1">
        <f t="shared" si="34"/>
        <v>0.12790000000000001</v>
      </c>
      <c r="P20" s="1">
        <f t="shared" si="34"/>
        <v>0.13450000000000006</v>
      </c>
      <c r="Q20" s="1">
        <f t="shared" si="34"/>
        <v>0.1502</v>
      </c>
      <c r="R20" s="1">
        <f t="shared" si="34"/>
        <v>0.14400000000000013</v>
      </c>
      <c r="S20" s="1">
        <f t="shared" si="34"/>
        <v>0.13650000000000007</v>
      </c>
      <c r="T20" s="1">
        <f t="shared" si="34"/>
        <v>0.13170000000000004</v>
      </c>
      <c r="U20" s="1">
        <f t="shared" si="34"/>
        <v>0.1278999999999999</v>
      </c>
      <c r="V20" s="1">
        <f t="shared" si="34"/>
        <v>0.1341</v>
      </c>
      <c r="W20" s="1">
        <f t="shared" si="34"/>
        <v>0.14789999999999992</v>
      </c>
      <c r="X20" s="1">
        <f t="shared" si="34"/>
        <v>0.1288999999999999</v>
      </c>
      <c r="Y20" s="1">
        <f t="shared" si="34"/>
        <v>0.13240000000000007</v>
      </c>
      <c r="Z20" s="1">
        <f t="shared" si="34"/>
        <v>0.14739999999999998</v>
      </c>
      <c r="AA20" s="1">
        <f t="shared" si="34"/>
        <v>0.12539999999999996</v>
      </c>
      <c r="AB20" s="1">
        <f t="shared" si="34"/>
        <v>0.13480000000000003</v>
      </c>
      <c r="AC20" s="1">
        <f t="shared" si="34"/>
        <v>0.12530000000000008</v>
      </c>
      <c r="AD20" s="1">
        <f t="shared" si="34"/>
        <v>0.14479999999999993</v>
      </c>
      <c r="AE20" s="1">
        <f t="shared" si="34"/>
        <v>0.13570000000000015</v>
      </c>
      <c r="AF20" s="1">
        <f t="shared" si="34"/>
        <v>0.12409999999999999</v>
      </c>
      <c r="AG20" s="1"/>
      <c r="AH20" t="s">
        <v>69</v>
      </c>
      <c r="AI20" s="2">
        <v>3.7444219369207686E-2</v>
      </c>
      <c r="AJ20" s="2">
        <v>4.1897737964256165E-2</v>
      </c>
      <c r="AK20" s="2">
        <v>2.3313981124664006E-2</v>
      </c>
      <c r="AL20" s="2">
        <v>2.0000374796177008E-2</v>
      </c>
      <c r="AM20" s="2">
        <v>3.1975653594383459E-2</v>
      </c>
      <c r="AN20" s="2">
        <v>3.5613195414693009E-2</v>
      </c>
      <c r="AO20" s="2">
        <v>2.0843771614807605E-2</v>
      </c>
      <c r="AP20" s="2">
        <v>4.0474308782966595E-2</v>
      </c>
      <c r="AQ20" s="2">
        <v>6.3688892604083863E-2</v>
      </c>
      <c r="AR20" s="2">
        <v>6.8341128087237024E-2</v>
      </c>
      <c r="AS20" s="2">
        <v>5.9282873055691465E-2</v>
      </c>
      <c r="AT20" s="2">
        <v>4.8132719434547423E-2</v>
      </c>
      <c r="AU20" s="2">
        <v>5.5654142431091368E-2</v>
      </c>
      <c r="AV20" s="2">
        <v>4.3394760551152552E-2</v>
      </c>
      <c r="AW20" s="2">
        <v>5.1430889462689894E-2</v>
      </c>
      <c r="AX20" s="2">
        <v>2.802829701499937E-2</v>
      </c>
      <c r="AY20" s="2">
        <v>5.5960800263201931E-2</v>
      </c>
      <c r="AZ20" s="2">
        <v>7.0915584723263744E-2</v>
      </c>
      <c r="BA20" s="2">
        <v>3.4852664087479335E-2</v>
      </c>
      <c r="BB20" s="2">
        <v>4.3643492493232836E-2</v>
      </c>
      <c r="BC20" s="2">
        <v>4.003616217055514E-2</v>
      </c>
      <c r="BD20" s="2">
        <v>6.3648758991633136E-2</v>
      </c>
      <c r="BE20" s="2">
        <v>4.8651541156171388E-2</v>
      </c>
      <c r="BF20" s="2">
        <v>4.7386515516660226E-2</v>
      </c>
      <c r="BG20" s="2">
        <v>3.3343705465441978E-2</v>
      </c>
      <c r="BH20" s="2">
        <v>3.9897906668334121E-2</v>
      </c>
      <c r="BI20" s="2">
        <v>3.2703397472639228E-2</v>
      </c>
      <c r="BJ20" s="2">
        <v>3.7470788377173818E-2</v>
      </c>
      <c r="BK20" s="2">
        <v>4.3330544584882426E-2</v>
      </c>
      <c r="BL20" s="2">
        <v>4.8435568633469372E-2</v>
      </c>
      <c r="BN20" t="s">
        <v>69</v>
      </c>
      <c r="BO20" t="s">
        <v>39</v>
      </c>
      <c r="BP20" t="s">
        <v>29</v>
      </c>
      <c r="BQ20" t="s">
        <v>29</v>
      </c>
      <c r="BR20" t="s">
        <v>24</v>
      </c>
      <c r="BS20" t="s">
        <v>33</v>
      </c>
      <c r="BT20" t="s">
        <v>29</v>
      </c>
      <c r="BU20" t="s">
        <v>39</v>
      </c>
      <c r="BV20" t="s">
        <v>39</v>
      </c>
      <c r="BW20" t="s">
        <v>39</v>
      </c>
      <c r="BX20" t="s">
        <v>24</v>
      </c>
      <c r="BY20" t="s">
        <v>93</v>
      </c>
      <c r="BZ20" t="s">
        <v>33</v>
      </c>
      <c r="CA20" t="s">
        <v>39</v>
      </c>
      <c r="CB20" t="s">
        <v>33</v>
      </c>
      <c r="CC20" t="s">
        <v>24</v>
      </c>
      <c r="CD20" t="s">
        <v>39</v>
      </c>
      <c r="CE20" t="s">
        <v>33</v>
      </c>
      <c r="CF20" t="s">
        <v>41</v>
      </c>
      <c r="CG20" t="s">
        <v>39</v>
      </c>
      <c r="CH20" t="s">
        <v>33</v>
      </c>
      <c r="CI20" t="s">
        <v>41</v>
      </c>
      <c r="CJ20" t="s">
        <v>33</v>
      </c>
      <c r="CK20" t="s">
        <v>39</v>
      </c>
      <c r="CL20" t="s">
        <v>29</v>
      </c>
      <c r="CM20" t="s">
        <v>29</v>
      </c>
      <c r="CN20" t="s">
        <v>93</v>
      </c>
      <c r="CO20" t="s">
        <v>39</v>
      </c>
      <c r="CP20" t="s">
        <v>39</v>
      </c>
      <c r="CQ20" t="s">
        <v>33</v>
      </c>
      <c r="CR20" t="s">
        <v>41</v>
      </c>
    </row>
    <row r="21" spans="1:96" x14ac:dyDescent="0.35">
      <c r="A21" s="30"/>
      <c r="C21" s="6"/>
      <c r="D21" s="6"/>
      <c r="E21" s="1"/>
      <c r="F21" s="1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1"/>
      <c r="AA21" s="1"/>
      <c r="AB21" s="4"/>
      <c r="AC21" s="1"/>
      <c r="AD21" s="1"/>
      <c r="AE21" s="1"/>
      <c r="AF21" s="1"/>
      <c r="AG21" s="1"/>
      <c r="AI21" s="1">
        <f>AI22-AI$2</f>
        <v>0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</row>
    <row r="22" spans="1:96" x14ac:dyDescent="0.35">
      <c r="A22" s="30"/>
      <c r="B22" s="5" t="s">
        <v>70</v>
      </c>
      <c r="C22" s="6"/>
      <c r="D22" s="6"/>
      <c r="E22" s="1"/>
      <c r="F22" s="1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1"/>
      <c r="AA22" s="1"/>
      <c r="AB22" s="4"/>
      <c r="AC22" s="1"/>
      <c r="AD22" s="1"/>
      <c r="AE22" s="1"/>
      <c r="AF22" s="1"/>
      <c r="AG22" s="1"/>
      <c r="AH22" s="5" t="s">
        <v>70</v>
      </c>
      <c r="AI22" s="2">
        <f>SUMPRODUCT(AI23:AI24,C23:C24)</f>
        <v>5.3419198217821776E-2</v>
      </c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N22" s="5" t="s">
        <v>70</v>
      </c>
    </row>
    <row r="23" spans="1:96" x14ac:dyDescent="0.35">
      <c r="A23" s="30"/>
      <c r="B23" t="s">
        <v>71</v>
      </c>
      <c r="C23" s="2">
        <v>0.69289999999999996</v>
      </c>
      <c r="D23" s="2">
        <v>0.6865</v>
      </c>
      <c r="E23" s="2">
        <v>0.70749999999999991</v>
      </c>
      <c r="F23" s="2">
        <v>0.68719999999999992</v>
      </c>
      <c r="G23" s="2">
        <v>0.70009999999999994</v>
      </c>
      <c r="H23" s="2">
        <v>0.68409999999999993</v>
      </c>
      <c r="I23" s="2">
        <v>0.68659999999999999</v>
      </c>
      <c r="J23" s="2">
        <v>0.70229999999999992</v>
      </c>
      <c r="K23" s="2">
        <v>0.68519999999999992</v>
      </c>
      <c r="L23" s="2">
        <v>0.68769999999999998</v>
      </c>
      <c r="M23" s="2">
        <v>0.68809999999999993</v>
      </c>
      <c r="N23" s="2">
        <v>0.70659999999999989</v>
      </c>
      <c r="O23" s="2">
        <v>0.69209999999999994</v>
      </c>
      <c r="P23" s="2">
        <v>0.69979999999999998</v>
      </c>
      <c r="Q23" s="2">
        <v>0.70229999999999992</v>
      </c>
      <c r="R23" s="2">
        <v>0.70760000000000001</v>
      </c>
      <c r="S23" s="2">
        <v>0.69569999999999999</v>
      </c>
      <c r="T23" s="2">
        <v>0.70849999999999991</v>
      </c>
      <c r="U23" s="2">
        <v>0.70189999999999997</v>
      </c>
      <c r="V23" s="2">
        <v>0.71029999999999993</v>
      </c>
      <c r="W23" s="2">
        <v>0.70789999999999997</v>
      </c>
      <c r="X23" s="2">
        <v>0.68059999999999998</v>
      </c>
      <c r="Y23" s="2">
        <v>0.70849999999999991</v>
      </c>
      <c r="Z23" s="2">
        <v>0.70419999999999994</v>
      </c>
      <c r="AA23" s="2">
        <v>0.69569999999999999</v>
      </c>
      <c r="AB23" s="2">
        <v>0.69519999999999993</v>
      </c>
      <c r="AC23" s="2">
        <v>0.68309999999999993</v>
      </c>
      <c r="AD23" s="2">
        <v>0.70629999999999993</v>
      </c>
      <c r="AE23" s="2">
        <v>0.70789999999999997</v>
      </c>
      <c r="AF23" s="2">
        <v>0.6875</v>
      </c>
      <c r="AG23" s="1"/>
      <c r="AH23" t="s">
        <v>71</v>
      </c>
      <c r="AI23" s="14">
        <v>5.8025698217821775E-2</v>
      </c>
      <c r="AJ23" s="14">
        <v>6.3216450693069304E-2</v>
      </c>
      <c r="AK23" s="14">
        <v>4.4420506466892898E-2</v>
      </c>
      <c r="AL23" s="14">
        <v>4.082499721188345E-2</v>
      </c>
      <c r="AM23" s="14">
        <v>5.3002073588366574E-2</v>
      </c>
      <c r="AN23" s="14">
        <v>5.684540546938327E-2</v>
      </c>
      <c r="AO23" s="14">
        <v>3.6125638354805083E-2</v>
      </c>
      <c r="AP23" s="14">
        <v>6.0973379861611582E-2</v>
      </c>
      <c r="AQ23" s="14">
        <v>8.5181151700312041E-2</v>
      </c>
      <c r="AR23" s="14">
        <v>8.934769190071204E-2</v>
      </c>
      <c r="AS23" s="14">
        <v>8.0659242343612048E-2</v>
      </c>
      <c r="AT23" s="14">
        <v>6.8927988470068438E-2</v>
      </c>
      <c r="AU23" s="14">
        <v>7.6659978343612017E-2</v>
      </c>
      <c r="AV23" s="14">
        <v>6.4362750096258192E-2</v>
      </c>
      <c r="AW23" s="14">
        <v>7.2165799012581008E-2</v>
      </c>
      <c r="AX23" s="14">
        <v>4.8560634970644001E-2</v>
      </c>
      <c r="AY23" s="14">
        <v>7.6923499999999992E-2</v>
      </c>
      <c r="AZ23" s="14">
        <v>9.1731499999999994E-2</v>
      </c>
      <c r="BA23" s="14">
        <v>5.5830499999999984E-2</v>
      </c>
      <c r="BB23" s="14">
        <v>6.4704499999999998E-2</v>
      </c>
      <c r="BC23" s="14">
        <v>6.0740499999999989E-2</v>
      </c>
      <c r="BD23" s="14">
        <v>8.5149999999999976E-2</v>
      </c>
      <c r="BE23" s="14">
        <v>6.9731499999999988E-2</v>
      </c>
      <c r="BF23" s="14">
        <v>6.7914550798181955E-2</v>
      </c>
      <c r="BG23" s="14">
        <v>5.4483328638347102E-2</v>
      </c>
      <c r="BH23" s="14">
        <v>6.1088957742193618E-2</v>
      </c>
      <c r="BI23" s="14">
        <v>5.3955700135959739E-2</v>
      </c>
      <c r="BJ23" s="14">
        <v>5.8271290409495406E-2</v>
      </c>
      <c r="BK23" s="14">
        <v>6.3995280245003533E-2</v>
      </c>
      <c r="BL23" s="14">
        <v>6.9522925181774428E-2</v>
      </c>
      <c r="BN23" t="s">
        <v>71</v>
      </c>
      <c r="BO23" t="s">
        <v>41</v>
      </c>
      <c r="BP23" t="s">
        <v>93</v>
      </c>
      <c r="BQ23" t="s">
        <v>93</v>
      </c>
      <c r="BR23" t="s">
        <v>24</v>
      </c>
      <c r="BS23" t="s">
        <v>41</v>
      </c>
      <c r="BT23" t="s">
        <v>39</v>
      </c>
      <c r="BU23" t="s">
        <v>40</v>
      </c>
      <c r="BV23" t="s">
        <v>93</v>
      </c>
      <c r="BW23" t="s">
        <v>29</v>
      </c>
      <c r="BX23" t="s">
        <v>41</v>
      </c>
      <c r="BY23" t="s">
        <v>39</v>
      </c>
      <c r="BZ23" t="s">
        <v>93</v>
      </c>
      <c r="CA23" t="s">
        <v>40</v>
      </c>
      <c r="CB23" t="s">
        <v>24</v>
      </c>
      <c r="CC23" t="s">
        <v>93</v>
      </c>
      <c r="CD23" t="s">
        <v>24</v>
      </c>
      <c r="CE23" t="s">
        <v>33</v>
      </c>
      <c r="CF23" t="s">
        <v>24</v>
      </c>
      <c r="CG23" t="s">
        <v>29</v>
      </c>
      <c r="CH23" t="s">
        <v>93</v>
      </c>
      <c r="CI23" t="s">
        <v>29</v>
      </c>
      <c r="CJ23" t="s">
        <v>40</v>
      </c>
      <c r="CK23" t="s">
        <v>93</v>
      </c>
      <c r="CL23" t="s">
        <v>41</v>
      </c>
      <c r="CM23" t="s">
        <v>33</v>
      </c>
      <c r="CN23" t="s">
        <v>29</v>
      </c>
      <c r="CO23" t="s">
        <v>29</v>
      </c>
      <c r="CP23" t="s">
        <v>40</v>
      </c>
      <c r="CQ23" t="s">
        <v>93</v>
      </c>
      <c r="CR23" t="s">
        <v>29</v>
      </c>
    </row>
    <row r="24" spans="1:96" x14ac:dyDescent="0.35">
      <c r="A24" s="30"/>
      <c r="B24" t="s">
        <v>72</v>
      </c>
      <c r="C24" s="6">
        <f>1-C23</f>
        <v>0.30710000000000004</v>
      </c>
      <c r="D24" s="6">
        <f t="shared" ref="D24:AF24" si="35">1-D23</f>
        <v>0.3135</v>
      </c>
      <c r="E24" s="6">
        <f t="shared" si="35"/>
        <v>0.29250000000000009</v>
      </c>
      <c r="F24" s="6">
        <f t="shared" si="35"/>
        <v>0.31280000000000008</v>
      </c>
      <c r="G24" s="6">
        <f t="shared" si="35"/>
        <v>0.29990000000000006</v>
      </c>
      <c r="H24" s="6">
        <f t="shared" si="35"/>
        <v>0.31590000000000007</v>
      </c>
      <c r="I24" s="6">
        <f t="shared" si="35"/>
        <v>0.31340000000000001</v>
      </c>
      <c r="J24" s="6">
        <f t="shared" si="35"/>
        <v>0.29770000000000008</v>
      </c>
      <c r="K24" s="6">
        <f t="shared" si="35"/>
        <v>0.31480000000000008</v>
      </c>
      <c r="L24" s="6">
        <f t="shared" si="35"/>
        <v>0.31230000000000002</v>
      </c>
      <c r="M24" s="6">
        <f t="shared" si="35"/>
        <v>0.31190000000000007</v>
      </c>
      <c r="N24" s="6">
        <f t="shared" si="35"/>
        <v>0.29340000000000011</v>
      </c>
      <c r="O24" s="6">
        <f t="shared" si="35"/>
        <v>0.30790000000000006</v>
      </c>
      <c r="P24" s="6">
        <f t="shared" si="35"/>
        <v>0.30020000000000002</v>
      </c>
      <c r="Q24" s="6">
        <f t="shared" si="35"/>
        <v>0.29770000000000008</v>
      </c>
      <c r="R24" s="6">
        <f t="shared" si="35"/>
        <v>0.29239999999999999</v>
      </c>
      <c r="S24" s="6">
        <f t="shared" si="35"/>
        <v>0.30430000000000001</v>
      </c>
      <c r="T24" s="6">
        <f t="shared" si="35"/>
        <v>0.29150000000000009</v>
      </c>
      <c r="U24" s="6">
        <f t="shared" si="35"/>
        <v>0.29810000000000003</v>
      </c>
      <c r="V24" s="6">
        <f t="shared" si="35"/>
        <v>0.28970000000000007</v>
      </c>
      <c r="W24" s="6">
        <f t="shared" si="35"/>
        <v>0.29210000000000003</v>
      </c>
      <c r="X24" s="6">
        <f t="shared" si="35"/>
        <v>0.31940000000000002</v>
      </c>
      <c r="Y24" s="6">
        <f t="shared" si="35"/>
        <v>0.29150000000000009</v>
      </c>
      <c r="Z24" s="6">
        <f t="shared" si="35"/>
        <v>0.29580000000000006</v>
      </c>
      <c r="AA24" s="6">
        <f t="shared" si="35"/>
        <v>0.30430000000000001</v>
      </c>
      <c r="AB24" s="6">
        <f t="shared" si="35"/>
        <v>0.30480000000000007</v>
      </c>
      <c r="AC24" s="6">
        <f t="shared" si="35"/>
        <v>0.31690000000000007</v>
      </c>
      <c r="AD24" s="6">
        <f t="shared" si="35"/>
        <v>0.29370000000000007</v>
      </c>
      <c r="AE24" s="6">
        <f t="shared" si="35"/>
        <v>0.29210000000000003</v>
      </c>
      <c r="AF24" s="6">
        <f t="shared" si="35"/>
        <v>0.3125</v>
      </c>
      <c r="AG24" s="1"/>
      <c r="AH24" t="s">
        <v>72</v>
      </c>
      <c r="AI24" s="14">
        <v>4.3025698217821776E-2</v>
      </c>
      <c r="AJ24" s="14">
        <v>4.8216450693069304E-2</v>
      </c>
      <c r="AK24" s="14">
        <v>2.9420506466892898E-2</v>
      </c>
      <c r="AL24" s="14">
        <v>2.5824997211883451E-2</v>
      </c>
      <c r="AM24" s="14">
        <v>3.8002073588366575E-2</v>
      </c>
      <c r="AN24" s="14">
        <v>4.1845405469383271E-2</v>
      </c>
      <c r="AO24" s="14">
        <v>2.1125638354805083E-2</v>
      </c>
      <c r="AP24" s="14">
        <v>4.5973379861611582E-2</v>
      </c>
      <c r="AQ24" s="14">
        <v>7.0181151700312042E-2</v>
      </c>
      <c r="AR24" s="14">
        <v>7.4347691900712026E-2</v>
      </c>
      <c r="AS24" s="14">
        <v>6.5659242343612048E-2</v>
      </c>
      <c r="AT24" s="14">
        <v>5.3927988470068439E-2</v>
      </c>
      <c r="AU24" s="14">
        <v>6.1659978343612018E-2</v>
      </c>
      <c r="AV24" s="14">
        <v>4.9362750096258186E-2</v>
      </c>
      <c r="AW24" s="14">
        <v>5.7165799012581009E-2</v>
      </c>
      <c r="AX24" s="14">
        <v>3.3560634970644002E-2</v>
      </c>
      <c r="AY24" s="14">
        <v>6.1923499999999992E-2</v>
      </c>
      <c r="AZ24" s="14">
        <v>7.6731499999999994E-2</v>
      </c>
      <c r="BA24" s="14">
        <v>4.0830499999999985E-2</v>
      </c>
      <c r="BB24" s="14">
        <v>4.9704499999999992E-2</v>
      </c>
      <c r="BC24" s="14">
        <v>4.5740499999999989E-2</v>
      </c>
      <c r="BD24" s="14">
        <v>7.014999999999999E-2</v>
      </c>
      <c r="BE24" s="14">
        <v>5.4731499999999988E-2</v>
      </c>
      <c r="BF24" s="14">
        <v>5.2914550798181956E-2</v>
      </c>
      <c r="BG24" s="14">
        <v>3.9483328638347102E-2</v>
      </c>
      <c r="BH24" s="14">
        <v>4.6088957742193619E-2</v>
      </c>
      <c r="BI24" s="14">
        <v>3.8955700135959739E-2</v>
      </c>
      <c r="BJ24" s="14">
        <v>4.3271290409495407E-2</v>
      </c>
      <c r="BK24" s="14">
        <v>4.8995280245003527E-2</v>
      </c>
      <c r="BL24" s="14">
        <v>5.4522925181774429E-2</v>
      </c>
      <c r="BN24" t="s">
        <v>72</v>
      </c>
      <c r="BO24" t="s">
        <v>29</v>
      </c>
      <c r="BP24" t="s">
        <v>39</v>
      </c>
      <c r="BQ24" t="s">
        <v>29</v>
      </c>
      <c r="BR24" t="s">
        <v>39</v>
      </c>
      <c r="BS24" t="s">
        <v>33</v>
      </c>
      <c r="BT24" t="s">
        <v>24</v>
      </c>
      <c r="BU24" t="s">
        <v>24</v>
      </c>
      <c r="BV24" t="s">
        <v>24</v>
      </c>
      <c r="BW24" t="s">
        <v>39</v>
      </c>
      <c r="BX24" t="s">
        <v>41</v>
      </c>
      <c r="BY24" t="s">
        <v>41</v>
      </c>
      <c r="BZ24" t="s">
        <v>33</v>
      </c>
      <c r="CA24" t="s">
        <v>41</v>
      </c>
      <c r="CB24" t="s">
        <v>33</v>
      </c>
      <c r="CC24" t="s">
        <v>39</v>
      </c>
      <c r="CD24" t="s">
        <v>40</v>
      </c>
      <c r="CE24" t="s">
        <v>93</v>
      </c>
      <c r="CF24" t="s">
        <v>40</v>
      </c>
      <c r="CG24" t="s">
        <v>41</v>
      </c>
      <c r="CH24" t="s">
        <v>40</v>
      </c>
      <c r="CI24" t="s">
        <v>29</v>
      </c>
      <c r="CJ24" t="s">
        <v>24</v>
      </c>
      <c r="CK24" t="s">
        <v>40</v>
      </c>
      <c r="CL24" t="s">
        <v>93</v>
      </c>
      <c r="CM24" t="s">
        <v>29</v>
      </c>
      <c r="CN24" t="s">
        <v>39</v>
      </c>
      <c r="CO24" t="s">
        <v>33</v>
      </c>
      <c r="CP24" t="s">
        <v>29</v>
      </c>
      <c r="CQ24" t="s">
        <v>29</v>
      </c>
      <c r="CR24" t="s">
        <v>29</v>
      </c>
    </row>
    <row r="25" spans="1:96" x14ac:dyDescent="0.35">
      <c r="A25" s="37"/>
      <c r="C25" s="1"/>
      <c r="D25" s="1"/>
      <c r="E25" s="1"/>
      <c r="F25" s="1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1"/>
      <c r="AA25" s="1"/>
      <c r="AB25" s="4"/>
      <c r="AC25" s="1"/>
      <c r="AD25" s="1"/>
      <c r="AE25" s="1"/>
      <c r="AF25" s="1"/>
      <c r="AG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</row>
    <row r="26" spans="1:96" x14ac:dyDescent="0.35">
      <c r="B26" s="5" t="s">
        <v>104</v>
      </c>
      <c r="C26" s="30"/>
      <c r="D26" s="30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6"/>
      <c r="AA26" s="2"/>
      <c r="AB26" s="2"/>
      <c r="AC26" s="2"/>
      <c r="AD26" s="2"/>
      <c r="AE26" s="2"/>
      <c r="AF26" s="2"/>
      <c r="AH26" s="5" t="s">
        <v>104</v>
      </c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N26" s="5" t="s">
        <v>104</v>
      </c>
    </row>
    <row r="27" spans="1:96" x14ac:dyDescent="0.35">
      <c r="A27" s="10"/>
      <c r="B27" t="s">
        <v>105</v>
      </c>
      <c r="C27" s="10">
        <v>0.75080000000000002</v>
      </c>
      <c r="D27" s="10">
        <v>0.76019999999999999</v>
      </c>
      <c r="E27" s="10">
        <v>0.75396039603960396</v>
      </c>
      <c r="F27" s="10">
        <v>0.74380000000000002</v>
      </c>
      <c r="G27" s="10">
        <v>0.76570000000000005</v>
      </c>
      <c r="H27" s="10">
        <v>0.75973380680000002</v>
      </c>
      <c r="I27" s="10">
        <v>0.75449999999999995</v>
      </c>
      <c r="J27" s="10">
        <v>0.76090000000000002</v>
      </c>
      <c r="K27" s="10">
        <v>0.74690000000000001</v>
      </c>
      <c r="L27" s="10">
        <v>0.73803832000000003</v>
      </c>
      <c r="M27" s="10">
        <v>0.75819999999999999</v>
      </c>
      <c r="N27" s="10">
        <v>0.75027951999999998</v>
      </c>
      <c r="O27" s="10">
        <v>0.7661</v>
      </c>
      <c r="P27" s="10">
        <v>0.75570000000000004</v>
      </c>
      <c r="Q27" s="10">
        <v>0.74984291720000007</v>
      </c>
      <c r="R27" s="10">
        <v>0.74690000000000001</v>
      </c>
      <c r="S27" s="10">
        <v>0.75529999999999997</v>
      </c>
      <c r="T27" s="10">
        <v>0.76160000000000005</v>
      </c>
      <c r="U27" s="10">
        <v>0.74869999999999992</v>
      </c>
      <c r="V27" s="10">
        <v>0.75459999999999994</v>
      </c>
      <c r="W27" s="10">
        <v>0.76225346277495132</v>
      </c>
      <c r="X27" s="10">
        <v>0.74070000000000003</v>
      </c>
      <c r="Y27" s="10">
        <v>0.73750000000000004</v>
      </c>
      <c r="Z27" s="10">
        <v>0.7661</v>
      </c>
      <c r="AA27" s="10">
        <v>0.74659999999999993</v>
      </c>
      <c r="AB27" s="10">
        <v>0.75390000000000001</v>
      </c>
      <c r="AC27" s="10">
        <v>0.76800000000000002</v>
      </c>
      <c r="AD27" s="10">
        <v>0.75970000000000004</v>
      </c>
      <c r="AE27" s="10">
        <v>0.74480000000000002</v>
      </c>
      <c r="AF27" s="10">
        <v>0.75472992843838838</v>
      </c>
      <c r="AH27" t="s">
        <v>105</v>
      </c>
      <c r="AI27" s="2">
        <v>5.1390005197529641E-2</v>
      </c>
      <c r="AJ27" s="2">
        <v>5.6561300266640531E-2</v>
      </c>
      <c r="AK27" s="2">
        <v>3.8029548011548293E-2</v>
      </c>
      <c r="AL27" s="2">
        <v>3.404680438765053E-2</v>
      </c>
      <c r="AM27" s="2">
        <v>4.6595708722176978E-2</v>
      </c>
      <c r="AN27" s="2">
        <v>5.0150458911383269E-2</v>
      </c>
      <c r="AO27" s="2">
        <v>2.9425573802310229E-2</v>
      </c>
      <c r="AP27" s="2">
        <v>5.456092941557688E-2</v>
      </c>
      <c r="AQ27" s="2">
        <v>7.8398201646395757E-2</v>
      </c>
      <c r="AR27" s="2">
        <v>8.2530082700712035E-2</v>
      </c>
      <c r="AS27" s="2">
        <v>7.4011806258914459E-2</v>
      </c>
      <c r="AT27" s="2">
        <v>6.2493557270068438E-2</v>
      </c>
      <c r="AU27" s="2">
        <v>7.0136870609076196E-2</v>
      </c>
      <c r="AV27" s="2">
        <v>5.7870456938724606E-2</v>
      </c>
      <c r="AW27" s="2">
        <v>6.5663312630581006E-2</v>
      </c>
      <c r="AX27" s="2">
        <v>4.211368491672772E-2</v>
      </c>
      <c r="AY27" s="2">
        <v>7.0366449710812656E-2</v>
      </c>
      <c r="AZ27" s="2">
        <v>8.5417749534359363E-2</v>
      </c>
      <c r="BA27" s="2">
        <v>4.9312707038525624E-2</v>
      </c>
      <c r="BB27" s="2">
        <v>5.8360749730418583E-2</v>
      </c>
      <c r="BC27" s="2">
        <v>5.4423070570081479E-2</v>
      </c>
      <c r="BD27" s="2">
        <v>7.8247564405450443E-2</v>
      </c>
      <c r="BE27" s="2">
        <v>6.3221507352220346E-2</v>
      </c>
      <c r="BF27" s="2">
        <v>6.1572943063646128E-2</v>
      </c>
      <c r="BG27" s="2">
        <v>4.7855435735690496E-2</v>
      </c>
      <c r="BH27" s="2">
        <v>5.4513007492218123E-2</v>
      </c>
      <c r="BI27" s="2">
        <v>4.7313063776779268E-2</v>
      </c>
      <c r="BJ27" s="2">
        <v>5.1909068568499424E-2</v>
      </c>
      <c r="BK27" s="2">
        <v>5.7535730249905007E-2</v>
      </c>
      <c r="BL27" s="2">
        <v>6.2838232897266505E-2</v>
      </c>
      <c r="BN27" t="s">
        <v>105</v>
      </c>
      <c r="BO27" t="s">
        <v>29</v>
      </c>
      <c r="BP27" t="s">
        <v>41</v>
      </c>
      <c r="BQ27" t="s">
        <v>93</v>
      </c>
      <c r="BR27" t="s">
        <v>93</v>
      </c>
      <c r="BS27" t="s">
        <v>40</v>
      </c>
      <c r="BT27" t="s">
        <v>40</v>
      </c>
      <c r="BU27" t="s">
        <v>29</v>
      </c>
      <c r="BV27" t="s">
        <v>29</v>
      </c>
      <c r="BW27" t="s">
        <v>33</v>
      </c>
      <c r="BX27" t="s">
        <v>93</v>
      </c>
      <c r="BY27" t="s">
        <v>29</v>
      </c>
      <c r="BZ27" t="s">
        <v>29</v>
      </c>
      <c r="CA27" t="s">
        <v>33</v>
      </c>
      <c r="CB27" t="s">
        <v>40</v>
      </c>
      <c r="CC27" t="s">
        <v>39</v>
      </c>
      <c r="CD27" t="s">
        <v>24</v>
      </c>
      <c r="CE27" t="s">
        <v>93</v>
      </c>
      <c r="CF27" t="s">
        <v>24</v>
      </c>
      <c r="CG27" t="s">
        <v>39</v>
      </c>
      <c r="CH27" t="s">
        <v>93</v>
      </c>
      <c r="CI27" t="s">
        <v>41</v>
      </c>
      <c r="CJ27" t="s">
        <v>40</v>
      </c>
      <c r="CK27" t="s">
        <v>40</v>
      </c>
      <c r="CL27" t="s">
        <v>24</v>
      </c>
      <c r="CM27" t="s">
        <v>93</v>
      </c>
      <c r="CN27" t="s">
        <v>41</v>
      </c>
      <c r="CO27" t="s">
        <v>29</v>
      </c>
      <c r="CP27" t="s">
        <v>39</v>
      </c>
      <c r="CQ27" t="s">
        <v>29</v>
      </c>
      <c r="CR27" t="s">
        <v>29</v>
      </c>
    </row>
    <row r="28" spans="1:96" x14ac:dyDescent="0.35">
      <c r="A28" s="10"/>
      <c r="B28" t="s">
        <v>106</v>
      </c>
      <c r="C28" s="30">
        <v>0.2492</v>
      </c>
      <c r="D28" s="30">
        <v>0.23979999999999999</v>
      </c>
      <c r="E28" s="30">
        <v>0.24603960396039604</v>
      </c>
      <c r="F28" s="30">
        <v>0.25619999999999998</v>
      </c>
      <c r="G28" s="30">
        <v>0.23430000000000001</v>
      </c>
      <c r="H28" s="30">
        <v>0.24026619319999998</v>
      </c>
      <c r="I28" s="30">
        <v>0.2455</v>
      </c>
      <c r="J28" s="30">
        <v>0.23910000000000001</v>
      </c>
      <c r="K28" s="30">
        <v>0.25309999999999999</v>
      </c>
      <c r="L28" s="30">
        <v>0.26196167999999997</v>
      </c>
      <c r="M28" s="30">
        <v>0.24179999999999999</v>
      </c>
      <c r="N28" s="30">
        <v>0.24972047999999999</v>
      </c>
      <c r="O28" s="30">
        <v>0.2339</v>
      </c>
      <c r="P28" s="30">
        <v>0.24429999999999999</v>
      </c>
      <c r="Q28" s="30">
        <v>0.25015708279999999</v>
      </c>
      <c r="R28" s="30">
        <v>0.25309999999999999</v>
      </c>
      <c r="S28" s="30">
        <v>0.2447</v>
      </c>
      <c r="T28" s="30">
        <v>0.2384</v>
      </c>
      <c r="U28" s="30">
        <v>0.25130000000000002</v>
      </c>
      <c r="V28" s="30">
        <v>0.24540000000000001</v>
      </c>
      <c r="W28" s="30">
        <v>0.23774653722504874</v>
      </c>
      <c r="X28" s="30">
        <v>0.25929999999999997</v>
      </c>
      <c r="Y28" s="30">
        <v>0.26250000000000001</v>
      </c>
      <c r="Z28" s="30">
        <v>0.2339</v>
      </c>
      <c r="AA28" s="30">
        <v>0.25340000000000001</v>
      </c>
      <c r="AB28" s="30">
        <v>0.24609999999999999</v>
      </c>
      <c r="AC28" s="30">
        <v>0.23199999999999998</v>
      </c>
      <c r="AD28" s="30">
        <v>0.24029999999999999</v>
      </c>
      <c r="AE28" s="30">
        <v>0.25519999999999998</v>
      </c>
      <c r="AF28" s="30">
        <v>0.24527007156161157</v>
      </c>
      <c r="AH28" t="s">
        <v>106</v>
      </c>
      <c r="AI28" s="2">
        <v>5.9532834331928228E-2</v>
      </c>
      <c r="AJ28" s="2">
        <v>6.4704129401039118E-2</v>
      </c>
      <c r="AK28" s="2">
        <v>4.617237714594688E-2</v>
      </c>
      <c r="AL28" s="2">
        <v>4.2189633522049116E-2</v>
      </c>
      <c r="AM28" s="2">
        <v>5.4738537856575564E-2</v>
      </c>
      <c r="AN28" s="2">
        <v>5.8293288045781856E-2</v>
      </c>
      <c r="AO28" s="2">
        <v>3.7568402936708815E-2</v>
      </c>
      <c r="AP28" s="2">
        <v>6.2703758549975466E-2</v>
      </c>
      <c r="AQ28" s="2">
        <v>8.6541030780794337E-2</v>
      </c>
      <c r="AR28" s="2">
        <v>9.0672911835110614E-2</v>
      </c>
      <c r="AS28" s="2">
        <v>8.2154635393313052E-2</v>
      </c>
      <c r="AT28" s="2">
        <v>7.0636386404467025E-2</v>
      </c>
      <c r="AU28" s="2">
        <v>7.8279699743474776E-2</v>
      </c>
      <c r="AV28" s="2">
        <v>6.6013286073123192E-2</v>
      </c>
      <c r="AW28" s="2">
        <v>7.3806141764979599E-2</v>
      </c>
      <c r="AX28" s="2">
        <v>5.0256514051126307E-2</v>
      </c>
      <c r="AY28" s="2">
        <v>7.850927884521125E-2</v>
      </c>
      <c r="AZ28" s="2">
        <v>9.3560578668757943E-2</v>
      </c>
      <c r="BA28" s="2">
        <v>5.7455536172924211E-2</v>
      </c>
      <c r="BB28" s="2">
        <v>6.650357886481717E-2</v>
      </c>
      <c r="BC28" s="2">
        <v>6.2565899704480066E-2</v>
      </c>
      <c r="BD28" s="2">
        <v>8.6390393539849022E-2</v>
      </c>
      <c r="BE28" s="2">
        <v>7.136433648661894E-2</v>
      </c>
      <c r="BF28" s="2">
        <v>6.9715772198044715E-2</v>
      </c>
      <c r="BG28" s="2">
        <v>5.5998264870089083E-2</v>
      </c>
      <c r="BH28" s="2">
        <v>6.2655836626616709E-2</v>
      </c>
      <c r="BI28" s="2">
        <v>5.5455892911177855E-2</v>
      </c>
      <c r="BJ28" s="2">
        <v>6.0051897702898011E-2</v>
      </c>
      <c r="BK28" s="2">
        <v>6.5678559384303586E-2</v>
      </c>
      <c r="BL28" s="2">
        <v>7.0981062031665099E-2</v>
      </c>
      <c r="BN28" t="s">
        <v>106</v>
      </c>
      <c r="BO28" t="s">
        <v>41</v>
      </c>
      <c r="BP28" t="s">
        <v>93</v>
      </c>
      <c r="BQ28" t="s">
        <v>93</v>
      </c>
      <c r="BR28" t="s">
        <v>33</v>
      </c>
      <c r="BS28" t="s">
        <v>39</v>
      </c>
      <c r="BT28" t="s">
        <v>24</v>
      </c>
      <c r="BU28" t="s">
        <v>29</v>
      </c>
      <c r="BV28" t="s">
        <v>93</v>
      </c>
      <c r="BW28" t="s">
        <v>93</v>
      </c>
      <c r="BX28" t="s">
        <v>24</v>
      </c>
      <c r="BY28" t="s">
        <v>39</v>
      </c>
      <c r="BZ28" t="s">
        <v>33</v>
      </c>
      <c r="CA28" t="s">
        <v>40</v>
      </c>
      <c r="CB28" t="s">
        <v>33</v>
      </c>
      <c r="CC28" t="s">
        <v>39</v>
      </c>
      <c r="CD28" t="s">
        <v>41</v>
      </c>
      <c r="CE28" t="s">
        <v>40</v>
      </c>
      <c r="CF28" t="s">
        <v>41</v>
      </c>
      <c r="CG28" t="s">
        <v>33</v>
      </c>
      <c r="CH28" t="s">
        <v>39</v>
      </c>
      <c r="CI28" t="s">
        <v>24</v>
      </c>
      <c r="CJ28" t="s">
        <v>24</v>
      </c>
      <c r="CK28" t="s">
        <v>33</v>
      </c>
      <c r="CL28" t="s">
        <v>29</v>
      </c>
      <c r="CM28" t="s">
        <v>29</v>
      </c>
      <c r="CN28" t="s">
        <v>93</v>
      </c>
      <c r="CO28" t="s">
        <v>33</v>
      </c>
      <c r="CP28" t="s">
        <v>24</v>
      </c>
      <c r="CQ28" t="s">
        <v>40</v>
      </c>
      <c r="CR28" t="s">
        <v>93</v>
      </c>
    </row>
    <row r="29" spans="1:96" x14ac:dyDescent="0.35">
      <c r="A29" s="37"/>
      <c r="C29" s="1"/>
      <c r="D29" s="1"/>
      <c r="E29" s="1"/>
      <c r="F29" s="1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1"/>
      <c r="AA29" s="1"/>
      <c r="AB29" s="4"/>
      <c r="AC29" s="1"/>
      <c r="AD29" s="1"/>
      <c r="AE29" s="1"/>
      <c r="AF29" s="1"/>
      <c r="AG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</row>
    <row r="30" spans="1:96" x14ac:dyDescent="0.35">
      <c r="A30" s="37"/>
      <c r="B30" s="5" t="s">
        <v>73</v>
      </c>
      <c r="C30" s="1"/>
      <c r="D30" s="1"/>
      <c r="E30" s="1"/>
      <c r="F30" s="1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1"/>
      <c r="AA30" s="1"/>
      <c r="AB30" s="4"/>
      <c r="AC30" s="1"/>
      <c r="AD30" s="1"/>
      <c r="AE30" s="1"/>
      <c r="AF30" s="1"/>
      <c r="AG30" s="1"/>
      <c r="AH30" s="5" t="s">
        <v>73</v>
      </c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N30" s="5" t="s">
        <v>73</v>
      </c>
    </row>
    <row r="31" spans="1:96" x14ac:dyDescent="0.35">
      <c r="A31" s="37"/>
      <c r="B31" t="s">
        <v>74</v>
      </c>
      <c r="C31" s="2">
        <v>0.34689999999999999</v>
      </c>
      <c r="D31" s="2">
        <v>0.34789999999999999</v>
      </c>
      <c r="E31" s="2">
        <v>0.3493</v>
      </c>
      <c r="F31" s="2">
        <v>0.36069999999999997</v>
      </c>
      <c r="G31" s="2">
        <v>0.36049999999999999</v>
      </c>
      <c r="H31" s="2">
        <v>0.3569</v>
      </c>
      <c r="I31" s="2">
        <v>0.3417</v>
      </c>
      <c r="J31" s="2">
        <v>0.33999999999999997</v>
      </c>
      <c r="K31" s="2">
        <v>0.34349999999999997</v>
      </c>
      <c r="L31" s="2">
        <v>0.37109999999999999</v>
      </c>
      <c r="M31" s="2">
        <v>0.3614</v>
      </c>
      <c r="N31" s="2">
        <v>0.34820000000000001</v>
      </c>
      <c r="O31" s="2">
        <v>0.35499999999999998</v>
      </c>
      <c r="P31" s="2">
        <v>0.35909999999999997</v>
      </c>
      <c r="Q31" s="2">
        <v>0.35399999999999998</v>
      </c>
      <c r="R31" s="2">
        <v>0.36130000000000001</v>
      </c>
      <c r="S31" s="2">
        <v>0.36649999999999999</v>
      </c>
      <c r="T31" s="2">
        <v>0.35859999999999997</v>
      </c>
      <c r="U31" s="2">
        <v>0.35269999999999996</v>
      </c>
      <c r="V31" s="2">
        <v>0.33829999999999999</v>
      </c>
      <c r="W31" s="2">
        <v>0.34249999999999997</v>
      </c>
      <c r="X31" s="2">
        <v>0.36459999999999998</v>
      </c>
      <c r="Y31" s="2">
        <v>0.35319999999999996</v>
      </c>
      <c r="Z31" s="2">
        <v>0.35899999999999999</v>
      </c>
      <c r="AA31" s="2">
        <v>0.36569999999999997</v>
      </c>
      <c r="AB31" s="2">
        <v>0.34429999999999999</v>
      </c>
      <c r="AC31" s="2">
        <v>0.34079999999999999</v>
      </c>
      <c r="AD31" s="2">
        <v>0.34820000000000001</v>
      </c>
      <c r="AE31" s="2">
        <v>0.34349999999999997</v>
      </c>
      <c r="AF31" s="2">
        <v>0.3538</v>
      </c>
      <c r="AG31" s="6"/>
      <c r="AH31" t="s">
        <v>74</v>
      </c>
      <c r="AI31" s="2">
        <v>4.9888555726698057E-2</v>
      </c>
      <c r="AJ31" s="2">
        <v>5.4768094727896795E-2</v>
      </c>
      <c r="AK31" s="2">
        <v>3.5910957030003E-2</v>
      </c>
      <c r="AL31" s="2">
        <v>3.2216254331310618E-2</v>
      </c>
      <c r="AM31" s="2">
        <v>4.4374419292520458E-2</v>
      </c>
      <c r="AN31" s="2">
        <v>4.8174196992101868E-2</v>
      </c>
      <c r="AO31" s="2">
        <v>2.7372385414198924E-2</v>
      </c>
      <c r="AP31" s="2">
        <v>5.2505898559909343E-2</v>
      </c>
      <c r="AQ31" s="2">
        <v>7.6121645416237976E-2</v>
      </c>
      <c r="AR31" s="2">
        <v>8.0850831279925553E-2</v>
      </c>
      <c r="AS31" s="2">
        <v>7.2018682363846453E-2</v>
      </c>
      <c r="AT31" s="2">
        <v>6.0471838803863739E-2</v>
      </c>
      <c r="AU31" s="2">
        <v>6.8043781839367365E-2</v>
      </c>
      <c r="AV31" s="2">
        <v>5.6021765434104344E-2</v>
      </c>
      <c r="AW31" s="2">
        <v>6.3746750715982056E-2</v>
      </c>
      <c r="AX31" s="2">
        <v>4.0373917785441991E-2</v>
      </c>
      <c r="AY31" s="2">
        <v>6.8489831215405916E-2</v>
      </c>
      <c r="AZ31" s="2">
        <v>8.3291125368035929E-2</v>
      </c>
      <c r="BA31" s="2">
        <v>4.784016192782687E-2</v>
      </c>
      <c r="BB31" s="2">
        <v>5.6474661511351117E-2</v>
      </c>
      <c r="BC31" s="2">
        <v>5.2405351120342634E-2</v>
      </c>
      <c r="BD31" s="2">
        <v>7.6396348676510933E-2</v>
      </c>
      <c r="BE31" s="2">
        <v>6.1762874487710367E-2</v>
      </c>
      <c r="BF31" s="2">
        <v>5.9872456404018726E-2</v>
      </c>
      <c r="BG31" s="2">
        <v>4.5761298607473209E-2</v>
      </c>
      <c r="BH31" s="2">
        <v>5.2450708683383314E-2</v>
      </c>
      <c r="BI31" s="2">
        <v>4.4966444598305677E-2</v>
      </c>
      <c r="BJ31" s="2">
        <v>5.0172533639465229E-2</v>
      </c>
      <c r="BK31" s="2">
        <v>5.5441250200830468E-2</v>
      </c>
      <c r="BL31" s="2">
        <v>6.1005239397302367E-2</v>
      </c>
      <c r="BN31" t="s">
        <v>74</v>
      </c>
      <c r="BO31" t="s">
        <v>40</v>
      </c>
      <c r="BP31" t="s">
        <v>24</v>
      </c>
      <c r="BQ31" t="s">
        <v>29</v>
      </c>
      <c r="BR31" t="s">
        <v>24</v>
      </c>
      <c r="BS31" t="s">
        <v>40</v>
      </c>
      <c r="BT31" t="s">
        <v>40</v>
      </c>
      <c r="BU31" t="s">
        <v>33</v>
      </c>
      <c r="BV31" t="s">
        <v>24</v>
      </c>
      <c r="BW31" t="s">
        <v>40</v>
      </c>
      <c r="BX31" t="s">
        <v>40</v>
      </c>
      <c r="BY31" t="s">
        <v>93</v>
      </c>
      <c r="BZ31" t="s">
        <v>29</v>
      </c>
      <c r="CA31" t="s">
        <v>40</v>
      </c>
      <c r="CB31" t="s">
        <v>93</v>
      </c>
      <c r="CC31" t="s">
        <v>33</v>
      </c>
      <c r="CD31" t="s">
        <v>29</v>
      </c>
      <c r="CE31" t="s">
        <v>41</v>
      </c>
      <c r="CF31" t="s">
        <v>29</v>
      </c>
      <c r="CG31" t="s">
        <v>24</v>
      </c>
      <c r="CH31" t="s">
        <v>29</v>
      </c>
      <c r="CI31" t="s">
        <v>33</v>
      </c>
      <c r="CJ31" t="s">
        <v>39</v>
      </c>
      <c r="CK31" t="s">
        <v>24</v>
      </c>
      <c r="CL31" t="s">
        <v>33</v>
      </c>
      <c r="CM31" t="s">
        <v>33</v>
      </c>
      <c r="CN31" t="s">
        <v>93</v>
      </c>
      <c r="CO31" t="s">
        <v>29</v>
      </c>
      <c r="CP31" t="s">
        <v>39</v>
      </c>
      <c r="CQ31" t="s">
        <v>41</v>
      </c>
      <c r="CR31" t="s">
        <v>39</v>
      </c>
    </row>
    <row r="32" spans="1:96" x14ac:dyDescent="0.35">
      <c r="A32" s="37"/>
      <c r="B32" t="s">
        <v>75</v>
      </c>
      <c r="C32" s="2">
        <v>0.2329</v>
      </c>
      <c r="D32" s="2">
        <v>0.22450000000000001</v>
      </c>
      <c r="E32" s="2">
        <v>0.2079</v>
      </c>
      <c r="F32" s="2">
        <v>0.2127</v>
      </c>
      <c r="G32" s="2">
        <v>0.20649999999999999</v>
      </c>
      <c r="H32" s="2">
        <v>0.21929999999999999</v>
      </c>
      <c r="I32" s="2">
        <v>0.2097</v>
      </c>
      <c r="J32" s="2">
        <v>0.22550000000000001</v>
      </c>
      <c r="K32" s="2">
        <v>0.2059</v>
      </c>
      <c r="L32" s="2">
        <v>0.2117</v>
      </c>
      <c r="M32" s="2">
        <v>0.2155</v>
      </c>
      <c r="N32" s="2">
        <v>0.21410000000000001</v>
      </c>
      <c r="O32" s="2">
        <v>0.20930000000000001</v>
      </c>
      <c r="P32" s="2">
        <v>0.2165</v>
      </c>
      <c r="Q32" s="2">
        <v>0.22289999999999999</v>
      </c>
      <c r="R32" s="2">
        <v>0.21840000000000001</v>
      </c>
      <c r="S32" s="2">
        <v>0.2167</v>
      </c>
      <c r="T32" s="2">
        <v>0.21299999999999999</v>
      </c>
      <c r="U32" s="2">
        <v>0.22919999999999999</v>
      </c>
      <c r="V32" s="2">
        <v>0.23080000000000001</v>
      </c>
      <c r="W32" s="2">
        <v>0.23130000000000001</v>
      </c>
      <c r="X32" s="2">
        <v>0.21249999999999999</v>
      </c>
      <c r="Y32" s="2">
        <v>0.23150000000000001</v>
      </c>
      <c r="Z32" s="2">
        <v>0.21939999999999998</v>
      </c>
      <c r="AA32" s="2">
        <v>0.20099999999999998</v>
      </c>
      <c r="AB32" s="2">
        <v>0.21829999999999999</v>
      </c>
      <c r="AC32" s="2">
        <v>0.2049</v>
      </c>
      <c r="AD32" s="2">
        <v>0.2331</v>
      </c>
      <c r="AE32" s="2">
        <v>0.2107</v>
      </c>
      <c r="AF32" s="2">
        <v>0.2218</v>
      </c>
      <c r="AG32" s="6"/>
      <c r="AH32" t="s">
        <v>75</v>
      </c>
      <c r="AI32" s="2">
        <v>4.2535371944853934E-2</v>
      </c>
      <c r="AJ32" s="2">
        <v>4.7414910946052671E-2</v>
      </c>
      <c r="AK32" s="2">
        <v>2.8557773248158877E-2</v>
      </c>
      <c r="AL32" s="2">
        <v>2.4863070549466494E-2</v>
      </c>
      <c r="AM32" s="2">
        <v>3.7021235510676334E-2</v>
      </c>
      <c r="AN32" s="2">
        <v>4.0821013210257745E-2</v>
      </c>
      <c r="AO32" s="2">
        <v>2.0019201632354801E-2</v>
      </c>
      <c r="AP32" s="2">
        <v>4.515271477806522E-2</v>
      </c>
      <c r="AQ32" s="2">
        <v>6.8768461634393846E-2</v>
      </c>
      <c r="AR32" s="2">
        <v>7.3497647498081436E-2</v>
      </c>
      <c r="AS32" s="2">
        <v>6.4665498582002323E-2</v>
      </c>
      <c r="AT32" s="2">
        <v>5.3118655022019616E-2</v>
      </c>
      <c r="AU32" s="2">
        <v>6.0690598057523241E-2</v>
      </c>
      <c r="AV32" s="2">
        <v>4.866858165226022E-2</v>
      </c>
      <c r="AW32" s="2">
        <v>5.6393566934137933E-2</v>
      </c>
      <c r="AX32" s="2">
        <v>3.3020734003597868E-2</v>
      </c>
      <c r="AY32" s="2">
        <v>6.1136647433561793E-2</v>
      </c>
      <c r="AZ32" s="2">
        <v>7.5937941586191798E-2</v>
      </c>
      <c r="BA32" s="2">
        <v>4.0486978145982747E-2</v>
      </c>
      <c r="BB32" s="2">
        <v>4.9121477729506993E-2</v>
      </c>
      <c r="BC32" s="2">
        <v>4.5052167338498511E-2</v>
      </c>
      <c r="BD32" s="2">
        <v>6.9043164894666817E-2</v>
      </c>
      <c r="BE32" s="2">
        <v>5.4409690705866244E-2</v>
      </c>
      <c r="BF32" s="2">
        <v>5.2519272622174602E-2</v>
      </c>
      <c r="BG32" s="2">
        <v>3.8408114825629086E-2</v>
      </c>
      <c r="BH32" s="2">
        <v>4.509752490153919E-2</v>
      </c>
      <c r="BI32" s="2">
        <v>3.7613260816461554E-2</v>
      </c>
      <c r="BJ32" s="2">
        <v>4.2819349857621106E-2</v>
      </c>
      <c r="BK32" s="2">
        <v>4.8088066418986344E-2</v>
      </c>
      <c r="BL32" s="2">
        <v>5.3652055615458244E-2</v>
      </c>
      <c r="BN32" t="s">
        <v>75</v>
      </c>
      <c r="BO32" t="s">
        <v>41</v>
      </c>
      <c r="BP32" t="s">
        <v>29</v>
      </c>
      <c r="BQ32" t="s">
        <v>24</v>
      </c>
      <c r="BR32" t="s">
        <v>93</v>
      </c>
      <c r="BS32" t="s">
        <v>93</v>
      </c>
      <c r="BT32" t="s">
        <v>33</v>
      </c>
      <c r="BU32" t="s">
        <v>41</v>
      </c>
      <c r="BV32" t="s">
        <v>24</v>
      </c>
      <c r="BW32" t="s">
        <v>24</v>
      </c>
      <c r="BX32" t="s">
        <v>29</v>
      </c>
      <c r="BY32" t="s">
        <v>33</v>
      </c>
      <c r="BZ32" t="s">
        <v>29</v>
      </c>
      <c r="CA32" t="s">
        <v>39</v>
      </c>
      <c r="CB32" t="s">
        <v>41</v>
      </c>
      <c r="CC32" t="s">
        <v>29</v>
      </c>
      <c r="CD32" t="s">
        <v>33</v>
      </c>
      <c r="CE32" t="s">
        <v>29</v>
      </c>
      <c r="CF32" t="s">
        <v>29</v>
      </c>
      <c r="CG32" t="s">
        <v>41</v>
      </c>
      <c r="CH32" t="s">
        <v>41</v>
      </c>
      <c r="CI32" t="s">
        <v>39</v>
      </c>
      <c r="CJ32" t="s">
        <v>29</v>
      </c>
      <c r="CK32" t="s">
        <v>40</v>
      </c>
      <c r="CL32" t="s">
        <v>33</v>
      </c>
      <c r="CM32" t="s">
        <v>24</v>
      </c>
      <c r="CN32" t="s">
        <v>40</v>
      </c>
      <c r="CO32" t="s">
        <v>41</v>
      </c>
      <c r="CP32" t="s">
        <v>93</v>
      </c>
      <c r="CQ32" t="s">
        <v>24</v>
      </c>
      <c r="CR32" t="s">
        <v>24</v>
      </c>
    </row>
    <row r="33" spans="1:96" x14ac:dyDescent="0.35">
      <c r="A33" s="37"/>
      <c r="B33" t="s">
        <v>76</v>
      </c>
      <c r="C33" s="2">
        <v>0.16469999999999999</v>
      </c>
      <c r="D33" s="2">
        <v>0.16880000000000001</v>
      </c>
      <c r="E33" s="2">
        <v>0.1784</v>
      </c>
      <c r="F33" s="2">
        <v>0.18179999999999999</v>
      </c>
      <c r="G33" s="2">
        <v>0.18589999999999998</v>
      </c>
      <c r="H33" s="2">
        <v>0.18819999999999998</v>
      </c>
      <c r="I33" s="2">
        <v>0.1726</v>
      </c>
      <c r="J33" s="2">
        <v>0.19269999999999998</v>
      </c>
      <c r="K33" s="2">
        <v>0.18919999999999998</v>
      </c>
      <c r="L33" s="2">
        <v>0.1721</v>
      </c>
      <c r="M33" s="2">
        <v>0.18739999999999998</v>
      </c>
      <c r="N33" s="2">
        <v>0.18190000000000001</v>
      </c>
      <c r="O33" s="2">
        <v>0.1757</v>
      </c>
      <c r="P33" s="2">
        <v>0.17919999999999997</v>
      </c>
      <c r="Q33" s="2">
        <v>0.18629999999999999</v>
      </c>
      <c r="R33" s="2">
        <v>0.17230000000000001</v>
      </c>
      <c r="S33" s="2">
        <v>0.17899999999999999</v>
      </c>
      <c r="T33" s="2">
        <v>0.19039999999999999</v>
      </c>
      <c r="U33" s="2">
        <v>0.16499999999999998</v>
      </c>
      <c r="V33" s="2">
        <v>0.18569999999999998</v>
      </c>
      <c r="W33" s="2">
        <v>0.18969999999999998</v>
      </c>
      <c r="X33" s="2">
        <v>0.18129999999999999</v>
      </c>
      <c r="Y33" s="2">
        <v>0.16399999999999998</v>
      </c>
      <c r="Z33" s="2">
        <v>0.16039999999999999</v>
      </c>
      <c r="AA33" s="2">
        <v>0.188</v>
      </c>
      <c r="AB33" s="2">
        <v>0.1825</v>
      </c>
      <c r="AC33" s="2">
        <v>0.17949999999999999</v>
      </c>
      <c r="AD33" s="2">
        <v>0.17729999999999999</v>
      </c>
      <c r="AE33" s="2">
        <v>0.187</v>
      </c>
      <c r="AF33" s="2">
        <v>0.18139999999999998</v>
      </c>
      <c r="AG33" s="6"/>
      <c r="AH33" t="s">
        <v>76</v>
      </c>
      <c r="AI33" s="2">
        <v>6.9315994892143601E-2</v>
      </c>
      <c r="AJ33" s="2">
        <v>7.4195533893342339E-2</v>
      </c>
      <c r="AK33" s="2">
        <v>5.5338396195448544E-2</v>
      </c>
      <c r="AL33" s="2">
        <v>5.1643693496756161E-2</v>
      </c>
      <c r="AM33" s="2">
        <v>6.3801858457966001E-2</v>
      </c>
      <c r="AN33" s="2">
        <v>6.7601636157547412E-2</v>
      </c>
      <c r="AO33" s="2">
        <v>4.6799824579644468E-2</v>
      </c>
      <c r="AP33" s="2">
        <v>7.1933337725354887E-2</v>
      </c>
      <c r="AQ33" s="2">
        <v>9.5549084581683513E-2</v>
      </c>
      <c r="AR33" s="2">
        <v>0.1002782704453711</v>
      </c>
      <c r="AS33" s="2">
        <v>9.144612152929199E-2</v>
      </c>
      <c r="AT33" s="2">
        <v>7.989927796930929E-2</v>
      </c>
      <c r="AU33" s="2">
        <v>8.7471221004812916E-2</v>
      </c>
      <c r="AV33" s="2">
        <v>7.5449204599549888E-2</v>
      </c>
      <c r="AW33" s="2">
        <v>8.3174189881427607E-2</v>
      </c>
      <c r="AX33" s="2">
        <v>5.9801356950887535E-2</v>
      </c>
      <c r="AY33" s="2">
        <v>8.7917270380851453E-2</v>
      </c>
      <c r="AZ33" s="2">
        <v>0.10271856453348147</v>
      </c>
      <c r="BA33" s="2">
        <v>6.7267601093272414E-2</v>
      </c>
      <c r="BB33" s="2">
        <v>7.5902100676796661E-2</v>
      </c>
      <c r="BC33" s="2">
        <v>7.1832790285788178E-2</v>
      </c>
      <c r="BD33" s="2">
        <v>9.5823787841956484E-2</v>
      </c>
      <c r="BE33" s="2">
        <v>8.1190313653155904E-2</v>
      </c>
      <c r="BF33" s="2">
        <v>7.9299895569464263E-2</v>
      </c>
      <c r="BG33" s="2">
        <v>6.5188737772918753E-2</v>
      </c>
      <c r="BH33" s="2">
        <v>7.1878147848828858E-2</v>
      </c>
      <c r="BI33" s="2">
        <v>6.4393883763751214E-2</v>
      </c>
      <c r="BJ33" s="2">
        <v>6.9599972804910773E-2</v>
      </c>
      <c r="BK33" s="2">
        <v>7.4868689366276012E-2</v>
      </c>
      <c r="BL33" s="2">
        <v>8.0432678562747911E-2</v>
      </c>
      <c r="BN33" t="s">
        <v>76</v>
      </c>
      <c r="BO33" t="s">
        <v>24</v>
      </c>
      <c r="BP33" t="s">
        <v>39</v>
      </c>
      <c r="BQ33" t="s">
        <v>40</v>
      </c>
      <c r="BR33" t="s">
        <v>41</v>
      </c>
      <c r="BS33" t="s">
        <v>24</v>
      </c>
      <c r="BT33" t="s">
        <v>33</v>
      </c>
      <c r="BU33" t="s">
        <v>40</v>
      </c>
      <c r="BV33" t="s">
        <v>93</v>
      </c>
      <c r="BW33" t="s">
        <v>29</v>
      </c>
      <c r="BX33" t="s">
        <v>93</v>
      </c>
      <c r="BY33" t="s">
        <v>33</v>
      </c>
      <c r="BZ33" t="s">
        <v>39</v>
      </c>
      <c r="CA33" t="s">
        <v>41</v>
      </c>
      <c r="CB33" t="s">
        <v>39</v>
      </c>
      <c r="CC33" t="s">
        <v>29</v>
      </c>
      <c r="CD33" t="s">
        <v>29</v>
      </c>
      <c r="CE33" t="s">
        <v>33</v>
      </c>
      <c r="CF33" t="s">
        <v>93</v>
      </c>
      <c r="CG33" t="s">
        <v>40</v>
      </c>
      <c r="CH33" t="s">
        <v>24</v>
      </c>
      <c r="CI33" t="s">
        <v>24</v>
      </c>
      <c r="CJ33" t="s">
        <v>39</v>
      </c>
      <c r="CK33" t="s">
        <v>33</v>
      </c>
      <c r="CL33" t="s">
        <v>24</v>
      </c>
      <c r="CM33" t="s">
        <v>41</v>
      </c>
      <c r="CN33" t="s">
        <v>29</v>
      </c>
      <c r="CO33" t="s">
        <v>33</v>
      </c>
      <c r="CP33" t="s">
        <v>29</v>
      </c>
      <c r="CQ33" t="s">
        <v>39</v>
      </c>
      <c r="CR33" t="s">
        <v>40</v>
      </c>
    </row>
    <row r="34" spans="1:96" x14ac:dyDescent="0.35">
      <c r="A34" s="37"/>
      <c r="B34" t="s">
        <v>77</v>
      </c>
      <c r="C34" s="2">
        <v>0.15609999999999999</v>
      </c>
      <c r="D34" s="2">
        <v>0.15059999999999998</v>
      </c>
      <c r="E34" s="2">
        <v>0.15040000000000001</v>
      </c>
      <c r="F34" s="2">
        <v>0.151</v>
      </c>
      <c r="G34" s="2">
        <v>0.14149999999999999</v>
      </c>
      <c r="H34" s="2">
        <v>0.14319999999999999</v>
      </c>
      <c r="I34" s="2">
        <v>0.1633</v>
      </c>
      <c r="J34" s="2">
        <v>0.15049999999999999</v>
      </c>
      <c r="K34" s="2">
        <v>0.1462</v>
      </c>
      <c r="L34" s="2">
        <v>0.1394</v>
      </c>
      <c r="M34" s="2">
        <v>0.14069999999999999</v>
      </c>
      <c r="N34" s="2">
        <v>0.1484</v>
      </c>
      <c r="O34" s="2">
        <v>0.15190000000000001</v>
      </c>
      <c r="P34" s="2">
        <v>0.15179999999999999</v>
      </c>
      <c r="Q34" s="2">
        <v>0.1321</v>
      </c>
      <c r="R34" s="2">
        <v>0.13949999999999999</v>
      </c>
      <c r="S34" s="2">
        <v>0.1321</v>
      </c>
      <c r="T34" s="2">
        <v>0.1404</v>
      </c>
      <c r="U34" s="2">
        <v>0.15869999999999998</v>
      </c>
      <c r="V34" s="2">
        <v>0.14779999999999999</v>
      </c>
      <c r="W34" s="2">
        <v>0.13219999999999998</v>
      </c>
      <c r="X34" s="2">
        <v>0.13639999999999999</v>
      </c>
      <c r="Y34" s="2">
        <v>0.13729999999999998</v>
      </c>
      <c r="Z34" s="2">
        <v>0.15749999999999997</v>
      </c>
      <c r="AA34" s="2">
        <v>0.14649999999999999</v>
      </c>
      <c r="AB34" s="2">
        <v>0.1419</v>
      </c>
      <c r="AC34" s="2">
        <v>0.1588</v>
      </c>
      <c r="AD34" s="2">
        <v>0.1424</v>
      </c>
      <c r="AE34" s="2">
        <v>0.15509999999999999</v>
      </c>
      <c r="AF34" s="2">
        <v>0.14949999999999999</v>
      </c>
      <c r="AG34" s="6"/>
      <c r="AH34" t="s">
        <v>77</v>
      </c>
      <c r="AI34" s="2">
        <v>5.54331101821436E-2</v>
      </c>
      <c r="AJ34" s="2">
        <v>6.0312649183342337E-2</v>
      </c>
      <c r="AK34" s="2">
        <v>4.1455511485448543E-2</v>
      </c>
      <c r="AL34" s="2">
        <v>3.776080878675616E-2</v>
      </c>
      <c r="AM34" s="2">
        <v>4.9918973747966E-2</v>
      </c>
      <c r="AN34" s="2">
        <v>5.3718751447547411E-2</v>
      </c>
      <c r="AO34" s="2">
        <v>3.2916939869644467E-2</v>
      </c>
      <c r="AP34" s="2">
        <v>5.8050453015354886E-2</v>
      </c>
      <c r="AQ34" s="2">
        <v>8.1666199871683526E-2</v>
      </c>
      <c r="AR34" s="2">
        <v>8.6395385735371089E-2</v>
      </c>
      <c r="AS34" s="2">
        <v>7.7563236819291989E-2</v>
      </c>
      <c r="AT34" s="2">
        <v>6.6016393259309275E-2</v>
      </c>
      <c r="AU34" s="2">
        <v>7.3588336294812901E-2</v>
      </c>
      <c r="AV34" s="2">
        <v>6.1566319889549886E-2</v>
      </c>
      <c r="AW34" s="2">
        <v>6.9291305171427592E-2</v>
      </c>
      <c r="AX34" s="2">
        <v>4.5918472240887534E-2</v>
      </c>
      <c r="AY34" s="2">
        <v>7.4034385670851466E-2</v>
      </c>
      <c r="AZ34" s="2">
        <v>8.8835679823481464E-2</v>
      </c>
      <c r="BA34" s="2">
        <v>5.3384716383272413E-2</v>
      </c>
      <c r="BB34" s="2">
        <v>6.2019215966796659E-2</v>
      </c>
      <c r="BC34" s="2">
        <v>5.7949905575788177E-2</v>
      </c>
      <c r="BD34" s="2">
        <v>8.1940903131956483E-2</v>
      </c>
      <c r="BE34" s="2">
        <v>6.7307428943155917E-2</v>
      </c>
      <c r="BF34" s="2">
        <v>6.5417010859464275E-2</v>
      </c>
      <c r="BG34" s="2">
        <v>5.1305853062918752E-2</v>
      </c>
      <c r="BH34" s="2">
        <v>5.7995263138828856E-2</v>
      </c>
      <c r="BI34" s="2">
        <v>5.051099905375122E-2</v>
      </c>
      <c r="BJ34" s="2">
        <v>5.5717088094910772E-2</v>
      </c>
      <c r="BK34" s="2">
        <v>6.098580465627601E-2</v>
      </c>
      <c r="BL34" s="2">
        <v>6.654979385274791E-2</v>
      </c>
      <c r="BN34" t="s">
        <v>77</v>
      </c>
      <c r="BO34" t="s">
        <v>93</v>
      </c>
      <c r="BP34" t="s">
        <v>39</v>
      </c>
      <c r="BQ34" t="s">
        <v>40</v>
      </c>
      <c r="BR34" t="s">
        <v>24</v>
      </c>
      <c r="BS34" t="s">
        <v>29</v>
      </c>
      <c r="BT34" t="s">
        <v>33</v>
      </c>
      <c r="BU34" t="s">
        <v>24</v>
      </c>
      <c r="BV34" t="s">
        <v>24</v>
      </c>
      <c r="BW34" t="s">
        <v>29</v>
      </c>
      <c r="BX34" t="s">
        <v>39</v>
      </c>
      <c r="BY34" t="s">
        <v>24</v>
      </c>
      <c r="BZ34" t="s">
        <v>41</v>
      </c>
      <c r="CA34" t="s">
        <v>33</v>
      </c>
      <c r="CB34" t="s">
        <v>93</v>
      </c>
      <c r="CC34" t="s">
        <v>39</v>
      </c>
      <c r="CD34" t="s">
        <v>93</v>
      </c>
      <c r="CE34" t="s">
        <v>39</v>
      </c>
      <c r="CF34" t="s">
        <v>33</v>
      </c>
      <c r="CG34" t="s">
        <v>33</v>
      </c>
      <c r="CH34" t="s">
        <v>40</v>
      </c>
      <c r="CI34" t="s">
        <v>40</v>
      </c>
      <c r="CJ34" t="s">
        <v>29</v>
      </c>
      <c r="CK34" t="s">
        <v>29</v>
      </c>
      <c r="CL34" t="s">
        <v>29</v>
      </c>
      <c r="CM34" t="s">
        <v>41</v>
      </c>
      <c r="CN34" t="s">
        <v>93</v>
      </c>
      <c r="CO34" t="s">
        <v>39</v>
      </c>
      <c r="CP34" t="s">
        <v>93</v>
      </c>
      <c r="CQ34" t="s">
        <v>93</v>
      </c>
      <c r="CR34" t="s">
        <v>41</v>
      </c>
    </row>
    <row r="35" spans="1:96" x14ac:dyDescent="0.35">
      <c r="A35" s="37"/>
      <c r="B35" t="s">
        <v>78</v>
      </c>
      <c r="C35" s="1">
        <f>1-SUM(C31:C34)</f>
        <v>9.9400000000000044E-2</v>
      </c>
      <c r="D35" s="1">
        <f t="shared" ref="D35:AF35" si="36">1-SUM(D31:D34)</f>
        <v>0.10819999999999996</v>
      </c>
      <c r="E35" s="1">
        <f t="shared" si="36"/>
        <v>0.11399999999999999</v>
      </c>
      <c r="F35" s="1">
        <f t="shared" si="36"/>
        <v>9.3800000000000106E-2</v>
      </c>
      <c r="G35" s="1">
        <f t="shared" si="36"/>
        <v>0.10560000000000014</v>
      </c>
      <c r="H35" s="1">
        <f t="shared" si="36"/>
        <v>9.2400000000000038E-2</v>
      </c>
      <c r="I35" s="1">
        <f t="shared" si="36"/>
        <v>0.11270000000000002</v>
      </c>
      <c r="J35" s="1">
        <f t="shared" si="36"/>
        <v>9.1300000000000048E-2</v>
      </c>
      <c r="K35" s="1">
        <f t="shared" si="36"/>
        <v>0.11520000000000008</v>
      </c>
      <c r="L35" s="1">
        <f t="shared" si="36"/>
        <v>0.10570000000000002</v>
      </c>
      <c r="M35" s="1">
        <f t="shared" si="36"/>
        <v>9.4999999999999973E-2</v>
      </c>
      <c r="N35" s="1">
        <f t="shared" si="36"/>
        <v>0.10740000000000005</v>
      </c>
      <c r="O35" s="1">
        <f t="shared" si="36"/>
        <v>0.10809999999999997</v>
      </c>
      <c r="P35" s="1">
        <f t="shared" si="36"/>
        <v>9.340000000000015E-2</v>
      </c>
      <c r="Q35" s="1">
        <f t="shared" si="36"/>
        <v>0.10470000000000002</v>
      </c>
      <c r="R35" s="1">
        <f t="shared" si="36"/>
        <v>0.10850000000000004</v>
      </c>
      <c r="S35" s="1">
        <f t="shared" si="36"/>
        <v>0.10570000000000002</v>
      </c>
      <c r="T35" s="1">
        <f t="shared" si="36"/>
        <v>9.760000000000002E-2</v>
      </c>
      <c r="U35" s="1">
        <f t="shared" si="36"/>
        <v>9.440000000000015E-2</v>
      </c>
      <c r="V35" s="1">
        <f t="shared" si="36"/>
        <v>9.7400000000000153E-2</v>
      </c>
      <c r="W35" s="1">
        <f t="shared" si="36"/>
        <v>0.10430000000000006</v>
      </c>
      <c r="X35" s="1">
        <f t="shared" si="36"/>
        <v>0.10520000000000007</v>
      </c>
      <c r="Y35" s="1">
        <f t="shared" si="36"/>
        <v>0.1140000000000001</v>
      </c>
      <c r="Z35" s="1">
        <f t="shared" si="36"/>
        <v>0.10370000000000001</v>
      </c>
      <c r="AA35" s="1">
        <f t="shared" si="36"/>
        <v>9.880000000000011E-2</v>
      </c>
      <c r="AB35" s="1">
        <f t="shared" si="36"/>
        <v>0.11299999999999999</v>
      </c>
      <c r="AC35" s="1">
        <f t="shared" si="36"/>
        <v>0.1160000000000001</v>
      </c>
      <c r="AD35" s="1">
        <f t="shared" si="36"/>
        <v>9.8999999999999977E-2</v>
      </c>
      <c r="AE35" s="1">
        <f t="shared" si="36"/>
        <v>0.1036999999999999</v>
      </c>
      <c r="AF35" s="1">
        <f t="shared" si="36"/>
        <v>9.3500000000000028E-2</v>
      </c>
      <c r="AG35" s="6"/>
      <c r="AH35" t="s">
        <v>78</v>
      </c>
      <c r="AI35" s="2">
        <v>6.1739610182143606E-2</v>
      </c>
      <c r="AJ35" s="2">
        <v>6.6619149183342344E-2</v>
      </c>
      <c r="AK35" s="2">
        <v>4.7762011485448549E-2</v>
      </c>
      <c r="AL35" s="2">
        <v>4.4067308786756167E-2</v>
      </c>
      <c r="AM35" s="2">
        <v>5.6225473747966007E-2</v>
      </c>
      <c r="AN35" s="2">
        <v>6.0025251447547417E-2</v>
      </c>
      <c r="AO35" s="2">
        <v>3.9223439869644473E-2</v>
      </c>
      <c r="AP35" s="2">
        <v>6.4356953015354892E-2</v>
      </c>
      <c r="AQ35" s="2">
        <v>8.7972699871683518E-2</v>
      </c>
      <c r="AR35" s="2">
        <v>9.2701885735371109E-2</v>
      </c>
      <c r="AS35" s="2">
        <v>8.3869736819291996E-2</v>
      </c>
      <c r="AT35" s="2">
        <v>7.2322893259309295E-2</v>
      </c>
      <c r="AU35" s="2">
        <v>7.9894836294812921E-2</v>
      </c>
      <c r="AV35" s="2">
        <v>6.7872819889549893E-2</v>
      </c>
      <c r="AW35" s="2">
        <v>7.5597805171427612E-2</v>
      </c>
      <c r="AX35" s="2">
        <v>5.2224972240887541E-2</v>
      </c>
      <c r="AY35" s="2">
        <v>8.0340885670851458E-2</v>
      </c>
      <c r="AZ35" s="2">
        <v>9.5142179823481471E-2</v>
      </c>
      <c r="BA35" s="2">
        <v>5.9691216383272419E-2</v>
      </c>
      <c r="BB35" s="2">
        <v>6.8325715966796666E-2</v>
      </c>
      <c r="BC35" s="2">
        <v>6.4256405575788184E-2</v>
      </c>
      <c r="BD35" s="2">
        <v>8.8247403131956489E-2</v>
      </c>
      <c r="BE35" s="2">
        <v>7.361392894315591E-2</v>
      </c>
      <c r="BF35" s="2">
        <v>7.1723510859464268E-2</v>
      </c>
      <c r="BG35" s="2">
        <v>5.7612353062918759E-2</v>
      </c>
      <c r="BH35" s="2">
        <v>6.4301763138828863E-2</v>
      </c>
      <c r="BI35" s="2">
        <v>5.6817499053751226E-2</v>
      </c>
      <c r="BJ35" s="2">
        <v>6.2023588094910778E-2</v>
      </c>
      <c r="BK35" s="2">
        <v>6.7292304656276017E-2</v>
      </c>
      <c r="BL35" s="2">
        <v>7.2856293852747916E-2</v>
      </c>
      <c r="BN35" t="s">
        <v>78</v>
      </c>
      <c r="BO35" t="s">
        <v>40</v>
      </c>
      <c r="BP35" t="s">
        <v>40</v>
      </c>
      <c r="BQ35" t="s">
        <v>39</v>
      </c>
      <c r="BR35" t="s">
        <v>29</v>
      </c>
      <c r="BS35" t="s">
        <v>33</v>
      </c>
      <c r="BT35" t="s">
        <v>29</v>
      </c>
      <c r="BU35" t="s">
        <v>93</v>
      </c>
      <c r="BV35" t="s">
        <v>33</v>
      </c>
      <c r="BW35" t="s">
        <v>24</v>
      </c>
      <c r="BX35" t="s">
        <v>93</v>
      </c>
      <c r="BY35" t="s">
        <v>93</v>
      </c>
      <c r="BZ35" t="s">
        <v>29</v>
      </c>
      <c r="CA35" t="s">
        <v>39</v>
      </c>
      <c r="CB35" t="s">
        <v>29</v>
      </c>
      <c r="CC35" t="s">
        <v>29</v>
      </c>
      <c r="CD35" t="s">
        <v>39</v>
      </c>
      <c r="CE35" t="s">
        <v>29</v>
      </c>
      <c r="CF35" t="s">
        <v>93</v>
      </c>
      <c r="CG35" t="s">
        <v>41</v>
      </c>
      <c r="CH35" t="s">
        <v>41</v>
      </c>
      <c r="CI35" t="s">
        <v>93</v>
      </c>
      <c r="CJ35" t="s">
        <v>40</v>
      </c>
      <c r="CK35" t="s">
        <v>24</v>
      </c>
      <c r="CL35" t="s">
        <v>24</v>
      </c>
      <c r="CM35" t="s">
        <v>93</v>
      </c>
      <c r="CN35" t="s">
        <v>40</v>
      </c>
      <c r="CO35" t="s">
        <v>33</v>
      </c>
      <c r="CP35" t="s">
        <v>93</v>
      </c>
      <c r="CQ35" t="s">
        <v>41</v>
      </c>
      <c r="CR35" t="s">
        <v>40</v>
      </c>
    </row>
    <row r="36" spans="1:96" x14ac:dyDescent="0.35">
      <c r="A36" s="37"/>
      <c r="C36" s="1"/>
      <c r="D36" s="1"/>
      <c r="E36" s="1"/>
      <c r="F36" s="1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1"/>
      <c r="AA36" s="1"/>
      <c r="AB36" s="6"/>
      <c r="AC36" s="6"/>
      <c r="AD36" s="6"/>
      <c r="AE36" s="6"/>
      <c r="AF36" s="6"/>
      <c r="AG36" s="6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</row>
    <row r="37" spans="1:96" x14ac:dyDescent="0.35">
      <c r="A37" s="37"/>
      <c r="B37" s="5" t="s">
        <v>47</v>
      </c>
      <c r="C37" s="1"/>
      <c r="D37" s="1"/>
      <c r="E37" s="1"/>
      <c r="F37" s="1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1"/>
      <c r="AA37" s="1"/>
      <c r="AB37" s="6"/>
      <c r="AC37" s="6"/>
      <c r="AD37" s="6"/>
      <c r="AE37" s="6"/>
      <c r="AF37" s="6"/>
      <c r="AG37" s="6"/>
      <c r="AH37" s="5" t="s">
        <v>47</v>
      </c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N37" s="5" t="s">
        <v>47</v>
      </c>
    </row>
    <row r="38" spans="1:96" x14ac:dyDescent="0.35">
      <c r="A38" s="37"/>
      <c r="B38" t="s">
        <v>79</v>
      </c>
      <c r="C38" s="1">
        <f>1-SUM(C42:C48)</f>
        <v>0.27710000000000001</v>
      </c>
      <c r="D38" s="1">
        <f t="shared" ref="D38:AF38" si="37">1-SUM(D42:D48)</f>
        <v>0.29860000000000009</v>
      </c>
      <c r="E38" s="1">
        <f t="shared" si="37"/>
        <v>0.31409999999999993</v>
      </c>
      <c r="F38" s="1">
        <f t="shared" si="37"/>
        <v>0.3022999999999999</v>
      </c>
      <c r="G38" s="1">
        <f t="shared" si="37"/>
        <v>0.29390000000000005</v>
      </c>
      <c r="H38" s="1">
        <f t="shared" si="37"/>
        <v>0.30880000000000007</v>
      </c>
      <c r="I38" s="1">
        <f t="shared" si="37"/>
        <v>0.24640000000000006</v>
      </c>
      <c r="J38" s="1">
        <f t="shared" si="37"/>
        <v>0.32150000000000001</v>
      </c>
      <c r="K38" s="1">
        <f t="shared" si="37"/>
        <v>0.31000000000000005</v>
      </c>
      <c r="L38" s="1">
        <f t="shared" si="37"/>
        <v>0.31220000000000003</v>
      </c>
      <c r="M38" s="1">
        <f t="shared" si="37"/>
        <v>0.30500000000000005</v>
      </c>
      <c r="N38" s="1">
        <f t="shared" si="37"/>
        <v>0.26300000000000012</v>
      </c>
      <c r="O38" s="1">
        <f t="shared" si="37"/>
        <v>0.24740000000000006</v>
      </c>
      <c r="P38" s="1">
        <f t="shared" si="37"/>
        <v>0.25760000000000005</v>
      </c>
      <c r="Q38" s="1">
        <f t="shared" si="37"/>
        <v>0.2710999999999999</v>
      </c>
      <c r="R38" s="1">
        <f t="shared" si="37"/>
        <v>0.28569999999999995</v>
      </c>
      <c r="S38" s="1">
        <f t="shared" si="37"/>
        <v>0.26940000000000008</v>
      </c>
      <c r="T38" s="1">
        <f t="shared" si="37"/>
        <v>0.29689999999999994</v>
      </c>
      <c r="U38" s="1">
        <f t="shared" si="37"/>
        <v>0.28149999999999997</v>
      </c>
      <c r="V38" s="1">
        <f t="shared" si="37"/>
        <v>0.31640000000000001</v>
      </c>
      <c r="W38" s="1">
        <f t="shared" si="37"/>
        <v>0.27849999999999997</v>
      </c>
      <c r="X38" s="1">
        <f t="shared" si="37"/>
        <v>0.27189999999999992</v>
      </c>
      <c r="Y38" s="1">
        <f t="shared" si="37"/>
        <v>0.25090000000000001</v>
      </c>
      <c r="Z38" s="1">
        <f t="shared" si="37"/>
        <v>0.28690000000000004</v>
      </c>
      <c r="AA38" s="1">
        <f t="shared" si="37"/>
        <v>0.32420000000000004</v>
      </c>
      <c r="AB38" s="1">
        <f t="shared" si="37"/>
        <v>0.23620000000000008</v>
      </c>
      <c r="AC38" s="1">
        <f t="shared" si="37"/>
        <v>0.3103999999999999</v>
      </c>
      <c r="AD38" s="1">
        <f t="shared" si="37"/>
        <v>0.27780000000000005</v>
      </c>
      <c r="AE38" s="1">
        <f t="shared" si="37"/>
        <v>0.29070000000000007</v>
      </c>
      <c r="AF38" s="1">
        <f t="shared" si="37"/>
        <v>0.28709999999999991</v>
      </c>
      <c r="AG38" s="6"/>
      <c r="AH38" t="s">
        <v>79</v>
      </c>
      <c r="AI38" s="2">
        <f>SUMPRODUCT(AI39:AI41,C39:C41)</f>
        <v>4.382760731146778E-2</v>
      </c>
      <c r="AJ38" s="2">
        <f t="shared" ref="AJ38:BL38" si="38">SUMPRODUCT(AJ39:AJ41,D39:D41)</f>
        <v>4.9149126085106173E-2</v>
      </c>
      <c r="AK38" s="2">
        <f t="shared" si="38"/>
        <v>3.1154155427159921E-2</v>
      </c>
      <c r="AL38" s="2">
        <f t="shared" si="38"/>
        <v>2.7704658685413469E-2</v>
      </c>
      <c r="AM38" s="2">
        <f t="shared" si="38"/>
        <v>3.9427743939248257E-2</v>
      </c>
      <c r="AN38" s="2">
        <f t="shared" si="38"/>
        <v>4.3129709952770073E-2</v>
      </c>
      <c r="AO38" s="2">
        <f t="shared" si="38"/>
        <v>2.4538002339840791E-2</v>
      </c>
      <c r="AP38" s="2">
        <f t="shared" si="38"/>
        <v>4.7668688086913408E-2</v>
      </c>
      <c r="AQ38" s="2">
        <f t="shared" si="38"/>
        <v>7.128003765698078E-2</v>
      </c>
      <c r="AR38" s="2">
        <f t="shared" si="38"/>
        <v>7.6091861776489508E-2</v>
      </c>
      <c r="AS38" s="2">
        <f t="shared" si="38"/>
        <v>6.6574172359723363E-2</v>
      </c>
      <c r="AT38" s="2">
        <f t="shared" si="38"/>
        <v>5.474844202157389E-2</v>
      </c>
      <c r="AU38" s="2">
        <f t="shared" si="38"/>
        <v>6.2480623017695448E-2</v>
      </c>
      <c r="AV38" s="2">
        <f t="shared" si="38"/>
        <v>5.0098069868214308E-2</v>
      </c>
      <c r="AW38" s="2">
        <f t="shared" si="38"/>
        <v>5.8235028867590626E-2</v>
      </c>
      <c r="AX38" s="2">
        <f t="shared" si="38"/>
        <v>3.4822180312404742E-2</v>
      </c>
      <c r="AY38" s="2">
        <f t="shared" si="38"/>
        <v>6.3106414991656368E-2</v>
      </c>
      <c r="AZ38" s="2">
        <f t="shared" si="38"/>
        <v>7.8182224836782638E-2</v>
      </c>
      <c r="BA38" s="2">
        <f t="shared" si="38"/>
        <v>4.1912115617612072E-2</v>
      </c>
      <c r="BB38" s="2">
        <f t="shared" si="38"/>
        <v>5.1562938866310373E-2</v>
      </c>
      <c r="BC38" s="2">
        <f t="shared" si="38"/>
        <v>4.75054389666935E-2</v>
      </c>
      <c r="BD38" s="2">
        <f t="shared" si="38"/>
        <v>7.1239098726197492E-2</v>
      </c>
      <c r="BE38" s="2">
        <f t="shared" si="38"/>
        <v>5.5571889861427165E-2</v>
      </c>
      <c r="BF38" s="2">
        <f t="shared" si="38"/>
        <v>5.4014536801778271E-2</v>
      </c>
      <c r="BG38" s="2">
        <f t="shared" si="38"/>
        <v>4.0649297860461356E-2</v>
      </c>
      <c r="BH38" s="2">
        <f t="shared" si="38"/>
        <v>4.6308590553687481E-2</v>
      </c>
      <c r="BI38" s="2">
        <f t="shared" si="38"/>
        <v>4.0536871799617506E-2</v>
      </c>
      <c r="BJ38" s="2">
        <f t="shared" si="38"/>
        <v>4.4757498604275206E-2</v>
      </c>
      <c r="BK38" s="2">
        <f t="shared" si="38"/>
        <v>5.068262836216457E-2</v>
      </c>
      <c r="BL38" s="2">
        <f t="shared" si="38"/>
        <v>5.5105246054231137E-2</v>
      </c>
      <c r="BN38" t="s">
        <v>79</v>
      </c>
      <c r="BO38" t="s">
        <v>39</v>
      </c>
      <c r="BP38" t="s">
        <v>93</v>
      </c>
      <c r="BQ38" t="s">
        <v>39</v>
      </c>
      <c r="BR38" t="s">
        <v>93</v>
      </c>
      <c r="BS38" t="s">
        <v>33</v>
      </c>
      <c r="BT38" t="s">
        <v>40</v>
      </c>
      <c r="BU38" t="s">
        <v>41</v>
      </c>
      <c r="BV38" t="s">
        <v>29</v>
      </c>
      <c r="BW38" t="s">
        <v>24</v>
      </c>
      <c r="BX38" t="s">
        <v>39</v>
      </c>
      <c r="BY38" t="s">
        <v>29</v>
      </c>
      <c r="BZ38" t="s">
        <v>39</v>
      </c>
      <c r="CA38" t="s">
        <v>33</v>
      </c>
      <c r="CB38" t="s">
        <v>29</v>
      </c>
      <c r="CC38" t="s">
        <v>29</v>
      </c>
      <c r="CD38" t="s">
        <v>24</v>
      </c>
      <c r="CE38" t="s">
        <v>33</v>
      </c>
      <c r="CF38" t="s">
        <v>93</v>
      </c>
      <c r="CG38" t="s">
        <v>29</v>
      </c>
      <c r="CH38" t="s">
        <v>39</v>
      </c>
      <c r="CI38" t="s">
        <v>93</v>
      </c>
      <c r="CJ38" t="s">
        <v>41</v>
      </c>
      <c r="CK38" t="s">
        <v>24</v>
      </c>
      <c r="CL38" t="s">
        <v>40</v>
      </c>
      <c r="CM38" t="s">
        <v>39</v>
      </c>
      <c r="CN38" t="s">
        <v>33</v>
      </c>
      <c r="CO38" t="s">
        <v>40</v>
      </c>
      <c r="CP38" t="s">
        <v>40</v>
      </c>
      <c r="CQ38" t="s">
        <v>24</v>
      </c>
      <c r="CR38" t="s">
        <v>39</v>
      </c>
    </row>
    <row r="39" spans="1:96" x14ac:dyDescent="0.35">
      <c r="A39" s="37"/>
      <c r="B39" s="42" t="s">
        <v>80</v>
      </c>
      <c r="C39" s="2">
        <v>0.2419</v>
      </c>
      <c r="D39" s="2">
        <v>0.2336</v>
      </c>
      <c r="E39" s="2">
        <v>0.23319999999999999</v>
      </c>
      <c r="F39" s="2">
        <v>0.24540000000000001</v>
      </c>
      <c r="G39" s="2">
        <v>0.252</v>
      </c>
      <c r="H39" s="2">
        <v>0.25600000000000001</v>
      </c>
      <c r="I39" s="2">
        <v>0.2382</v>
      </c>
      <c r="J39" s="2">
        <v>0.23519999999999999</v>
      </c>
      <c r="K39" s="2">
        <v>0.26269999999999999</v>
      </c>
      <c r="L39" s="2">
        <v>0.248</v>
      </c>
      <c r="M39" s="2">
        <v>0.2601</v>
      </c>
      <c r="N39" s="2">
        <v>0.25879999999999997</v>
      </c>
      <c r="O39" s="2">
        <v>0.26369999999999999</v>
      </c>
      <c r="P39" s="2">
        <v>0.23380000000000001</v>
      </c>
      <c r="Q39" s="2">
        <v>0.26090000000000002</v>
      </c>
      <c r="R39" s="2">
        <v>0.2379</v>
      </c>
      <c r="S39" s="2">
        <v>0.24029999999999999</v>
      </c>
      <c r="T39" s="2">
        <v>0.23349999999999999</v>
      </c>
      <c r="U39" s="2">
        <v>0.25850000000000001</v>
      </c>
      <c r="V39" s="2">
        <v>0.23299999999999998</v>
      </c>
      <c r="W39" s="2">
        <v>0.25609999999999999</v>
      </c>
      <c r="X39" s="2">
        <v>0.23749999999999999</v>
      </c>
      <c r="Y39" s="2">
        <v>0.24829999999999999</v>
      </c>
      <c r="Z39" s="2">
        <v>0.24990000000000001</v>
      </c>
      <c r="AA39" s="2">
        <v>0.26340000000000002</v>
      </c>
      <c r="AB39" s="2">
        <v>0.25040000000000001</v>
      </c>
      <c r="AC39" s="2">
        <v>0.23430000000000001</v>
      </c>
      <c r="AD39" s="2">
        <v>0.2341</v>
      </c>
      <c r="AE39" s="2">
        <v>0.23630000000000001</v>
      </c>
      <c r="AF39" s="2">
        <v>0.23710000000000001</v>
      </c>
      <c r="AG39" s="1"/>
      <c r="AH39" s="42" t="s">
        <v>80</v>
      </c>
      <c r="AI39" s="2">
        <v>3.5935484307850409E-2</v>
      </c>
      <c r="AJ39" s="2">
        <v>4.1270047105238093E-2</v>
      </c>
      <c r="AK39" s="2">
        <v>2.3208279581705758E-2</v>
      </c>
      <c r="AL39" s="2">
        <v>2.2988243088156751E-2</v>
      </c>
      <c r="AM39" s="2">
        <v>3.1675155626743383E-2</v>
      </c>
      <c r="AN39" s="2">
        <v>3.5439905381221451E-2</v>
      </c>
      <c r="AO39" s="2">
        <v>2.5953635253956379E-2</v>
      </c>
      <c r="AP39" s="2">
        <v>3.9701579336728278E-2</v>
      </c>
      <c r="AQ39" s="2">
        <v>6.3606838222002332E-2</v>
      </c>
      <c r="AR39" s="2">
        <v>6.823373209317099E-2</v>
      </c>
      <c r="AS39" s="2">
        <v>5.8966728662921762E-2</v>
      </c>
      <c r="AT39" s="2">
        <v>4.6995034184361066E-2</v>
      </c>
      <c r="AU39" s="2">
        <v>5.4725270326551646E-2</v>
      </c>
      <c r="AV39" s="2">
        <v>4.2297613737334573E-2</v>
      </c>
      <c r="AW39" s="2">
        <v>5.048572109422609E-2</v>
      </c>
      <c r="AX39" s="2">
        <v>2.710490731838467E-2</v>
      </c>
      <c r="AY39" s="2">
        <v>5.5275187108638858E-2</v>
      </c>
      <c r="AZ39" s="2">
        <v>7.0347705167909863E-2</v>
      </c>
      <c r="BA39" s="2">
        <v>3.4098331854801649E-2</v>
      </c>
      <c r="BB39" s="2">
        <v>4.3663424012989449E-2</v>
      </c>
      <c r="BC39" s="2">
        <v>3.9758741152459934E-2</v>
      </c>
      <c r="BD39" s="2">
        <v>6.3362113247862784E-2</v>
      </c>
      <c r="BE39" s="2">
        <v>4.7691909892442035E-2</v>
      </c>
      <c r="BF39" s="2">
        <v>4.6282516288804358E-2</v>
      </c>
      <c r="BG39" s="2">
        <v>3.3053113227795403E-2</v>
      </c>
      <c r="BH39" s="2">
        <v>3.8470534705732175E-2</v>
      </c>
      <c r="BI39" s="2">
        <v>3.2553087695168029E-2</v>
      </c>
      <c r="BJ39" s="2">
        <v>3.6760872619848735E-2</v>
      </c>
      <c r="BK39" s="2">
        <v>4.2745859108333416E-2</v>
      </c>
      <c r="BL39" s="2">
        <v>4.7238756348898701E-2</v>
      </c>
      <c r="BN39" s="42" t="s">
        <v>80</v>
      </c>
      <c r="BO39" t="s">
        <v>24</v>
      </c>
      <c r="BP39" t="s">
        <v>93</v>
      </c>
      <c r="BQ39" t="s">
        <v>39</v>
      </c>
      <c r="BR39" t="s">
        <v>29</v>
      </c>
      <c r="BS39" t="s">
        <v>29</v>
      </c>
      <c r="BT39" t="s">
        <v>93</v>
      </c>
      <c r="BU39" t="s">
        <v>24</v>
      </c>
      <c r="BV39" t="s">
        <v>33</v>
      </c>
      <c r="BW39" t="s">
        <v>40</v>
      </c>
      <c r="BX39" t="s">
        <v>29</v>
      </c>
      <c r="BY39" t="s">
        <v>39</v>
      </c>
      <c r="BZ39" t="s">
        <v>24</v>
      </c>
      <c r="CA39" t="s">
        <v>24</v>
      </c>
      <c r="CB39" t="s">
        <v>40</v>
      </c>
      <c r="CC39" t="s">
        <v>93</v>
      </c>
      <c r="CD39" t="s">
        <v>24</v>
      </c>
      <c r="CE39" t="s">
        <v>33</v>
      </c>
      <c r="CF39" t="s">
        <v>40</v>
      </c>
      <c r="CG39" t="s">
        <v>40</v>
      </c>
      <c r="CH39" t="s">
        <v>40</v>
      </c>
      <c r="CI39" t="s">
        <v>39</v>
      </c>
      <c r="CJ39" t="s">
        <v>39</v>
      </c>
      <c r="CK39" t="s">
        <v>93</v>
      </c>
      <c r="CL39" t="s">
        <v>24</v>
      </c>
      <c r="CM39" t="s">
        <v>41</v>
      </c>
      <c r="CN39" t="s">
        <v>29</v>
      </c>
      <c r="CO39" t="s">
        <v>24</v>
      </c>
      <c r="CP39" t="s">
        <v>41</v>
      </c>
      <c r="CQ39" t="s">
        <v>41</v>
      </c>
      <c r="CR39" t="s">
        <v>93</v>
      </c>
    </row>
    <row r="40" spans="1:96" x14ac:dyDescent="0.35">
      <c r="A40" s="37"/>
      <c r="B40" s="42" t="s">
        <v>81</v>
      </c>
      <c r="C40" s="2">
        <v>0.34660000000000002</v>
      </c>
      <c r="D40" s="2">
        <v>0.33830000000000005</v>
      </c>
      <c r="E40" s="2">
        <v>0.34610000000000002</v>
      </c>
      <c r="F40" s="2">
        <v>0.33030000000000004</v>
      </c>
      <c r="G40" s="2">
        <v>0.33780000000000004</v>
      </c>
      <c r="H40" s="2">
        <v>0.33340000000000003</v>
      </c>
      <c r="I40" s="2">
        <v>0.32340000000000002</v>
      </c>
      <c r="J40" s="2">
        <v>0.3503</v>
      </c>
      <c r="K40" s="2">
        <v>0.33680000000000004</v>
      </c>
      <c r="L40" s="2">
        <v>0.34740000000000004</v>
      </c>
      <c r="M40" s="2">
        <v>0.32670000000000005</v>
      </c>
      <c r="N40" s="2">
        <v>0.34340000000000004</v>
      </c>
      <c r="O40" s="2">
        <v>0.34760000000000002</v>
      </c>
      <c r="P40" s="2">
        <v>0.32890000000000003</v>
      </c>
      <c r="Q40" s="2">
        <v>0.34460000000000002</v>
      </c>
      <c r="R40" s="2">
        <v>0.3221</v>
      </c>
      <c r="S40" s="2">
        <v>0.33790000000000003</v>
      </c>
      <c r="T40" s="2">
        <v>0.33280000000000004</v>
      </c>
      <c r="U40" s="2">
        <v>0.35050000000000003</v>
      </c>
      <c r="V40" s="2">
        <v>0.34030000000000005</v>
      </c>
      <c r="W40" s="2">
        <v>0.34040000000000004</v>
      </c>
      <c r="X40" s="2">
        <v>0.3412</v>
      </c>
      <c r="Y40" s="2">
        <v>0.3503</v>
      </c>
      <c r="Z40" s="2">
        <v>0.33360000000000001</v>
      </c>
      <c r="AA40" s="2">
        <v>0.32800000000000001</v>
      </c>
      <c r="AB40" s="2">
        <v>0.34690000000000004</v>
      </c>
      <c r="AC40" s="2">
        <v>0.35160000000000002</v>
      </c>
      <c r="AD40" s="2">
        <v>0.35300000000000004</v>
      </c>
      <c r="AE40" s="2">
        <v>0.34750000000000003</v>
      </c>
      <c r="AF40" s="2">
        <v>0.33960000000000001</v>
      </c>
      <c r="AG40" s="1"/>
      <c r="AH40" s="42" t="s">
        <v>81</v>
      </c>
      <c r="AI40" s="2">
        <v>5.0809157434271002E-2</v>
      </c>
      <c r="AJ40" s="2">
        <v>5.6143720231658686E-2</v>
      </c>
      <c r="AK40" s="2">
        <v>3.8081952708126351E-2</v>
      </c>
      <c r="AL40" s="2">
        <v>3.3861916214577341E-2</v>
      </c>
      <c r="AM40" s="2">
        <v>4.6548828753163976E-2</v>
      </c>
      <c r="AN40" s="2">
        <v>5.0313578507642044E-2</v>
      </c>
      <c r="AO40" s="2">
        <v>2.8827308380376962E-2</v>
      </c>
      <c r="AP40" s="2">
        <v>5.4575252463148871E-2</v>
      </c>
      <c r="AQ40" s="2">
        <v>7.8480511348422918E-2</v>
      </c>
      <c r="AR40" s="2">
        <v>8.310740521959159E-2</v>
      </c>
      <c r="AS40" s="2">
        <v>7.3840401789342355E-2</v>
      </c>
      <c r="AT40" s="2">
        <v>6.1868707310781659E-2</v>
      </c>
      <c r="AU40" s="2">
        <v>6.9598943452972239E-2</v>
      </c>
      <c r="AV40" s="2">
        <v>5.7171286863755166E-2</v>
      </c>
      <c r="AW40" s="2">
        <v>6.5359394220646683E-2</v>
      </c>
      <c r="AX40" s="2">
        <v>4.1978580444805264E-2</v>
      </c>
      <c r="AY40" s="2">
        <v>7.0148860235059451E-2</v>
      </c>
      <c r="AZ40" s="2">
        <v>8.5221378294330449E-2</v>
      </c>
      <c r="BA40" s="2">
        <v>4.8972004981222242E-2</v>
      </c>
      <c r="BB40" s="2">
        <v>5.8537097139410042E-2</v>
      </c>
      <c r="BC40" s="2">
        <v>5.4632414278880527E-2</v>
      </c>
      <c r="BD40" s="2">
        <v>7.8235786374283384E-2</v>
      </c>
      <c r="BE40" s="2">
        <v>6.2565583018862628E-2</v>
      </c>
      <c r="BF40" s="2">
        <v>6.1156189415224951E-2</v>
      </c>
      <c r="BG40" s="2">
        <v>4.7926786354215996E-2</v>
      </c>
      <c r="BH40" s="2">
        <v>5.3344207832152768E-2</v>
      </c>
      <c r="BI40" s="2">
        <v>4.7426760821588622E-2</v>
      </c>
      <c r="BJ40" s="2">
        <v>5.1634545746269328E-2</v>
      </c>
      <c r="BK40" s="2">
        <v>5.7619532234754009E-2</v>
      </c>
      <c r="BL40" s="2">
        <v>6.2112429475319295E-2</v>
      </c>
      <c r="BN40" s="42" t="s">
        <v>81</v>
      </c>
      <c r="BO40" t="s">
        <v>41</v>
      </c>
      <c r="BP40" t="s">
        <v>93</v>
      </c>
      <c r="BQ40" t="s">
        <v>33</v>
      </c>
      <c r="BR40" t="s">
        <v>29</v>
      </c>
      <c r="BS40" t="s">
        <v>33</v>
      </c>
      <c r="BT40" t="s">
        <v>24</v>
      </c>
      <c r="BU40" t="s">
        <v>24</v>
      </c>
      <c r="BV40" t="s">
        <v>24</v>
      </c>
      <c r="BW40" t="s">
        <v>41</v>
      </c>
      <c r="BX40" t="s">
        <v>40</v>
      </c>
      <c r="BY40" t="s">
        <v>41</v>
      </c>
      <c r="BZ40" t="s">
        <v>24</v>
      </c>
      <c r="CA40" t="s">
        <v>41</v>
      </c>
      <c r="CB40" t="s">
        <v>40</v>
      </c>
      <c r="CC40" t="s">
        <v>40</v>
      </c>
      <c r="CD40" t="s">
        <v>40</v>
      </c>
      <c r="CE40" t="s">
        <v>39</v>
      </c>
      <c r="CF40" t="s">
        <v>29</v>
      </c>
      <c r="CG40" t="s">
        <v>40</v>
      </c>
      <c r="CH40" t="s">
        <v>41</v>
      </c>
      <c r="CI40" t="s">
        <v>33</v>
      </c>
      <c r="CJ40" t="s">
        <v>40</v>
      </c>
      <c r="CK40" t="s">
        <v>93</v>
      </c>
      <c r="CL40" t="s">
        <v>39</v>
      </c>
      <c r="CM40" t="s">
        <v>41</v>
      </c>
      <c r="CN40" t="s">
        <v>29</v>
      </c>
      <c r="CO40" t="s">
        <v>33</v>
      </c>
      <c r="CP40" t="s">
        <v>29</v>
      </c>
      <c r="CQ40" t="s">
        <v>33</v>
      </c>
      <c r="CR40" t="s">
        <v>24</v>
      </c>
    </row>
    <row r="41" spans="1:96" x14ac:dyDescent="0.35">
      <c r="A41" s="37"/>
      <c r="B41" s="42" t="s">
        <v>82</v>
      </c>
      <c r="C41" s="1">
        <f t="shared" ref="C41:AF41" si="39">1-SUM(C39:C40)</f>
        <v>0.41149999999999998</v>
      </c>
      <c r="D41" s="1">
        <f t="shared" si="39"/>
        <v>0.42809999999999993</v>
      </c>
      <c r="E41" s="1">
        <f t="shared" si="39"/>
        <v>0.42069999999999996</v>
      </c>
      <c r="F41" s="1">
        <f t="shared" si="39"/>
        <v>0.4242999999999999</v>
      </c>
      <c r="G41" s="1">
        <f t="shared" si="39"/>
        <v>0.4101999999999999</v>
      </c>
      <c r="H41" s="1">
        <f t="shared" si="39"/>
        <v>0.41059999999999997</v>
      </c>
      <c r="I41" s="1">
        <f t="shared" si="39"/>
        <v>0.43840000000000001</v>
      </c>
      <c r="J41" s="1">
        <f t="shared" si="39"/>
        <v>0.41449999999999998</v>
      </c>
      <c r="K41" s="1">
        <f t="shared" si="39"/>
        <v>0.40049999999999997</v>
      </c>
      <c r="L41" s="1">
        <f t="shared" si="39"/>
        <v>0.40459999999999996</v>
      </c>
      <c r="M41" s="1">
        <f t="shared" si="39"/>
        <v>0.41320000000000001</v>
      </c>
      <c r="N41" s="1">
        <f t="shared" si="39"/>
        <v>0.39779999999999993</v>
      </c>
      <c r="O41" s="1">
        <f t="shared" si="39"/>
        <v>0.38870000000000005</v>
      </c>
      <c r="P41" s="1">
        <f t="shared" si="39"/>
        <v>0.43730000000000002</v>
      </c>
      <c r="Q41" s="1">
        <f t="shared" si="39"/>
        <v>0.39449999999999996</v>
      </c>
      <c r="R41" s="1">
        <f t="shared" si="39"/>
        <v>0.43999999999999995</v>
      </c>
      <c r="S41" s="1">
        <f t="shared" si="39"/>
        <v>0.42179999999999995</v>
      </c>
      <c r="T41" s="1">
        <f t="shared" si="39"/>
        <v>0.43369999999999997</v>
      </c>
      <c r="U41" s="1">
        <f t="shared" si="39"/>
        <v>0.39100000000000001</v>
      </c>
      <c r="V41" s="1">
        <f t="shared" si="39"/>
        <v>0.42669999999999997</v>
      </c>
      <c r="W41" s="1">
        <f t="shared" si="39"/>
        <v>0.40349999999999997</v>
      </c>
      <c r="X41" s="1">
        <f t="shared" si="39"/>
        <v>0.42130000000000001</v>
      </c>
      <c r="Y41" s="1">
        <f t="shared" si="39"/>
        <v>0.40139999999999998</v>
      </c>
      <c r="Z41" s="1">
        <f t="shared" si="39"/>
        <v>0.41649999999999998</v>
      </c>
      <c r="AA41" s="1">
        <f t="shared" si="39"/>
        <v>0.40859999999999996</v>
      </c>
      <c r="AB41" s="1">
        <f t="shared" si="39"/>
        <v>0.40269999999999995</v>
      </c>
      <c r="AC41" s="1">
        <f t="shared" si="39"/>
        <v>0.41409999999999991</v>
      </c>
      <c r="AD41" s="1">
        <f t="shared" si="39"/>
        <v>0.41289999999999993</v>
      </c>
      <c r="AE41" s="1">
        <f t="shared" si="39"/>
        <v>0.4161999999999999</v>
      </c>
      <c r="AF41" s="1">
        <f t="shared" si="39"/>
        <v>0.42330000000000001</v>
      </c>
      <c r="AG41" s="1"/>
      <c r="AH41" s="42" t="s">
        <v>82</v>
      </c>
      <c r="AI41" s="2">
        <v>4.2586536307850406E-2</v>
      </c>
      <c r="AJ41" s="2">
        <v>4.7921099105238091E-2</v>
      </c>
      <c r="AK41" s="2">
        <v>2.9859331581705756E-2</v>
      </c>
      <c r="AL41" s="2">
        <v>2.5639295088156745E-2</v>
      </c>
      <c r="AM41" s="2">
        <v>3.832620762674338E-2</v>
      </c>
      <c r="AN41" s="2">
        <v>4.2090957381221449E-2</v>
      </c>
      <c r="AO41" s="2">
        <v>2.0604687253956366E-2</v>
      </c>
      <c r="AP41" s="2">
        <v>4.6352631336728276E-2</v>
      </c>
      <c r="AQ41" s="2">
        <v>7.0257890222002323E-2</v>
      </c>
      <c r="AR41" s="2">
        <v>7.4884784093170995E-2</v>
      </c>
      <c r="AS41" s="2">
        <v>6.561778066292176E-2</v>
      </c>
      <c r="AT41" s="2">
        <v>5.3646086184361064E-2</v>
      </c>
      <c r="AU41" s="2">
        <v>6.1376322326551644E-2</v>
      </c>
      <c r="AV41" s="2">
        <v>4.8948665737334571E-2</v>
      </c>
      <c r="AW41" s="2">
        <v>5.7136773094226087E-2</v>
      </c>
      <c r="AX41" s="2">
        <v>3.3755959318384668E-2</v>
      </c>
      <c r="AY41" s="2">
        <v>6.1926239108638856E-2</v>
      </c>
      <c r="AZ41" s="2">
        <v>7.6998757167909854E-2</v>
      </c>
      <c r="BA41" s="2">
        <v>4.0749383854801646E-2</v>
      </c>
      <c r="BB41" s="2">
        <v>5.0314476012989447E-2</v>
      </c>
      <c r="BC41" s="2">
        <v>4.6409793152459931E-2</v>
      </c>
      <c r="BD41" s="2">
        <v>7.0013165247862788E-2</v>
      </c>
      <c r="BE41" s="2">
        <v>5.4342961892442032E-2</v>
      </c>
      <c r="BF41" s="2">
        <v>5.2933568288804356E-2</v>
      </c>
      <c r="BG41" s="2">
        <v>3.97041652277954E-2</v>
      </c>
      <c r="BH41" s="2">
        <v>4.5121586705732172E-2</v>
      </c>
      <c r="BI41" s="2">
        <v>3.9204139695168026E-2</v>
      </c>
      <c r="BJ41" s="2">
        <v>4.3411924619848732E-2</v>
      </c>
      <c r="BK41" s="2">
        <v>4.9396911108333413E-2</v>
      </c>
      <c r="BL41" s="2">
        <v>5.3889808348898699E-2</v>
      </c>
      <c r="BN41" s="42" t="s">
        <v>82</v>
      </c>
      <c r="BO41" t="s">
        <v>24</v>
      </c>
      <c r="BP41" t="s">
        <v>40</v>
      </c>
      <c r="BQ41" t="s">
        <v>41</v>
      </c>
      <c r="BR41" t="s">
        <v>93</v>
      </c>
      <c r="BS41" t="s">
        <v>93</v>
      </c>
      <c r="BT41" t="s">
        <v>93</v>
      </c>
      <c r="BU41" t="s">
        <v>93</v>
      </c>
      <c r="BV41" t="s">
        <v>93</v>
      </c>
      <c r="BW41" t="s">
        <v>39</v>
      </c>
      <c r="BX41" t="s">
        <v>93</v>
      </c>
      <c r="BY41" t="s">
        <v>40</v>
      </c>
      <c r="BZ41" t="s">
        <v>29</v>
      </c>
      <c r="CA41" t="s">
        <v>40</v>
      </c>
      <c r="CB41" t="s">
        <v>41</v>
      </c>
      <c r="CC41" t="s">
        <v>29</v>
      </c>
      <c r="CD41" t="s">
        <v>33</v>
      </c>
      <c r="CE41" t="s">
        <v>93</v>
      </c>
      <c r="CF41" t="s">
        <v>24</v>
      </c>
      <c r="CG41" t="s">
        <v>24</v>
      </c>
      <c r="CH41" t="s">
        <v>39</v>
      </c>
      <c r="CI41" t="s">
        <v>29</v>
      </c>
      <c r="CJ41" t="s">
        <v>39</v>
      </c>
      <c r="CK41" t="s">
        <v>24</v>
      </c>
      <c r="CL41" t="s">
        <v>24</v>
      </c>
      <c r="CM41" t="s">
        <v>24</v>
      </c>
      <c r="CN41" t="s">
        <v>40</v>
      </c>
      <c r="CO41" t="s">
        <v>33</v>
      </c>
      <c r="CP41" t="s">
        <v>40</v>
      </c>
      <c r="CQ41" t="s">
        <v>33</v>
      </c>
      <c r="CR41" t="s">
        <v>24</v>
      </c>
    </row>
    <row r="42" spans="1:96" x14ac:dyDescent="0.35">
      <c r="A42" s="37"/>
      <c r="B42" t="s">
        <v>83</v>
      </c>
      <c r="C42" s="2">
        <v>0.23</v>
      </c>
      <c r="D42" s="2">
        <v>0.22870000000000001</v>
      </c>
      <c r="E42" s="2">
        <v>0.20960000000000001</v>
      </c>
      <c r="F42" s="2">
        <v>0.2097</v>
      </c>
      <c r="G42" s="2">
        <v>0.23200000000000001</v>
      </c>
      <c r="H42" s="2">
        <v>0.21299999999999999</v>
      </c>
      <c r="I42" s="2">
        <v>0.2122</v>
      </c>
      <c r="J42" s="2">
        <v>0.2147</v>
      </c>
      <c r="K42" s="2">
        <v>0.21529999999999999</v>
      </c>
      <c r="L42" s="2">
        <v>0.21929999999999999</v>
      </c>
      <c r="M42" s="2">
        <v>0.22009999999999999</v>
      </c>
      <c r="N42" s="2">
        <v>0.2346</v>
      </c>
      <c r="O42" s="2">
        <v>0.22359999999999999</v>
      </c>
      <c r="P42" s="2">
        <v>0.21909999999999999</v>
      </c>
      <c r="Q42" s="2">
        <v>0.2288</v>
      </c>
      <c r="R42" s="2">
        <v>0.22259999999999999</v>
      </c>
      <c r="S42" s="2">
        <v>0.20860000000000001</v>
      </c>
      <c r="T42" s="2">
        <v>0.22420000000000001</v>
      </c>
      <c r="U42" s="2">
        <v>0.22470000000000001</v>
      </c>
      <c r="V42" s="2">
        <v>0.21790000000000001</v>
      </c>
      <c r="W42" s="2">
        <v>0.22950000000000001</v>
      </c>
      <c r="X42" s="2">
        <v>0.21240000000000001</v>
      </c>
      <c r="Y42" s="2">
        <v>0.22520000000000001</v>
      </c>
      <c r="Z42" s="2">
        <v>0.21329999999999999</v>
      </c>
      <c r="AA42" s="2">
        <v>0.2107</v>
      </c>
      <c r="AB42" s="2">
        <v>0.2354</v>
      </c>
      <c r="AC42" s="2">
        <v>0.219</v>
      </c>
      <c r="AD42" s="2">
        <v>0.20580000000000001</v>
      </c>
      <c r="AE42" s="2">
        <v>0.2147</v>
      </c>
      <c r="AF42" s="2">
        <v>0.23169999999999999</v>
      </c>
      <c r="AG42" s="6"/>
      <c r="AH42" t="s">
        <v>83</v>
      </c>
      <c r="AI42" s="2">
        <v>5.5481036307850409E-2</v>
      </c>
      <c r="AJ42" s="2">
        <v>6.0815599105238094E-2</v>
      </c>
      <c r="AK42" s="2">
        <v>4.2753831581705759E-2</v>
      </c>
      <c r="AL42" s="2">
        <v>3.8533795088156748E-2</v>
      </c>
      <c r="AM42" s="2">
        <v>5.1220707626743384E-2</v>
      </c>
      <c r="AN42" s="2">
        <v>5.4985457381221452E-2</v>
      </c>
      <c r="AO42" s="2">
        <v>3.349918725395637E-2</v>
      </c>
      <c r="AP42" s="2">
        <v>5.9247131336728279E-2</v>
      </c>
      <c r="AQ42" s="2">
        <v>8.3152390222002326E-2</v>
      </c>
      <c r="AR42" s="2">
        <v>8.7779284093170998E-2</v>
      </c>
      <c r="AS42" s="2">
        <v>7.8512280662921763E-2</v>
      </c>
      <c r="AT42" s="2">
        <v>6.6540586184361067E-2</v>
      </c>
      <c r="AU42" s="2">
        <v>7.4270822326551647E-2</v>
      </c>
      <c r="AV42" s="2">
        <v>6.1843165737334574E-2</v>
      </c>
      <c r="AW42" s="2">
        <v>7.003127309422609E-2</v>
      </c>
      <c r="AX42" s="2">
        <v>4.6650459318384671E-2</v>
      </c>
      <c r="AY42" s="2">
        <v>7.4820739108638859E-2</v>
      </c>
      <c r="AZ42" s="2">
        <v>8.9893257167909857E-2</v>
      </c>
      <c r="BA42" s="2">
        <v>5.3643883854801649E-2</v>
      </c>
      <c r="BB42" s="2">
        <v>6.3208976012989443E-2</v>
      </c>
      <c r="BC42" s="2">
        <v>5.9304293152459935E-2</v>
      </c>
      <c r="BD42" s="2">
        <v>8.2907665247862791E-2</v>
      </c>
      <c r="BE42" s="2">
        <v>6.7237461892442035E-2</v>
      </c>
      <c r="BF42" s="2">
        <v>6.5828068288804359E-2</v>
      </c>
      <c r="BG42" s="2">
        <v>5.2598665227795403E-2</v>
      </c>
      <c r="BH42" s="2">
        <v>5.8016086705732176E-2</v>
      </c>
      <c r="BI42" s="2">
        <v>5.2098639695168029E-2</v>
      </c>
      <c r="BJ42" s="2">
        <v>5.6306424619848736E-2</v>
      </c>
      <c r="BK42" s="2">
        <v>6.2291411108333417E-2</v>
      </c>
      <c r="BL42" s="2">
        <v>6.6784308348898702E-2</v>
      </c>
      <c r="BN42" t="s">
        <v>83</v>
      </c>
      <c r="BO42" t="s">
        <v>24</v>
      </c>
      <c r="BP42" t="s">
        <v>40</v>
      </c>
      <c r="BQ42" t="s">
        <v>93</v>
      </c>
      <c r="BR42" t="s">
        <v>40</v>
      </c>
      <c r="BS42" t="s">
        <v>39</v>
      </c>
      <c r="BT42" t="s">
        <v>41</v>
      </c>
      <c r="BU42" t="s">
        <v>41</v>
      </c>
      <c r="BV42" t="s">
        <v>41</v>
      </c>
      <c r="BW42" t="s">
        <v>24</v>
      </c>
      <c r="BX42" t="s">
        <v>29</v>
      </c>
      <c r="BY42" t="s">
        <v>29</v>
      </c>
      <c r="BZ42" t="s">
        <v>33</v>
      </c>
      <c r="CA42" t="s">
        <v>39</v>
      </c>
      <c r="CB42" t="s">
        <v>93</v>
      </c>
      <c r="CC42" t="s">
        <v>41</v>
      </c>
      <c r="CD42" t="s">
        <v>39</v>
      </c>
      <c r="CE42" t="s">
        <v>93</v>
      </c>
      <c r="CF42" t="s">
        <v>40</v>
      </c>
      <c r="CG42" t="s">
        <v>24</v>
      </c>
      <c r="CH42" t="s">
        <v>41</v>
      </c>
      <c r="CI42" t="s">
        <v>33</v>
      </c>
      <c r="CJ42" t="s">
        <v>39</v>
      </c>
      <c r="CK42" t="s">
        <v>93</v>
      </c>
      <c r="CL42" t="s">
        <v>29</v>
      </c>
      <c r="CM42" t="s">
        <v>40</v>
      </c>
      <c r="CN42" t="s">
        <v>40</v>
      </c>
      <c r="CO42" t="s">
        <v>39</v>
      </c>
      <c r="CP42" t="s">
        <v>93</v>
      </c>
      <c r="CQ42" t="s">
        <v>39</v>
      </c>
      <c r="CR42" t="s">
        <v>39</v>
      </c>
    </row>
    <row r="43" spans="1:96" x14ac:dyDescent="0.35">
      <c r="A43" s="37"/>
      <c r="B43" t="s">
        <v>84</v>
      </c>
      <c r="C43" s="2">
        <v>9.3100000000000002E-2</v>
      </c>
      <c r="D43" s="2">
        <v>0.105</v>
      </c>
      <c r="E43" s="2">
        <v>9.6199999999999994E-2</v>
      </c>
      <c r="F43" s="2">
        <v>0.11219999999999999</v>
      </c>
      <c r="G43" s="2">
        <v>9.8699999999999996E-2</v>
      </c>
      <c r="H43" s="2">
        <v>9.4600000000000004E-2</v>
      </c>
      <c r="I43" s="2">
        <v>0.11749999999999999</v>
      </c>
      <c r="J43" s="2">
        <v>9.4299999999999995E-2</v>
      </c>
      <c r="K43" s="2">
        <v>0.10299999999999999</v>
      </c>
      <c r="L43" s="2">
        <v>9.7000000000000003E-2</v>
      </c>
      <c r="M43" s="2">
        <v>0.1089</v>
      </c>
      <c r="N43" s="2">
        <v>0.1197</v>
      </c>
      <c r="O43" s="2">
        <v>0.1086</v>
      </c>
      <c r="P43" s="2">
        <v>0.1187</v>
      </c>
      <c r="Q43" s="2">
        <v>0.1125</v>
      </c>
      <c r="R43" s="2">
        <v>0.1091</v>
      </c>
      <c r="S43" s="2">
        <v>0.10829999999999999</v>
      </c>
      <c r="T43" s="2">
        <v>9.7099999999999992E-2</v>
      </c>
      <c r="U43" s="2">
        <v>0.1095</v>
      </c>
      <c r="V43" s="2">
        <v>0.1048</v>
      </c>
      <c r="W43" s="2">
        <v>9.8699999999999996E-2</v>
      </c>
      <c r="X43" s="2">
        <v>0.1104</v>
      </c>
      <c r="Y43" s="2">
        <v>0.11649999999999999</v>
      </c>
      <c r="Z43" s="2">
        <v>0.1188</v>
      </c>
      <c r="AA43" s="2">
        <v>9.8400000000000001E-2</v>
      </c>
      <c r="AB43" s="2">
        <v>0.1132</v>
      </c>
      <c r="AC43" s="2">
        <v>0.1002</v>
      </c>
      <c r="AD43" s="2">
        <v>0.11840000000000001</v>
      </c>
      <c r="AE43" s="2">
        <v>0.11409999999999999</v>
      </c>
      <c r="AF43" s="2">
        <v>0.1052</v>
      </c>
      <c r="AG43" s="1"/>
      <c r="AH43" t="s">
        <v>84</v>
      </c>
      <c r="AI43" s="2">
        <v>6.2481036307850402E-2</v>
      </c>
      <c r="AJ43" s="2">
        <v>6.7815599105238086E-2</v>
      </c>
      <c r="AK43" s="2">
        <v>4.9753831581705751E-2</v>
      </c>
      <c r="AL43" s="2">
        <v>4.5533795088156741E-2</v>
      </c>
      <c r="AM43" s="2">
        <v>5.8220707626743376E-2</v>
      </c>
      <c r="AN43" s="2">
        <v>6.1985457381221444E-2</v>
      </c>
      <c r="AO43" s="2">
        <v>4.0499187253956362E-2</v>
      </c>
      <c r="AP43" s="2">
        <v>6.6247131336728271E-2</v>
      </c>
      <c r="AQ43" s="2">
        <v>9.0152390222002318E-2</v>
      </c>
      <c r="AR43" s="2">
        <v>9.477928409317099E-2</v>
      </c>
      <c r="AS43" s="2">
        <v>8.5512280662921755E-2</v>
      </c>
      <c r="AT43" s="2">
        <v>7.3540586184361059E-2</v>
      </c>
      <c r="AU43" s="2">
        <v>8.1270822326551639E-2</v>
      </c>
      <c r="AV43" s="2">
        <v>6.8843165737334566E-2</v>
      </c>
      <c r="AW43" s="2">
        <v>7.7031273094226083E-2</v>
      </c>
      <c r="AX43" s="2">
        <v>5.3650459318384663E-2</v>
      </c>
      <c r="AY43" s="2">
        <v>8.1820739108638851E-2</v>
      </c>
      <c r="AZ43" s="2">
        <v>9.6893257167909849E-2</v>
      </c>
      <c r="BA43" s="2">
        <v>6.0643883854801642E-2</v>
      </c>
      <c r="BB43" s="2">
        <v>7.0208976012989449E-2</v>
      </c>
      <c r="BC43" s="2">
        <v>6.630429315245992E-2</v>
      </c>
      <c r="BD43" s="2">
        <v>8.9907665247862784E-2</v>
      </c>
      <c r="BE43" s="2">
        <v>7.4237461892442028E-2</v>
      </c>
      <c r="BF43" s="2">
        <v>7.2828068288804351E-2</v>
      </c>
      <c r="BG43" s="2">
        <v>5.9598665227795396E-2</v>
      </c>
      <c r="BH43" s="2">
        <v>6.5016086705732168E-2</v>
      </c>
      <c r="BI43" s="2">
        <v>5.9098639695168022E-2</v>
      </c>
      <c r="BJ43" s="2">
        <v>6.3306424619848728E-2</v>
      </c>
      <c r="BK43" s="2">
        <v>6.9291411108333409E-2</v>
      </c>
      <c r="BL43" s="2">
        <v>7.3784308348898694E-2</v>
      </c>
      <c r="BN43" t="s">
        <v>84</v>
      </c>
      <c r="BO43" t="s">
        <v>39</v>
      </c>
      <c r="BP43" t="s">
        <v>40</v>
      </c>
      <c r="BQ43" t="s">
        <v>39</v>
      </c>
      <c r="BR43" t="s">
        <v>93</v>
      </c>
      <c r="BS43" t="s">
        <v>39</v>
      </c>
      <c r="BT43" t="s">
        <v>93</v>
      </c>
      <c r="BU43" t="s">
        <v>33</v>
      </c>
      <c r="BV43" t="s">
        <v>29</v>
      </c>
      <c r="BW43" t="s">
        <v>39</v>
      </c>
      <c r="BX43" t="s">
        <v>29</v>
      </c>
      <c r="BY43" t="s">
        <v>93</v>
      </c>
      <c r="BZ43" t="s">
        <v>41</v>
      </c>
      <c r="CA43" t="s">
        <v>40</v>
      </c>
      <c r="CB43" t="s">
        <v>93</v>
      </c>
      <c r="CC43" t="s">
        <v>33</v>
      </c>
      <c r="CD43" t="s">
        <v>29</v>
      </c>
      <c r="CE43" t="s">
        <v>39</v>
      </c>
      <c r="CF43" t="s">
        <v>33</v>
      </c>
      <c r="CG43" t="s">
        <v>29</v>
      </c>
      <c r="CH43" t="s">
        <v>41</v>
      </c>
      <c r="CI43" t="s">
        <v>93</v>
      </c>
      <c r="CJ43" t="s">
        <v>40</v>
      </c>
      <c r="CK43" t="s">
        <v>29</v>
      </c>
      <c r="CL43" t="s">
        <v>24</v>
      </c>
      <c r="CM43" t="s">
        <v>39</v>
      </c>
      <c r="CN43" t="s">
        <v>24</v>
      </c>
      <c r="CO43" t="s">
        <v>93</v>
      </c>
      <c r="CP43" t="s">
        <v>39</v>
      </c>
      <c r="CQ43" t="s">
        <v>40</v>
      </c>
      <c r="CR43" t="s">
        <v>39</v>
      </c>
    </row>
    <row r="44" spans="1:96" x14ac:dyDescent="0.35">
      <c r="A44" s="37"/>
      <c r="B44" t="s">
        <v>85</v>
      </c>
      <c r="C44" s="2">
        <v>0.14849999999999999</v>
      </c>
      <c r="D44" s="2">
        <v>0.15059999999999998</v>
      </c>
      <c r="E44" s="2">
        <v>0.14059999999999997</v>
      </c>
      <c r="F44" s="2">
        <v>0.13319999999999999</v>
      </c>
      <c r="G44" s="2">
        <v>0.12899999999999998</v>
      </c>
      <c r="H44" s="2">
        <v>0.15529999999999999</v>
      </c>
      <c r="I44" s="2">
        <v>0.15619999999999998</v>
      </c>
      <c r="J44" s="2">
        <v>0.1376</v>
      </c>
      <c r="K44" s="2">
        <v>0.14639999999999997</v>
      </c>
      <c r="L44" s="2">
        <v>0.12769999999999998</v>
      </c>
      <c r="M44" s="2">
        <v>0.13339999999999999</v>
      </c>
      <c r="N44" s="2">
        <v>0.13229999999999997</v>
      </c>
      <c r="O44" s="2">
        <v>0.14779999999999999</v>
      </c>
      <c r="P44" s="2">
        <v>0.1583</v>
      </c>
      <c r="Q44" s="2">
        <v>0.13149999999999998</v>
      </c>
      <c r="R44" s="2">
        <v>0.1467</v>
      </c>
      <c r="S44" s="2">
        <v>0.14799999999999999</v>
      </c>
      <c r="T44" s="2">
        <v>0.15639999999999998</v>
      </c>
      <c r="U44" s="2">
        <v>0.12819999999999998</v>
      </c>
      <c r="V44" s="2">
        <v>0.13649999999999998</v>
      </c>
      <c r="W44" s="2">
        <v>0.13779999999999998</v>
      </c>
      <c r="X44" s="2">
        <v>0.13049999999999998</v>
      </c>
      <c r="Y44" s="2">
        <v>0.14589999999999997</v>
      </c>
      <c r="Z44" s="2">
        <v>0.14779999999999999</v>
      </c>
      <c r="AA44" s="2">
        <v>0.13279999999999997</v>
      </c>
      <c r="AB44" s="2">
        <v>0.15159999999999998</v>
      </c>
      <c r="AC44" s="2">
        <v>0.14159999999999998</v>
      </c>
      <c r="AD44" s="2">
        <v>0.14449999999999999</v>
      </c>
      <c r="AE44" s="2">
        <v>0.12759999999999999</v>
      </c>
      <c r="AF44" s="2">
        <v>0.1419</v>
      </c>
      <c r="AG44" s="1"/>
      <c r="AH44" t="s">
        <v>85</v>
      </c>
      <c r="AI44" s="2">
        <v>6.8481036307850407E-2</v>
      </c>
      <c r="AJ44" s="2">
        <v>7.3815599105238092E-2</v>
      </c>
      <c r="AK44" s="2">
        <v>5.5753831581705757E-2</v>
      </c>
      <c r="AL44" s="2">
        <v>5.1533795088156746E-2</v>
      </c>
      <c r="AM44" s="2">
        <v>6.4220707626743381E-2</v>
      </c>
      <c r="AN44" s="2">
        <v>6.7985457381221442E-2</v>
      </c>
      <c r="AO44" s="2">
        <v>4.6499187253956367E-2</v>
      </c>
      <c r="AP44" s="2">
        <v>7.2247131336728276E-2</v>
      </c>
      <c r="AQ44" s="2">
        <v>9.6152390222002324E-2</v>
      </c>
      <c r="AR44" s="2">
        <v>0.100779284093171</v>
      </c>
      <c r="AS44" s="2">
        <v>9.1512280662921761E-2</v>
      </c>
      <c r="AT44" s="2">
        <v>7.9540586184361065E-2</v>
      </c>
      <c r="AU44" s="2">
        <v>8.7270822326551645E-2</v>
      </c>
      <c r="AV44" s="2">
        <v>7.4843165737334572E-2</v>
      </c>
      <c r="AW44" s="2">
        <v>8.3031273094226088E-2</v>
      </c>
      <c r="AX44" s="2">
        <v>5.9650459318384669E-2</v>
      </c>
      <c r="AY44" s="2">
        <v>8.7820739108638857E-2</v>
      </c>
      <c r="AZ44" s="2">
        <v>0.10289325716790985</v>
      </c>
      <c r="BA44" s="2">
        <v>6.6643883854801647E-2</v>
      </c>
      <c r="BB44" s="2">
        <v>7.6208976012989454E-2</v>
      </c>
      <c r="BC44" s="2">
        <v>7.2304293152459925E-2</v>
      </c>
      <c r="BD44" s="2">
        <v>9.5907665247862789E-2</v>
      </c>
      <c r="BE44" s="2">
        <v>8.0237461892442033E-2</v>
      </c>
      <c r="BF44" s="2">
        <v>7.8828068288804357E-2</v>
      </c>
      <c r="BG44" s="2">
        <v>6.5598665227795394E-2</v>
      </c>
      <c r="BH44" s="2">
        <v>7.1016086705732173E-2</v>
      </c>
      <c r="BI44" s="2">
        <v>6.509863969516802E-2</v>
      </c>
      <c r="BJ44" s="2">
        <v>6.9306424619848733E-2</v>
      </c>
      <c r="BK44" s="2">
        <v>7.5291411108333414E-2</v>
      </c>
      <c r="BL44" s="2">
        <v>7.97843083488987E-2</v>
      </c>
      <c r="BN44" t="s">
        <v>85</v>
      </c>
      <c r="BO44" t="s">
        <v>40</v>
      </c>
      <c r="BP44" t="s">
        <v>33</v>
      </c>
      <c r="BQ44" t="s">
        <v>39</v>
      </c>
      <c r="BR44" t="s">
        <v>29</v>
      </c>
      <c r="BS44" t="s">
        <v>24</v>
      </c>
      <c r="BT44" t="s">
        <v>93</v>
      </c>
      <c r="BU44" t="s">
        <v>29</v>
      </c>
      <c r="BV44" t="s">
        <v>29</v>
      </c>
      <c r="BW44" t="s">
        <v>24</v>
      </c>
      <c r="BX44" t="s">
        <v>29</v>
      </c>
      <c r="BY44" t="s">
        <v>33</v>
      </c>
      <c r="BZ44" t="s">
        <v>29</v>
      </c>
      <c r="CA44" t="s">
        <v>24</v>
      </c>
      <c r="CB44" t="s">
        <v>29</v>
      </c>
      <c r="CC44" t="s">
        <v>39</v>
      </c>
      <c r="CD44" t="s">
        <v>29</v>
      </c>
      <c r="CE44" t="s">
        <v>33</v>
      </c>
      <c r="CF44" t="s">
        <v>29</v>
      </c>
      <c r="CG44" t="s">
        <v>40</v>
      </c>
      <c r="CH44" t="s">
        <v>29</v>
      </c>
      <c r="CI44" t="s">
        <v>29</v>
      </c>
      <c r="CJ44" t="s">
        <v>41</v>
      </c>
      <c r="CK44" t="s">
        <v>24</v>
      </c>
      <c r="CL44" t="s">
        <v>33</v>
      </c>
      <c r="CM44" t="s">
        <v>41</v>
      </c>
      <c r="CN44" t="s">
        <v>93</v>
      </c>
      <c r="CO44" t="s">
        <v>33</v>
      </c>
      <c r="CP44" t="s">
        <v>33</v>
      </c>
      <c r="CQ44" t="s">
        <v>41</v>
      </c>
      <c r="CR44" t="s">
        <v>41</v>
      </c>
    </row>
    <row r="45" spans="1:96" x14ac:dyDescent="0.35">
      <c r="A45" s="37"/>
      <c r="B45" t="s">
        <v>48</v>
      </c>
      <c r="C45" s="2">
        <v>0.09</v>
      </c>
      <c r="D45" s="2">
        <v>8.1500000000000003E-2</v>
      </c>
      <c r="E45" s="2">
        <v>9.5899999999999999E-2</v>
      </c>
      <c r="F45" s="2">
        <v>9.5200000000000007E-2</v>
      </c>
      <c r="G45" s="2">
        <v>8.3699999999999997E-2</v>
      </c>
      <c r="H45" s="2">
        <v>9.6000000000000002E-2</v>
      </c>
      <c r="I45" s="2">
        <v>0.1119</v>
      </c>
      <c r="J45" s="2">
        <v>8.7999999999999995E-2</v>
      </c>
      <c r="K45" s="2">
        <v>8.6800000000000002E-2</v>
      </c>
      <c r="L45" s="2">
        <v>9.9600000000000008E-2</v>
      </c>
      <c r="M45" s="2">
        <v>8.2500000000000004E-2</v>
      </c>
      <c r="N45" s="2">
        <v>9.35E-2</v>
      </c>
      <c r="O45" s="2">
        <v>0.1048</v>
      </c>
      <c r="P45" s="2">
        <v>0.1067</v>
      </c>
      <c r="Q45" s="2">
        <v>9.8400000000000001E-2</v>
      </c>
      <c r="R45" s="2">
        <v>9.4200000000000006E-2</v>
      </c>
      <c r="S45" s="2">
        <v>0.1003</v>
      </c>
      <c r="T45" s="2">
        <v>9.2600000000000002E-2</v>
      </c>
      <c r="U45" s="2">
        <v>9.6600000000000005E-2</v>
      </c>
      <c r="V45" s="2">
        <v>8.6199999999999999E-2</v>
      </c>
      <c r="W45" s="2">
        <v>0.1086</v>
      </c>
      <c r="X45" s="2">
        <v>0.10930000000000001</v>
      </c>
      <c r="Y45" s="2">
        <v>0.10250000000000001</v>
      </c>
      <c r="Z45" s="2">
        <v>8.7599999999999997E-2</v>
      </c>
      <c r="AA45" s="2">
        <v>8.1299999999999997E-2</v>
      </c>
      <c r="AB45" s="2">
        <v>9.01E-2</v>
      </c>
      <c r="AC45" s="2">
        <v>9.2399999999999996E-2</v>
      </c>
      <c r="AD45" s="2">
        <v>0.1043</v>
      </c>
      <c r="AE45" s="2">
        <v>0.1113</v>
      </c>
      <c r="AF45" s="2">
        <v>8.8300000000000003E-2</v>
      </c>
      <c r="AG45" s="1"/>
      <c r="AH45" t="s">
        <v>48</v>
      </c>
      <c r="AI45" s="2">
        <v>3.1481036307850402E-2</v>
      </c>
      <c r="AJ45" s="2">
        <v>3.6815599105238087E-2</v>
      </c>
      <c r="AK45" s="2">
        <v>2.1753831581705754E-2</v>
      </c>
      <c r="AL45" s="2">
        <v>2.0533795088156746E-2</v>
      </c>
      <c r="AM45" s="2">
        <v>2.7220707626743376E-2</v>
      </c>
      <c r="AN45" s="2">
        <v>3.0985457381221444E-2</v>
      </c>
      <c r="AO45" s="2">
        <v>2.0499187253956372E-2</v>
      </c>
      <c r="AP45" s="2">
        <v>3.5247131336728271E-2</v>
      </c>
      <c r="AQ45" s="2">
        <v>5.9152390222002318E-2</v>
      </c>
      <c r="AR45" s="2">
        <v>6.377928409317099E-2</v>
      </c>
      <c r="AS45" s="2">
        <v>5.4512280662921755E-2</v>
      </c>
      <c r="AT45" s="2">
        <v>4.2540586184361059E-2</v>
      </c>
      <c r="AU45" s="2">
        <v>5.027082232655164E-2</v>
      </c>
      <c r="AV45" s="2">
        <v>3.7843165737334566E-2</v>
      </c>
      <c r="AW45" s="2">
        <v>4.6031273094226083E-2</v>
      </c>
      <c r="AX45" s="2">
        <v>2.2650459318384664E-2</v>
      </c>
      <c r="AY45" s="2">
        <v>5.0820739108638852E-2</v>
      </c>
      <c r="AZ45" s="2">
        <v>6.5893257167909849E-2</v>
      </c>
      <c r="BA45" s="2">
        <v>2.9643883854801642E-2</v>
      </c>
      <c r="BB45" s="2">
        <v>3.9208976012989442E-2</v>
      </c>
      <c r="BC45" s="2">
        <v>3.5304293152459927E-2</v>
      </c>
      <c r="BD45" s="2">
        <v>5.8907665247862784E-2</v>
      </c>
      <c r="BE45" s="2">
        <v>4.3237461892442028E-2</v>
      </c>
      <c r="BF45" s="2">
        <v>4.1828068288804351E-2</v>
      </c>
      <c r="BG45" s="2">
        <v>2.8598665227795396E-2</v>
      </c>
      <c r="BH45" s="2">
        <v>3.4016086705732168E-2</v>
      </c>
      <c r="BI45" s="2">
        <v>2.8098639695168022E-2</v>
      </c>
      <c r="BJ45" s="2">
        <v>3.2306424619848728E-2</v>
      </c>
      <c r="BK45" s="2">
        <v>3.8291411108333409E-2</v>
      </c>
      <c r="BL45" s="2">
        <v>4.2784308348898695E-2</v>
      </c>
      <c r="BN45" t="s">
        <v>48</v>
      </c>
      <c r="BO45" t="s">
        <v>39</v>
      </c>
      <c r="BP45" t="s">
        <v>93</v>
      </c>
      <c r="BQ45" t="s">
        <v>29</v>
      </c>
      <c r="BR45" t="s">
        <v>24</v>
      </c>
      <c r="BS45" t="s">
        <v>24</v>
      </c>
      <c r="BT45" t="s">
        <v>29</v>
      </c>
      <c r="BU45" t="s">
        <v>29</v>
      </c>
      <c r="BV45" t="s">
        <v>41</v>
      </c>
      <c r="BW45" t="s">
        <v>40</v>
      </c>
      <c r="BX45" t="s">
        <v>41</v>
      </c>
      <c r="BY45" t="s">
        <v>29</v>
      </c>
      <c r="BZ45" t="s">
        <v>40</v>
      </c>
      <c r="CA45" t="s">
        <v>24</v>
      </c>
      <c r="CB45" t="s">
        <v>40</v>
      </c>
      <c r="CC45" t="s">
        <v>40</v>
      </c>
      <c r="CD45" t="s">
        <v>24</v>
      </c>
      <c r="CE45" t="s">
        <v>33</v>
      </c>
      <c r="CF45" t="s">
        <v>41</v>
      </c>
      <c r="CG45" t="s">
        <v>24</v>
      </c>
      <c r="CH45" t="s">
        <v>24</v>
      </c>
      <c r="CI45" t="s">
        <v>24</v>
      </c>
      <c r="CJ45" t="s">
        <v>41</v>
      </c>
      <c r="CK45" t="s">
        <v>29</v>
      </c>
      <c r="CL45" t="s">
        <v>93</v>
      </c>
      <c r="CM45" t="s">
        <v>40</v>
      </c>
      <c r="CN45" t="s">
        <v>29</v>
      </c>
      <c r="CO45" t="s">
        <v>41</v>
      </c>
      <c r="CP45" t="s">
        <v>40</v>
      </c>
      <c r="CQ45" t="s">
        <v>40</v>
      </c>
      <c r="CR45" t="s">
        <v>24</v>
      </c>
    </row>
    <row r="46" spans="1:96" x14ac:dyDescent="0.35">
      <c r="A46" s="37"/>
      <c r="B46" t="s">
        <v>86</v>
      </c>
      <c r="C46" s="2">
        <v>6.7599999999999993E-2</v>
      </c>
      <c r="D46" s="2">
        <v>5.11E-2</v>
      </c>
      <c r="E46" s="2">
        <v>6.1499999999999999E-2</v>
      </c>
      <c r="F46" s="2">
        <v>7.0599999999999996E-2</v>
      </c>
      <c r="G46" s="2">
        <v>5.9499999999999997E-2</v>
      </c>
      <c r="H46" s="2">
        <v>5.2299999999999999E-2</v>
      </c>
      <c r="I46" s="2">
        <v>6.7400000000000002E-2</v>
      </c>
      <c r="J46" s="2">
        <v>6.1300000000000007E-2</v>
      </c>
      <c r="K46" s="2">
        <v>5.5899999999999998E-2</v>
      </c>
      <c r="L46" s="2">
        <v>5.9499999999999997E-2</v>
      </c>
      <c r="M46" s="2">
        <v>6.4199999999999993E-2</v>
      </c>
      <c r="N46" s="2">
        <v>6.8699999999999997E-2</v>
      </c>
      <c r="O46" s="2">
        <v>6.5000000000000002E-2</v>
      </c>
      <c r="P46" s="2">
        <v>6.0600000000000001E-2</v>
      </c>
      <c r="Q46" s="2">
        <v>6.9199999999999998E-2</v>
      </c>
      <c r="R46" s="2">
        <v>5.3599999999999995E-2</v>
      </c>
      <c r="S46" s="2">
        <v>6.1400000000000003E-2</v>
      </c>
      <c r="T46" s="2">
        <v>5.2000000000000005E-2</v>
      </c>
      <c r="U46" s="2">
        <v>7.0599999999999996E-2</v>
      </c>
      <c r="V46" s="2">
        <v>5.21E-2</v>
      </c>
      <c r="W46" s="2">
        <v>5.9400000000000001E-2</v>
      </c>
      <c r="X46" s="2">
        <v>6.9699999999999998E-2</v>
      </c>
      <c r="Y46" s="2">
        <v>6.9199999999999998E-2</v>
      </c>
      <c r="Z46" s="2">
        <v>5.57E-2</v>
      </c>
      <c r="AA46" s="2">
        <v>6.4899999999999999E-2</v>
      </c>
      <c r="AB46" s="2">
        <v>7.0599999999999996E-2</v>
      </c>
      <c r="AC46" s="2">
        <v>5.3000000000000005E-2</v>
      </c>
      <c r="AD46" s="2">
        <v>6.2799999999999995E-2</v>
      </c>
      <c r="AE46" s="2">
        <v>6.7299999999999999E-2</v>
      </c>
      <c r="AF46" s="2">
        <v>7.0099999999999996E-2</v>
      </c>
      <c r="AG46" s="1"/>
      <c r="AH46" t="s">
        <v>86</v>
      </c>
      <c r="AI46" s="2">
        <v>8.0481036307850404E-2</v>
      </c>
      <c r="AJ46" s="2">
        <v>8.5815599105238088E-2</v>
      </c>
      <c r="AK46" s="2">
        <v>6.7753831581705753E-2</v>
      </c>
      <c r="AL46" s="2">
        <v>6.3533795088156736E-2</v>
      </c>
      <c r="AM46" s="2">
        <v>7.6220707626743378E-2</v>
      </c>
      <c r="AN46" s="2">
        <v>7.9985457381221453E-2</v>
      </c>
      <c r="AO46" s="2">
        <v>5.8499187253956364E-2</v>
      </c>
      <c r="AP46" s="2">
        <v>8.4247131336728273E-2</v>
      </c>
      <c r="AQ46" s="2">
        <v>0.10815239022200232</v>
      </c>
      <c r="AR46" s="2">
        <v>0.11277928409317099</v>
      </c>
      <c r="AS46" s="2">
        <v>0.10351228066292176</v>
      </c>
      <c r="AT46" s="2">
        <v>9.1540586184361061E-2</v>
      </c>
      <c r="AU46" s="2">
        <v>9.9270822326551642E-2</v>
      </c>
      <c r="AV46" s="2">
        <v>8.6843165737334568E-2</v>
      </c>
      <c r="AW46" s="2">
        <v>9.5031273094226085E-2</v>
      </c>
      <c r="AX46" s="2">
        <v>7.1650459318384666E-2</v>
      </c>
      <c r="AY46" s="2">
        <v>9.9820739108638853E-2</v>
      </c>
      <c r="AZ46" s="2">
        <v>0.11489325716790985</v>
      </c>
      <c r="BA46" s="2">
        <v>7.8643883854801644E-2</v>
      </c>
      <c r="BB46" s="2">
        <v>8.8208976012989437E-2</v>
      </c>
      <c r="BC46" s="2">
        <v>8.4304293152459936E-2</v>
      </c>
      <c r="BD46" s="2">
        <v>0.10790766524786279</v>
      </c>
      <c r="BE46" s="2">
        <v>9.223746189244203E-2</v>
      </c>
      <c r="BF46" s="2">
        <v>9.0828068288804353E-2</v>
      </c>
      <c r="BG46" s="2">
        <v>7.7598665227795405E-2</v>
      </c>
      <c r="BH46" s="2">
        <v>8.301608670573217E-2</v>
      </c>
      <c r="BI46" s="2">
        <v>7.7098639695168031E-2</v>
      </c>
      <c r="BJ46" s="2">
        <v>8.130642461984873E-2</v>
      </c>
      <c r="BK46" s="2">
        <v>8.7291411108333411E-2</v>
      </c>
      <c r="BL46" s="2">
        <v>9.1784308348898697E-2</v>
      </c>
      <c r="BN46" t="s">
        <v>86</v>
      </c>
      <c r="BO46" t="s">
        <v>24</v>
      </c>
      <c r="BP46" t="s">
        <v>40</v>
      </c>
      <c r="BQ46" t="s">
        <v>24</v>
      </c>
      <c r="BR46" t="s">
        <v>39</v>
      </c>
      <c r="BS46" t="s">
        <v>93</v>
      </c>
      <c r="BT46" t="s">
        <v>33</v>
      </c>
      <c r="BU46" t="s">
        <v>33</v>
      </c>
      <c r="BV46" t="s">
        <v>41</v>
      </c>
      <c r="BW46" t="s">
        <v>39</v>
      </c>
      <c r="BX46" t="s">
        <v>39</v>
      </c>
      <c r="BY46" t="s">
        <v>40</v>
      </c>
      <c r="BZ46" t="s">
        <v>41</v>
      </c>
      <c r="CA46" t="s">
        <v>41</v>
      </c>
      <c r="CB46" t="s">
        <v>93</v>
      </c>
      <c r="CC46" t="s">
        <v>93</v>
      </c>
      <c r="CD46" t="s">
        <v>33</v>
      </c>
      <c r="CE46" t="s">
        <v>41</v>
      </c>
      <c r="CF46" t="s">
        <v>24</v>
      </c>
      <c r="CG46" t="s">
        <v>40</v>
      </c>
      <c r="CH46" t="s">
        <v>33</v>
      </c>
      <c r="CI46" t="s">
        <v>93</v>
      </c>
      <c r="CJ46" t="s">
        <v>24</v>
      </c>
      <c r="CK46" t="s">
        <v>93</v>
      </c>
      <c r="CL46" t="s">
        <v>24</v>
      </c>
      <c r="CM46" t="s">
        <v>29</v>
      </c>
      <c r="CN46" t="s">
        <v>40</v>
      </c>
      <c r="CO46" t="s">
        <v>33</v>
      </c>
      <c r="CP46" t="s">
        <v>39</v>
      </c>
      <c r="CQ46" t="s">
        <v>93</v>
      </c>
      <c r="CR46" t="s">
        <v>33</v>
      </c>
    </row>
    <row r="47" spans="1:96" x14ac:dyDescent="0.35">
      <c r="A47" s="37"/>
      <c r="B47" t="s">
        <v>87</v>
      </c>
      <c r="C47" s="2">
        <v>6.1499999999999999E-2</v>
      </c>
      <c r="D47" s="2">
        <v>5.7099999999999984E-2</v>
      </c>
      <c r="E47" s="2">
        <v>5.5E-2</v>
      </c>
      <c r="F47" s="2">
        <v>4.5999999999999999E-2</v>
      </c>
      <c r="G47" s="2">
        <v>6.3E-2</v>
      </c>
      <c r="H47" s="2">
        <v>4.4600000000000001E-2</v>
      </c>
      <c r="I47" s="2">
        <v>4.7800000000000002E-2</v>
      </c>
      <c r="J47" s="2">
        <v>4.9799999999999997E-2</v>
      </c>
      <c r="K47" s="2">
        <v>4.4400000000000002E-2</v>
      </c>
      <c r="L47" s="2">
        <v>5.1499999999999997E-2</v>
      </c>
      <c r="M47" s="2">
        <v>4.4299999999999999E-2</v>
      </c>
      <c r="N47" s="2">
        <v>5.3399999999999996E-2</v>
      </c>
      <c r="O47" s="2">
        <v>6.1899999999999997E-2</v>
      </c>
      <c r="P47" s="2">
        <v>5.1499999999999997E-2</v>
      </c>
      <c r="Q47" s="2">
        <v>4.9299999999999997E-2</v>
      </c>
      <c r="R47" s="2">
        <v>6.13E-2</v>
      </c>
      <c r="S47" s="2">
        <v>6.2699999999999992E-2</v>
      </c>
      <c r="T47" s="2">
        <v>5.0299999999999997E-2</v>
      </c>
      <c r="U47" s="2">
        <v>6.1199999999999997E-2</v>
      </c>
      <c r="V47" s="2">
        <v>5.33E-2</v>
      </c>
      <c r="W47" s="2">
        <v>4.5999999999999999E-2</v>
      </c>
      <c r="X47" s="2">
        <v>6.3E-2</v>
      </c>
      <c r="Y47" s="2">
        <v>5.6599999999999998E-2</v>
      </c>
      <c r="Z47" s="2">
        <v>5.0900000000000001E-2</v>
      </c>
      <c r="AA47" s="2">
        <v>5.6899999999999999E-2</v>
      </c>
      <c r="AB47" s="2">
        <v>6.2399999999999997E-2</v>
      </c>
      <c r="AC47" s="2">
        <v>4.5100000000000001E-2</v>
      </c>
      <c r="AD47" s="2">
        <v>4.5500000000000006E-2</v>
      </c>
      <c r="AE47" s="2">
        <v>4.6899999999999997E-2</v>
      </c>
      <c r="AF47" s="2">
        <v>4.5800000000000007E-2</v>
      </c>
      <c r="AG47" s="1"/>
      <c r="AH47" t="s">
        <v>87</v>
      </c>
      <c r="AI47" s="2">
        <v>4.9541639313850402E-2</v>
      </c>
      <c r="AJ47" s="2">
        <v>5.4876202111238087E-2</v>
      </c>
      <c r="AK47" s="2">
        <v>3.6814434587705752E-2</v>
      </c>
      <c r="AL47" s="2">
        <v>3.2594398094156742E-2</v>
      </c>
      <c r="AM47" s="2">
        <v>4.5281310632743377E-2</v>
      </c>
      <c r="AN47" s="2">
        <v>4.9046060387221445E-2</v>
      </c>
      <c r="AO47" s="2">
        <v>2.7559790259956363E-2</v>
      </c>
      <c r="AP47" s="2">
        <v>5.3307734342728272E-2</v>
      </c>
      <c r="AQ47" s="2">
        <v>7.7212993228002319E-2</v>
      </c>
      <c r="AR47" s="2">
        <v>8.1839887099170991E-2</v>
      </c>
      <c r="AS47" s="2">
        <v>7.2572883668921756E-2</v>
      </c>
      <c r="AT47" s="2">
        <v>6.060118919036106E-2</v>
      </c>
      <c r="AU47" s="2">
        <v>6.833142533255164E-2</v>
      </c>
      <c r="AV47" s="2">
        <v>5.5903768743334567E-2</v>
      </c>
      <c r="AW47" s="2">
        <v>6.4091876100226083E-2</v>
      </c>
      <c r="AX47" s="2">
        <v>4.0711062324384664E-2</v>
      </c>
      <c r="AY47" s="2">
        <v>6.8881342114638852E-2</v>
      </c>
      <c r="AZ47" s="2">
        <v>8.395386017390985E-2</v>
      </c>
      <c r="BA47" s="2">
        <v>4.7704486860801643E-2</v>
      </c>
      <c r="BB47" s="2">
        <v>5.7269579018989443E-2</v>
      </c>
      <c r="BC47" s="2">
        <v>5.3364896158459928E-2</v>
      </c>
      <c r="BD47" s="2">
        <v>7.6968268253862784E-2</v>
      </c>
      <c r="BE47" s="2">
        <v>6.1298064898442028E-2</v>
      </c>
      <c r="BF47" s="2">
        <v>5.9888671294804352E-2</v>
      </c>
      <c r="BG47" s="2">
        <v>4.6659268233795397E-2</v>
      </c>
      <c r="BH47" s="2">
        <v>5.2076689711732169E-2</v>
      </c>
      <c r="BI47" s="2">
        <v>4.6159242701168023E-2</v>
      </c>
      <c r="BJ47" s="2">
        <v>5.0367027625848729E-2</v>
      </c>
      <c r="BK47" s="2">
        <v>5.635201411433341E-2</v>
      </c>
      <c r="BL47" s="2">
        <v>6.0844911354898695E-2</v>
      </c>
      <c r="BN47" t="s">
        <v>87</v>
      </c>
      <c r="BO47" t="s">
        <v>24</v>
      </c>
      <c r="BP47" t="s">
        <v>93</v>
      </c>
      <c r="BQ47" t="s">
        <v>33</v>
      </c>
      <c r="BR47" t="s">
        <v>40</v>
      </c>
      <c r="BS47" t="s">
        <v>24</v>
      </c>
      <c r="BT47" t="s">
        <v>33</v>
      </c>
      <c r="BU47" t="s">
        <v>29</v>
      </c>
      <c r="BV47" t="s">
        <v>39</v>
      </c>
      <c r="BW47" t="s">
        <v>33</v>
      </c>
      <c r="BX47" t="s">
        <v>41</v>
      </c>
      <c r="BY47" t="s">
        <v>29</v>
      </c>
      <c r="BZ47" t="s">
        <v>24</v>
      </c>
      <c r="CA47" t="s">
        <v>41</v>
      </c>
      <c r="CB47" t="s">
        <v>24</v>
      </c>
      <c r="CC47" t="s">
        <v>33</v>
      </c>
      <c r="CD47" t="s">
        <v>29</v>
      </c>
      <c r="CE47" t="s">
        <v>24</v>
      </c>
      <c r="CF47" t="s">
        <v>41</v>
      </c>
      <c r="CG47" t="s">
        <v>40</v>
      </c>
      <c r="CH47" t="s">
        <v>33</v>
      </c>
      <c r="CI47" t="s">
        <v>93</v>
      </c>
      <c r="CJ47" t="s">
        <v>33</v>
      </c>
      <c r="CK47" t="s">
        <v>29</v>
      </c>
      <c r="CL47" t="s">
        <v>24</v>
      </c>
      <c r="CM47" t="s">
        <v>39</v>
      </c>
      <c r="CN47" t="s">
        <v>40</v>
      </c>
      <c r="CO47" t="s">
        <v>24</v>
      </c>
      <c r="CP47" t="s">
        <v>93</v>
      </c>
      <c r="CQ47" t="s">
        <v>41</v>
      </c>
      <c r="CR47" t="s">
        <v>24</v>
      </c>
    </row>
    <row r="48" spans="1:96" x14ac:dyDescent="0.35">
      <c r="A48" s="37"/>
      <c r="B48" t="s">
        <v>88</v>
      </c>
      <c r="C48" s="2">
        <v>3.2199999999999999E-2</v>
      </c>
      <c r="D48" s="2">
        <v>2.7400000000000008E-2</v>
      </c>
      <c r="E48" s="2">
        <v>2.7100000000000006E-2</v>
      </c>
      <c r="F48" s="2">
        <v>3.0800000000000001E-2</v>
      </c>
      <c r="G48" s="2">
        <v>4.02E-2</v>
      </c>
      <c r="H48" s="2">
        <v>3.5400000000000001E-2</v>
      </c>
      <c r="I48" s="2">
        <v>4.0600000000000004E-2</v>
      </c>
      <c r="J48" s="2">
        <v>3.2800000000000003E-2</v>
      </c>
      <c r="K48" s="2">
        <v>3.8200000000000005E-2</v>
      </c>
      <c r="L48" s="2">
        <v>3.32E-2</v>
      </c>
      <c r="M48" s="2">
        <v>4.1600000000000005E-2</v>
      </c>
      <c r="N48" s="2">
        <v>3.4799999999999991E-2</v>
      </c>
      <c r="O48" s="2">
        <v>4.0899999999999992E-2</v>
      </c>
      <c r="P48" s="2">
        <v>2.7500000000000007E-2</v>
      </c>
      <c r="Q48" s="2">
        <v>3.9199999999999999E-2</v>
      </c>
      <c r="R48" s="2">
        <v>2.6800000000000004E-2</v>
      </c>
      <c r="S48" s="2">
        <v>4.1300000000000003E-2</v>
      </c>
      <c r="T48" s="2">
        <v>3.0500000000000003E-2</v>
      </c>
      <c r="U48" s="2">
        <v>2.7700000000000009E-2</v>
      </c>
      <c r="V48" s="2">
        <v>3.2800000000000003E-2</v>
      </c>
      <c r="W48" s="2">
        <v>4.1500000000000002E-2</v>
      </c>
      <c r="X48" s="2">
        <v>3.2800000000000003E-2</v>
      </c>
      <c r="Y48" s="2">
        <v>3.32E-2</v>
      </c>
      <c r="Z48" s="2">
        <v>3.8999999999999993E-2</v>
      </c>
      <c r="AA48" s="2">
        <v>3.0800000000000008E-2</v>
      </c>
      <c r="AB48" s="2">
        <v>4.0499999999999994E-2</v>
      </c>
      <c r="AC48" s="2">
        <v>3.8300000000000001E-2</v>
      </c>
      <c r="AD48" s="2">
        <v>4.0899999999999999E-2</v>
      </c>
      <c r="AE48" s="2">
        <v>2.7400000000000008E-2</v>
      </c>
      <c r="AF48" s="2">
        <v>2.9900000000000006E-2</v>
      </c>
      <c r="AH48" t="s">
        <v>88</v>
      </c>
      <c r="AI48" s="2">
        <v>3.74810363078504E-2</v>
      </c>
      <c r="AJ48" s="2">
        <v>4.2815599105238085E-2</v>
      </c>
      <c r="AK48" s="2">
        <v>2.475383158170575E-2</v>
      </c>
      <c r="AL48" s="2">
        <v>2.0533795088156739E-2</v>
      </c>
      <c r="AM48" s="2">
        <v>3.3220707626743375E-2</v>
      </c>
      <c r="AN48" s="2">
        <v>3.6985457381221443E-2</v>
      </c>
      <c r="AO48" s="2">
        <v>2.3499187253956368E-2</v>
      </c>
      <c r="AP48" s="2">
        <v>4.124713133672827E-2</v>
      </c>
      <c r="AQ48" s="2">
        <v>6.515239022200231E-2</v>
      </c>
      <c r="AR48" s="2">
        <v>6.9779284093170996E-2</v>
      </c>
      <c r="AS48" s="2">
        <v>6.0512280662921754E-2</v>
      </c>
      <c r="AT48" s="2">
        <v>4.8540586184361058E-2</v>
      </c>
      <c r="AU48" s="2">
        <v>5.6270822326551638E-2</v>
      </c>
      <c r="AV48" s="2">
        <v>4.3843165737334565E-2</v>
      </c>
      <c r="AW48" s="2">
        <v>5.2031273094226081E-2</v>
      </c>
      <c r="AX48" s="2">
        <v>2.8650459318384662E-2</v>
      </c>
      <c r="AY48" s="2">
        <v>5.682073910863885E-2</v>
      </c>
      <c r="AZ48" s="2">
        <v>7.1893257167909841E-2</v>
      </c>
      <c r="BA48" s="2">
        <v>3.564388385480164E-2</v>
      </c>
      <c r="BB48" s="2">
        <v>4.5208976012989441E-2</v>
      </c>
      <c r="BC48" s="2">
        <v>4.1304293152459925E-2</v>
      </c>
      <c r="BD48" s="2">
        <v>6.4907665247862789E-2</v>
      </c>
      <c r="BE48" s="2">
        <v>4.9237461892442026E-2</v>
      </c>
      <c r="BF48" s="2">
        <v>4.782806828880435E-2</v>
      </c>
      <c r="BG48" s="2">
        <v>3.4598665227795394E-2</v>
      </c>
      <c r="BH48" s="2">
        <v>4.0016086705732166E-2</v>
      </c>
      <c r="BI48" s="2">
        <v>3.409863969516802E-2</v>
      </c>
      <c r="BJ48" s="2">
        <v>3.8306424619848727E-2</v>
      </c>
      <c r="BK48" s="2">
        <v>4.4291411108333407E-2</v>
      </c>
      <c r="BL48" s="2">
        <v>4.8784308348898693E-2</v>
      </c>
      <c r="BN48" t="s">
        <v>88</v>
      </c>
      <c r="BO48" t="s">
        <v>93</v>
      </c>
      <c r="BP48" t="s">
        <v>41</v>
      </c>
      <c r="BQ48" t="s">
        <v>40</v>
      </c>
      <c r="BR48" t="s">
        <v>33</v>
      </c>
      <c r="BS48" t="s">
        <v>39</v>
      </c>
      <c r="BT48" t="s">
        <v>24</v>
      </c>
      <c r="BU48" t="s">
        <v>40</v>
      </c>
      <c r="BV48" t="s">
        <v>93</v>
      </c>
      <c r="BW48" t="s">
        <v>40</v>
      </c>
      <c r="BX48" t="s">
        <v>41</v>
      </c>
      <c r="BY48" t="s">
        <v>93</v>
      </c>
      <c r="BZ48" t="s">
        <v>41</v>
      </c>
      <c r="CA48" t="s">
        <v>93</v>
      </c>
      <c r="CB48" t="s">
        <v>24</v>
      </c>
      <c r="CC48" t="s">
        <v>93</v>
      </c>
      <c r="CD48" t="s">
        <v>33</v>
      </c>
      <c r="CE48" t="s">
        <v>29</v>
      </c>
      <c r="CF48" t="s">
        <v>41</v>
      </c>
      <c r="CG48" t="s">
        <v>24</v>
      </c>
      <c r="CH48" t="s">
        <v>33</v>
      </c>
      <c r="CI48" t="s">
        <v>33</v>
      </c>
      <c r="CJ48" t="s">
        <v>29</v>
      </c>
      <c r="CK48" t="s">
        <v>41</v>
      </c>
      <c r="CL48" t="s">
        <v>41</v>
      </c>
      <c r="CM48" t="s">
        <v>41</v>
      </c>
      <c r="CN48" t="s">
        <v>93</v>
      </c>
      <c r="CO48" t="s">
        <v>41</v>
      </c>
      <c r="CP48" t="s">
        <v>33</v>
      </c>
      <c r="CQ48" t="s">
        <v>24</v>
      </c>
      <c r="CR48" t="s">
        <v>93</v>
      </c>
    </row>
    <row r="49" spans="1:66" x14ac:dyDescent="0.35">
      <c r="C49" s="37"/>
      <c r="D49" s="37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"/>
      <c r="AA49" s="2"/>
      <c r="AB49" s="2"/>
      <c r="AC49" s="2"/>
      <c r="AD49" s="2"/>
      <c r="AE49" s="2"/>
      <c r="AF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</row>
    <row r="50" spans="1:66" hidden="1" x14ac:dyDescent="0.35">
      <c r="B50" s="5"/>
      <c r="C50" s="30"/>
      <c r="D50" s="30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6"/>
      <c r="AA50" s="2"/>
      <c r="AB50" s="2"/>
      <c r="AC50" s="2"/>
      <c r="AD50" s="2"/>
      <c r="AE50" s="2"/>
      <c r="AF50" s="2"/>
      <c r="AH50" s="5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N50" s="5"/>
    </row>
    <row r="51" spans="1:66" hidden="1" x14ac:dyDescent="0.35">
      <c r="A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</row>
    <row r="52" spans="1:66" hidden="1" x14ac:dyDescent="0.35">
      <c r="A52" s="1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</row>
    <row r="53" spans="1:66" hidden="1" x14ac:dyDescent="0.35">
      <c r="C53" s="30"/>
      <c r="D53" s="30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6"/>
      <c r="AA53" s="2"/>
      <c r="AB53" s="2"/>
      <c r="AC53" s="2"/>
      <c r="AD53" s="2"/>
      <c r="AE53" s="2"/>
      <c r="AF53" s="2"/>
      <c r="AI53" s="2"/>
      <c r="AJ53" s="2"/>
      <c r="AK53" s="2"/>
      <c r="AL53" s="2"/>
      <c r="AM53" s="2"/>
    </row>
    <row r="54" spans="1:66" hidden="1" x14ac:dyDescent="0.35">
      <c r="C54" s="30"/>
      <c r="D54" s="30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6"/>
      <c r="AA54" s="2"/>
      <c r="AB54" s="2"/>
      <c r="AC54" s="2"/>
      <c r="AD54" s="2"/>
      <c r="AE54" s="2"/>
      <c r="AF54" s="2"/>
      <c r="AI54" s="2"/>
      <c r="AJ54" s="2"/>
      <c r="AK54" s="2"/>
      <c r="AL54" s="2"/>
      <c r="AM54" s="2"/>
    </row>
    <row r="55" spans="1:66" hidden="1" x14ac:dyDescent="0.35">
      <c r="C55" s="30"/>
      <c r="D55" s="30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6"/>
      <c r="AA55" s="2"/>
      <c r="AB55" s="2"/>
      <c r="AC55" s="2"/>
      <c r="AD55" s="2"/>
      <c r="AE55" s="2"/>
      <c r="AF55" s="2"/>
      <c r="AI55" s="2"/>
      <c r="AJ55" s="2"/>
      <c r="AK55" s="2"/>
      <c r="AL55" s="2"/>
      <c r="AM55" s="2"/>
    </row>
    <row r="56" spans="1:66" hidden="1" x14ac:dyDescent="0.35">
      <c r="C56" s="37"/>
      <c r="D56" s="37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6"/>
      <c r="AA56" s="2"/>
      <c r="AB56" s="2"/>
      <c r="AC56" s="2"/>
      <c r="AD56" s="2"/>
      <c r="AE56" s="2"/>
      <c r="AF56" s="2"/>
      <c r="AI56" s="2"/>
      <c r="AJ56" s="2"/>
      <c r="AK56" s="2"/>
      <c r="AL56" s="2"/>
      <c r="AM56" s="2"/>
    </row>
    <row r="57" spans="1:66" hidden="1" x14ac:dyDescent="0.35">
      <c r="C57" s="37"/>
      <c r="D57" s="37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6"/>
      <c r="AA57" s="2"/>
      <c r="AB57" s="2"/>
      <c r="AC57" s="2"/>
      <c r="AD57" s="2"/>
      <c r="AE57" s="2"/>
      <c r="AF57" s="2"/>
      <c r="AI57" s="2"/>
      <c r="AJ57" s="2"/>
      <c r="AK57" s="2"/>
      <c r="AL57" s="2"/>
      <c r="AM57" s="2"/>
    </row>
    <row r="58" spans="1:66" hidden="1" x14ac:dyDescent="0.35">
      <c r="C58" s="37"/>
      <c r="D58" s="37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6"/>
      <c r="AA58" s="2"/>
      <c r="AB58" s="2"/>
      <c r="AC58" s="2"/>
      <c r="AD58" s="2"/>
      <c r="AE58" s="2"/>
      <c r="AF58" s="2"/>
      <c r="AI58" s="2"/>
      <c r="AJ58" s="2"/>
      <c r="AK58" s="2"/>
      <c r="AL58" s="2"/>
      <c r="AM58" s="2"/>
    </row>
    <row r="59" spans="1:66" hidden="1" x14ac:dyDescent="0.35">
      <c r="C59" s="37"/>
      <c r="D59" s="37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"/>
      <c r="AA59" s="6"/>
      <c r="AB59" s="6"/>
      <c r="AC59" s="6"/>
      <c r="AD59" s="6"/>
      <c r="AE59" s="6"/>
      <c r="AF59" s="6"/>
      <c r="AI59" s="6"/>
      <c r="AJ59" s="6"/>
      <c r="AK59" s="6"/>
      <c r="AL59" s="6"/>
      <c r="AM59" s="6"/>
    </row>
    <row r="60" spans="1:66" hidden="1" x14ac:dyDescent="0.35">
      <c r="C60" s="37"/>
      <c r="D60" s="37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"/>
      <c r="AA60" s="6"/>
      <c r="AB60" s="6"/>
      <c r="AC60" s="6"/>
      <c r="AD60" s="6"/>
      <c r="AE60" s="6"/>
      <c r="AF60" s="6"/>
      <c r="AI60" s="6"/>
      <c r="AJ60" s="6"/>
      <c r="AK60" s="6"/>
      <c r="AL60" s="6"/>
      <c r="AM60" s="6"/>
    </row>
    <row r="61" spans="1:66" hidden="1" x14ac:dyDescent="0.35">
      <c r="C61" s="30"/>
      <c r="D61" s="30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"/>
      <c r="AA61" s="6"/>
      <c r="AB61" s="6"/>
      <c r="AC61" s="6"/>
      <c r="AD61" s="6"/>
      <c r="AE61" s="6"/>
      <c r="AF61" s="6"/>
      <c r="AI61" s="6"/>
      <c r="AJ61" s="6"/>
      <c r="AK61" s="6"/>
      <c r="AL61" s="6"/>
      <c r="AM61" s="6"/>
    </row>
    <row r="62" spans="1:66" hidden="1" x14ac:dyDescent="0.35">
      <c r="C62" s="30"/>
      <c r="D62" s="30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"/>
      <c r="AA62" s="6"/>
      <c r="AB62" s="6"/>
      <c r="AC62" s="6"/>
      <c r="AD62" s="6"/>
      <c r="AE62" s="6"/>
      <c r="AF62" s="6"/>
      <c r="AI62" s="6"/>
      <c r="AJ62" s="6"/>
      <c r="AK62" s="6"/>
      <c r="AL62" s="6"/>
      <c r="AM62" s="6"/>
    </row>
    <row r="63" spans="1:66" hidden="1" x14ac:dyDescent="0.35">
      <c r="C63" s="30"/>
      <c r="D63" s="30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"/>
      <c r="AA63" s="6"/>
      <c r="AB63" s="6"/>
      <c r="AC63" s="6"/>
      <c r="AD63" s="6"/>
      <c r="AE63" s="6"/>
      <c r="AF63" s="6"/>
      <c r="AI63" s="6"/>
      <c r="AJ63" s="6"/>
      <c r="AK63" s="6"/>
      <c r="AL63" s="6"/>
      <c r="AM63" s="6"/>
    </row>
    <row r="64" spans="1:66" hidden="1" x14ac:dyDescent="0.35">
      <c r="C64" s="30"/>
      <c r="D64" s="30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"/>
      <c r="AA64" s="6"/>
      <c r="AB64" s="6"/>
      <c r="AC64" s="6"/>
      <c r="AD64" s="6"/>
      <c r="AE64" s="6"/>
      <c r="AF64" s="6"/>
      <c r="AI64" s="6"/>
      <c r="AJ64" s="6"/>
      <c r="AK64" s="6"/>
      <c r="AL64" s="6"/>
      <c r="AM64" s="6"/>
    </row>
    <row r="65" spans="3:39" hidden="1" x14ac:dyDescent="0.35">
      <c r="C65" s="30"/>
      <c r="D65" s="30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"/>
      <c r="AA65" s="6"/>
      <c r="AB65" s="6"/>
      <c r="AC65" s="6"/>
      <c r="AD65" s="6"/>
      <c r="AE65" s="6"/>
      <c r="AF65" s="6"/>
      <c r="AI65" s="6"/>
      <c r="AJ65" s="6"/>
      <c r="AK65" s="6"/>
      <c r="AL65" s="6"/>
      <c r="AM65" s="6"/>
    </row>
    <row r="66" spans="3:39" hidden="1" x14ac:dyDescent="0.35">
      <c r="C66" s="30"/>
      <c r="D66" s="30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"/>
      <c r="AA66" s="6"/>
      <c r="AB66" s="6"/>
      <c r="AC66" s="6"/>
      <c r="AD66" s="6"/>
      <c r="AE66" s="6"/>
      <c r="AF66" s="6"/>
      <c r="AI66" s="6"/>
      <c r="AJ66" s="6"/>
      <c r="AK66" s="6"/>
      <c r="AL66" s="6"/>
      <c r="AM66" s="6"/>
    </row>
    <row r="67" spans="3:39" hidden="1" x14ac:dyDescent="0.35">
      <c r="C67" s="30"/>
      <c r="D67" s="30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6"/>
      <c r="AA67" s="6"/>
      <c r="AB67" s="6"/>
      <c r="AC67" s="6"/>
      <c r="AD67" s="6"/>
      <c r="AE67" s="6"/>
      <c r="AF67" s="6"/>
      <c r="AI67" s="6"/>
      <c r="AJ67" s="6"/>
      <c r="AK67" s="6"/>
      <c r="AL67" s="6"/>
      <c r="AM67" s="6"/>
    </row>
    <row r="68" spans="3:39" hidden="1" x14ac:dyDescent="0.35">
      <c r="C68" s="30"/>
      <c r="D68" s="30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6"/>
      <c r="AA68" s="6"/>
      <c r="AB68" s="6"/>
      <c r="AC68" s="6"/>
      <c r="AD68" s="6"/>
      <c r="AE68" s="6"/>
      <c r="AF68" s="6"/>
      <c r="AI68" s="6"/>
      <c r="AJ68" s="6"/>
      <c r="AK68" s="6"/>
      <c r="AL68" s="6"/>
      <c r="AM68" s="6"/>
    </row>
    <row r="69" spans="3:39" hidden="1" x14ac:dyDescent="0.35">
      <c r="C69" s="30"/>
      <c r="D69" s="30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6"/>
      <c r="AA69" s="6"/>
      <c r="AB69" s="6"/>
      <c r="AC69" s="6"/>
      <c r="AD69" s="6"/>
      <c r="AE69" s="6"/>
      <c r="AF69" s="6"/>
      <c r="AI69" s="6"/>
      <c r="AJ69" s="6"/>
      <c r="AK69" s="6"/>
      <c r="AL69" s="6"/>
      <c r="AM69" s="6"/>
    </row>
    <row r="70" spans="3:39" hidden="1" x14ac:dyDescent="0.35">
      <c r="C70" s="30"/>
      <c r="D70" s="30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6"/>
      <c r="AA70" s="6"/>
      <c r="AB70" s="6"/>
      <c r="AC70" s="6"/>
      <c r="AD70" s="6"/>
      <c r="AE70" s="6"/>
      <c r="AF70" s="6"/>
      <c r="AI70" s="6"/>
      <c r="AJ70" s="6"/>
      <c r="AK70" s="6"/>
      <c r="AL70" s="6"/>
      <c r="AM70" s="6"/>
    </row>
    <row r="71" spans="3:39" hidden="1" x14ac:dyDescent="0.35">
      <c r="C71" s="30"/>
      <c r="D71" s="30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6"/>
      <c r="AA71" s="6"/>
      <c r="AB71" s="6"/>
      <c r="AC71" s="6"/>
      <c r="AD71" s="6"/>
      <c r="AE71" s="6"/>
      <c r="AF71" s="6"/>
      <c r="AI71" s="6"/>
      <c r="AJ71" s="6"/>
      <c r="AK71" s="6"/>
      <c r="AL71" s="6"/>
      <c r="AM71" s="6"/>
    </row>
    <row r="72" spans="3:39" hidden="1" x14ac:dyDescent="0.35">
      <c r="C72" s="30"/>
      <c r="D72" s="30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6"/>
      <c r="AA72" s="6"/>
      <c r="AB72" s="6"/>
      <c r="AC72" s="6"/>
      <c r="AD72" s="6"/>
      <c r="AE72" s="6"/>
      <c r="AF72" s="6"/>
      <c r="AI72" s="6"/>
      <c r="AJ72" s="6"/>
      <c r="AK72" s="6"/>
      <c r="AL72" s="6"/>
      <c r="AM72" s="6"/>
    </row>
    <row r="73" spans="3:39" hidden="1" x14ac:dyDescent="0.35">
      <c r="C73" s="30"/>
      <c r="D73" s="30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6"/>
      <c r="AA73" s="6"/>
      <c r="AB73" s="6"/>
      <c r="AC73" s="6"/>
      <c r="AD73" s="6"/>
      <c r="AE73" s="6"/>
      <c r="AF73" s="6"/>
      <c r="AI73" s="6"/>
      <c r="AJ73" s="6"/>
      <c r="AK73" s="6"/>
      <c r="AL73" s="6"/>
      <c r="AM73" s="6"/>
    </row>
    <row r="74" spans="3:39" hidden="1" x14ac:dyDescent="0.35">
      <c r="C74" s="30"/>
      <c r="D74" s="30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6"/>
      <c r="AA74" s="6"/>
      <c r="AB74" s="6"/>
      <c r="AC74" s="6"/>
      <c r="AD74" s="6"/>
      <c r="AE74" s="6"/>
      <c r="AF74" s="6"/>
      <c r="AI74" s="6"/>
      <c r="AJ74" s="6"/>
      <c r="AK74" s="6"/>
      <c r="AL74" s="6"/>
      <c r="AM74" s="6"/>
    </row>
    <row r="75" spans="3:39" hidden="1" x14ac:dyDescent="0.35">
      <c r="C75" s="30"/>
      <c r="D75" s="30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6"/>
      <c r="AA75" s="6"/>
      <c r="AB75" s="6"/>
      <c r="AC75" s="6"/>
      <c r="AD75" s="6"/>
      <c r="AE75" s="6"/>
      <c r="AF75" s="6"/>
      <c r="AI75" s="6"/>
      <c r="AJ75" s="6"/>
      <c r="AK75" s="6"/>
      <c r="AL75" s="6"/>
      <c r="AM75" s="6"/>
    </row>
    <row r="76" spans="3:39" hidden="1" x14ac:dyDescent="0.35">
      <c r="C76" s="30"/>
      <c r="D76" s="30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6"/>
      <c r="AA76" s="6"/>
      <c r="AB76" s="6"/>
      <c r="AC76" s="6"/>
      <c r="AD76" s="6"/>
      <c r="AE76" s="6"/>
      <c r="AF76" s="6"/>
      <c r="AI76" s="6"/>
      <c r="AJ76" s="6"/>
      <c r="AK76" s="6"/>
      <c r="AL76" s="6"/>
      <c r="AM76" s="6"/>
    </row>
    <row r="77" spans="3:39" hidden="1" x14ac:dyDescent="0.35">
      <c r="C77" s="30"/>
      <c r="D77" s="30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6"/>
      <c r="AA77" s="6"/>
      <c r="AB77" s="6"/>
      <c r="AC77" s="6"/>
      <c r="AD77" s="6"/>
      <c r="AE77" s="6"/>
      <c r="AF77" s="6"/>
      <c r="AI77" s="6"/>
      <c r="AJ77" s="6"/>
      <c r="AK77" s="6"/>
      <c r="AL77" s="6"/>
      <c r="AM77" s="6"/>
    </row>
    <row r="78" spans="3:39" hidden="1" x14ac:dyDescent="0.35">
      <c r="C78" s="30"/>
      <c r="D78" s="30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6"/>
      <c r="AA78" s="6"/>
      <c r="AB78" s="6"/>
      <c r="AC78" s="6"/>
      <c r="AD78" s="6"/>
      <c r="AE78" s="6"/>
      <c r="AF78" s="6"/>
      <c r="AI78" s="6"/>
      <c r="AJ78" s="6"/>
      <c r="AK78" s="6"/>
      <c r="AL78" s="6"/>
      <c r="AM78" s="6"/>
    </row>
    <row r="79" spans="3:39" hidden="1" x14ac:dyDescent="0.35">
      <c r="C79" s="30"/>
      <c r="D79" s="30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6"/>
      <c r="AA79" s="6"/>
      <c r="AB79" s="6"/>
      <c r="AC79" s="6"/>
      <c r="AD79" s="6"/>
      <c r="AE79" s="6"/>
      <c r="AF79" s="6"/>
      <c r="AI79" s="6"/>
      <c r="AJ79" s="6"/>
      <c r="AK79" s="6"/>
      <c r="AL79" s="6"/>
      <c r="AM79" s="6"/>
    </row>
    <row r="80" spans="3:39" hidden="1" x14ac:dyDescent="0.35">
      <c r="C80" s="30"/>
      <c r="D80" s="30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6"/>
      <c r="AA80" s="6"/>
      <c r="AB80" s="6"/>
      <c r="AC80" s="6"/>
      <c r="AD80" s="6"/>
      <c r="AE80" s="6"/>
      <c r="AF80" s="6"/>
      <c r="AI80" s="6"/>
      <c r="AJ80" s="6"/>
      <c r="AK80" s="6"/>
      <c r="AL80" s="6"/>
      <c r="AM80" s="6"/>
    </row>
    <row r="81" spans="3:39" hidden="1" x14ac:dyDescent="0.35">
      <c r="C81" s="30"/>
      <c r="D81" s="30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6"/>
      <c r="AA81" s="6"/>
      <c r="AB81" s="6"/>
      <c r="AC81" s="6"/>
      <c r="AD81" s="6"/>
      <c r="AE81" s="6"/>
      <c r="AF81" s="6"/>
      <c r="AI81" s="6"/>
      <c r="AJ81" s="6"/>
      <c r="AK81" s="6"/>
      <c r="AL81" s="6"/>
      <c r="AM81" s="6"/>
    </row>
    <row r="82" spans="3:39" hidden="1" x14ac:dyDescent="0.35">
      <c r="C82" s="30"/>
      <c r="D82" s="30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6"/>
      <c r="AA82" s="6"/>
      <c r="AB82" s="6"/>
      <c r="AC82" s="6"/>
      <c r="AD82" s="6"/>
      <c r="AE82" s="6"/>
      <c r="AF82" s="6"/>
      <c r="AI82" s="6"/>
      <c r="AJ82" s="6"/>
      <c r="AK82" s="6"/>
      <c r="AL82" s="6"/>
      <c r="AM82" s="6"/>
    </row>
    <row r="83" spans="3:39" hidden="1" x14ac:dyDescent="0.35">
      <c r="C83" s="30"/>
      <c r="D83" s="30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6"/>
      <c r="AA83" s="6"/>
      <c r="AB83" s="6"/>
      <c r="AC83" s="6"/>
      <c r="AD83" s="6"/>
      <c r="AE83" s="6"/>
      <c r="AF83" s="6"/>
      <c r="AI83" s="6"/>
      <c r="AJ83" s="6"/>
      <c r="AK83" s="6"/>
      <c r="AL83" s="6"/>
      <c r="AM83" s="6"/>
    </row>
    <row r="84" spans="3:39" hidden="1" x14ac:dyDescent="0.35">
      <c r="C84" s="30"/>
      <c r="D84" s="30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6"/>
      <c r="AA84" s="6"/>
      <c r="AB84" s="6"/>
      <c r="AC84" s="6"/>
      <c r="AD84" s="6"/>
      <c r="AE84" s="6"/>
      <c r="AF84" s="6"/>
      <c r="AI84" s="6"/>
      <c r="AJ84" s="6"/>
      <c r="AK84" s="6"/>
      <c r="AL84" s="6"/>
      <c r="AM84" s="6"/>
    </row>
    <row r="85" spans="3:39" hidden="1" x14ac:dyDescent="0.35">
      <c r="C85" s="30"/>
      <c r="D85" s="30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6"/>
      <c r="AA85" s="6"/>
      <c r="AB85" s="6"/>
      <c r="AC85" s="6"/>
      <c r="AD85" s="6"/>
      <c r="AE85" s="6"/>
      <c r="AF85" s="6"/>
      <c r="AI85" s="6"/>
      <c r="AJ85" s="6"/>
      <c r="AK85" s="6"/>
      <c r="AL85" s="6"/>
      <c r="AM85" s="6"/>
    </row>
    <row r="86" spans="3:39" hidden="1" x14ac:dyDescent="0.35">
      <c r="C86" s="30"/>
      <c r="D86" s="30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6"/>
      <c r="AA86" s="6"/>
      <c r="AB86" s="6"/>
      <c r="AC86" s="6"/>
      <c r="AD86" s="6"/>
      <c r="AE86" s="6"/>
      <c r="AF86" s="6"/>
      <c r="AI86" s="6"/>
      <c r="AJ86" s="6"/>
      <c r="AK86" s="6"/>
      <c r="AL86" s="6"/>
      <c r="AM86" s="6"/>
    </row>
    <row r="87" spans="3:39" hidden="1" x14ac:dyDescent="0.35">
      <c r="C87" s="30"/>
      <c r="D87" s="30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6"/>
      <c r="AA87" s="6"/>
      <c r="AB87" s="6"/>
      <c r="AC87" s="6"/>
      <c r="AD87" s="6"/>
      <c r="AE87" s="6"/>
      <c r="AF87" s="6"/>
      <c r="AI87" s="6"/>
      <c r="AJ87" s="6"/>
      <c r="AK87" s="6"/>
      <c r="AL87" s="6"/>
      <c r="AM87" s="6"/>
    </row>
    <row r="88" spans="3:39" hidden="1" x14ac:dyDescent="0.35">
      <c r="C88" s="30"/>
      <c r="D88" s="30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6"/>
      <c r="AA88" s="6"/>
      <c r="AB88" s="6"/>
      <c r="AC88" s="6"/>
      <c r="AD88" s="6"/>
      <c r="AE88" s="6"/>
      <c r="AF88" s="6"/>
      <c r="AI88" s="6"/>
      <c r="AJ88" s="6"/>
      <c r="AK88" s="6"/>
      <c r="AL88" s="6"/>
      <c r="AM88" s="6"/>
    </row>
    <row r="89" spans="3:39" hidden="1" x14ac:dyDescent="0.35">
      <c r="C89" s="30"/>
      <c r="D89" s="30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6"/>
      <c r="AA89" s="6"/>
      <c r="AB89" s="6"/>
      <c r="AC89" s="6"/>
      <c r="AD89" s="6"/>
      <c r="AE89" s="6"/>
      <c r="AF89" s="6"/>
      <c r="AI89" s="6"/>
      <c r="AJ89" s="6"/>
      <c r="AK89" s="6"/>
      <c r="AL89" s="6"/>
      <c r="AM89" s="6"/>
    </row>
    <row r="90" spans="3:39" hidden="1" x14ac:dyDescent="0.35">
      <c r="C90" s="30"/>
      <c r="D90" s="30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6"/>
      <c r="AA90" s="6"/>
      <c r="AB90" s="6"/>
      <c r="AC90" s="6"/>
      <c r="AD90" s="6"/>
      <c r="AE90" s="6"/>
      <c r="AF90" s="6"/>
      <c r="AI90" s="6"/>
      <c r="AJ90" s="6"/>
      <c r="AK90" s="6"/>
      <c r="AL90" s="6"/>
      <c r="AM90" s="6"/>
    </row>
    <row r="91" spans="3:39" hidden="1" x14ac:dyDescent="0.35">
      <c r="C91" s="30"/>
      <c r="D91" s="30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6"/>
      <c r="AA91" s="6"/>
      <c r="AB91" s="6"/>
      <c r="AC91" s="6"/>
      <c r="AD91" s="6"/>
      <c r="AE91" s="6"/>
      <c r="AF91" s="6"/>
      <c r="AI91" s="6"/>
      <c r="AJ91" s="6"/>
      <c r="AK91" s="6"/>
      <c r="AL91" s="6"/>
      <c r="AM91" s="6"/>
    </row>
    <row r="92" spans="3:39" hidden="1" x14ac:dyDescent="0.35">
      <c r="C92" s="30"/>
      <c r="D92" s="30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6"/>
      <c r="AA92" s="6"/>
      <c r="AB92" s="6"/>
      <c r="AC92" s="6"/>
      <c r="AD92" s="6"/>
      <c r="AE92" s="6"/>
      <c r="AF92" s="6"/>
      <c r="AI92" s="6"/>
      <c r="AJ92" s="6"/>
      <c r="AK92" s="6"/>
      <c r="AL92" s="6"/>
      <c r="AM92" s="6"/>
    </row>
    <row r="93" spans="3:39" hidden="1" x14ac:dyDescent="0.35">
      <c r="C93" s="30"/>
      <c r="D93" s="30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6"/>
      <c r="AA93" s="6"/>
      <c r="AB93" s="6"/>
      <c r="AC93" s="6"/>
      <c r="AD93" s="6"/>
      <c r="AE93" s="6"/>
      <c r="AF93" s="6"/>
      <c r="AI93" s="6"/>
      <c r="AJ93" s="6"/>
      <c r="AK93" s="6"/>
      <c r="AL93" s="6"/>
      <c r="AM93" s="6"/>
    </row>
    <row r="94" spans="3:39" hidden="1" x14ac:dyDescent="0.35">
      <c r="C94" s="30"/>
      <c r="D94" s="30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6"/>
      <c r="AA94" s="6"/>
      <c r="AB94" s="6"/>
      <c r="AC94" s="6"/>
      <c r="AD94" s="6"/>
      <c r="AE94" s="6"/>
      <c r="AF94" s="6"/>
      <c r="AI94" s="6"/>
      <c r="AJ94" s="6"/>
      <c r="AK94" s="6"/>
      <c r="AL94" s="6"/>
      <c r="AM94" s="6"/>
    </row>
    <row r="95" spans="3:39" hidden="1" x14ac:dyDescent="0.35"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6"/>
      <c r="AA95" s="6"/>
      <c r="AB95" s="6"/>
      <c r="AC95" s="6"/>
      <c r="AD95" s="6"/>
      <c r="AE95" s="6"/>
      <c r="AF95" s="6"/>
      <c r="AI95" s="6"/>
      <c r="AJ95" s="6"/>
      <c r="AK95" s="6"/>
      <c r="AL95" s="6"/>
      <c r="AM95" s="6"/>
    </row>
    <row r="96" spans="3:39" hidden="1" x14ac:dyDescent="0.35"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6"/>
      <c r="AA96" s="6"/>
      <c r="AB96" s="6"/>
      <c r="AC96" s="6"/>
      <c r="AD96" s="6"/>
      <c r="AE96" s="6"/>
      <c r="AF96" s="6"/>
      <c r="AI96" s="6"/>
      <c r="AJ96" s="6"/>
      <c r="AK96" s="6"/>
      <c r="AL96" s="6"/>
      <c r="AM96" s="6"/>
    </row>
    <row r="97" spans="1:39" hidden="1" x14ac:dyDescent="0.35"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6"/>
      <c r="AA97" s="6"/>
      <c r="AB97" s="6"/>
      <c r="AC97" s="6"/>
      <c r="AD97" s="6"/>
      <c r="AE97" s="6"/>
      <c r="AF97" s="6"/>
      <c r="AI97" s="6"/>
      <c r="AJ97" s="6"/>
      <c r="AK97" s="6"/>
      <c r="AL97" s="6"/>
      <c r="AM97" s="6"/>
    </row>
    <row r="98" spans="1:39" hidden="1" x14ac:dyDescent="0.35"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6"/>
      <c r="AA98" s="6"/>
      <c r="AB98" s="6"/>
      <c r="AC98" s="6"/>
      <c r="AD98" s="6"/>
      <c r="AE98" s="6"/>
      <c r="AF98" s="6"/>
      <c r="AI98" s="6"/>
      <c r="AJ98" s="6"/>
      <c r="AK98" s="6"/>
      <c r="AL98" s="6"/>
      <c r="AM98" s="6"/>
    </row>
    <row r="99" spans="1:39" hidden="1" x14ac:dyDescent="0.35"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6"/>
      <c r="AA99" s="6"/>
      <c r="AB99" s="6"/>
      <c r="AC99" s="6"/>
      <c r="AD99" s="6"/>
      <c r="AE99" s="6"/>
      <c r="AF99" s="6"/>
      <c r="AI99" s="6"/>
      <c r="AJ99" s="6"/>
      <c r="AK99" s="6"/>
      <c r="AL99" s="6"/>
      <c r="AM99" s="6"/>
    </row>
    <row r="100" spans="1:39" hidden="1" x14ac:dyDescent="0.35"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6"/>
      <c r="AA100" s="6"/>
      <c r="AB100" s="6"/>
      <c r="AC100" s="6"/>
      <c r="AD100" s="6"/>
      <c r="AE100" s="6"/>
      <c r="AF100" s="6"/>
      <c r="AI100" s="6"/>
      <c r="AJ100" s="6"/>
      <c r="AK100" s="6"/>
      <c r="AL100" s="6"/>
      <c r="AM100" s="6"/>
    </row>
    <row r="101" spans="1:39" hidden="1" x14ac:dyDescent="0.35"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6"/>
      <c r="AA101" s="6"/>
      <c r="AB101" s="6"/>
      <c r="AC101" s="6"/>
      <c r="AD101" s="6"/>
      <c r="AE101" s="6"/>
      <c r="AF101" s="6"/>
      <c r="AI101" s="6"/>
      <c r="AJ101" s="6"/>
      <c r="AK101" s="6"/>
      <c r="AL101" s="6"/>
      <c r="AM101" s="6"/>
    </row>
    <row r="102" spans="1:39" hidden="1" x14ac:dyDescent="0.35"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I102" s="6"/>
      <c r="AJ102" s="6"/>
      <c r="AK102" s="6"/>
      <c r="AL102" s="6"/>
      <c r="AM102" s="6"/>
    </row>
    <row r="103" spans="1:39" x14ac:dyDescent="0.35">
      <c r="A103" t="s">
        <v>17</v>
      </c>
      <c r="B103" s="5" t="s">
        <v>0</v>
      </c>
      <c r="C103" s="16" t="s">
        <v>15</v>
      </c>
      <c r="D103" s="16" t="s">
        <v>46</v>
      </c>
      <c r="E103" s="16" t="s">
        <v>43</v>
      </c>
      <c r="F103" s="16"/>
      <c r="Z103" s="6"/>
      <c r="AA103" s="6"/>
      <c r="AB103" s="6"/>
      <c r="AC103" s="6"/>
      <c r="AD103" s="6"/>
      <c r="AE103" s="6"/>
      <c r="AF103" s="6"/>
      <c r="AI103" s="2"/>
      <c r="AJ103" s="6"/>
      <c r="AK103" s="6"/>
      <c r="AL103" s="6"/>
      <c r="AM103" s="6"/>
    </row>
    <row r="104" spans="1:39" x14ac:dyDescent="0.35">
      <c r="B104" s="7" t="s">
        <v>27</v>
      </c>
      <c r="C104" s="2">
        <v>1</v>
      </c>
      <c r="D104" s="14"/>
      <c r="F104" s="15"/>
      <c r="J104" s="10"/>
      <c r="Z104" s="6"/>
      <c r="AA104" s="6"/>
      <c r="AB104" s="6"/>
      <c r="AC104" s="6"/>
      <c r="AD104" s="6"/>
      <c r="AE104" s="6"/>
      <c r="AF104" s="6"/>
      <c r="AI104" s="6"/>
      <c r="AJ104" s="6"/>
      <c r="AK104" s="6"/>
      <c r="AL104" s="6"/>
      <c r="AM104" s="6"/>
    </row>
    <row r="105" spans="1:39" x14ac:dyDescent="0.35">
      <c r="B105" s="8" t="s">
        <v>4</v>
      </c>
      <c r="C105" s="43">
        <f>VLOOKUP($B105,'Market Value'!$B$4:$D$8,3,0)</f>
        <v>0.35799999999999998</v>
      </c>
      <c r="D105" s="44">
        <f>VLOOKUP($B105,'Market Value'!$B$4:$G$8,6,0)</f>
        <v>5.3999999999999999E-2</v>
      </c>
      <c r="E105" s="45">
        <f>VLOOKUP($B105,'Market Value'!$B$4:$G$8,2,0)</f>
        <v>3297.3804799999998</v>
      </c>
      <c r="G105" s="10"/>
      <c r="H105" s="31"/>
      <c r="I105" s="23"/>
      <c r="J105" s="10"/>
      <c r="K105" s="28"/>
      <c r="Z105" s="6"/>
      <c r="AA105" s="6"/>
      <c r="AB105" s="6"/>
      <c r="AC105" s="6"/>
      <c r="AD105" s="6"/>
      <c r="AE105" s="6"/>
      <c r="AF105" s="6"/>
      <c r="AI105" s="6"/>
      <c r="AJ105" s="6"/>
      <c r="AK105" s="6"/>
      <c r="AL105" s="6"/>
      <c r="AM105" s="6"/>
    </row>
    <row r="106" spans="1:39" x14ac:dyDescent="0.35">
      <c r="B106" t="s">
        <v>18</v>
      </c>
      <c r="C106" s="6">
        <v>0.88600000000000001</v>
      </c>
      <c r="D106" s="13">
        <v>5.3419198217821776E-2</v>
      </c>
      <c r="E106" s="46">
        <f>C106*$E$105</f>
        <v>2921.4791052799997</v>
      </c>
      <c r="G106" s="11"/>
      <c r="I106" s="23"/>
      <c r="J106" s="10"/>
      <c r="K106" s="28"/>
      <c r="Z106" s="6"/>
      <c r="AA106" s="6"/>
      <c r="AB106" s="6"/>
      <c r="AC106" s="6"/>
      <c r="AD106" s="6"/>
      <c r="AE106" s="6"/>
      <c r="AF106" s="6"/>
      <c r="AI106" s="6"/>
      <c r="AJ106" s="6"/>
      <c r="AK106" s="6"/>
      <c r="AL106" s="6"/>
      <c r="AM106" s="6"/>
    </row>
    <row r="107" spans="1:39" x14ac:dyDescent="0.35">
      <c r="B107" t="s">
        <v>5</v>
      </c>
      <c r="C107" s="6">
        <v>0.114</v>
      </c>
      <c r="D107" s="13">
        <v>5.8513950693069305E-2</v>
      </c>
      <c r="E107" s="46">
        <f>C107*$E$105</f>
        <v>375.90137471999998</v>
      </c>
      <c r="G107" s="10"/>
      <c r="H107" s="31"/>
      <c r="I107" s="10"/>
      <c r="J107" s="10"/>
      <c r="K107" s="10"/>
      <c r="Z107" s="6"/>
      <c r="AA107" s="6"/>
      <c r="AB107" s="6"/>
      <c r="AC107" s="6"/>
      <c r="AD107" s="6"/>
      <c r="AE107" s="6"/>
      <c r="AF107" s="6"/>
      <c r="AI107" s="6"/>
      <c r="AJ107" s="6"/>
      <c r="AK107" s="6"/>
      <c r="AL107" s="6"/>
      <c r="AM107" s="6"/>
    </row>
    <row r="108" spans="1:39" x14ac:dyDescent="0.35">
      <c r="B108" s="9" t="s">
        <v>21</v>
      </c>
      <c r="C108" s="43">
        <f>VLOOKUP($B108,'Market Value'!$B$4:$D$8,3,0)</f>
        <v>0.23100000000000001</v>
      </c>
      <c r="D108" s="44">
        <f>VLOOKUP($B108,'Market Value'!$B$4:$G$8,6,0)</f>
        <v>0.05</v>
      </c>
      <c r="E108" s="45">
        <f>VLOOKUP($B108,'Market Value'!$B$4:$G$8,2,0)</f>
        <v>2127.6393600000001</v>
      </c>
      <c r="G108" s="10"/>
      <c r="H108" s="22"/>
      <c r="I108" s="10"/>
      <c r="J108" s="10"/>
      <c r="K108" s="10"/>
      <c r="Z108" s="6"/>
      <c r="AA108" s="6"/>
      <c r="AB108" s="6"/>
      <c r="AC108" s="6"/>
      <c r="AD108" s="6"/>
      <c r="AE108" s="6"/>
      <c r="AF108" s="6"/>
      <c r="AI108" s="6"/>
      <c r="AJ108" s="6"/>
      <c r="AK108" s="6"/>
      <c r="AL108" s="6"/>
      <c r="AM108" s="6"/>
    </row>
    <row r="109" spans="1:39" x14ac:dyDescent="0.35">
      <c r="B109" t="s">
        <v>32</v>
      </c>
      <c r="C109" s="1">
        <v>0.218</v>
      </c>
      <c r="D109" s="13">
        <v>4.0033006466892895E-2</v>
      </c>
      <c r="E109" s="46">
        <f>C109*$E$108</f>
        <v>463.82538048000004</v>
      </c>
      <c r="F109" s="10"/>
      <c r="G109" s="10"/>
      <c r="H109" s="22"/>
      <c r="I109" s="10"/>
      <c r="J109" s="10"/>
      <c r="K109" s="10"/>
      <c r="Z109" s="6"/>
      <c r="AA109" s="6"/>
      <c r="AB109" s="6"/>
      <c r="AC109" s="6"/>
      <c r="AD109" s="6"/>
      <c r="AE109" s="6"/>
      <c r="AF109" s="6"/>
      <c r="AI109" s="6"/>
      <c r="AJ109" s="6"/>
      <c r="AK109" s="6"/>
      <c r="AL109" s="6"/>
      <c r="AM109" s="6"/>
    </row>
    <row r="110" spans="1:39" x14ac:dyDescent="0.35">
      <c r="B110" t="s">
        <v>9</v>
      </c>
      <c r="C110" s="1">
        <v>0.11600000000000001</v>
      </c>
      <c r="D110" s="13">
        <v>3.6132997211883448E-2</v>
      </c>
      <c r="E110" s="46">
        <f t="shared" ref="E110:E122" si="40">C110*$E$108</f>
        <v>246.80616576000003</v>
      </c>
      <c r="F110" s="10"/>
      <c r="G110" s="10"/>
      <c r="H110" s="22"/>
      <c r="I110" s="10"/>
      <c r="J110" s="10"/>
      <c r="K110" s="10"/>
      <c r="Z110" s="6"/>
      <c r="AA110" s="6"/>
      <c r="AB110" s="6"/>
      <c r="AC110" s="6"/>
      <c r="AD110" s="6"/>
      <c r="AE110" s="6"/>
      <c r="AF110" s="6"/>
      <c r="AI110" s="6"/>
      <c r="AJ110" s="6"/>
      <c r="AK110" s="6"/>
      <c r="AL110" s="6"/>
      <c r="AM110" s="6"/>
    </row>
    <row r="111" spans="1:39" x14ac:dyDescent="0.35">
      <c r="B111" t="s">
        <v>10</v>
      </c>
      <c r="C111" s="1">
        <v>9.4E-2</v>
      </c>
      <c r="D111" s="13">
        <v>4.8503573588366572E-2</v>
      </c>
      <c r="E111" s="46">
        <f t="shared" si="40"/>
        <v>199.99809984000001</v>
      </c>
      <c r="F111" s="10"/>
      <c r="G111" s="10"/>
      <c r="H111" s="22"/>
      <c r="I111" s="10"/>
      <c r="J111" s="10"/>
      <c r="K111" s="10"/>
      <c r="Z111" s="6"/>
      <c r="AA111" s="6"/>
      <c r="AB111" s="6"/>
      <c r="AC111" s="6"/>
      <c r="AD111" s="6"/>
      <c r="AE111" s="6"/>
      <c r="AF111" s="6"/>
      <c r="AI111" s="6"/>
      <c r="AJ111" s="6"/>
      <c r="AK111" s="6"/>
      <c r="AL111" s="6"/>
      <c r="AM111" s="6"/>
    </row>
    <row r="112" spans="1:39" x14ac:dyDescent="0.35">
      <c r="B112" t="s">
        <v>53</v>
      </c>
      <c r="C112" s="1">
        <v>0.123</v>
      </c>
      <c r="D112" s="13">
        <v>5.210690546938327E-2</v>
      </c>
      <c r="E112" s="46">
        <f t="shared" si="40"/>
        <v>261.69964128000004</v>
      </c>
      <c r="F112" s="10"/>
      <c r="G112" s="10"/>
      <c r="H112" s="22"/>
      <c r="I112" s="10"/>
      <c r="J112" s="10"/>
      <c r="K112" s="10"/>
      <c r="Z112" s="6"/>
      <c r="AA112" s="6"/>
      <c r="AB112" s="6"/>
      <c r="AC112" s="6"/>
      <c r="AD112" s="6"/>
      <c r="AE112" s="6"/>
      <c r="AF112" s="6"/>
      <c r="AI112" s="6"/>
      <c r="AJ112" s="6"/>
      <c r="AK112" s="6"/>
      <c r="AL112" s="6"/>
      <c r="AM112" s="6"/>
    </row>
    <row r="113" spans="2:39" x14ac:dyDescent="0.35">
      <c r="B113" t="s">
        <v>19</v>
      </c>
      <c r="C113" s="1">
        <v>8.6999999999999994E-2</v>
      </c>
      <c r="D113" s="13">
        <v>3.1424638354805079E-2</v>
      </c>
      <c r="E113" s="46">
        <f t="shared" si="40"/>
        <v>185.10462432</v>
      </c>
      <c r="F113" s="10"/>
      <c r="G113" s="10"/>
      <c r="H113" s="22"/>
      <c r="I113" s="10"/>
      <c r="J113" s="10"/>
      <c r="K113" s="10"/>
      <c r="Z113" s="6"/>
      <c r="AA113" s="6"/>
      <c r="AB113" s="6"/>
      <c r="AC113" s="6"/>
      <c r="AD113" s="6"/>
      <c r="AE113" s="6"/>
      <c r="AF113" s="6"/>
      <c r="AI113" s="6"/>
      <c r="AJ113" s="6"/>
      <c r="AK113" s="6"/>
      <c r="AL113" s="6"/>
      <c r="AM113" s="6"/>
    </row>
    <row r="114" spans="2:39" x14ac:dyDescent="0.35">
      <c r="B114" t="s">
        <v>30</v>
      </c>
      <c r="C114" s="1">
        <v>6.2E-2</v>
      </c>
      <c r="D114" s="13">
        <v>5.6507879861611585E-2</v>
      </c>
      <c r="E114" s="46">
        <f t="shared" si="40"/>
        <v>131.91364032000001</v>
      </c>
      <c r="F114" s="10"/>
      <c r="G114" s="10"/>
      <c r="H114" s="22"/>
      <c r="I114" s="10"/>
      <c r="J114" s="10"/>
      <c r="K114" s="10"/>
      <c r="Z114" s="6"/>
      <c r="AA114" s="6"/>
      <c r="AB114" s="6"/>
      <c r="AC114" s="6"/>
      <c r="AD114" s="6"/>
      <c r="AE114" s="6"/>
      <c r="AF114" s="6"/>
      <c r="AI114" s="6"/>
      <c r="AJ114" s="6"/>
      <c r="AK114" s="6"/>
      <c r="AL114" s="6"/>
      <c r="AM114" s="6"/>
    </row>
    <row r="115" spans="2:39" x14ac:dyDescent="0.35">
      <c r="B115" t="s">
        <v>54</v>
      </c>
      <c r="C115" s="1">
        <v>5.0999999999999997E-2</v>
      </c>
      <c r="D115" s="13">
        <v>8.0459151700312037E-2</v>
      </c>
      <c r="E115" s="46">
        <f t="shared" si="40"/>
        <v>108.50960736</v>
      </c>
      <c r="F115" s="10"/>
      <c r="G115" s="10"/>
      <c r="H115" s="22"/>
      <c r="I115" s="10"/>
      <c r="J115" s="10"/>
      <c r="K115" s="10"/>
      <c r="Z115" s="6"/>
      <c r="AA115" s="6"/>
      <c r="AB115" s="6"/>
      <c r="AC115" s="6"/>
      <c r="AD115" s="6"/>
      <c r="AE115" s="6"/>
      <c r="AF115" s="6"/>
      <c r="AI115" s="6"/>
      <c r="AJ115" s="6"/>
      <c r="AK115" s="6"/>
      <c r="AL115" s="6"/>
      <c r="AM115" s="6"/>
    </row>
    <row r="116" spans="2:39" x14ac:dyDescent="0.35">
      <c r="B116" t="s">
        <v>55</v>
      </c>
      <c r="C116" s="6">
        <v>2.4E-2</v>
      </c>
      <c r="D116" s="13">
        <v>8.4663191900712031E-2</v>
      </c>
      <c r="E116" s="46">
        <f t="shared" si="40"/>
        <v>51.063344640000004</v>
      </c>
      <c r="F116" s="10"/>
      <c r="H116" s="22"/>
      <c r="I116" s="10"/>
      <c r="J116" s="10"/>
      <c r="K116" s="10"/>
      <c r="Z116" s="6"/>
      <c r="AA116" s="6"/>
      <c r="AB116" s="6"/>
      <c r="AC116" s="6"/>
      <c r="AD116" s="6"/>
      <c r="AE116" s="6"/>
      <c r="AF116" s="6"/>
      <c r="AI116" s="6"/>
      <c r="AJ116" s="6"/>
      <c r="AK116" s="6"/>
      <c r="AL116" s="6"/>
      <c r="AM116" s="6"/>
    </row>
    <row r="117" spans="2:39" x14ac:dyDescent="0.35">
      <c r="B117" t="s">
        <v>56</v>
      </c>
      <c r="C117" s="6">
        <v>1.2999999999999999E-2</v>
      </c>
      <c r="D117" s="13">
        <v>7.5980742343612045E-2</v>
      </c>
      <c r="E117" s="46">
        <f t="shared" si="40"/>
        <v>27.659311680000002</v>
      </c>
      <c r="F117" s="10"/>
      <c r="G117" s="28"/>
      <c r="I117" s="10"/>
      <c r="J117" s="10"/>
      <c r="K117" s="10"/>
      <c r="Z117" s="6"/>
      <c r="AA117" s="6"/>
      <c r="AB117" s="6"/>
      <c r="AC117" s="6"/>
      <c r="AD117" s="6"/>
      <c r="AE117" s="6"/>
      <c r="AF117" s="6"/>
      <c r="AI117" s="6"/>
      <c r="AJ117" s="6"/>
      <c r="AK117" s="6"/>
      <c r="AL117" s="6"/>
      <c r="AM117" s="6"/>
    </row>
    <row r="118" spans="2:39" x14ac:dyDescent="0.35">
      <c r="B118" t="s">
        <v>57</v>
      </c>
      <c r="C118" s="6">
        <v>4.4999999999999998E-2</v>
      </c>
      <c r="D118" s="13">
        <v>6.4526988470068436E-2</v>
      </c>
      <c r="E118" s="46">
        <f t="shared" si="40"/>
        <v>95.743771199999998</v>
      </c>
      <c r="F118" s="10"/>
      <c r="I118" s="10"/>
      <c r="J118" s="10"/>
      <c r="K118" s="10"/>
      <c r="Z118" s="6"/>
      <c r="AA118" s="6"/>
      <c r="AB118" s="6"/>
      <c r="AC118" s="6"/>
      <c r="AD118" s="6"/>
      <c r="AE118" s="6"/>
      <c r="AF118" s="6"/>
      <c r="AI118" s="6"/>
      <c r="AJ118" s="6"/>
      <c r="AK118" s="6"/>
      <c r="AL118" s="6"/>
      <c r="AM118" s="6"/>
    </row>
    <row r="119" spans="2:39" x14ac:dyDescent="0.35">
      <c r="B119" t="s">
        <v>58</v>
      </c>
      <c r="C119" s="6">
        <v>3.1E-2</v>
      </c>
      <c r="D119" s="13">
        <v>7.204147834361202E-2</v>
      </c>
      <c r="E119" s="46">
        <f t="shared" si="40"/>
        <v>65.956820160000007</v>
      </c>
      <c r="F119" s="10"/>
      <c r="G119" s="11"/>
      <c r="I119" s="10"/>
      <c r="J119" s="10"/>
      <c r="K119" s="10"/>
      <c r="Z119" s="6"/>
      <c r="AA119" s="6"/>
      <c r="AB119" s="6"/>
      <c r="AC119" s="6"/>
      <c r="AD119" s="6"/>
      <c r="AE119" s="6"/>
      <c r="AF119" s="6"/>
      <c r="AI119" s="6"/>
      <c r="AJ119" s="6"/>
      <c r="AK119" s="6"/>
      <c r="AL119" s="6"/>
      <c r="AM119" s="6"/>
    </row>
    <row r="120" spans="2:39" x14ac:dyDescent="0.35">
      <c r="B120" t="s">
        <v>59</v>
      </c>
      <c r="C120" s="6">
        <v>2.9000000000000001E-2</v>
      </c>
      <c r="D120" s="13">
        <v>5.9859750096258185E-2</v>
      </c>
      <c r="E120" s="46">
        <f t="shared" si="40"/>
        <v>61.701541440000007</v>
      </c>
      <c r="F120" s="10"/>
      <c r="I120" s="10"/>
      <c r="J120" s="10"/>
      <c r="K120" s="10"/>
      <c r="Z120" s="6"/>
      <c r="AA120" s="6"/>
      <c r="AB120" s="6"/>
      <c r="AC120" s="6"/>
      <c r="AD120" s="6"/>
      <c r="AE120" s="6"/>
      <c r="AF120" s="6"/>
      <c r="AI120" s="6"/>
      <c r="AJ120" s="6"/>
      <c r="AK120" s="6"/>
      <c r="AL120" s="6"/>
      <c r="AM120" s="6"/>
    </row>
    <row r="121" spans="2:39" x14ac:dyDescent="0.35">
      <c r="B121" t="s">
        <v>60</v>
      </c>
      <c r="C121" s="6">
        <v>4.9000000000000002E-2</v>
      </c>
      <c r="D121" s="13">
        <v>6.7700299012581011E-2</v>
      </c>
      <c r="E121" s="46">
        <f t="shared" si="40"/>
        <v>104.25432864000001</v>
      </c>
      <c r="F121" s="10"/>
      <c r="I121" s="10"/>
      <c r="J121" s="10"/>
      <c r="K121" s="10"/>
      <c r="Z121" s="6"/>
      <c r="AA121" s="6"/>
      <c r="AB121" s="6"/>
      <c r="AC121" s="6"/>
      <c r="AD121" s="6"/>
      <c r="AE121" s="6"/>
      <c r="AF121" s="6"/>
      <c r="AI121" s="6"/>
      <c r="AJ121" s="6"/>
      <c r="AK121" s="6"/>
      <c r="AL121" s="6"/>
      <c r="AM121" s="6"/>
    </row>
    <row r="122" spans="2:39" x14ac:dyDescent="0.35">
      <c r="B122" t="s">
        <v>20</v>
      </c>
      <c r="C122" s="6">
        <v>5.7999999999999829E-2</v>
      </c>
      <c r="D122" s="13">
        <v>4.4174634970644E-2</v>
      </c>
      <c r="E122" s="46">
        <f t="shared" si="40"/>
        <v>123.40308287999964</v>
      </c>
      <c r="F122" s="10"/>
      <c r="I122" s="10"/>
      <c r="J122" s="10"/>
      <c r="K122" s="10"/>
      <c r="Z122" s="6"/>
      <c r="AA122" s="6"/>
      <c r="AB122" s="6"/>
      <c r="AC122" s="6"/>
      <c r="AD122" s="6"/>
      <c r="AE122" s="6"/>
      <c r="AF122" s="6"/>
      <c r="AI122" s="6"/>
      <c r="AJ122" s="6"/>
      <c r="AK122" s="6"/>
      <c r="AL122" s="6"/>
      <c r="AM122" s="6"/>
    </row>
    <row r="123" spans="2:39" x14ac:dyDescent="0.35">
      <c r="B123" s="5" t="s">
        <v>22</v>
      </c>
      <c r="C123" s="43">
        <f>VLOOKUP($B123,'Market Value'!$B$4:$D$8,3,0)</f>
        <v>0.28599999999999998</v>
      </c>
      <c r="D123" s="44">
        <f>VLOOKUP($B123,'Market Value'!$B$4:$G$8,6,0)</f>
        <v>7.0999999999999994E-2</v>
      </c>
      <c r="E123" s="45">
        <f>VLOOKUP($B123,'Market Value'!$B$4:$G$8,2,0)</f>
        <v>2634.2201599999999</v>
      </c>
      <c r="I123" s="28"/>
      <c r="J123" s="28"/>
      <c r="K123" s="28"/>
    </row>
    <row r="124" spans="2:39" x14ac:dyDescent="0.35">
      <c r="B124" t="s">
        <v>11</v>
      </c>
      <c r="C124" s="6">
        <v>0.38700000000000001</v>
      </c>
      <c r="D124" s="13">
        <v>7.2358999999999993E-2</v>
      </c>
      <c r="E124" s="46">
        <f>C124*$E$123</f>
        <v>1019.44320192</v>
      </c>
      <c r="F124" s="10"/>
      <c r="H124" s="28"/>
      <c r="J124" s="28"/>
    </row>
    <row r="125" spans="2:39" x14ac:dyDescent="0.35">
      <c r="B125" t="s">
        <v>13</v>
      </c>
      <c r="C125" s="6">
        <v>0.16400000000000001</v>
      </c>
      <c r="D125" s="13">
        <v>8.7358999999999992E-2</v>
      </c>
      <c r="E125" s="46">
        <f t="shared" ref="E125:E130" si="41">C125*$E$123</f>
        <v>432.01210623999998</v>
      </c>
      <c r="F125" s="10"/>
      <c r="G125" s="11"/>
      <c r="I125" s="13"/>
      <c r="J125" s="13"/>
    </row>
    <row r="126" spans="2:39" x14ac:dyDescent="0.35">
      <c r="B126" t="s">
        <v>12</v>
      </c>
      <c r="C126" s="6">
        <v>0.13200000000000001</v>
      </c>
      <c r="D126" s="13">
        <v>5.1358999999999988E-2</v>
      </c>
      <c r="E126" s="46">
        <f t="shared" si="41"/>
        <v>347.71706111999998</v>
      </c>
      <c r="F126" s="10"/>
      <c r="I126" s="13"/>
      <c r="J126" s="13"/>
    </row>
    <row r="127" spans="2:39" x14ac:dyDescent="0.35">
      <c r="B127" t="s">
        <v>25</v>
      </c>
      <c r="C127" s="6">
        <v>8.8999999999999996E-2</v>
      </c>
      <c r="D127" s="13">
        <v>6.0358999999999989E-2</v>
      </c>
      <c r="E127" s="46">
        <f t="shared" si="41"/>
        <v>234.44559423999996</v>
      </c>
      <c r="F127" s="10"/>
      <c r="I127" s="13"/>
      <c r="J127" s="13"/>
      <c r="K127" s="28"/>
    </row>
    <row r="128" spans="2:39" x14ac:dyDescent="0.35">
      <c r="B128" t="s">
        <v>34</v>
      </c>
      <c r="C128" s="6">
        <v>4.7E-2</v>
      </c>
      <c r="D128" s="13">
        <v>5.6358999999999985E-2</v>
      </c>
      <c r="E128" s="46">
        <f t="shared" si="41"/>
        <v>123.80834752</v>
      </c>
      <c r="F128" s="10"/>
      <c r="I128" s="13"/>
      <c r="J128" s="13"/>
      <c r="K128" s="28"/>
    </row>
    <row r="129" spans="2:14" x14ac:dyDescent="0.35">
      <c r="B129" t="s">
        <v>26</v>
      </c>
      <c r="C129" s="6">
        <v>0.13600000000000001</v>
      </c>
      <c r="D129" s="13">
        <v>8.0358999999999986E-2</v>
      </c>
      <c r="E129" s="46">
        <f t="shared" si="41"/>
        <v>358.25394176000003</v>
      </c>
      <c r="F129" s="10"/>
      <c r="I129" s="13"/>
      <c r="J129" s="13"/>
      <c r="K129" s="28"/>
    </row>
    <row r="130" spans="2:14" x14ac:dyDescent="0.35">
      <c r="B130" t="s">
        <v>35</v>
      </c>
      <c r="C130" s="6">
        <v>4.4999999999999998E-2</v>
      </c>
      <c r="D130" s="13">
        <v>6.5358999999999987E-2</v>
      </c>
      <c r="E130" s="46">
        <f t="shared" si="41"/>
        <v>118.53990719999999</v>
      </c>
      <c r="F130" s="10"/>
      <c r="I130" s="13"/>
      <c r="J130" s="13"/>
      <c r="K130" s="28"/>
    </row>
    <row r="131" spans="2:14" x14ac:dyDescent="0.35">
      <c r="B131" s="5" t="s">
        <v>6</v>
      </c>
      <c r="C131" s="43">
        <f>VLOOKUP($B131,'Market Value'!$B$4:$D$8,3,0)</f>
        <v>5.3999999999999999E-2</v>
      </c>
      <c r="D131" s="44">
        <f>VLOOKUP($B131,'Market Value'!$B$4:$G$8,6,0)</f>
        <v>5.6000000000000001E-2</v>
      </c>
      <c r="E131" s="45">
        <f>VLOOKUP($B131,'Market Value'!$B$4:$G$8,2,0)</f>
        <v>497.37023999999997</v>
      </c>
      <c r="I131" s="13"/>
      <c r="J131" s="13"/>
      <c r="K131" s="28"/>
    </row>
    <row r="132" spans="2:14" x14ac:dyDescent="0.35">
      <c r="B132" t="s">
        <v>28</v>
      </c>
      <c r="C132" s="1">
        <v>0.36699999999999999</v>
      </c>
      <c r="D132" s="13">
        <v>4.9202200135959738E-2</v>
      </c>
      <c r="E132" s="46">
        <f>C132*$E$131</f>
        <v>182.53487807999997</v>
      </c>
      <c r="H132" s="28"/>
      <c r="I132" s="13"/>
      <c r="J132" s="13"/>
      <c r="K132" s="28"/>
    </row>
    <row r="133" spans="2:14" x14ac:dyDescent="0.35">
      <c r="B133" t="s">
        <v>23</v>
      </c>
      <c r="C133" s="1">
        <v>0.13200000000000001</v>
      </c>
      <c r="D133" s="13">
        <v>5.3865790409495407E-2</v>
      </c>
      <c r="E133" s="46">
        <f t="shared" ref="E133:E135" si="42">C133*$E$131</f>
        <v>65.652871680000004</v>
      </c>
      <c r="G133" s="11"/>
      <c r="I133" s="13"/>
      <c r="J133" s="13"/>
      <c r="K133" s="28"/>
    </row>
    <row r="134" spans="2:14" x14ac:dyDescent="0.35">
      <c r="B134" t="s">
        <v>7</v>
      </c>
      <c r="C134" s="1">
        <v>0.316</v>
      </c>
      <c r="D134" s="13">
        <v>5.9613780245003523E-2</v>
      </c>
      <c r="E134" s="46">
        <f t="shared" si="42"/>
        <v>157.16899583999998</v>
      </c>
      <c r="I134" s="13"/>
      <c r="J134" s="13"/>
      <c r="K134" s="28"/>
    </row>
    <row r="135" spans="2:14" x14ac:dyDescent="0.35">
      <c r="B135" t="s">
        <v>8</v>
      </c>
      <c r="C135" s="1">
        <v>0.185</v>
      </c>
      <c r="D135" s="13">
        <v>6.4835425181774431E-2</v>
      </c>
      <c r="E135" s="46">
        <f t="shared" si="42"/>
        <v>92.013494399999999</v>
      </c>
      <c r="H135" s="29"/>
    </row>
    <row r="136" spans="2:14" x14ac:dyDescent="0.35">
      <c r="B136" s="5" t="s">
        <v>37</v>
      </c>
      <c r="C136" s="43">
        <f>VLOOKUP($B136,'Market Value'!$B$4:$D$8,3,0)</f>
        <v>7.0999999999999952E-2</v>
      </c>
      <c r="D136" s="44">
        <f>VLOOKUP($B136,'Market Value'!$B$4:$G$8,6,0)</f>
        <v>0.06</v>
      </c>
      <c r="E136" s="45">
        <f>VLOOKUP($B136,'Market Value'!$B$4:$G$8,2,0)</f>
        <v>653.94975999999951</v>
      </c>
    </row>
    <row r="137" spans="2:14" x14ac:dyDescent="0.35">
      <c r="B137" t="s">
        <v>31</v>
      </c>
      <c r="C137" s="1">
        <v>0.63500000000000001</v>
      </c>
      <c r="D137" s="13">
        <v>6.3477550798181959E-2</v>
      </c>
      <c r="E137" s="46">
        <f>C137*$E$136</f>
        <v>415.2580975999997</v>
      </c>
      <c r="H137" s="28"/>
      <c r="J137" s="28"/>
      <c r="K137" s="28"/>
    </row>
    <row r="138" spans="2:14" x14ac:dyDescent="0.35">
      <c r="B138" t="s">
        <v>14</v>
      </c>
      <c r="C138" s="1">
        <v>0.14199999999999999</v>
      </c>
      <c r="D138" s="13">
        <v>4.9918828638347103E-2</v>
      </c>
      <c r="E138" s="46">
        <f t="shared" ref="E138:E139" si="43">C138*$E$136</f>
        <v>92.860865919999924</v>
      </c>
      <c r="G138" s="11"/>
      <c r="J138" s="28"/>
      <c r="K138" s="28"/>
    </row>
    <row r="139" spans="2:14" x14ac:dyDescent="0.35">
      <c r="B139" t="s">
        <v>36</v>
      </c>
      <c r="C139" s="1">
        <v>0.223</v>
      </c>
      <c r="D139" s="13">
        <v>5.6516957742193619E-2</v>
      </c>
      <c r="E139" s="46">
        <f t="shared" si="43"/>
        <v>145.83079647999989</v>
      </c>
      <c r="J139" s="28"/>
      <c r="K139" s="28"/>
      <c r="M139" s="28"/>
      <c r="N139" s="28"/>
    </row>
    <row r="140" spans="2:14" x14ac:dyDescent="0.35">
      <c r="J140" s="28"/>
      <c r="K140" s="28"/>
      <c r="M140" s="28"/>
      <c r="N140" s="28"/>
    </row>
    <row r="141" spans="2:14" x14ac:dyDescent="0.35">
      <c r="C141" s="2"/>
      <c r="D141" s="1"/>
      <c r="E141" s="10"/>
      <c r="J141" s="28"/>
      <c r="K141" s="28"/>
      <c r="M141" s="28"/>
      <c r="N141" s="28"/>
    </row>
    <row r="142" spans="2:14" x14ac:dyDescent="0.35">
      <c r="C142" s="2"/>
      <c r="D142" s="1"/>
      <c r="E142" s="10"/>
      <c r="M142" s="28"/>
      <c r="N142" s="28"/>
    </row>
  </sheetData>
  <conditionalFormatting sqref="C7:AF7">
    <cfRule type="cellIs" dxfId="26" priority="3" operator="greaterThan">
      <formula>0.079</formula>
    </cfRule>
    <cfRule type="cellIs" dxfId="25" priority="4" operator="lessThan">
      <formula>0.055</formula>
    </cfRule>
  </conditionalFormatting>
  <conditionalFormatting sqref="C8:AF8">
    <cfRule type="cellIs" dxfId="24" priority="5" operator="greaterThan">
      <formula>0.06</formula>
    </cfRule>
    <cfRule type="cellIs" dxfId="23" priority="6" operator="lessThan">
      <formula>0.038</formula>
    </cfRule>
  </conditionalFormatting>
  <conditionalFormatting sqref="C10:AF10">
    <cfRule type="cellIs" dxfId="22" priority="7" operator="greaterThan">
      <formula>0.104</formula>
    </cfRule>
    <cfRule type="cellIs" dxfId="21" priority="8" operator="lessThan">
      <formula>0.082</formula>
    </cfRule>
  </conditionalFormatting>
  <conditionalFormatting sqref="C12:AF12">
    <cfRule type="cellIs" dxfId="20" priority="9" operator="greaterThan">
      <formula>0.2</formula>
    </cfRule>
    <cfRule type="cellIs" dxfId="19" priority="10" operator="lessThan">
      <formula>0.17</formula>
    </cfRule>
  </conditionalFormatting>
  <conditionalFormatting sqref="C20:AF20">
    <cfRule type="cellIs" dxfId="18" priority="11" operator="greaterThan">
      <formula>0.152</formula>
    </cfRule>
    <cfRule type="cellIs" dxfId="17" priority="12" operator="lessThan">
      <formula>0.124</formula>
    </cfRule>
  </conditionalFormatting>
  <conditionalFormatting sqref="C35:AF35">
    <cfRule type="cellIs" dxfId="16" priority="13" operator="greaterThan">
      <formula>0.116</formula>
    </cfRule>
    <cfRule type="cellIs" dxfId="15" priority="14" operator="lessThan">
      <formula>0.091</formula>
    </cfRule>
  </conditionalFormatting>
  <conditionalFormatting sqref="C46:AF46">
    <cfRule type="cellIs" dxfId="14" priority="15" operator="greaterThan">
      <formula>0.072</formula>
    </cfRule>
    <cfRule type="cellIs" dxfId="13" priority="16" operator="lessThan">
      <formula>0.051</formula>
    </cfRule>
  </conditionalFormatting>
  <conditionalFormatting sqref="C47:AF47">
    <cfRule type="cellIs" dxfId="12" priority="19" operator="greaterThan">
      <formula>0.064</formula>
    </cfRule>
    <cfRule type="cellIs" dxfId="11" priority="20" operator="lessThan">
      <formula>0.044</formula>
    </cfRule>
  </conditionalFormatting>
  <conditionalFormatting sqref="C48:AF48">
    <cfRule type="cellIs" dxfId="10" priority="17" operator="greaterThan">
      <formula>0.042</formula>
    </cfRule>
    <cfRule type="cellIs" dxfId="9" priority="18" operator="lessThan">
      <formula>0.026</formula>
    </cfRule>
  </conditionalFormatting>
  <conditionalFormatting sqref="AI5:BL25 AI29:BL48">
    <cfRule type="cellIs" dxfId="8" priority="1" operator="lessThan">
      <formula>0.02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A12A0-9B68-4291-B43B-D87C151B2D9D}">
  <sheetPr codeName="Sheet2"/>
  <dimension ref="B1:BL55"/>
  <sheetViews>
    <sheetView workbookViewId="0"/>
  </sheetViews>
  <sheetFormatPr defaultRowHeight="14.5" x14ac:dyDescent="0.35"/>
  <cols>
    <col min="2" max="2" width="18.1796875" customWidth="1"/>
    <col min="3" max="3" width="13.1796875" bestFit="1" customWidth="1"/>
    <col min="4" max="4" width="12.26953125" bestFit="1" customWidth="1"/>
    <col min="5" max="5" width="12.1796875" bestFit="1" customWidth="1"/>
    <col min="6" max="6" width="12.26953125" bestFit="1" customWidth="1"/>
    <col min="7" max="9" width="12.1796875" bestFit="1" customWidth="1"/>
    <col min="10" max="10" width="13.1796875" bestFit="1" customWidth="1"/>
    <col min="11" max="12" width="12.1796875" bestFit="1" customWidth="1"/>
    <col min="13" max="13" width="12.26953125" bestFit="1" customWidth="1"/>
    <col min="14" max="14" width="12.1796875" bestFit="1" customWidth="1"/>
    <col min="15" max="15" width="10.7265625" bestFit="1" customWidth="1"/>
    <col min="16" max="25" width="12.1796875" bestFit="1" customWidth="1"/>
    <col min="26" max="30" width="9.7265625" bestFit="1" customWidth="1"/>
  </cols>
  <sheetData>
    <row r="1" spans="2:64" x14ac:dyDescent="0.35">
      <c r="B1" s="40"/>
      <c r="E1" s="55"/>
      <c r="F1" s="55"/>
    </row>
    <row r="2" spans="2:64" x14ac:dyDescent="0.35">
      <c r="B2" s="54">
        <f>B44</f>
        <v>1077608.6733694396</v>
      </c>
      <c r="C2" s="54">
        <f t="shared" ref="C2:AF2" si="0">C44</f>
        <v>326373.35421162902</v>
      </c>
      <c r="D2" s="54">
        <f t="shared" si="0"/>
        <v>42445.933986309974</v>
      </c>
      <c r="E2" s="54">
        <f t="shared" si="0"/>
        <v>51617.720520361705</v>
      </c>
      <c r="F2" s="54">
        <f t="shared" si="0"/>
        <v>27765.145245120038</v>
      </c>
      <c r="G2" s="54">
        <f t="shared" si="0"/>
        <v>22954.893769276146</v>
      </c>
      <c r="H2" s="54">
        <f t="shared" si="0"/>
        <v>29451.518463466131</v>
      </c>
      <c r="I2" s="54">
        <f t="shared" si="0"/>
        <v>23187.888829053067</v>
      </c>
      <c r="J2" s="54">
        <f t="shared" si="0"/>
        <v>15345.006468980169</v>
      </c>
      <c r="K2" s="54">
        <f t="shared" si="0"/>
        <v>12922.017939813693</v>
      </c>
      <c r="L2" s="54">
        <f t="shared" si="0"/>
        <v>6248.7554454756855</v>
      </c>
      <c r="M2" s="54">
        <f t="shared" si="0"/>
        <v>3411.4507684322239</v>
      </c>
      <c r="N2" s="54">
        <f t="shared" si="0"/>
        <v>10638.175246980205</v>
      </c>
      <c r="O2" s="54">
        <f t="shared" si="0"/>
        <v>7394.5372487195518</v>
      </c>
      <c r="P2" s="54">
        <f t="shared" si="0"/>
        <v>7000.4874873104618</v>
      </c>
      <c r="Q2" s="54">
        <f t="shared" si="0"/>
        <v>11599.543581804885</v>
      </c>
      <c r="R2" s="54">
        <f t="shared" si="0"/>
        <v>14446.100282162241</v>
      </c>
      <c r="S2" s="54">
        <f t="shared" si="0"/>
        <v>129209.43436544458</v>
      </c>
      <c r="T2" s="54">
        <f t="shared" si="0"/>
        <v>55859.582559844683</v>
      </c>
      <c r="U2" s="54">
        <f t="shared" si="0"/>
        <v>38907.627864368711</v>
      </c>
      <c r="V2" s="54">
        <f t="shared" si="0"/>
        <v>26737.670782431996</v>
      </c>
      <c r="W2" s="54">
        <f t="shared" si="0"/>
        <v>13866.409022593649</v>
      </c>
      <c r="X2" s="54">
        <f t="shared" si="0"/>
        <v>45883.188884209725</v>
      </c>
      <c r="Y2" s="54">
        <f t="shared" si="0"/>
        <v>14880.699809260906</v>
      </c>
      <c r="Z2" s="54">
        <f t="shared" si="0"/>
        <v>47836.916664884557</v>
      </c>
      <c r="AA2" s="54">
        <f t="shared" si="0"/>
        <v>11700.705508528401</v>
      </c>
      <c r="AB2" s="54">
        <f t="shared" si="0"/>
        <v>18611.269082095267</v>
      </c>
      <c r="AC2" s="54">
        <f t="shared" si="0"/>
        <v>22208.942420621184</v>
      </c>
      <c r="AD2" s="54">
        <f t="shared" si="0"/>
        <v>8275.9522510133374</v>
      </c>
      <c r="AE2" s="54">
        <f t="shared" si="0"/>
        <v>19337.910134624799</v>
      </c>
      <c r="AF2" s="54">
        <f t="shared" si="0"/>
        <v>11489.834524622669</v>
      </c>
      <c r="AX2" s="6"/>
      <c r="AY2" s="6"/>
      <c r="AZ2" s="6"/>
      <c r="BA2" s="6"/>
      <c r="BB2" s="6"/>
      <c r="BC2" s="6"/>
    </row>
    <row r="3" spans="2:64" x14ac:dyDescent="0.35">
      <c r="B3" t="s">
        <v>92</v>
      </c>
      <c r="C3" s="12" t="s">
        <v>18</v>
      </c>
      <c r="D3" s="12" t="s">
        <v>5</v>
      </c>
      <c r="E3" s="12" t="s">
        <v>32</v>
      </c>
      <c r="F3" s="12" t="s">
        <v>9</v>
      </c>
      <c r="G3" s="12" t="s">
        <v>10</v>
      </c>
      <c r="H3" s="12" t="s">
        <v>53</v>
      </c>
      <c r="I3" s="12" t="s">
        <v>19</v>
      </c>
      <c r="J3" s="12" t="s">
        <v>30</v>
      </c>
      <c r="K3" s="12" t="s">
        <v>54</v>
      </c>
      <c r="L3" s="12" t="s">
        <v>55</v>
      </c>
      <c r="M3" s="12" t="s">
        <v>56</v>
      </c>
      <c r="N3" s="12" t="s">
        <v>57</v>
      </c>
      <c r="O3" s="12" t="s">
        <v>58</v>
      </c>
      <c r="P3" s="12" t="s">
        <v>59</v>
      </c>
      <c r="Q3" s="12" t="s">
        <v>60</v>
      </c>
      <c r="R3" s="12" t="s">
        <v>20</v>
      </c>
      <c r="S3" s="12" t="s">
        <v>11</v>
      </c>
      <c r="T3" s="12" t="s">
        <v>13</v>
      </c>
      <c r="U3" s="12" t="s">
        <v>12</v>
      </c>
      <c r="V3" s="12" t="s">
        <v>25</v>
      </c>
      <c r="W3" s="12" t="s">
        <v>34</v>
      </c>
      <c r="X3" s="12" t="s">
        <v>26</v>
      </c>
      <c r="Y3" s="12" t="s">
        <v>35</v>
      </c>
      <c r="Z3" s="12" t="s">
        <v>31</v>
      </c>
      <c r="AA3" s="12" t="s">
        <v>14</v>
      </c>
      <c r="AB3" s="12" t="s">
        <v>36</v>
      </c>
      <c r="AC3" s="12" t="s">
        <v>28</v>
      </c>
      <c r="AD3" s="12" t="s">
        <v>23</v>
      </c>
      <c r="AE3" s="12" t="s">
        <v>7</v>
      </c>
      <c r="AF3" s="12" t="s">
        <v>8</v>
      </c>
      <c r="AG3" s="33"/>
      <c r="AI3" s="12" t="s">
        <v>18</v>
      </c>
      <c r="AJ3" s="12" t="s">
        <v>5</v>
      </c>
      <c r="AK3" s="12" t="s">
        <v>32</v>
      </c>
      <c r="AL3" s="12" t="s">
        <v>9</v>
      </c>
      <c r="AM3" s="12" t="s">
        <v>10</v>
      </c>
      <c r="AN3" s="12" t="s">
        <v>53</v>
      </c>
      <c r="AO3" s="12" t="s">
        <v>19</v>
      </c>
      <c r="AP3" s="12" t="s">
        <v>30</v>
      </c>
      <c r="AQ3" s="12" t="s">
        <v>54</v>
      </c>
      <c r="AR3" s="12" t="s">
        <v>55</v>
      </c>
      <c r="AS3" s="12" t="s">
        <v>56</v>
      </c>
      <c r="AT3" s="12" t="s">
        <v>57</v>
      </c>
      <c r="AU3" s="12" t="s">
        <v>58</v>
      </c>
      <c r="AV3" s="12" t="s">
        <v>59</v>
      </c>
      <c r="AW3" s="12" t="s">
        <v>60</v>
      </c>
      <c r="AX3" s="12" t="s">
        <v>20</v>
      </c>
      <c r="AY3" s="12" t="s">
        <v>11</v>
      </c>
      <c r="AZ3" s="12" t="s">
        <v>13</v>
      </c>
      <c r="BA3" s="12" t="s">
        <v>12</v>
      </c>
      <c r="BB3" s="12" t="s">
        <v>25</v>
      </c>
      <c r="BC3" s="12" t="s">
        <v>34</v>
      </c>
      <c r="BD3" s="12" t="s">
        <v>26</v>
      </c>
      <c r="BE3" s="12" t="s">
        <v>35</v>
      </c>
      <c r="BF3" s="12" t="s">
        <v>31</v>
      </c>
      <c r="BG3" s="12" t="s">
        <v>14</v>
      </c>
      <c r="BH3" s="12" t="s">
        <v>36</v>
      </c>
      <c r="BI3" s="12" t="s">
        <v>28</v>
      </c>
      <c r="BJ3" s="12" t="s">
        <v>23</v>
      </c>
      <c r="BK3" s="12" t="s">
        <v>7</v>
      </c>
      <c r="BL3" s="12" t="s">
        <v>8</v>
      </c>
    </row>
    <row r="4" spans="2:64" x14ac:dyDescent="0.35">
      <c r="B4" s="5" t="s">
        <v>61</v>
      </c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8"/>
      <c r="AH4" s="5" t="s">
        <v>61</v>
      </c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</row>
    <row r="5" spans="2:64" x14ac:dyDescent="0.35">
      <c r="B5" t="s">
        <v>62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8"/>
      <c r="AH5" t="s">
        <v>62</v>
      </c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</row>
    <row r="6" spans="2:64" x14ac:dyDescent="0.35">
      <c r="B6" s="39" t="s">
        <v>49</v>
      </c>
      <c r="C6" s="47">
        <v>10920</v>
      </c>
      <c r="D6" s="47">
        <v>10840</v>
      </c>
      <c r="E6" s="47">
        <v>11010</v>
      </c>
      <c r="F6" s="47">
        <v>10780</v>
      </c>
      <c r="G6" s="47">
        <v>10640</v>
      </c>
      <c r="H6" s="47">
        <v>10880</v>
      </c>
      <c r="I6" s="47">
        <v>10020</v>
      </c>
      <c r="J6" s="47">
        <v>10510</v>
      </c>
      <c r="K6" s="47">
        <v>10330</v>
      </c>
      <c r="L6" s="47">
        <v>10170</v>
      </c>
      <c r="M6" s="47">
        <v>10090</v>
      </c>
      <c r="N6" s="47">
        <v>10970</v>
      </c>
      <c r="O6" s="47">
        <v>10890</v>
      </c>
      <c r="P6" s="47">
        <v>10820</v>
      </c>
      <c r="Q6" s="47">
        <v>11030</v>
      </c>
      <c r="R6" s="47">
        <v>10460</v>
      </c>
      <c r="S6" s="47">
        <v>9830</v>
      </c>
      <c r="T6" s="47">
        <v>9660</v>
      </c>
      <c r="U6" s="47">
        <v>10950</v>
      </c>
      <c r="V6" s="47">
        <v>10720</v>
      </c>
      <c r="W6" s="47">
        <v>10860</v>
      </c>
      <c r="X6" s="47">
        <v>9740</v>
      </c>
      <c r="Y6" s="47">
        <v>9910</v>
      </c>
      <c r="Z6" s="47">
        <v>10610</v>
      </c>
      <c r="AA6" s="47">
        <v>9920</v>
      </c>
      <c r="AB6" s="47">
        <v>9810</v>
      </c>
      <c r="AC6" s="47">
        <v>10180</v>
      </c>
      <c r="AD6" s="47">
        <v>9860</v>
      </c>
      <c r="AE6" s="47">
        <v>10050</v>
      </c>
      <c r="AF6" s="47">
        <v>9940</v>
      </c>
      <c r="AG6" s="6"/>
      <c r="AH6" s="39" t="s">
        <v>49</v>
      </c>
      <c r="AI6" s="47" t="s">
        <v>100</v>
      </c>
      <c r="AJ6" s="47" t="s">
        <v>97</v>
      </c>
      <c r="AK6" s="47" t="s">
        <v>98</v>
      </c>
      <c r="AL6" s="47" t="s">
        <v>101</v>
      </c>
      <c r="AM6" s="47" t="s">
        <v>94</v>
      </c>
      <c r="AN6" s="47" t="s">
        <v>97</v>
      </c>
      <c r="AO6" s="47" t="s">
        <v>96</v>
      </c>
      <c r="AP6" s="47" t="s">
        <v>94</v>
      </c>
      <c r="AQ6" s="47" t="s">
        <v>96</v>
      </c>
      <c r="AR6" s="47" t="s">
        <v>102</v>
      </c>
      <c r="AS6" s="47" t="s">
        <v>95</v>
      </c>
      <c r="AT6" s="47" t="s">
        <v>102</v>
      </c>
      <c r="AU6" s="47" t="s">
        <v>95</v>
      </c>
      <c r="AV6" s="47" t="s">
        <v>98</v>
      </c>
      <c r="AW6" s="47" t="s">
        <v>102</v>
      </c>
      <c r="AX6" s="47" t="s">
        <v>102</v>
      </c>
      <c r="AY6" s="47" t="s">
        <v>99</v>
      </c>
      <c r="AZ6" s="47" t="s">
        <v>98</v>
      </c>
      <c r="BA6" s="47" t="s">
        <v>96</v>
      </c>
      <c r="BB6" s="47" t="s">
        <v>102</v>
      </c>
      <c r="BC6" s="47" t="s">
        <v>98</v>
      </c>
      <c r="BD6" s="47" t="s">
        <v>95</v>
      </c>
      <c r="BE6" s="47" t="s">
        <v>94</v>
      </c>
      <c r="BF6" s="47" t="s">
        <v>99</v>
      </c>
      <c r="BG6" s="47" t="s">
        <v>99</v>
      </c>
      <c r="BH6" s="47" t="s">
        <v>97</v>
      </c>
      <c r="BI6" s="47" t="s">
        <v>101</v>
      </c>
      <c r="BJ6" s="47" t="s">
        <v>95</v>
      </c>
      <c r="BK6" s="47" t="s">
        <v>95</v>
      </c>
      <c r="BL6" s="47" t="s">
        <v>95</v>
      </c>
    </row>
    <row r="7" spans="2:64" x14ac:dyDescent="0.35">
      <c r="B7" s="39" t="s">
        <v>50</v>
      </c>
      <c r="C7" s="47">
        <v>6920</v>
      </c>
      <c r="D7" s="47">
        <v>6840</v>
      </c>
      <c r="E7" s="47">
        <v>7030</v>
      </c>
      <c r="F7" s="47">
        <v>6880</v>
      </c>
      <c r="G7" s="47">
        <v>6720</v>
      </c>
      <c r="H7" s="47">
        <v>6940</v>
      </c>
      <c r="I7" s="47">
        <v>6120</v>
      </c>
      <c r="J7" s="47">
        <v>6640</v>
      </c>
      <c r="K7" s="47">
        <v>6420</v>
      </c>
      <c r="L7" s="47">
        <v>6280</v>
      </c>
      <c r="M7" s="47">
        <v>6210</v>
      </c>
      <c r="N7" s="47">
        <v>6980</v>
      </c>
      <c r="O7" s="47">
        <v>6910</v>
      </c>
      <c r="P7" s="47">
        <v>6850</v>
      </c>
      <c r="Q7" s="47">
        <v>7050</v>
      </c>
      <c r="R7" s="47">
        <v>6580</v>
      </c>
      <c r="S7" s="47">
        <v>6020</v>
      </c>
      <c r="T7" s="47">
        <v>5930</v>
      </c>
      <c r="U7" s="47">
        <v>6970</v>
      </c>
      <c r="V7" s="47">
        <v>6760</v>
      </c>
      <c r="W7" s="47">
        <v>6890</v>
      </c>
      <c r="X7" s="47">
        <v>6000</v>
      </c>
      <c r="Y7" s="47">
        <v>6110</v>
      </c>
      <c r="Z7" s="47">
        <v>6700</v>
      </c>
      <c r="AA7" s="47">
        <v>6100</v>
      </c>
      <c r="AB7" s="47">
        <v>6030</v>
      </c>
      <c r="AC7" s="47">
        <v>6290</v>
      </c>
      <c r="AD7" s="47">
        <v>6060</v>
      </c>
      <c r="AE7" s="47">
        <v>6200</v>
      </c>
      <c r="AF7" s="47">
        <v>6130</v>
      </c>
      <c r="AG7" s="6"/>
      <c r="AH7" s="39" t="s">
        <v>50</v>
      </c>
      <c r="AI7" s="47" t="s">
        <v>98</v>
      </c>
      <c r="AJ7" s="47" t="s">
        <v>94</v>
      </c>
      <c r="AK7" s="47" t="s">
        <v>97</v>
      </c>
      <c r="AL7" s="47" t="s">
        <v>100</v>
      </c>
      <c r="AM7" s="47" t="s">
        <v>102</v>
      </c>
      <c r="AN7" s="47" t="s">
        <v>96</v>
      </c>
      <c r="AO7" s="47" t="s">
        <v>95</v>
      </c>
      <c r="AP7" s="47" t="s">
        <v>97</v>
      </c>
      <c r="AQ7" s="47" t="s">
        <v>99</v>
      </c>
      <c r="AR7" s="47" t="s">
        <v>95</v>
      </c>
      <c r="AS7" s="47" t="s">
        <v>97</v>
      </c>
      <c r="AT7" s="47" t="s">
        <v>98</v>
      </c>
      <c r="AU7" s="47" t="s">
        <v>102</v>
      </c>
      <c r="AV7" s="47" t="s">
        <v>96</v>
      </c>
      <c r="AW7" s="47" t="s">
        <v>95</v>
      </c>
      <c r="AX7" s="47" t="s">
        <v>100</v>
      </c>
      <c r="AY7" s="47" t="s">
        <v>94</v>
      </c>
      <c r="AZ7" s="47" t="s">
        <v>97</v>
      </c>
      <c r="BA7" s="47" t="s">
        <v>97</v>
      </c>
      <c r="BB7" s="47" t="s">
        <v>102</v>
      </c>
      <c r="BC7" s="47" t="s">
        <v>95</v>
      </c>
      <c r="BD7" s="47" t="s">
        <v>96</v>
      </c>
      <c r="BE7" s="47" t="s">
        <v>95</v>
      </c>
      <c r="BF7" s="47" t="s">
        <v>102</v>
      </c>
      <c r="BG7" s="47" t="s">
        <v>99</v>
      </c>
      <c r="BH7" s="47" t="s">
        <v>98</v>
      </c>
      <c r="BI7" s="47" t="s">
        <v>95</v>
      </c>
      <c r="BJ7" s="47" t="s">
        <v>101</v>
      </c>
      <c r="BK7" s="47" t="s">
        <v>96</v>
      </c>
      <c r="BL7" s="47" t="s">
        <v>99</v>
      </c>
    </row>
    <row r="8" spans="2:64" x14ac:dyDescent="0.35">
      <c r="B8" s="39" t="s">
        <v>51</v>
      </c>
      <c r="C8" s="47">
        <v>6310</v>
      </c>
      <c r="D8" s="47">
        <v>6220</v>
      </c>
      <c r="E8" s="47">
        <v>6420</v>
      </c>
      <c r="F8" s="47">
        <v>6290</v>
      </c>
      <c r="G8" s="47">
        <v>6130</v>
      </c>
      <c r="H8" s="47">
        <v>6350</v>
      </c>
      <c r="I8" s="47">
        <v>5710</v>
      </c>
      <c r="J8" s="47">
        <v>6060</v>
      </c>
      <c r="K8" s="47">
        <v>5890</v>
      </c>
      <c r="L8" s="47">
        <v>5760</v>
      </c>
      <c r="M8" s="47">
        <v>5680</v>
      </c>
      <c r="N8" s="47">
        <v>6380</v>
      </c>
      <c r="O8" s="47">
        <v>6320</v>
      </c>
      <c r="P8" s="47">
        <v>6250</v>
      </c>
      <c r="Q8" s="47">
        <v>6450</v>
      </c>
      <c r="R8" s="47">
        <v>6020</v>
      </c>
      <c r="S8" s="47">
        <v>5510</v>
      </c>
      <c r="T8" s="47">
        <v>5410</v>
      </c>
      <c r="U8" s="47">
        <v>6370</v>
      </c>
      <c r="V8" s="47">
        <v>6180</v>
      </c>
      <c r="W8" s="47">
        <v>6300</v>
      </c>
      <c r="X8" s="47">
        <v>5480</v>
      </c>
      <c r="Y8" s="47">
        <v>5600</v>
      </c>
      <c r="Z8" s="47">
        <v>6110</v>
      </c>
      <c r="AA8" s="47">
        <v>5610</v>
      </c>
      <c r="AB8" s="47">
        <v>5520</v>
      </c>
      <c r="AC8" s="47">
        <v>5770</v>
      </c>
      <c r="AD8" s="47">
        <v>5540</v>
      </c>
      <c r="AE8" s="47">
        <v>5690</v>
      </c>
      <c r="AF8" s="47">
        <v>5620</v>
      </c>
      <c r="AH8" s="39" t="s">
        <v>51</v>
      </c>
      <c r="AI8" s="47" t="s">
        <v>102</v>
      </c>
      <c r="AJ8" s="47" t="s">
        <v>97</v>
      </c>
      <c r="AK8" s="47" t="s">
        <v>101</v>
      </c>
      <c r="AL8" s="47" t="s">
        <v>96</v>
      </c>
      <c r="AM8" s="47" t="s">
        <v>102</v>
      </c>
      <c r="AN8" s="47" t="s">
        <v>97</v>
      </c>
      <c r="AO8" s="47" t="s">
        <v>99</v>
      </c>
      <c r="AP8" s="47" t="s">
        <v>97</v>
      </c>
      <c r="AQ8" s="47" t="s">
        <v>96</v>
      </c>
      <c r="AR8" s="47" t="s">
        <v>102</v>
      </c>
      <c r="AS8" s="47" t="s">
        <v>100</v>
      </c>
      <c r="AT8" s="47" t="s">
        <v>99</v>
      </c>
      <c r="AU8" s="47" t="s">
        <v>95</v>
      </c>
      <c r="AV8" s="47" t="s">
        <v>94</v>
      </c>
      <c r="AW8" s="47" t="s">
        <v>99</v>
      </c>
      <c r="AX8" s="47" t="s">
        <v>102</v>
      </c>
      <c r="AY8" s="47" t="s">
        <v>97</v>
      </c>
      <c r="AZ8" s="47" t="s">
        <v>95</v>
      </c>
      <c r="BA8" s="47" t="s">
        <v>94</v>
      </c>
      <c r="BB8" s="47" t="s">
        <v>102</v>
      </c>
      <c r="BC8" s="47" t="s">
        <v>97</v>
      </c>
      <c r="BD8" s="47" t="s">
        <v>102</v>
      </c>
      <c r="BE8" s="47" t="s">
        <v>97</v>
      </c>
      <c r="BF8" s="47" t="s">
        <v>101</v>
      </c>
      <c r="BG8" s="47" t="s">
        <v>96</v>
      </c>
      <c r="BH8" s="47" t="s">
        <v>94</v>
      </c>
      <c r="BI8" s="47" t="s">
        <v>96</v>
      </c>
      <c r="BJ8" s="47" t="s">
        <v>101</v>
      </c>
      <c r="BK8" s="47" t="s">
        <v>97</v>
      </c>
      <c r="BL8" s="47" t="s">
        <v>99</v>
      </c>
    </row>
    <row r="9" spans="2:64" x14ac:dyDescent="0.35">
      <c r="B9" s="39" t="s">
        <v>89</v>
      </c>
      <c r="C9" s="47">
        <v>9420</v>
      </c>
      <c r="D9" s="47">
        <v>9340</v>
      </c>
      <c r="E9" s="47">
        <v>9510</v>
      </c>
      <c r="F9" s="47">
        <v>9360</v>
      </c>
      <c r="G9" s="47">
        <v>9200</v>
      </c>
      <c r="H9" s="47">
        <v>9430</v>
      </c>
      <c r="I9" s="47">
        <v>8530</v>
      </c>
      <c r="J9" s="47">
        <v>9100</v>
      </c>
      <c r="K9" s="47">
        <v>8880</v>
      </c>
      <c r="L9" s="47">
        <v>8720</v>
      </c>
      <c r="M9" s="47">
        <v>8650</v>
      </c>
      <c r="N9" s="47">
        <v>9480</v>
      </c>
      <c r="O9" s="47">
        <v>9400</v>
      </c>
      <c r="P9" s="47">
        <v>9330</v>
      </c>
      <c r="Q9" s="47">
        <v>9520</v>
      </c>
      <c r="R9" s="47">
        <v>9040</v>
      </c>
      <c r="S9" s="47">
        <v>8420</v>
      </c>
      <c r="T9" s="47">
        <v>8260</v>
      </c>
      <c r="U9" s="47">
        <v>9470</v>
      </c>
      <c r="V9" s="47">
        <v>9260</v>
      </c>
      <c r="W9" s="47">
        <v>9380</v>
      </c>
      <c r="X9" s="47">
        <v>8330</v>
      </c>
      <c r="Y9" s="47">
        <v>8480</v>
      </c>
      <c r="Z9" s="47">
        <v>9170</v>
      </c>
      <c r="AA9" s="47">
        <v>8490</v>
      </c>
      <c r="AB9" s="47">
        <v>8390</v>
      </c>
      <c r="AC9" s="47">
        <v>8740</v>
      </c>
      <c r="AD9" s="47">
        <v>8440</v>
      </c>
      <c r="AE9" s="47">
        <v>8620</v>
      </c>
      <c r="AF9" s="47">
        <v>8500</v>
      </c>
      <c r="AH9" s="39" t="s">
        <v>89</v>
      </c>
      <c r="AI9" s="47" t="s">
        <v>97</v>
      </c>
      <c r="AJ9" s="47" t="s">
        <v>95</v>
      </c>
      <c r="AK9" s="47" t="s">
        <v>99</v>
      </c>
      <c r="AL9" s="47" t="s">
        <v>95</v>
      </c>
      <c r="AM9" s="47" t="s">
        <v>96</v>
      </c>
      <c r="AN9" s="47" t="s">
        <v>97</v>
      </c>
      <c r="AO9" s="47" t="s">
        <v>99</v>
      </c>
      <c r="AP9" s="47" t="s">
        <v>99</v>
      </c>
      <c r="AQ9" s="47" t="s">
        <v>102</v>
      </c>
      <c r="AR9" s="47" t="s">
        <v>101</v>
      </c>
      <c r="AS9" s="47" t="s">
        <v>96</v>
      </c>
      <c r="AT9" s="47" t="s">
        <v>96</v>
      </c>
      <c r="AU9" s="47" t="s">
        <v>98</v>
      </c>
      <c r="AV9" s="47" t="s">
        <v>96</v>
      </c>
      <c r="AW9" s="47" t="s">
        <v>100</v>
      </c>
      <c r="AX9" s="47" t="s">
        <v>100</v>
      </c>
      <c r="AY9" s="47" t="s">
        <v>98</v>
      </c>
      <c r="AZ9" s="47" t="s">
        <v>97</v>
      </c>
      <c r="BA9" s="47" t="s">
        <v>101</v>
      </c>
      <c r="BB9" s="47" t="s">
        <v>100</v>
      </c>
      <c r="BC9" s="47" t="s">
        <v>95</v>
      </c>
      <c r="BD9" s="47" t="s">
        <v>101</v>
      </c>
      <c r="BE9" s="47" t="s">
        <v>99</v>
      </c>
      <c r="BF9" s="47" t="s">
        <v>101</v>
      </c>
      <c r="BG9" s="47" t="s">
        <v>99</v>
      </c>
      <c r="BH9" s="47" t="s">
        <v>97</v>
      </c>
      <c r="BI9" s="47" t="s">
        <v>98</v>
      </c>
      <c r="BJ9" s="47" t="s">
        <v>98</v>
      </c>
      <c r="BK9" s="47" t="s">
        <v>95</v>
      </c>
      <c r="BL9" s="47" t="s">
        <v>98</v>
      </c>
    </row>
    <row r="10" spans="2:64" x14ac:dyDescent="0.35">
      <c r="B10" s="39" t="s">
        <v>52</v>
      </c>
      <c r="C10" s="47">
        <v>7730</v>
      </c>
      <c r="D10" s="47">
        <v>7640</v>
      </c>
      <c r="E10" s="47">
        <v>7820</v>
      </c>
      <c r="F10" s="47">
        <v>7680</v>
      </c>
      <c r="G10" s="47">
        <v>7510</v>
      </c>
      <c r="H10" s="47">
        <v>7710</v>
      </c>
      <c r="I10" s="47">
        <v>6930</v>
      </c>
      <c r="J10" s="47">
        <v>7410</v>
      </c>
      <c r="K10" s="47">
        <v>7230</v>
      </c>
      <c r="L10" s="47">
        <v>7060</v>
      </c>
      <c r="M10" s="47">
        <v>6980</v>
      </c>
      <c r="N10" s="47">
        <v>7790</v>
      </c>
      <c r="O10" s="47">
        <v>7720</v>
      </c>
      <c r="P10" s="47">
        <v>7600</v>
      </c>
      <c r="Q10" s="47">
        <v>7830</v>
      </c>
      <c r="R10" s="47">
        <v>7360</v>
      </c>
      <c r="S10" s="47">
        <v>6810</v>
      </c>
      <c r="T10" s="47">
        <v>6690</v>
      </c>
      <c r="U10" s="47">
        <v>7780</v>
      </c>
      <c r="V10" s="47">
        <v>7550</v>
      </c>
      <c r="W10" s="47">
        <v>7700</v>
      </c>
      <c r="X10" s="47">
        <v>6770</v>
      </c>
      <c r="Y10" s="47">
        <v>6880</v>
      </c>
      <c r="Z10" s="47">
        <v>7480</v>
      </c>
      <c r="AA10" s="47">
        <v>6890</v>
      </c>
      <c r="AB10" s="47">
        <v>6800</v>
      </c>
      <c r="AC10" s="47">
        <v>7070</v>
      </c>
      <c r="AD10" s="47">
        <v>6830</v>
      </c>
      <c r="AE10" s="47">
        <v>6990</v>
      </c>
      <c r="AF10" s="47">
        <v>6910</v>
      </c>
      <c r="AH10" s="39" t="s">
        <v>52</v>
      </c>
      <c r="AI10" s="47" t="s">
        <v>96</v>
      </c>
      <c r="AJ10" s="47" t="s">
        <v>101</v>
      </c>
      <c r="AK10" s="47" t="s">
        <v>96</v>
      </c>
      <c r="AL10" s="47" t="s">
        <v>96</v>
      </c>
      <c r="AM10" s="47" t="s">
        <v>99</v>
      </c>
      <c r="AN10" s="47" t="s">
        <v>95</v>
      </c>
      <c r="AO10" s="47" t="s">
        <v>102</v>
      </c>
      <c r="AP10" s="47" t="s">
        <v>98</v>
      </c>
      <c r="AQ10" s="47" t="s">
        <v>98</v>
      </c>
      <c r="AR10" s="47" t="s">
        <v>99</v>
      </c>
      <c r="AS10" s="47" t="s">
        <v>98</v>
      </c>
      <c r="AT10" s="47" t="s">
        <v>95</v>
      </c>
      <c r="AU10" s="47" t="s">
        <v>98</v>
      </c>
      <c r="AV10" s="47" t="s">
        <v>102</v>
      </c>
      <c r="AW10" s="47" t="s">
        <v>101</v>
      </c>
      <c r="AX10" s="47" t="s">
        <v>101</v>
      </c>
      <c r="AY10" s="47" t="s">
        <v>100</v>
      </c>
      <c r="AZ10" s="47" t="s">
        <v>101</v>
      </c>
      <c r="BA10" s="47" t="s">
        <v>95</v>
      </c>
      <c r="BB10" s="47" t="s">
        <v>98</v>
      </c>
      <c r="BC10" s="47" t="s">
        <v>99</v>
      </c>
      <c r="BD10" s="47" t="s">
        <v>94</v>
      </c>
      <c r="BE10" s="47" t="s">
        <v>102</v>
      </c>
      <c r="BF10" s="47" t="s">
        <v>94</v>
      </c>
      <c r="BG10" s="47" t="s">
        <v>94</v>
      </c>
      <c r="BH10" s="47" t="s">
        <v>98</v>
      </c>
      <c r="BI10" s="47" t="s">
        <v>99</v>
      </c>
      <c r="BJ10" s="47" t="s">
        <v>100</v>
      </c>
      <c r="BK10" s="47" t="s">
        <v>97</v>
      </c>
      <c r="BL10" s="47" t="s">
        <v>100</v>
      </c>
    </row>
    <row r="11" spans="2:64" x14ac:dyDescent="0.35">
      <c r="B11" s="39" t="s">
        <v>90</v>
      </c>
      <c r="C11" s="47">
        <v>9210</v>
      </c>
      <c r="D11" s="47">
        <v>9130</v>
      </c>
      <c r="E11" s="47">
        <v>9320</v>
      </c>
      <c r="F11" s="47">
        <v>9180</v>
      </c>
      <c r="G11" s="47">
        <v>9020</v>
      </c>
      <c r="H11" s="47">
        <v>9240</v>
      </c>
      <c r="I11" s="47">
        <v>8240</v>
      </c>
      <c r="J11" s="47">
        <v>8910</v>
      </c>
      <c r="K11" s="47">
        <v>8620</v>
      </c>
      <c r="L11" s="47">
        <v>8450</v>
      </c>
      <c r="M11" s="47">
        <v>8370</v>
      </c>
      <c r="N11" s="47">
        <v>9290</v>
      </c>
      <c r="O11" s="47">
        <v>9220</v>
      </c>
      <c r="P11" s="47">
        <v>9140</v>
      </c>
      <c r="Q11" s="47">
        <v>9340</v>
      </c>
      <c r="R11" s="47">
        <v>8860</v>
      </c>
      <c r="S11" s="47">
        <v>8120</v>
      </c>
      <c r="T11" s="47">
        <v>8010</v>
      </c>
      <c r="U11" s="47">
        <v>9280</v>
      </c>
      <c r="V11" s="47">
        <v>9070</v>
      </c>
      <c r="W11" s="47">
        <v>9200</v>
      </c>
      <c r="X11" s="47">
        <v>8090</v>
      </c>
      <c r="Y11" s="47">
        <v>8200</v>
      </c>
      <c r="Z11" s="47">
        <v>8980</v>
      </c>
      <c r="AA11" s="47">
        <v>8210</v>
      </c>
      <c r="AB11" s="47">
        <v>8100</v>
      </c>
      <c r="AC11" s="47">
        <v>8470</v>
      </c>
      <c r="AD11" s="47">
        <v>8160</v>
      </c>
      <c r="AE11" s="47">
        <v>8360</v>
      </c>
      <c r="AF11" s="47">
        <v>8250</v>
      </c>
      <c r="AH11" s="39" t="s">
        <v>90</v>
      </c>
      <c r="AI11" s="47" t="s">
        <v>96</v>
      </c>
      <c r="AJ11" s="47" t="s">
        <v>99</v>
      </c>
      <c r="AK11" s="47" t="s">
        <v>99</v>
      </c>
      <c r="AL11" s="47" t="s">
        <v>98</v>
      </c>
      <c r="AM11" s="47" t="s">
        <v>102</v>
      </c>
      <c r="AN11" s="47" t="s">
        <v>100</v>
      </c>
      <c r="AO11" s="47" t="s">
        <v>96</v>
      </c>
      <c r="AP11" s="47" t="s">
        <v>95</v>
      </c>
      <c r="AQ11" s="47" t="s">
        <v>95</v>
      </c>
      <c r="AR11" s="47" t="s">
        <v>97</v>
      </c>
      <c r="AS11" s="47" t="s">
        <v>102</v>
      </c>
      <c r="AT11" s="47" t="s">
        <v>99</v>
      </c>
      <c r="AU11" s="47" t="s">
        <v>97</v>
      </c>
      <c r="AV11" s="47" t="s">
        <v>94</v>
      </c>
      <c r="AW11" s="47" t="s">
        <v>97</v>
      </c>
      <c r="AX11" s="47" t="s">
        <v>97</v>
      </c>
      <c r="AY11" s="47" t="s">
        <v>101</v>
      </c>
      <c r="AZ11" s="47" t="s">
        <v>101</v>
      </c>
      <c r="BA11" s="47" t="s">
        <v>100</v>
      </c>
      <c r="BB11" s="47" t="s">
        <v>102</v>
      </c>
      <c r="BC11" s="47" t="s">
        <v>98</v>
      </c>
      <c r="BD11" s="47" t="s">
        <v>101</v>
      </c>
      <c r="BE11" s="47" t="s">
        <v>102</v>
      </c>
      <c r="BF11" s="47" t="s">
        <v>100</v>
      </c>
      <c r="BG11" s="47" t="s">
        <v>94</v>
      </c>
      <c r="BH11" s="47" t="s">
        <v>96</v>
      </c>
      <c r="BI11" s="47" t="s">
        <v>97</v>
      </c>
      <c r="BJ11" s="47" t="s">
        <v>94</v>
      </c>
      <c r="BK11" s="47" t="s">
        <v>95</v>
      </c>
      <c r="BL11" s="47" t="s">
        <v>97</v>
      </c>
    </row>
    <row r="12" spans="2:64" x14ac:dyDescent="0.35">
      <c r="B12" s="39" t="s">
        <v>91</v>
      </c>
      <c r="C12" s="47">
        <v>8520</v>
      </c>
      <c r="D12" s="47">
        <v>8440</v>
      </c>
      <c r="E12" s="47">
        <v>8610</v>
      </c>
      <c r="F12" s="47">
        <v>8460</v>
      </c>
      <c r="G12" s="47">
        <v>8320</v>
      </c>
      <c r="H12" s="47">
        <v>8510</v>
      </c>
      <c r="I12" s="47">
        <v>7530</v>
      </c>
      <c r="J12" s="47">
        <v>8210</v>
      </c>
      <c r="K12" s="47">
        <v>8020</v>
      </c>
      <c r="L12" s="47">
        <v>7850</v>
      </c>
      <c r="M12" s="47">
        <v>7770</v>
      </c>
      <c r="N12" s="47">
        <v>8570</v>
      </c>
      <c r="O12" s="47">
        <v>8500</v>
      </c>
      <c r="P12" s="47">
        <v>8430</v>
      </c>
      <c r="Q12" s="47">
        <v>8620</v>
      </c>
      <c r="R12" s="47">
        <v>8170</v>
      </c>
      <c r="S12" s="47">
        <v>7480</v>
      </c>
      <c r="T12" s="47">
        <v>7360</v>
      </c>
      <c r="U12" s="47">
        <v>8560</v>
      </c>
      <c r="V12" s="47">
        <v>8360</v>
      </c>
      <c r="W12" s="47">
        <v>8480</v>
      </c>
      <c r="X12" s="47">
        <v>7440</v>
      </c>
      <c r="Y12" s="47">
        <v>7560</v>
      </c>
      <c r="Z12" s="47">
        <v>8290</v>
      </c>
      <c r="AA12" s="47">
        <v>7570</v>
      </c>
      <c r="AB12" s="47">
        <v>7470</v>
      </c>
      <c r="AC12" s="47">
        <v>7860</v>
      </c>
      <c r="AD12" s="47">
        <v>7510</v>
      </c>
      <c r="AE12" s="47">
        <v>7720</v>
      </c>
      <c r="AF12" s="47">
        <v>7600</v>
      </c>
      <c r="AH12" s="39" t="s">
        <v>91</v>
      </c>
      <c r="AI12" s="47" t="s">
        <v>102</v>
      </c>
      <c r="AJ12" s="47" t="s">
        <v>99</v>
      </c>
      <c r="AK12" s="47" t="s">
        <v>94</v>
      </c>
      <c r="AL12" s="47" t="s">
        <v>100</v>
      </c>
      <c r="AM12" s="47" t="s">
        <v>97</v>
      </c>
      <c r="AN12" s="47" t="s">
        <v>100</v>
      </c>
      <c r="AO12" s="47" t="s">
        <v>94</v>
      </c>
      <c r="AP12" s="47" t="s">
        <v>98</v>
      </c>
      <c r="AQ12" s="47" t="s">
        <v>97</v>
      </c>
      <c r="AR12" s="47" t="s">
        <v>95</v>
      </c>
      <c r="AS12" s="47" t="s">
        <v>98</v>
      </c>
      <c r="AT12" s="47" t="s">
        <v>94</v>
      </c>
      <c r="AU12" s="47" t="s">
        <v>102</v>
      </c>
      <c r="AV12" s="47" t="s">
        <v>94</v>
      </c>
      <c r="AW12" s="47" t="s">
        <v>96</v>
      </c>
      <c r="AX12" s="47" t="s">
        <v>102</v>
      </c>
      <c r="AY12" s="47" t="s">
        <v>100</v>
      </c>
      <c r="AZ12" s="47" t="s">
        <v>101</v>
      </c>
      <c r="BA12" s="47" t="s">
        <v>100</v>
      </c>
      <c r="BB12" s="47" t="s">
        <v>101</v>
      </c>
      <c r="BC12" s="47" t="s">
        <v>95</v>
      </c>
      <c r="BD12" s="47" t="s">
        <v>94</v>
      </c>
      <c r="BE12" s="47" t="s">
        <v>100</v>
      </c>
      <c r="BF12" s="47" t="s">
        <v>101</v>
      </c>
      <c r="BG12" s="47" t="s">
        <v>95</v>
      </c>
      <c r="BH12" s="47" t="s">
        <v>100</v>
      </c>
      <c r="BI12" s="47" t="s">
        <v>100</v>
      </c>
      <c r="BJ12" s="47" t="s">
        <v>102</v>
      </c>
      <c r="BK12" s="47" t="s">
        <v>102</v>
      </c>
      <c r="BL12" s="47" t="s">
        <v>100</v>
      </c>
    </row>
    <row r="13" spans="2:64" x14ac:dyDescent="0.35">
      <c r="B13" t="s">
        <v>63</v>
      </c>
      <c r="C13" s="47">
        <v>9040</v>
      </c>
      <c r="D13" s="47">
        <v>8950</v>
      </c>
      <c r="E13" s="47">
        <v>9120</v>
      </c>
      <c r="F13" s="47">
        <v>8990</v>
      </c>
      <c r="G13" s="47">
        <v>8830</v>
      </c>
      <c r="H13" s="47">
        <v>9020</v>
      </c>
      <c r="I13" s="47">
        <v>8020</v>
      </c>
      <c r="J13" s="47">
        <v>8730</v>
      </c>
      <c r="K13" s="47">
        <v>8480</v>
      </c>
      <c r="L13" s="47">
        <v>8310</v>
      </c>
      <c r="M13" s="47">
        <v>8230</v>
      </c>
      <c r="N13" s="47">
        <v>9090</v>
      </c>
      <c r="O13" s="47">
        <v>9010</v>
      </c>
      <c r="P13" s="47">
        <v>8940</v>
      </c>
      <c r="Q13" s="47">
        <v>9140</v>
      </c>
      <c r="R13" s="47">
        <v>8670</v>
      </c>
      <c r="S13" s="47">
        <v>7900</v>
      </c>
      <c r="T13" s="47">
        <v>7790</v>
      </c>
      <c r="U13" s="47">
        <v>9080</v>
      </c>
      <c r="V13" s="47">
        <v>8870</v>
      </c>
      <c r="W13" s="47">
        <v>9000</v>
      </c>
      <c r="X13" s="47">
        <v>7890</v>
      </c>
      <c r="Y13" s="47">
        <v>8010</v>
      </c>
      <c r="Z13" s="47">
        <v>8790</v>
      </c>
      <c r="AA13" s="47">
        <v>8000</v>
      </c>
      <c r="AB13" s="47">
        <v>7920</v>
      </c>
      <c r="AC13" s="47">
        <v>8320</v>
      </c>
      <c r="AD13" s="47">
        <v>7960</v>
      </c>
      <c r="AE13" s="47">
        <v>8200</v>
      </c>
      <c r="AF13" s="47">
        <v>8050</v>
      </c>
      <c r="AH13" t="s">
        <v>63</v>
      </c>
      <c r="AI13" s="47" t="s">
        <v>95</v>
      </c>
      <c r="AJ13" s="47" t="s">
        <v>95</v>
      </c>
      <c r="AK13" s="47" t="s">
        <v>97</v>
      </c>
      <c r="AL13" s="47" t="s">
        <v>99</v>
      </c>
      <c r="AM13" s="47" t="s">
        <v>100</v>
      </c>
      <c r="AN13" s="47" t="s">
        <v>100</v>
      </c>
      <c r="AO13" s="47" t="s">
        <v>102</v>
      </c>
      <c r="AP13" s="47" t="s">
        <v>99</v>
      </c>
      <c r="AQ13" s="47" t="s">
        <v>100</v>
      </c>
      <c r="AR13" s="47" t="s">
        <v>95</v>
      </c>
      <c r="AS13" s="47" t="s">
        <v>98</v>
      </c>
      <c r="AT13" s="47" t="s">
        <v>96</v>
      </c>
      <c r="AU13" s="47" t="s">
        <v>96</v>
      </c>
      <c r="AV13" s="47" t="s">
        <v>97</v>
      </c>
      <c r="AW13" s="47" t="s">
        <v>100</v>
      </c>
      <c r="AX13" s="47" t="s">
        <v>98</v>
      </c>
      <c r="AY13" s="47" t="s">
        <v>96</v>
      </c>
      <c r="AZ13" s="47" t="s">
        <v>95</v>
      </c>
      <c r="BA13" s="47" t="s">
        <v>100</v>
      </c>
      <c r="BB13" s="47" t="s">
        <v>98</v>
      </c>
      <c r="BC13" s="47" t="s">
        <v>97</v>
      </c>
      <c r="BD13" s="47" t="s">
        <v>100</v>
      </c>
      <c r="BE13" s="47" t="s">
        <v>98</v>
      </c>
      <c r="BF13" s="47" t="s">
        <v>94</v>
      </c>
      <c r="BG13" s="47" t="s">
        <v>97</v>
      </c>
      <c r="BH13" s="47" t="s">
        <v>97</v>
      </c>
      <c r="BI13" s="47" t="s">
        <v>95</v>
      </c>
      <c r="BJ13" s="47" t="s">
        <v>99</v>
      </c>
      <c r="BK13" s="47" t="s">
        <v>94</v>
      </c>
      <c r="BL13" s="47" t="s">
        <v>98</v>
      </c>
    </row>
    <row r="17" spans="2:32" x14ac:dyDescent="0.35">
      <c r="B17" t="s">
        <v>3</v>
      </c>
      <c r="C17" s="12" t="s">
        <v>18</v>
      </c>
      <c r="D17" s="12" t="s">
        <v>5</v>
      </c>
      <c r="E17" s="12" t="s">
        <v>32</v>
      </c>
      <c r="F17" s="12" t="s">
        <v>9</v>
      </c>
      <c r="G17" s="12" t="s">
        <v>10</v>
      </c>
      <c r="H17" s="12" t="s">
        <v>53</v>
      </c>
      <c r="I17" s="12" t="s">
        <v>19</v>
      </c>
      <c r="J17" s="12" t="s">
        <v>30</v>
      </c>
      <c r="K17" s="17" t="s">
        <v>54</v>
      </c>
      <c r="L17" s="12" t="s">
        <v>55</v>
      </c>
      <c r="M17" s="12" t="s">
        <v>56</v>
      </c>
      <c r="N17" s="12" t="s">
        <v>57</v>
      </c>
      <c r="O17" s="12" t="s">
        <v>58</v>
      </c>
      <c r="P17" s="12" t="s">
        <v>59</v>
      </c>
      <c r="Q17" s="12" t="s">
        <v>60</v>
      </c>
      <c r="R17" s="12" t="s">
        <v>20</v>
      </c>
      <c r="S17" s="12" t="s">
        <v>11</v>
      </c>
      <c r="T17" s="12" t="s">
        <v>13</v>
      </c>
      <c r="U17" s="12" t="s">
        <v>12</v>
      </c>
      <c r="V17" s="12" t="s">
        <v>25</v>
      </c>
      <c r="W17" s="12" t="s">
        <v>34</v>
      </c>
      <c r="X17" s="12" t="s">
        <v>26</v>
      </c>
      <c r="Y17" s="12" t="s">
        <v>35</v>
      </c>
      <c r="Z17" s="12" t="s">
        <v>31</v>
      </c>
      <c r="AA17" s="12" t="s">
        <v>14</v>
      </c>
      <c r="AB17" s="12" t="s">
        <v>36</v>
      </c>
      <c r="AC17" s="12" t="s">
        <v>28</v>
      </c>
      <c r="AD17" s="12" t="s">
        <v>23</v>
      </c>
      <c r="AE17" s="12" t="s">
        <v>7</v>
      </c>
      <c r="AF17" s="12" t="s">
        <v>8</v>
      </c>
    </row>
    <row r="18" spans="2:32" x14ac:dyDescent="0.35">
      <c r="B18" s="5" t="s">
        <v>61</v>
      </c>
      <c r="C18" s="35"/>
      <c r="E18" s="1"/>
      <c r="F18" s="1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1"/>
      <c r="AA18" s="2"/>
      <c r="AC18" s="2"/>
      <c r="AD18" s="2"/>
      <c r="AE18" s="2"/>
      <c r="AF18" s="2"/>
    </row>
    <row r="19" spans="2:32" x14ac:dyDescent="0.35">
      <c r="B19" t="s">
        <v>62</v>
      </c>
      <c r="C19" s="2">
        <v>0.57519999999999993</v>
      </c>
      <c r="D19" s="2">
        <v>0.59939999999999993</v>
      </c>
      <c r="E19" s="2">
        <v>0.58929999999999993</v>
      </c>
      <c r="F19" s="2">
        <v>0.5756</v>
      </c>
      <c r="G19" s="2">
        <v>0.59249999999999992</v>
      </c>
      <c r="H19" s="2">
        <v>0.58989999999999998</v>
      </c>
      <c r="I19" s="2">
        <v>0.57879999999999998</v>
      </c>
      <c r="J19" s="2">
        <v>0.59870000000000001</v>
      </c>
      <c r="K19" s="2">
        <v>0.57879999999999998</v>
      </c>
      <c r="L19" s="2">
        <v>0.59279999999999999</v>
      </c>
      <c r="M19" s="2">
        <v>0.57969999999999999</v>
      </c>
      <c r="N19" s="2">
        <v>0.59349999999999992</v>
      </c>
      <c r="O19" s="2">
        <v>0.58189999999999997</v>
      </c>
      <c r="P19" s="2">
        <v>0.59039999999999992</v>
      </c>
      <c r="Q19" s="2">
        <v>0.59949999999999992</v>
      </c>
      <c r="R19" s="2">
        <v>0.59179999999999999</v>
      </c>
      <c r="S19" s="2">
        <v>0.58160000000000001</v>
      </c>
      <c r="T19" s="2">
        <v>0.56969999999999998</v>
      </c>
      <c r="U19" s="2">
        <v>0.5917</v>
      </c>
      <c r="V19" s="2">
        <v>0.57129999999999992</v>
      </c>
      <c r="W19" s="2">
        <v>0.59409999999999996</v>
      </c>
      <c r="X19" s="2">
        <v>0.57199999999999995</v>
      </c>
      <c r="Y19" s="2">
        <v>0.59239999999999993</v>
      </c>
      <c r="Z19" s="2">
        <v>0.58489999999999998</v>
      </c>
      <c r="AA19" s="2">
        <v>0.58299999999999996</v>
      </c>
      <c r="AB19" s="2">
        <v>0.59709999999999996</v>
      </c>
      <c r="AC19" s="2">
        <v>0.59109999999999996</v>
      </c>
      <c r="AD19" s="2">
        <v>0.57469999999999999</v>
      </c>
      <c r="AE19" s="2">
        <v>0.57329999999999992</v>
      </c>
      <c r="AF19" s="2">
        <v>0.57929999999999993</v>
      </c>
    </row>
    <row r="20" spans="2:32" x14ac:dyDescent="0.35">
      <c r="B20" s="39" t="s">
        <v>49</v>
      </c>
      <c r="C20" s="2">
        <v>0.21050000000000002</v>
      </c>
      <c r="D20" s="2">
        <v>0.19440000000000002</v>
      </c>
      <c r="E20" s="2">
        <v>0.2109</v>
      </c>
      <c r="F20" s="2">
        <v>0.20780000000000001</v>
      </c>
      <c r="G20" s="2">
        <v>0.19970000000000002</v>
      </c>
      <c r="H20" s="2">
        <v>0.19320000000000001</v>
      </c>
      <c r="I20" s="2">
        <v>0.20020000000000002</v>
      </c>
      <c r="J20" s="2">
        <v>0.19600000000000001</v>
      </c>
      <c r="K20" s="2">
        <v>0.19700000000000001</v>
      </c>
      <c r="L20" s="2">
        <v>0.193</v>
      </c>
      <c r="M20" s="2">
        <v>0.20700000000000002</v>
      </c>
      <c r="N20" s="2">
        <v>0.21330000000000002</v>
      </c>
      <c r="O20" s="2">
        <v>0.21330000000000002</v>
      </c>
      <c r="P20" s="2">
        <v>0.20570000000000002</v>
      </c>
      <c r="Q20" s="2">
        <v>0.1895</v>
      </c>
      <c r="R20" s="2">
        <v>0.20600000000000002</v>
      </c>
      <c r="S20" s="2">
        <v>0.21160000000000001</v>
      </c>
      <c r="T20" s="2">
        <v>0.21740000000000001</v>
      </c>
      <c r="U20" s="2">
        <v>0.19740000000000002</v>
      </c>
      <c r="V20" s="2">
        <v>0.19820000000000002</v>
      </c>
      <c r="W20" s="2">
        <v>0.22050000000000003</v>
      </c>
      <c r="X20" s="2">
        <v>0.18960000000000002</v>
      </c>
      <c r="Y20" s="2">
        <v>0.21280000000000002</v>
      </c>
      <c r="Z20" s="2">
        <v>0.2016</v>
      </c>
      <c r="AA20" s="2">
        <v>0.20250000000000001</v>
      </c>
      <c r="AB20" s="2">
        <v>0.20120000000000002</v>
      </c>
      <c r="AC20" s="2">
        <v>0.19540000000000002</v>
      </c>
      <c r="AD20" s="2">
        <v>0.21240000000000001</v>
      </c>
      <c r="AE20" s="2">
        <v>0.2094</v>
      </c>
      <c r="AF20" s="2">
        <v>0.2102</v>
      </c>
    </row>
    <row r="21" spans="2:32" x14ac:dyDescent="0.35">
      <c r="B21" s="39" t="s">
        <v>50</v>
      </c>
      <c r="C21" s="2">
        <v>5.5599999999999997E-2</v>
      </c>
      <c r="D21" s="2">
        <v>5.8900000000000008E-2</v>
      </c>
      <c r="E21" s="2">
        <v>7.6300000000000007E-2</v>
      </c>
      <c r="F21" s="2">
        <v>7.0800000000000002E-2</v>
      </c>
      <c r="G21" s="2">
        <v>7.4900000000000008E-2</v>
      </c>
      <c r="H21" s="2">
        <v>7.5700000000000003E-2</v>
      </c>
      <c r="I21" s="2">
        <v>7.1800000000000003E-2</v>
      </c>
      <c r="J21" s="2">
        <v>6.9800000000000001E-2</v>
      </c>
      <c r="K21" s="2">
        <v>5.8400000000000007E-2</v>
      </c>
      <c r="L21" s="2">
        <v>7.6800000000000007E-2</v>
      </c>
      <c r="M21" s="2">
        <v>7.7899999999999997E-2</v>
      </c>
      <c r="N21" s="2">
        <v>5.6900000000000006E-2</v>
      </c>
      <c r="O21" s="2">
        <v>6.2100000000000002E-2</v>
      </c>
      <c r="P21" s="2">
        <v>6.2600000000000003E-2</v>
      </c>
      <c r="Q21" s="2">
        <v>7.7100000000000002E-2</v>
      </c>
      <c r="R21" s="2">
        <v>6.2899999999999998E-2</v>
      </c>
      <c r="S21" s="2">
        <v>5.850000000000001E-2</v>
      </c>
      <c r="T21" s="2">
        <v>7.1400000000000005E-2</v>
      </c>
      <c r="U21" s="2">
        <v>7.0800000000000002E-2</v>
      </c>
      <c r="V21" s="2">
        <v>6.83E-2</v>
      </c>
      <c r="W21" s="2">
        <v>6.1600000000000009E-2</v>
      </c>
      <c r="X21" s="2">
        <v>5.970000000000001E-2</v>
      </c>
      <c r="Y21" s="2">
        <v>6.1600000000000009E-2</v>
      </c>
      <c r="Z21" s="2">
        <v>7.6700000000000004E-2</v>
      </c>
      <c r="AA21" s="2">
        <v>6.1800000000000008E-2</v>
      </c>
      <c r="AB21" s="2">
        <v>6.6500000000000004E-2</v>
      </c>
      <c r="AC21" s="2">
        <v>5.7700000000000008E-2</v>
      </c>
      <c r="AD21" s="2">
        <v>5.5600000000000004E-2</v>
      </c>
      <c r="AE21" s="2">
        <v>5.6899999999999999E-2</v>
      </c>
      <c r="AF21" s="2">
        <v>6.0600000000000001E-2</v>
      </c>
    </row>
    <row r="22" spans="2:32" x14ac:dyDescent="0.35">
      <c r="B22" s="39" t="s">
        <v>51</v>
      </c>
      <c r="C22" s="2">
        <v>5.4299999999999987E-2</v>
      </c>
      <c r="D22" s="2">
        <v>4.8899999999999999E-2</v>
      </c>
      <c r="E22" s="2">
        <v>5.7899999999999993E-2</v>
      </c>
      <c r="F22" s="2">
        <v>4.0500000000000008E-2</v>
      </c>
      <c r="G22" s="2">
        <v>4.5499999999999999E-2</v>
      </c>
      <c r="H22" s="2">
        <v>5.0900000000000001E-2</v>
      </c>
      <c r="I22" s="2">
        <v>4.19E-2</v>
      </c>
      <c r="J22" s="2">
        <v>4.4299999999999999E-2</v>
      </c>
      <c r="K22" s="2">
        <v>5.0099999999999999E-2</v>
      </c>
      <c r="L22" s="2">
        <v>5.7099999999999998E-2</v>
      </c>
      <c r="M22" s="2">
        <v>5.5199999999999999E-2</v>
      </c>
      <c r="N22" s="2">
        <v>5.9400000000000001E-2</v>
      </c>
      <c r="O22" s="2">
        <v>5.0200000000000002E-2</v>
      </c>
      <c r="P22" s="2">
        <v>5.9200000000000003E-2</v>
      </c>
      <c r="Q22" s="2">
        <v>5.6300000000000003E-2</v>
      </c>
      <c r="R22" s="2">
        <v>5.7300000000000004E-2</v>
      </c>
      <c r="S22" s="2">
        <v>4.1400000000000006E-2</v>
      </c>
      <c r="T22" s="2">
        <v>5.16E-2</v>
      </c>
      <c r="U22" s="2">
        <v>5.8900000000000001E-2</v>
      </c>
      <c r="V22" s="2">
        <v>4.5999999999999999E-2</v>
      </c>
      <c r="W22" s="2">
        <v>4.1300000000000003E-2</v>
      </c>
      <c r="X22" s="2">
        <v>5.8400000000000001E-2</v>
      </c>
      <c r="Y22" s="2">
        <v>4.8000000000000001E-2</v>
      </c>
      <c r="Z22" s="2">
        <v>3.9300000000000002E-2</v>
      </c>
      <c r="AA22" s="2">
        <v>5.8299999999999991E-2</v>
      </c>
      <c r="AB22" s="2">
        <v>5.4199999999999998E-2</v>
      </c>
      <c r="AC22" s="2">
        <v>5.7500000000000002E-2</v>
      </c>
      <c r="AD22" s="2">
        <v>4.5699999999999991E-2</v>
      </c>
      <c r="AE22" s="2">
        <v>5.3699999999999998E-2</v>
      </c>
      <c r="AF22" s="2">
        <v>4.9300000000000004E-2</v>
      </c>
    </row>
    <row r="23" spans="2:32" x14ac:dyDescent="0.35">
      <c r="B23" s="39" t="s">
        <v>89</v>
      </c>
      <c r="C23" s="2">
        <v>0.25209999999999999</v>
      </c>
      <c r="D23" s="2">
        <v>0.24809999999999999</v>
      </c>
      <c r="E23" s="2">
        <v>0.23139999999999999</v>
      </c>
      <c r="F23" s="2">
        <v>0.23130000000000001</v>
      </c>
      <c r="G23" s="2">
        <v>0.2525</v>
      </c>
      <c r="H23" s="2">
        <v>0.22889999999999999</v>
      </c>
      <c r="I23" s="2">
        <v>0.23149999999999998</v>
      </c>
      <c r="J23" s="2">
        <v>0.23049999999999998</v>
      </c>
      <c r="K23" s="2">
        <v>0.25159999999999999</v>
      </c>
      <c r="L23" s="2">
        <v>0.2288</v>
      </c>
      <c r="M23" s="2">
        <v>0.2286</v>
      </c>
      <c r="N23" s="2">
        <v>0.23779999999999998</v>
      </c>
      <c r="O23" s="2">
        <v>0.2432</v>
      </c>
      <c r="P23" s="2">
        <v>0.23130000000000001</v>
      </c>
      <c r="Q23" s="2">
        <v>0.2298</v>
      </c>
      <c r="R23" s="2">
        <v>0.23599999999999999</v>
      </c>
      <c r="S23" s="2">
        <v>0.2384</v>
      </c>
      <c r="T23" s="2">
        <v>0.2306</v>
      </c>
      <c r="U23" s="2">
        <v>0.2316</v>
      </c>
      <c r="V23" s="2">
        <v>0.24539999999999998</v>
      </c>
      <c r="W23" s="2">
        <v>0.23319999999999999</v>
      </c>
      <c r="X23" s="2">
        <v>0.25</v>
      </c>
      <c r="Y23" s="2">
        <v>0.23779999999999998</v>
      </c>
      <c r="Z23" s="2">
        <v>0.24609999999999999</v>
      </c>
      <c r="AA23" s="2">
        <v>0.24279999999999999</v>
      </c>
      <c r="AB23" s="2">
        <v>0.23099999999999998</v>
      </c>
      <c r="AC23" s="2">
        <v>0.24329999999999999</v>
      </c>
      <c r="AD23" s="2">
        <v>0.2515</v>
      </c>
      <c r="AE23" s="2">
        <v>0.24629999999999996</v>
      </c>
      <c r="AF23" s="2">
        <v>0.24179999999999999</v>
      </c>
    </row>
    <row r="24" spans="2:32" x14ac:dyDescent="0.35">
      <c r="B24" s="39" t="s">
        <v>52</v>
      </c>
      <c r="C24" s="2">
        <v>9.0899999999999995E-2</v>
      </c>
      <c r="D24" s="2">
        <v>8.2100000000000006E-2</v>
      </c>
      <c r="E24" s="2">
        <v>0.10249999999999999</v>
      </c>
      <c r="F24" s="2">
        <v>8.9300000000000004E-2</v>
      </c>
      <c r="G24" s="2">
        <v>8.3100000000000007E-2</v>
      </c>
      <c r="H24" s="2">
        <v>9.8799999999999999E-2</v>
      </c>
      <c r="I24" s="2">
        <v>0.1038</v>
      </c>
      <c r="J24" s="2">
        <v>9.9299999999999999E-2</v>
      </c>
      <c r="K24" s="2">
        <v>8.7999999999999995E-2</v>
      </c>
      <c r="L24" s="2">
        <v>9.64E-2</v>
      </c>
      <c r="M24" s="2">
        <v>9.1399999999999995E-2</v>
      </c>
      <c r="N24" s="2">
        <v>8.5400000000000004E-2</v>
      </c>
      <c r="O24" s="2">
        <v>0.10149999999999999</v>
      </c>
      <c r="P24" s="2">
        <v>9.8400000000000001E-2</v>
      </c>
      <c r="Q24" s="2">
        <v>9.5700000000000007E-2</v>
      </c>
      <c r="R24" s="2">
        <v>9.1999999999999998E-2</v>
      </c>
      <c r="S24" s="2">
        <v>0.1016</v>
      </c>
      <c r="T24" s="2">
        <v>0.10189999999999999</v>
      </c>
      <c r="U24" s="2">
        <v>8.9599999999999999E-2</v>
      </c>
      <c r="V24" s="2">
        <v>9.5199999999999993E-2</v>
      </c>
      <c r="W24" s="2">
        <v>9.7100000000000006E-2</v>
      </c>
      <c r="X24" s="2">
        <v>9.0300000000000005E-2</v>
      </c>
      <c r="Y24" s="2">
        <v>9.7799999999999998E-2</v>
      </c>
      <c r="Z24" s="2">
        <v>0.10189999999999999</v>
      </c>
      <c r="AA24" s="2">
        <v>0.10199999999999999</v>
      </c>
      <c r="AB24" s="2">
        <v>0.1033</v>
      </c>
      <c r="AC24" s="2">
        <v>8.8599999999999998E-2</v>
      </c>
      <c r="AD24" s="2">
        <v>9.8900000000000002E-2</v>
      </c>
      <c r="AE24" s="2">
        <v>9.4699999999999993E-2</v>
      </c>
      <c r="AF24" s="2">
        <v>8.2799999999999999E-2</v>
      </c>
    </row>
    <row r="25" spans="2:32" x14ac:dyDescent="0.35">
      <c r="B25" s="39" t="s">
        <v>90</v>
      </c>
      <c r="C25" s="2">
        <v>0.16159999999999999</v>
      </c>
      <c r="D25" s="2">
        <v>0.17420000000000002</v>
      </c>
      <c r="E25" s="2">
        <v>0.14930000000000002</v>
      </c>
      <c r="F25" s="2">
        <v>0.1623</v>
      </c>
      <c r="G25" s="2">
        <v>0.1507</v>
      </c>
      <c r="H25" s="2">
        <v>0.16020000000000001</v>
      </c>
      <c r="I25" s="2">
        <v>0.18030000000000002</v>
      </c>
      <c r="J25" s="2">
        <v>0.16140000000000002</v>
      </c>
      <c r="K25" s="2">
        <v>0.1726</v>
      </c>
      <c r="L25" s="2">
        <v>0.17250000000000001</v>
      </c>
      <c r="M25" s="2">
        <v>0.14949999999999999</v>
      </c>
      <c r="N25" s="2">
        <v>0.1772</v>
      </c>
      <c r="O25" s="2">
        <v>0.153</v>
      </c>
      <c r="P25" s="2">
        <v>0.15810000000000002</v>
      </c>
      <c r="Q25" s="2">
        <v>0.16720000000000002</v>
      </c>
      <c r="R25" s="2">
        <v>0.15210000000000001</v>
      </c>
      <c r="S25" s="2">
        <v>0.16310000000000002</v>
      </c>
      <c r="T25" s="2">
        <v>0.15160000000000001</v>
      </c>
      <c r="U25" s="2">
        <v>0.15230000000000002</v>
      </c>
      <c r="V25" s="2">
        <v>0.1724</v>
      </c>
      <c r="W25" s="2">
        <v>0.16290000000000002</v>
      </c>
      <c r="X25" s="2">
        <v>0.15410000000000001</v>
      </c>
      <c r="Y25" s="2">
        <v>0.15640000000000001</v>
      </c>
      <c r="Z25" s="2">
        <v>0.158</v>
      </c>
      <c r="AA25" s="2">
        <v>0.15110000000000001</v>
      </c>
      <c r="AB25" s="2">
        <v>0.15030000000000002</v>
      </c>
      <c r="AC25" s="2">
        <v>0.16310000000000002</v>
      </c>
      <c r="AD25" s="2">
        <v>0.1507</v>
      </c>
      <c r="AE25" s="2">
        <v>0.16489999999999999</v>
      </c>
      <c r="AF25" s="2">
        <v>0.1585</v>
      </c>
    </row>
    <row r="26" spans="2:32" x14ac:dyDescent="0.35">
      <c r="B26" s="39" t="s">
        <v>91</v>
      </c>
      <c r="C26" s="1">
        <f>1-SUM(C20:C25)</f>
        <v>0.17500000000000004</v>
      </c>
      <c r="D26" s="1">
        <f t="shared" ref="D26:AF26" si="1">1-SUM(D20:D25)</f>
        <v>0.19339999999999991</v>
      </c>
      <c r="E26" s="1">
        <f t="shared" si="1"/>
        <v>0.17169999999999996</v>
      </c>
      <c r="F26" s="1">
        <f t="shared" si="1"/>
        <v>0.19799999999999995</v>
      </c>
      <c r="G26" s="1">
        <f t="shared" si="1"/>
        <v>0.19359999999999999</v>
      </c>
      <c r="H26" s="1">
        <f t="shared" si="1"/>
        <v>0.19230000000000003</v>
      </c>
      <c r="I26" s="1">
        <f t="shared" si="1"/>
        <v>0.17049999999999998</v>
      </c>
      <c r="J26" s="1">
        <f t="shared" si="1"/>
        <v>0.1987000000000001</v>
      </c>
      <c r="K26" s="1">
        <f t="shared" si="1"/>
        <v>0.18230000000000013</v>
      </c>
      <c r="L26" s="1">
        <f t="shared" si="1"/>
        <v>0.17539999999999989</v>
      </c>
      <c r="M26" s="1">
        <f t="shared" si="1"/>
        <v>0.1903999999999999</v>
      </c>
      <c r="N26" s="1">
        <f t="shared" si="1"/>
        <v>0.16999999999999993</v>
      </c>
      <c r="O26" s="1">
        <f t="shared" si="1"/>
        <v>0.17669999999999986</v>
      </c>
      <c r="P26" s="1">
        <f t="shared" si="1"/>
        <v>0.18469999999999998</v>
      </c>
      <c r="Q26" s="1">
        <f t="shared" si="1"/>
        <v>0.18440000000000001</v>
      </c>
      <c r="R26" s="1">
        <f t="shared" si="1"/>
        <v>0.19369999999999998</v>
      </c>
      <c r="S26" s="1">
        <f t="shared" si="1"/>
        <v>0.1853999999999999</v>
      </c>
      <c r="T26" s="1">
        <f t="shared" si="1"/>
        <v>0.17549999999999999</v>
      </c>
      <c r="U26" s="1">
        <f t="shared" si="1"/>
        <v>0.19940000000000002</v>
      </c>
      <c r="V26" s="1">
        <f t="shared" si="1"/>
        <v>0.1745000000000001</v>
      </c>
      <c r="W26" s="1">
        <f t="shared" si="1"/>
        <v>0.18340000000000001</v>
      </c>
      <c r="X26" s="1">
        <f t="shared" si="1"/>
        <v>0.19789999999999985</v>
      </c>
      <c r="Y26" s="1">
        <f t="shared" si="1"/>
        <v>0.18559999999999999</v>
      </c>
      <c r="Z26" s="1">
        <f t="shared" si="1"/>
        <v>0.1764</v>
      </c>
      <c r="AA26" s="1">
        <f t="shared" si="1"/>
        <v>0.18149999999999999</v>
      </c>
      <c r="AB26" s="1">
        <f t="shared" si="1"/>
        <v>0.19349999999999989</v>
      </c>
      <c r="AC26" s="1">
        <f t="shared" si="1"/>
        <v>0.19439999999999991</v>
      </c>
      <c r="AD26" s="1">
        <f t="shared" si="1"/>
        <v>0.18520000000000003</v>
      </c>
      <c r="AE26" s="1">
        <f t="shared" si="1"/>
        <v>0.17410000000000014</v>
      </c>
      <c r="AF26" s="1">
        <f t="shared" si="1"/>
        <v>0.19680000000000009</v>
      </c>
    </row>
    <row r="27" spans="2:32" x14ac:dyDescent="0.35">
      <c r="B27" t="s">
        <v>63</v>
      </c>
      <c r="C27" s="1">
        <f>1-C19</f>
        <v>0.42480000000000007</v>
      </c>
      <c r="D27" s="1">
        <f t="shared" ref="D27:AF27" si="2">1-D19</f>
        <v>0.40060000000000007</v>
      </c>
      <c r="E27" s="1">
        <f t="shared" si="2"/>
        <v>0.41070000000000007</v>
      </c>
      <c r="F27" s="1">
        <f t="shared" si="2"/>
        <v>0.4244</v>
      </c>
      <c r="G27" s="1">
        <f t="shared" si="2"/>
        <v>0.40750000000000008</v>
      </c>
      <c r="H27" s="1">
        <f t="shared" si="2"/>
        <v>0.41010000000000002</v>
      </c>
      <c r="I27" s="1">
        <f t="shared" si="2"/>
        <v>0.42120000000000002</v>
      </c>
      <c r="J27" s="1">
        <f t="shared" si="2"/>
        <v>0.40129999999999999</v>
      </c>
      <c r="K27" s="1">
        <f t="shared" si="2"/>
        <v>0.42120000000000002</v>
      </c>
      <c r="L27" s="1">
        <f t="shared" si="2"/>
        <v>0.40720000000000001</v>
      </c>
      <c r="M27" s="1">
        <f t="shared" si="2"/>
        <v>0.42030000000000001</v>
      </c>
      <c r="N27" s="1">
        <f t="shared" si="2"/>
        <v>0.40650000000000008</v>
      </c>
      <c r="O27" s="1">
        <f t="shared" si="2"/>
        <v>0.41810000000000003</v>
      </c>
      <c r="P27" s="1">
        <f t="shared" si="2"/>
        <v>0.40960000000000008</v>
      </c>
      <c r="Q27" s="1">
        <f t="shared" si="2"/>
        <v>0.40050000000000008</v>
      </c>
      <c r="R27" s="1">
        <f t="shared" si="2"/>
        <v>0.40820000000000001</v>
      </c>
      <c r="S27" s="1">
        <f t="shared" si="2"/>
        <v>0.41839999999999999</v>
      </c>
      <c r="T27" s="1">
        <f t="shared" si="2"/>
        <v>0.43030000000000002</v>
      </c>
      <c r="U27" s="1">
        <f t="shared" si="2"/>
        <v>0.4083</v>
      </c>
      <c r="V27" s="1">
        <f t="shared" si="2"/>
        <v>0.42870000000000008</v>
      </c>
      <c r="W27" s="1">
        <f t="shared" si="2"/>
        <v>0.40590000000000004</v>
      </c>
      <c r="X27" s="1">
        <f t="shared" si="2"/>
        <v>0.42800000000000005</v>
      </c>
      <c r="Y27" s="1">
        <f t="shared" si="2"/>
        <v>0.40760000000000007</v>
      </c>
      <c r="Z27" s="1">
        <f t="shared" si="2"/>
        <v>0.41510000000000002</v>
      </c>
      <c r="AA27" s="1">
        <f t="shared" si="2"/>
        <v>0.41700000000000004</v>
      </c>
      <c r="AB27" s="1">
        <f t="shared" si="2"/>
        <v>0.40290000000000004</v>
      </c>
      <c r="AC27" s="1">
        <f t="shared" si="2"/>
        <v>0.40890000000000004</v>
      </c>
      <c r="AD27" s="1">
        <f t="shared" si="2"/>
        <v>0.42530000000000001</v>
      </c>
      <c r="AE27" s="1">
        <f t="shared" si="2"/>
        <v>0.42670000000000008</v>
      </c>
      <c r="AF27" s="1">
        <f t="shared" si="2"/>
        <v>0.42070000000000007</v>
      </c>
    </row>
    <row r="30" spans="2:32" x14ac:dyDescent="0.35">
      <c r="C30">
        <f>VLOOKUP(C31,Data!$B$105:$E$139,4,0)</f>
        <v>2921.4791052799997</v>
      </c>
      <c r="D30">
        <f>VLOOKUP(D31,Data!$B$105:$E$139,4,0)</f>
        <v>375.90137471999998</v>
      </c>
      <c r="E30">
        <f>VLOOKUP(E31,Data!$B$105:$E$139,4,0)</f>
        <v>463.82538048000004</v>
      </c>
      <c r="F30">
        <f>VLOOKUP(F31,Data!$B$105:$E$139,4,0)</f>
        <v>246.80616576000003</v>
      </c>
      <c r="G30">
        <f>VLOOKUP(G31,Data!$B$105:$E$139,4,0)</f>
        <v>199.99809984000001</v>
      </c>
      <c r="H30">
        <f>VLOOKUP(H31,Data!$B$105:$E$139,4,0)</f>
        <v>261.69964128000004</v>
      </c>
      <c r="I30">
        <f>VLOOKUP(I31,Data!$B$105:$E$139,4,0)</f>
        <v>185.10462432</v>
      </c>
      <c r="J30">
        <f>VLOOKUP(J31,Data!$B$105:$E$139,4,0)</f>
        <v>131.91364032000001</v>
      </c>
      <c r="K30">
        <f>VLOOKUP(K31,Data!$B$105:$E$139,4,0)</f>
        <v>108.50960736</v>
      </c>
      <c r="L30">
        <f>VLOOKUP(L31,Data!$B$105:$E$139,4,0)</f>
        <v>51.063344640000004</v>
      </c>
      <c r="M30">
        <f>VLOOKUP(M31,Data!$B$105:$E$139,4,0)</f>
        <v>27.659311680000002</v>
      </c>
      <c r="N30">
        <f>VLOOKUP(N31,Data!$B$105:$E$139,4,0)</f>
        <v>95.743771199999998</v>
      </c>
      <c r="O30">
        <f>VLOOKUP(O31,Data!$B$105:$E$139,4,0)</f>
        <v>65.956820160000007</v>
      </c>
      <c r="P30">
        <f>VLOOKUP(P31,Data!$B$105:$E$139,4,0)</f>
        <v>61.701541440000007</v>
      </c>
      <c r="Q30">
        <f>VLOOKUP(Q31,Data!$B$105:$E$139,4,0)</f>
        <v>104.25432864000001</v>
      </c>
      <c r="R30">
        <f>VLOOKUP(R31,Data!$B$105:$E$139,4,0)</f>
        <v>123.40308287999964</v>
      </c>
      <c r="S30">
        <f>VLOOKUP(S31,Data!$B$105:$E$139,4,0)</f>
        <v>1019.44320192</v>
      </c>
      <c r="T30">
        <f>VLOOKUP(T31,Data!$B$105:$E$139,4,0)</f>
        <v>432.01210623999998</v>
      </c>
      <c r="U30">
        <f>VLOOKUP(U31,Data!$B$105:$E$139,4,0)</f>
        <v>347.71706111999998</v>
      </c>
      <c r="V30">
        <f>VLOOKUP(V31,Data!$B$105:$E$139,4,0)</f>
        <v>234.44559423999996</v>
      </c>
      <c r="W30">
        <f>VLOOKUP(W31,Data!$B$105:$E$139,4,0)</f>
        <v>123.80834752</v>
      </c>
      <c r="X30">
        <f>VLOOKUP(X31,Data!$B$105:$E$139,4,0)</f>
        <v>358.25394176000003</v>
      </c>
      <c r="Y30">
        <f>VLOOKUP(Y31,Data!$B$105:$E$139,4,0)</f>
        <v>118.53990719999999</v>
      </c>
      <c r="Z30">
        <f>VLOOKUP(Z31,Data!$B$105:$E$139,4,0)</f>
        <v>415.2580975999997</v>
      </c>
      <c r="AA30">
        <f>VLOOKUP(AA31,Data!$B$105:$E$139,4,0)</f>
        <v>92.860865919999924</v>
      </c>
      <c r="AB30">
        <f>VLOOKUP(AB31,Data!$B$105:$E$139,4,0)</f>
        <v>145.83079647999989</v>
      </c>
      <c r="AC30">
        <f>VLOOKUP(AC31,Data!$B$105:$E$139,4,0)</f>
        <v>182.53487807999997</v>
      </c>
      <c r="AD30">
        <f>VLOOKUP(AD31,Data!$B$105:$E$139,4,0)</f>
        <v>65.652871680000004</v>
      </c>
      <c r="AE30">
        <f>VLOOKUP(AE31,Data!$B$105:$E$139,4,0)</f>
        <v>157.16899583999998</v>
      </c>
      <c r="AF30">
        <f>VLOOKUP(AF31,Data!$B$105:$E$139,4,0)</f>
        <v>92.013494399999999</v>
      </c>
    </row>
    <row r="31" spans="2:32" x14ac:dyDescent="0.35">
      <c r="B31" t="s">
        <v>3</v>
      </c>
      <c r="C31" s="12" t="s">
        <v>18</v>
      </c>
      <c r="D31" s="12" t="s">
        <v>5</v>
      </c>
      <c r="E31" s="12" t="s">
        <v>32</v>
      </c>
      <c r="F31" s="12" t="s">
        <v>9</v>
      </c>
      <c r="G31" s="12" t="s">
        <v>10</v>
      </c>
      <c r="H31" s="12" t="s">
        <v>53</v>
      </c>
      <c r="I31" s="12" t="s">
        <v>19</v>
      </c>
      <c r="J31" s="12" t="s">
        <v>30</v>
      </c>
      <c r="K31" s="17" t="s">
        <v>54</v>
      </c>
      <c r="L31" s="12" t="s">
        <v>55</v>
      </c>
      <c r="M31" s="12" t="s">
        <v>56</v>
      </c>
      <c r="N31" s="12" t="s">
        <v>57</v>
      </c>
      <c r="O31" s="12" t="s">
        <v>58</v>
      </c>
      <c r="P31" s="12" t="s">
        <v>59</v>
      </c>
      <c r="Q31" s="12" t="s">
        <v>60</v>
      </c>
      <c r="R31" s="12" t="s">
        <v>20</v>
      </c>
      <c r="S31" s="12" t="s">
        <v>11</v>
      </c>
      <c r="T31" s="12" t="s">
        <v>13</v>
      </c>
      <c r="U31" s="12" t="s">
        <v>12</v>
      </c>
      <c r="V31" s="12" t="s">
        <v>25</v>
      </c>
      <c r="W31" s="12" t="s">
        <v>34</v>
      </c>
      <c r="X31" s="12" t="s">
        <v>26</v>
      </c>
      <c r="Y31" s="12" t="s">
        <v>35</v>
      </c>
      <c r="Z31" s="12" t="s">
        <v>31</v>
      </c>
      <c r="AA31" s="12" t="s">
        <v>14</v>
      </c>
      <c r="AB31" s="12" t="s">
        <v>36</v>
      </c>
      <c r="AC31" s="12" t="s">
        <v>28</v>
      </c>
      <c r="AD31" s="12" t="s">
        <v>23</v>
      </c>
      <c r="AE31" s="12" t="s">
        <v>7</v>
      </c>
      <c r="AF31" s="12" t="s">
        <v>8</v>
      </c>
    </row>
    <row r="32" spans="2:32" x14ac:dyDescent="0.35">
      <c r="B32" s="5" t="s">
        <v>61</v>
      </c>
      <c r="C32" s="35"/>
      <c r="E32" s="1"/>
      <c r="F32" s="1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1"/>
      <c r="AA32" s="2"/>
      <c r="AC32" s="2"/>
      <c r="AD32" s="2"/>
      <c r="AE32" s="2"/>
      <c r="AF32" s="2"/>
    </row>
    <row r="33" spans="2:32" x14ac:dyDescent="0.35">
      <c r="B33" t="s">
        <v>62</v>
      </c>
      <c r="C33" s="49">
        <f>C$30*C19</f>
        <v>1680.4347813570555</v>
      </c>
      <c r="D33" s="49">
        <f t="shared" ref="D33:AF33" si="3">D$30*D19</f>
        <v>225.31528400716797</v>
      </c>
      <c r="E33" s="49">
        <f t="shared" si="3"/>
        <v>273.33229671686399</v>
      </c>
      <c r="F33" s="49">
        <f t="shared" si="3"/>
        <v>142.06162901145601</v>
      </c>
      <c r="G33" s="49">
        <f t="shared" si="3"/>
        <v>118.49887415519999</v>
      </c>
      <c r="H33" s="49">
        <f t="shared" si="3"/>
        <v>154.37661839107201</v>
      </c>
      <c r="I33" s="49">
        <f t="shared" si="3"/>
        <v>107.13855655641599</v>
      </c>
      <c r="J33" s="49">
        <f t="shared" si="3"/>
        <v>78.976696459584005</v>
      </c>
      <c r="K33" s="49">
        <f t="shared" si="3"/>
        <v>62.805360739968002</v>
      </c>
      <c r="L33" s="49">
        <f t="shared" si="3"/>
        <v>30.270350702592001</v>
      </c>
      <c r="M33" s="49">
        <f t="shared" si="3"/>
        <v>16.034102980896002</v>
      </c>
      <c r="N33" s="49">
        <f t="shared" si="3"/>
        <v>56.823928207199991</v>
      </c>
      <c r="O33" s="49">
        <f t="shared" si="3"/>
        <v>38.380273651104005</v>
      </c>
      <c r="P33" s="49">
        <f t="shared" si="3"/>
        <v>36.428590066176</v>
      </c>
      <c r="Q33" s="49">
        <f t="shared" si="3"/>
        <v>62.500470019680002</v>
      </c>
      <c r="R33" s="49">
        <f t="shared" si="3"/>
        <v>73.029944448383787</v>
      </c>
      <c r="S33" s="49">
        <f t="shared" si="3"/>
        <v>592.90816623667195</v>
      </c>
      <c r="T33" s="49">
        <f t="shared" si="3"/>
        <v>246.11729692492798</v>
      </c>
      <c r="U33" s="49">
        <f t="shared" si="3"/>
        <v>205.744185064704</v>
      </c>
      <c r="V33" s="49">
        <f t="shared" si="3"/>
        <v>133.93876798931197</v>
      </c>
      <c r="W33" s="49">
        <f t="shared" si="3"/>
        <v>73.554539261631987</v>
      </c>
      <c r="X33" s="49">
        <f t="shared" si="3"/>
        <v>204.92125468672</v>
      </c>
      <c r="Y33" s="49">
        <f t="shared" si="3"/>
        <v>70.223041025279983</v>
      </c>
      <c r="Z33" s="49">
        <f t="shared" si="3"/>
        <v>242.88446128623983</v>
      </c>
      <c r="AA33" s="49">
        <f t="shared" si="3"/>
        <v>54.137884831359955</v>
      </c>
      <c r="AB33" s="49">
        <f t="shared" si="3"/>
        <v>87.075568578207935</v>
      </c>
      <c r="AC33" s="49">
        <f t="shared" si="3"/>
        <v>107.89636643308798</v>
      </c>
      <c r="AD33" s="49">
        <f t="shared" si="3"/>
        <v>37.730705354496003</v>
      </c>
      <c r="AE33" s="49">
        <f t="shared" si="3"/>
        <v>90.104985315071971</v>
      </c>
      <c r="AF33" s="49">
        <f t="shared" si="3"/>
        <v>53.303417305919993</v>
      </c>
    </row>
    <row r="34" spans="2:32" x14ac:dyDescent="0.35">
      <c r="B34" s="39" t="s">
        <v>49</v>
      </c>
      <c r="C34" s="49">
        <f>C$33*C20</f>
        <v>353.7315214756602</v>
      </c>
      <c r="D34" s="49">
        <f t="shared" ref="D34:AF40" si="4">D$33*D20</f>
        <v>43.801291210993455</v>
      </c>
      <c r="E34" s="49">
        <f t="shared" si="4"/>
        <v>57.645781377586616</v>
      </c>
      <c r="F34" s="49">
        <f t="shared" si="4"/>
        <v>29.52040650858056</v>
      </c>
      <c r="G34" s="49">
        <f t="shared" si="4"/>
        <v>23.66422516879344</v>
      </c>
      <c r="H34" s="49">
        <f t="shared" si="4"/>
        <v>29.825562673155115</v>
      </c>
      <c r="I34" s="49">
        <f t="shared" si="4"/>
        <v>21.449139022594483</v>
      </c>
      <c r="J34" s="49">
        <f t="shared" si="4"/>
        <v>15.479432506078465</v>
      </c>
      <c r="K34" s="49">
        <f t="shared" si="4"/>
        <v>12.372656065773697</v>
      </c>
      <c r="L34" s="49">
        <f t="shared" si="4"/>
        <v>5.8421776856002561</v>
      </c>
      <c r="M34" s="49">
        <f t="shared" si="4"/>
        <v>3.3190593170454727</v>
      </c>
      <c r="N34" s="49">
        <f t="shared" si="4"/>
        <v>12.120543886595758</v>
      </c>
      <c r="O34" s="49">
        <f t="shared" si="4"/>
        <v>8.1865123697804858</v>
      </c>
      <c r="P34" s="49">
        <f t="shared" si="4"/>
        <v>7.4933609766124043</v>
      </c>
      <c r="Q34" s="49">
        <f t="shared" si="4"/>
        <v>11.843839068729361</v>
      </c>
      <c r="R34" s="49">
        <f t="shared" si="4"/>
        <v>15.044168556367062</v>
      </c>
      <c r="S34" s="49">
        <f t="shared" si="4"/>
        <v>125.4593679756798</v>
      </c>
      <c r="T34" s="49">
        <f t="shared" si="4"/>
        <v>53.505900351479347</v>
      </c>
      <c r="U34" s="49">
        <f t="shared" si="4"/>
        <v>40.613902131772576</v>
      </c>
      <c r="V34" s="49">
        <f t="shared" si="4"/>
        <v>26.546663815481633</v>
      </c>
      <c r="W34" s="49">
        <f t="shared" si="4"/>
        <v>16.218775907189855</v>
      </c>
      <c r="X34" s="49">
        <f t="shared" si="4"/>
        <v>38.853069888602114</v>
      </c>
      <c r="Y34" s="49">
        <f t="shared" si="4"/>
        <v>14.943463130179582</v>
      </c>
      <c r="Z34" s="49">
        <f t="shared" si="4"/>
        <v>48.965507395305949</v>
      </c>
      <c r="AA34" s="49">
        <f t="shared" si="4"/>
        <v>10.962921678350392</v>
      </c>
      <c r="AB34" s="49">
        <f t="shared" si="4"/>
        <v>17.519604397935439</v>
      </c>
      <c r="AC34" s="49">
        <f t="shared" si="4"/>
        <v>21.082950001025392</v>
      </c>
      <c r="AD34" s="49">
        <f t="shared" si="4"/>
        <v>8.0140018172949503</v>
      </c>
      <c r="AE34" s="49">
        <f t="shared" si="4"/>
        <v>18.86798392497607</v>
      </c>
      <c r="AF34" s="49">
        <f t="shared" si="4"/>
        <v>11.204378317704382</v>
      </c>
    </row>
    <row r="35" spans="2:32" x14ac:dyDescent="0.35">
      <c r="B35" s="39" t="s">
        <v>50</v>
      </c>
      <c r="C35" s="49">
        <f t="shared" ref="C35:R40" si="5">C$33*C21</f>
        <v>93.432173843452276</v>
      </c>
      <c r="D35" s="49">
        <f t="shared" si="5"/>
        <v>13.271070228022195</v>
      </c>
      <c r="E35" s="49">
        <f t="shared" si="5"/>
        <v>20.855254239496723</v>
      </c>
      <c r="F35" s="49">
        <f t="shared" si="5"/>
        <v>10.057963334011086</v>
      </c>
      <c r="G35" s="49">
        <f t="shared" si="5"/>
        <v>8.8755656742244806</v>
      </c>
      <c r="H35" s="49">
        <f t="shared" si="5"/>
        <v>11.686310012204151</v>
      </c>
      <c r="I35" s="49">
        <f t="shared" si="5"/>
        <v>7.6925483607506688</v>
      </c>
      <c r="J35" s="49">
        <f t="shared" si="5"/>
        <v>5.5125734128789636</v>
      </c>
      <c r="K35" s="49">
        <f t="shared" si="5"/>
        <v>3.6678330672141319</v>
      </c>
      <c r="L35" s="49">
        <f t="shared" si="5"/>
        <v>2.3247629339590659</v>
      </c>
      <c r="M35" s="49">
        <f t="shared" si="5"/>
        <v>1.2490566222117985</v>
      </c>
      <c r="N35" s="49">
        <f t="shared" si="5"/>
        <v>3.2332815149896796</v>
      </c>
      <c r="O35" s="49">
        <f t="shared" si="5"/>
        <v>2.3834149937335587</v>
      </c>
      <c r="P35" s="49">
        <f t="shared" si="5"/>
        <v>2.2804297381426175</v>
      </c>
      <c r="Q35" s="49">
        <f t="shared" si="5"/>
        <v>4.8187862385173279</v>
      </c>
      <c r="R35" s="49">
        <f t="shared" si="5"/>
        <v>4.5935835058033403</v>
      </c>
      <c r="S35" s="49">
        <f t="shared" si="4"/>
        <v>34.685127724845316</v>
      </c>
      <c r="T35" s="49">
        <f t="shared" si="4"/>
        <v>17.572775000439858</v>
      </c>
      <c r="U35" s="49">
        <f t="shared" si="4"/>
        <v>14.566688302581044</v>
      </c>
      <c r="V35" s="49">
        <f t="shared" si="4"/>
        <v>9.148017853670007</v>
      </c>
      <c r="W35" s="49">
        <f t="shared" si="4"/>
        <v>4.5309596185165315</v>
      </c>
      <c r="X35" s="49">
        <f t="shared" si="4"/>
        <v>12.233798904797187</v>
      </c>
      <c r="Y35" s="49">
        <f t="shared" si="4"/>
        <v>4.3257393271572475</v>
      </c>
      <c r="Z35" s="49">
        <f t="shared" si="4"/>
        <v>18.629238180654596</v>
      </c>
      <c r="AA35" s="49">
        <f t="shared" si="4"/>
        <v>3.3457212825780456</v>
      </c>
      <c r="AB35" s="49">
        <f t="shared" si="4"/>
        <v>5.7905253104508283</v>
      </c>
      <c r="AC35" s="49">
        <f t="shared" si="4"/>
        <v>6.2256203431891768</v>
      </c>
      <c r="AD35" s="49">
        <f t="shared" si="4"/>
        <v>2.0978272177099777</v>
      </c>
      <c r="AE35" s="49">
        <f t="shared" si="4"/>
        <v>5.1269736644275952</v>
      </c>
      <c r="AF35" s="49">
        <f t="shared" si="4"/>
        <v>3.2301870887387518</v>
      </c>
    </row>
    <row r="36" spans="2:32" x14ac:dyDescent="0.35">
      <c r="B36" s="39" t="s">
        <v>51</v>
      </c>
      <c r="C36" s="49">
        <f t="shared" si="5"/>
        <v>91.247608627688095</v>
      </c>
      <c r="D36" s="49">
        <f t="shared" si="4"/>
        <v>11.017917387950513</v>
      </c>
      <c r="E36" s="49">
        <f t="shared" si="4"/>
        <v>15.825939979906423</v>
      </c>
      <c r="F36" s="49">
        <f t="shared" si="4"/>
        <v>5.7534959749639691</v>
      </c>
      <c r="G36" s="49">
        <f t="shared" si="4"/>
        <v>5.3916987740615996</v>
      </c>
      <c r="H36" s="49">
        <f t="shared" si="4"/>
        <v>7.8577698761055661</v>
      </c>
      <c r="I36" s="49">
        <f t="shared" si="4"/>
        <v>4.4891055197138297</v>
      </c>
      <c r="J36" s="49">
        <f t="shared" si="4"/>
        <v>3.4986676531595715</v>
      </c>
      <c r="K36" s="49">
        <f t="shared" si="4"/>
        <v>3.1465485730723968</v>
      </c>
      <c r="L36" s="49">
        <f t="shared" si="4"/>
        <v>1.7284370251180032</v>
      </c>
      <c r="M36" s="49">
        <f t="shared" si="4"/>
        <v>0.88508248454545924</v>
      </c>
      <c r="N36" s="49">
        <f t="shared" si="4"/>
        <v>3.3753413355076796</v>
      </c>
      <c r="O36" s="49">
        <f t="shared" si="4"/>
        <v>1.926689737285421</v>
      </c>
      <c r="P36" s="49">
        <f t="shared" si="4"/>
        <v>2.1565725319176194</v>
      </c>
      <c r="Q36" s="49">
        <f t="shared" si="4"/>
        <v>3.5187764621079842</v>
      </c>
      <c r="R36" s="49">
        <f t="shared" si="4"/>
        <v>4.184615816892391</v>
      </c>
      <c r="S36" s="49">
        <f t="shared" si="4"/>
        <v>24.546398082198223</v>
      </c>
      <c r="T36" s="49">
        <f t="shared" si="4"/>
        <v>12.699652521326284</v>
      </c>
      <c r="U36" s="49">
        <f t="shared" si="4"/>
        <v>12.118332500311066</v>
      </c>
      <c r="V36" s="49">
        <f t="shared" si="4"/>
        <v>6.1611833275083505</v>
      </c>
      <c r="W36" s="49">
        <f t="shared" si="4"/>
        <v>3.0378024715054015</v>
      </c>
      <c r="X36" s="49">
        <f t="shared" si="4"/>
        <v>11.967401273704448</v>
      </c>
      <c r="Y36" s="49">
        <f t="shared" si="4"/>
        <v>3.3707059692134393</v>
      </c>
      <c r="Z36" s="49">
        <f t="shared" si="4"/>
        <v>9.5453593285492264</v>
      </c>
      <c r="AA36" s="49">
        <f t="shared" si="4"/>
        <v>3.1562386856682849</v>
      </c>
      <c r="AB36" s="49">
        <f t="shared" si="4"/>
        <v>4.7194958169388697</v>
      </c>
      <c r="AC36" s="49">
        <f t="shared" si="4"/>
        <v>6.2040410699025585</v>
      </c>
      <c r="AD36" s="49">
        <f t="shared" si="4"/>
        <v>1.7242932347004669</v>
      </c>
      <c r="AE36" s="49">
        <f t="shared" si="4"/>
        <v>4.8386377114193646</v>
      </c>
      <c r="AF36" s="49">
        <f t="shared" si="4"/>
        <v>2.6278584731818557</v>
      </c>
    </row>
    <row r="37" spans="2:32" x14ac:dyDescent="0.35">
      <c r="B37" s="39" t="s">
        <v>89</v>
      </c>
      <c r="C37" s="49">
        <f t="shared" si="5"/>
        <v>423.63760838011365</v>
      </c>
      <c r="D37" s="49">
        <f t="shared" si="4"/>
        <v>55.900721962178373</v>
      </c>
      <c r="E37" s="49">
        <f t="shared" si="4"/>
        <v>63.249093460282324</v>
      </c>
      <c r="F37" s="49">
        <f t="shared" si="4"/>
        <v>32.858854790349774</v>
      </c>
      <c r="G37" s="49">
        <f t="shared" si="4"/>
        <v>29.920965724187997</v>
      </c>
      <c r="H37" s="49">
        <f t="shared" si="4"/>
        <v>35.336807949716381</v>
      </c>
      <c r="I37" s="49">
        <f t="shared" si="4"/>
        <v>24.802575842810299</v>
      </c>
      <c r="J37" s="49">
        <f t="shared" si="4"/>
        <v>18.20412853393411</v>
      </c>
      <c r="K37" s="49">
        <f t="shared" si="4"/>
        <v>15.801828762175949</v>
      </c>
      <c r="L37" s="49">
        <f t="shared" si="4"/>
        <v>6.92585624075305</v>
      </c>
      <c r="M37" s="49">
        <f t="shared" si="4"/>
        <v>3.6653959414328261</v>
      </c>
      <c r="N37" s="49">
        <f t="shared" si="4"/>
        <v>13.512730127672157</v>
      </c>
      <c r="O37" s="49">
        <f t="shared" si="4"/>
        <v>9.3340825519484945</v>
      </c>
      <c r="P37" s="49">
        <f t="shared" si="4"/>
        <v>8.4259328823065083</v>
      </c>
      <c r="Q37" s="49">
        <f t="shared" si="4"/>
        <v>14.362608010522464</v>
      </c>
      <c r="R37" s="49">
        <f t="shared" si="4"/>
        <v>17.235066889818572</v>
      </c>
      <c r="S37" s="49">
        <f t="shared" si="4"/>
        <v>141.3493068308226</v>
      </c>
      <c r="T37" s="49">
        <f t="shared" si="4"/>
        <v>56.754648670888393</v>
      </c>
      <c r="U37" s="49">
        <f t="shared" si="4"/>
        <v>47.650353260985447</v>
      </c>
      <c r="V37" s="49">
        <f t="shared" si="4"/>
        <v>32.868573664577156</v>
      </c>
      <c r="W37" s="49">
        <f t="shared" si="4"/>
        <v>17.15291855581258</v>
      </c>
      <c r="X37" s="49">
        <f t="shared" si="4"/>
        <v>51.230313671680001</v>
      </c>
      <c r="Y37" s="49">
        <f t="shared" si="4"/>
        <v>16.69903915581158</v>
      </c>
      <c r="Z37" s="49">
        <f t="shared" si="4"/>
        <v>59.773865922543621</v>
      </c>
      <c r="AA37" s="49">
        <f t="shared" si="4"/>
        <v>13.144678437054196</v>
      </c>
      <c r="AB37" s="49">
        <f t="shared" si="4"/>
        <v>20.114456341566033</v>
      </c>
      <c r="AC37" s="49">
        <f t="shared" si="4"/>
        <v>26.251185953170303</v>
      </c>
      <c r="AD37" s="49">
        <f t="shared" si="4"/>
        <v>9.4892723966557444</v>
      </c>
      <c r="AE37" s="49">
        <f t="shared" si="4"/>
        <v>22.192857883102224</v>
      </c>
      <c r="AF37" s="49">
        <f t="shared" si="4"/>
        <v>12.888766304571453</v>
      </c>
    </row>
    <row r="38" spans="2:32" x14ac:dyDescent="0.35">
      <c r="B38" s="39" t="s">
        <v>52</v>
      </c>
      <c r="C38" s="49">
        <f t="shared" si="5"/>
        <v>152.75152162535633</v>
      </c>
      <c r="D38" s="49">
        <f t="shared" si="4"/>
        <v>18.498384816988491</v>
      </c>
      <c r="E38" s="49">
        <f t="shared" si="4"/>
        <v>28.016560413478558</v>
      </c>
      <c r="F38" s="49">
        <f t="shared" si="4"/>
        <v>12.686103470723022</v>
      </c>
      <c r="G38" s="49">
        <f t="shared" si="4"/>
        <v>9.8472564422971196</v>
      </c>
      <c r="H38" s="49">
        <f t="shared" si="4"/>
        <v>15.252409897037914</v>
      </c>
      <c r="I38" s="49">
        <f t="shared" si="4"/>
        <v>11.12098217055598</v>
      </c>
      <c r="J38" s="49">
        <f t="shared" si="4"/>
        <v>7.842385958436692</v>
      </c>
      <c r="K38" s="49">
        <f t="shared" si="4"/>
        <v>5.5268717451171838</v>
      </c>
      <c r="L38" s="49">
        <f t="shared" si="4"/>
        <v>2.918061807729869</v>
      </c>
      <c r="M38" s="49">
        <f t="shared" si="4"/>
        <v>1.4655170124538945</v>
      </c>
      <c r="N38" s="49">
        <f t="shared" si="4"/>
        <v>4.8527634688948798</v>
      </c>
      <c r="O38" s="49">
        <f t="shared" si="4"/>
        <v>3.8955977755870563</v>
      </c>
      <c r="P38" s="49">
        <f t="shared" si="4"/>
        <v>3.5845732625117184</v>
      </c>
      <c r="Q38" s="49">
        <f t="shared" si="4"/>
        <v>5.9812949808833764</v>
      </c>
      <c r="R38" s="49">
        <f t="shared" si="4"/>
        <v>6.7187548892513087</v>
      </c>
      <c r="S38" s="49">
        <f t="shared" si="4"/>
        <v>60.239469689645865</v>
      </c>
      <c r="T38" s="49">
        <f t="shared" si="4"/>
        <v>25.079352556650161</v>
      </c>
      <c r="U38" s="49">
        <f t="shared" si="4"/>
        <v>18.434678981797479</v>
      </c>
      <c r="V38" s="49">
        <f t="shared" si="4"/>
        <v>12.750970712582498</v>
      </c>
      <c r="W38" s="49">
        <f t="shared" si="4"/>
        <v>7.142145762304466</v>
      </c>
      <c r="X38" s="49">
        <f t="shared" si="4"/>
        <v>18.504389298210818</v>
      </c>
      <c r="Y38" s="49">
        <f t="shared" si="4"/>
        <v>6.8678134122723824</v>
      </c>
      <c r="Z38" s="49">
        <f t="shared" si="4"/>
        <v>24.749926605067834</v>
      </c>
      <c r="AA38" s="49">
        <f t="shared" si="4"/>
        <v>5.5220642527987147</v>
      </c>
      <c r="AB38" s="49">
        <f t="shared" si="4"/>
        <v>8.9949062341288801</v>
      </c>
      <c r="AC38" s="49">
        <f t="shared" si="4"/>
        <v>9.5596180659715948</v>
      </c>
      <c r="AD38" s="49">
        <f t="shared" si="4"/>
        <v>3.7315667595596547</v>
      </c>
      <c r="AE38" s="49">
        <f t="shared" si="4"/>
        <v>8.5329421093373146</v>
      </c>
      <c r="AF38" s="49">
        <f t="shared" si="4"/>
        <v>4.4135229529301752</v>
      </c>
    </row>
    <row r="39" spans="2:32" x14ac:dyDescent="0.35">
      <c r="B39" s="39" t="s">
        <v>90</v>
      </c>
      <c r="C39" s="49">
        <f t="shared" si="5"/>
        <v>271.55826066730015</v>
      </c>
      <c r="D39" s="49">
        <f t="shared" si="4"/>
        <v>39.249922474048667</v>
      </c>
      <c r="E39" s="49">
        <f t="shared" si="4"/>
        <v>40.808511899827799</v>
      </c>
      <c r="F39" s="49">
        <f t="shared" si="4"/>
        <v>23.056602388559309</v>
      </c>
      <c r="G39" s="49">
        <f t="shared" si="4"/>
        <v>17.857780335188639</v>
      </c>
      <c r="H39" s="49">
        <f t="shared" si="4"/>
        <v>24.73113426624974</v>
      </c>
      <c r="I39" s="49">
        <f t="shared" si="4"/>
        <v>19.317081747121804</v>
      </c>
      <c r="J39" s="49">
        <f t="shared" si="4"/>
        <v>12.746838808576859</v>
      </c>
      <c r="K39" s="49">
        <f t="shared" si="4"/>
        <v>10.840205263718477</v>
      </c>
      <c r="L39" s="49">
        <f t="shared" si="4"/>
        <v>5.2216354961971208</v>
      </c>
      <c r="M39" s="49">
        <f t="shared" si="4"/>
        <v>2.397098395643952</v>
      </c>
      <c r="N39" s="49">
        <f t="shared" si="4"/>
        <v>10.069200078315838</v>
      </c>
      <c r="O39" s="49">
        <f t="shared" si="4"/>
        <v>5.8721818686189131</v>
      </c>
      <c r="P39" s="49">
        <f t="shared" si="4"/>
        <v>5.7593600894624259</v>
      </c>
      <c r="Q39" s="49">
        <f t="shared" si="4"/>
        <v>10.450078587290497</v>
      </c>
      <c r="R39" s="49">
        <f t="shared" si="4"/>
        <v>11.107854550599175</v>
      </c>
      <c r="S39" s="49">
        <f t="shared" si="4"/>
        <v>96.703321913201208</v>
      </c>
      <c r="T39" s="49">
        <f t="shared" si="4"/>
        <v>37.311382213819087</v>
      </c>
      <c r="U39" s="49">
        <f t="shared" si="4"/>
        <v>31.334839385354424</v>
      </c>
      <c r="V39" s="49">
        <f t="shared" si="4"/>
        <v>23.091043601357384</v>
      </c>
      <c r="W39" s="49">
        <f t="shared" si="4"/>
        <v>11.982034445719853</v>
      </c>
      <c r="X39" s="49">
        <f t="shared" si="4"/>
        <v>31.578365347223556</v>
      </c>
      <c r="Y39" s="49">
        <f t="shared" si="4"/>
        <v>10.98288361635379</v>
      </c>
      <c r="Z39" s="49">
        <f t="shared" si="4"/>
        <v>38.375744883225892</v>
      </c>
      <c r="AA39" s="49">
        <f t="shared" si="4"/>
        <v>8.1802343980184897</v>
      </c>
      <c r="AB39" s="49">
        <f t="shared" si="4"/>
        <v>13.087457957304654</v>
      </c>
      <c r="AC39" s="49">
        <f t="shared" si="4"/>
        <v>17.597897365236651</v>
      </c>
      <c r="AD39" s="49">
        <f t="shared" si="4"/>
        <v>5.6860172969225475</v>
      </c>
      <c r="AE39" s="49">
        <f t="shared" si="4"/>
        <v>14.858312078455366</v>
      </c>
      <c r="AF39" s="49">
        <f t="shared" si="4"/>
        <v>8.448591642988319</v>
      </c>
    </row>
    <row r="40" spans="2:32" x14ac:dyDescent="0.35">
      <c r="B40" s="39" t="s">
        <v>91</v>
      </c>
      <c r="C40" s="49">
        <f t="shared" si="5"/>
        <v>294.07608673748479</v>
      </c>
      <c r="D40" s="49">
        <f t="shared" si="4"/>
        <v>43.575975926986267</v>
      </c>
      <c r="E40" s="49">
        <f t="shared" si="4"/>
        <v>46.931155346285536</v>
      </c>
      <c r="F40" s="49">
        <f t="shared" si="4"/>
        <v>28.128202544268284</v>
      </c>
      <c r="G40" s="49">
        <f t="shared" si="4"/>
        <v>22.941382036446715</v>
      </c>
      <c r="H40" s="49">
        <f t="shared" si="4"/>
        <v>29.686623716603151</v>
      </c>
      <c r="I40" s="49">
        <f t="shared" si="4"/>
        <v>18.267123892868923</v>
      </c>
      <c r="J40" s="49">
        <f t="shared" si="4"/>
        <v>15.692669586519349</v>
      </c>
      <c r="K40" s="49">
        <f t="shared" si="4"/>
        <v>11.449417262896175</v>
      </c>
      <c r="L40" s="49">
        <f t="shared" si="4"/>
        <v>5.3094195132346336</v>
      </c>
      <c r="M40" s="49">
        <f t="shared" si="4"/>
        <v>3.052893207562597</v>
      </c>
      <c r="N40" s="49">
        <f t="shared" si="4"/>
        <v>9.6600677952239948</v>
      </c>
      <c r="O40" s="49">
        <f t="shared" si="4"/>
        <v>6.7817943541500725</v>
      </c>
      <c r="P40" s="49">
        <f t="shared" si="4"/>
        <v>6.7283605852227062</v>
      </c>
      <c r="Q40" s="49">
        <f t="shared" si="4"/>
        <v>11.525086671628992</v>
      </c>
      <c r="R40" s="49">
        <f t="shared" si="4"/>
        <v>14.145900239651938</v>
      </c>
      <c r="S40" s="49">
        <f t="shared" si="4"/>
        <v>109.92517402027892</v>
      </c>
      <c r="T40" s="49">
        <f t="shared" si="4"/>
        <v>43.19358561032486</v>
      </c>
      <c r="U40" s="49">
        <f t="shared" si="4"/>
        <v>41.025390501901981</v>
      </c>
      <c r="V40" s="49">
        <f t="shared" si="4"/>
        <v>23.372315014134951</v>
      </c>
      <c r="W40" s="49">
        <f t="shared" si="4"/>
        <v>13.489902500583307</v>
      </c>
      <c r="X40" s="49">
        <f t="shared" si="4"/>
        <v>40.553916302501861</v>
      </c>
      <c r="Y40" s="49">
        <f t="shared" si="4"/>
        <v>13.033396414291964</v>
      </c>
      <c r="Z40" s="49">
        <f t="shared" si="4"/>
        <v>42.844818970892703</v>
      </c>
      <c r="AA40" s="49">
        <f t="shared" si="4"/>
        <v>9.826026096891832</v>
      </c>
      <c r="AB40" s="49">
        <f t="shared" si="4"/>
        <v>16.849122519883228</v>
      </c>
      <c r="AC40" s="49">
        <f t="shared" si="4"/>
        <v>20.975053634592292</v>
      </c>
      <c r="AD40" s="49">
        <f t="shared" si="4"/>
        <v>6.9877266316526612</v>
      </c>
      <c r="AE40" s="49">
        <f t="shared" si="4"/>
        <v>15.687277943354044</v>
      </c>
      <c r="AF40" s="49">
        <f t="shared" si="4"/>
        <v>10.49011252580506</v>
      </c>
    </row>
    <row r="41" spans="2:32" x14ac:dyDescent="0.35">
      <c r="B41" t="s">
        <v>63</v>
      </c>
      <c r="C41" s="49">
        <f>C$30*C27</f>
        <v>1241.0443239229442</v>
      </c>
      <c r="D41" s="49">
        <f t="shared" ref="D41:AF41" si="6">D$30*D27</f>
        <v>150.586090712832</v>
      </c>
      <c r="E41" s="49">
        <f t="shared" si="6"/>
        <v>190.49308376313604</v>
      </c>
      <c r="F41" s="49">
        <f t="shared" si="6"/>
        <v>104.74453674854401</v>
      </c>
      <c r="G41" s="49">
        <f t="shared" si="6"/>
        <v>81.499225684800024</v>
      </c>
      <c r="H41" s="49">
        <f t="shared" si="6"/>
        <v>107.32302288892802</v>
      </c>
      <c r="I41" s="49">
        <f t="shared" si="6"/>
        <v>77.966067763584007</v>
      </c>
      <c r="J41" s="49">
        <f t="shared" si="6"/>
        <v>52.936943860416001</v>
      </c>
      <c r="K41" s="49">
        <f t="shared" si="6"/>
        <v>45.704246620032002</v>
      </c>
      <c r="L41" s="49">
        <f t="shared" si="6"/>
        <v>20.792993937408003</v>
      </c>
      <c r="M41" s="49">
        <f t="shared" si="6"/>
        <v>11.625208699104</v>
      </c>
      <c r="N41" s="49">
        <f t="shared" si="6"/>
        <v>38.919842992800007</v>
      </c>
      <c r="O41" s="49">
        <f t="shared" si="6"/>
        <v>27.576546508896005</v>
      </c>
      <c r="P41" s="49">
        <f t="shared" si="6"/>
        <v>25.272951373824007</v>
      </c>
      <c r="Q41" s="49">
        <f t="shared" si="6"/>
        <v>41.75385862032001</v>
      </c>
      <c r="R41" s="49">
        <f t="shared" si="6"/>
        <v>50.373138431615857</v>
      </c>
      <c r="S41" s="49">
        <f t="shared" si="6"/>
        <v>426.53503568332798</v>
      </c>
      <c r="T41" s="49">
        <f t="shared" si="6"/>
        <v>185.894809315072</v>
      </c>
      <c r="U41" s="49">
        <f t="shared" si="6"/>
        <v>141.97287605529598</v>
      </c>
      <c r="V41" s="49">
        <f t="shared" si="6"/>
        <v>100.50682625068801</v>
      </c>
      <c r="W41" s="49">
        <f t="shared" si="6"/>
        <v>50.253808258368004</v>
      </c>
      <c r="X41" s="49">
        <f t="shared" si="6"/>
        <v>153.33268707328003</v>
      </c>
      <c r="Y41" s="49">
        <f t="shared" si="6"/>
        <v>48.316866174720005</v>
      </c>
      <c r="Z41" s="49">
        <f t="shared" si="6"/>
        <v>172.37363631375987</v>
      </c>
      <c r="AA41" s="49">
        <f t="shared" si="6"/>
        <v>38.722981088639969</v>
      </c>
      <c r="AB41" s="49">
        <f t="shared" si="6"/>
        <v>58.755227901791962</v>
      </c>
      <c r="AC41" s="49">
        <f t="shared" si="6"/>
        <v>74.638511646911994</v>
      </c>
      <c r="AD41" s="49">
        <f t="shared" si="6"/>
        <v>27.922166325504001</v>
      </c>
      <c r="AE41" s="49">
        <f t="shared" si="6"/>
        <v>67.064010524928008</v>
      </c>
      <c r="AF41" s="49">
        <f t="shared" si="6"/>
        <v>38.710077094080006</v>
      </c>
    </row>
    <row r="42" spans="2:32" x14ac:dyDescent="0.35"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</row>
    <row r="43" spans="2:32" x14ac:dyDescent="0.35"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</row>
    <row r="44" spans="2:32" x14ac:dyDescent="0.35">
      <c r="B44" s="46">
        <f>SUM(C44:AF44)</f>
        <v>1077608.6733694396</v>
      </c>
      <c r="C44" s="29">
        <f>SUM(C48:C55)</f>
        <v>326373.35421162902</v>
      </c>
      <c r="D44" s="29">
        <f t="shared" ref="D44:AF44" si="7">SUM(D48:D55)</f>
        <v>42445.933986309974</v>
      </c>
      <c r="E44" s="29">
        <f t="shared" si="7"/>
        <v>51617.720520361705</v>
      </c>
      <c r="F44" s="29">
        <f t="shared" si="7"/>
        <v>27765.145245120038</v>
      </c>
      <c r="G44" s="29">
        <f t="shared" si="7"/>
        <v>22954.893769276146</v>
      </c>
      <c r="H44" s="29">
        <f t="shared" si="7"/>
        <v>29451.518463466131</v>
      </c>
      <c r="I44" s="29">
        <f t="shared" si="7"/>
        <v>23187.888829053067</v>
      </c>
      <c r="J44" s="29">
        <f t="shared" si="7"/>
        <v>15345.006468980169</v>
      </c>
      <c r="K44" s="29">
        <f t="shared" si="7"/>
        <v>12922.017939813693</v>
      </c>
      <c r="L44" s="29">
        <f t="shared" si="7"/>
        <v>6248.7554454756855</v>
      </c>
      <c r="M44" s="29">
        <f t="shared" si="7"/>
        <v>3411.4507684322239</v>
      </c>
      <c r="N44" s="29">
        <f t="shared" si="7"/>
        <v>10638.175246980205</v>
      </c>
      <c r="O44" s="29">
        <f t="shared" si="7"/>
        <v>7394.5372487195518</v>
      </c>
      <c r="P44" s="29">
        <f t="shared" si="7"/>
        <v>7000.4874873104618</v>
      </c>
      <c r="Q44" s="29">
        <f t="shared" si="7"/>
        <v>11599.543581804885</v>
      </c>
      <c r="R44" s="29">
        <f t="shared" si="7"/>
        <v>14446.100282162241</v>
      </c>
      <c r="S44" s="29">
        <f t="shared" si="7"/>
        <v>129209.43436544458</v>
      </c>
      <c r="T44" s="29">
        <f t="shared" si="7"/>
        <v>55859.582559844683</v>
      </c>
      <c r="U44" s="29">
        <f t="shared" si="7"/>
        <v>38907.627864368711</v>
      </c>
      <c r="V44" s="29">
        <f t="shared" si="7"/>
        <v>26737.670782431996</v>
      </c>
      <c r="W44" s="29">
        <f t="shared" si="7"/>
        <v>13866.409022593649</v>
      </c>
      <c r="X44" s="29">
        <f t="shared" si="7"/>
        <v>45883.188884209725</v>
      </c>
      <c r="Y44" s="29">
        <f t="shared" si="7"/>
        <v>14880.699809260906</v>
      </c>
      <c r="Z44" s="29">
        <f t="shared" si="7"/>
        <v>47836.916664884557</v>
      </c>
      <c r="AA44" s="29">
        <f t="shared" si="7"/>
        <v>11700.705508528401</v>
      </c>
      <c r="AB44" s="29">
        <f t="shared" si="7"/>
        <v>18611.269082095267</v>
      </c>
      <c r="AC44" s="29">
        <f t="shared" si="7"/>
        <v>22208.942420621184</v>
      </c>
      <c r="AD44" s="29">
        <f t="shared" si="7"/>
        <v>8275.9522510133374</v>
      </c>
      <c r="AE44" s="29">
        <f t="shared" si="7"/>
        <v>19337.910134624799</v>
      </c>
      <c r="AF44" s="29">
        <f t="shared" si="7"/>
        <v>11489.834524622669</v>
      </c>
    </row>
    <row r="45" spans="2:32" x14ac:dyDescent="0.35">
      <c r="B45" t="s">
        <v>3</v>
      </c>
      <c r="C45" s="51" t="s">
        <v>18</v>
      </c>
      <c r="D45" s="51" t="s">
        <v>5</v>
      </c>
      <c r="E45" s="51" t="s">
        <v>32</v>
      </c>
      <c r="F45" s="51" t="s">
        <v>9</v>
      </c>
      <c r="G45" s="51" t="s">
        <v>10</v>
      </c>
      <c r="H45" s="51" t="s">
        <v>53</v>
      </c>
      <c r="I45" s="51" t="s">
        <v>19</v>
      </c>
      <c r="J45" s="51" t="s">
        <v>30</v>
      </c>
      <c r="K45" s="52" t="s">
        <v>54</v>
      </c>
      <c r="L45" s="51" t="s">
        <v>55</v>
      </c>
      <c r="M45" s="51" t="s">
        <v>56</v>
      </c>
      <c r="N45" s="51" t="s">
        <v>57</v>
      </c>
      <c r="O45" s="51" t="s">
        <v>58</v>
      </c>
      <c r="P45" s="51" t="s">
        <v>59</v>
      </c>
      <c r="Q45" s="51" t="s">
        <v>60</v>
      </c>
      <c r="R45" s="51" t="s">
        <v>20</v>
      </c>
      <c r="S45" s="51" t="s">
        <v>11</v>
      </c>
      <c r="T45" s="51" t="s">
        <v>13</v>
      </c>
      <c r="U45" s="51" t="s">
        <v>12</v>
      </c>
      <c r="V45" s="51" t="s">
        <v>25</v>
      </c>
      <c r="W45" s="51" t="s">
        <v>34</v>
      </c>
      <c r="X45" s="51" t="s">
        <v>26</v>
      </c>
      <c r="Y45" s="51" t="s">
        <v>35</v>
      </c>
      <c r="Z45" s="51" t="s">
        <v>31</v>
      </c>
      <c r="AA45" s="51" t="s">
        <v>14</v>
      </c>
      <c r="AB45" s="51" t="s">
        <v>36</v>
      </c>
      <c r="AC45" s="51" t="s">
        <v>28</v>
      </c>
      <c r="AD45" s="51" t="s">
        <v>23</v>
      </c>
      <c r="AE45" s="51" t="s">
        <v>7</v>
      </c>
      <c r="AF45" s="51" t="s">
        <v>8</v>
      </c>
    </row>
    <row r="46" spans="2:32" x14ac:dyDescent="0.35">
      <c r="B46" s="5" t="s">
        <v>61</v>
      </c>
      <c r="C46" s="53"/>
      <c r="D46" s="29"/>
      <c r="E46" s="50"/>
      <c r="F46" s="50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50"/>
      <c r="AA46" s="49"/>
      <c r="AB46" s="29"/>
      <c r="AC46" s="49"/>
      <c r="AD46" s="49"/>
      <c r="AE46" s="49"/>
      <c r="AF46" s="49"/>
    </row>
    <row r="47" spans="2:32" x14ac:dyDescent="0.35">
      <c r="B47" t="s">
        <v>62</v>
      </c>
      <c r="C47" s="49">
        <f>SUM(C48:C54)</f>
        <v>189089.69006086088</v>
      </c>
      <c r="D47" s="49">
        <f t="shared" ref="D47:AF47" si="8">SUM(D48:D54)</f>
        <v>25620.672454149975</v>
      </c>
      <c r="E47" s="49">
        <f t="shared" si="8"/>
        <v>30730.320984930127</v>
      </c>
      <c r="F47" s="49">
        <f t="shared" si="8"/>
        <v>16113.917575649069</v>
      </c>
      <c r="G47" s="49">
        <f t="shared" si="8"/>
        <v>13725.083385946584</v>
      </c>
      <c r="H47" s="49">
        <f t="shared" si="8"/>
        <v>17553.178897066129</v>
      </c>
      <c r="I47" s="49">
        <f t="shared" si="8"/>
        <v>13466.433995688476</v>
      </c>
      <c r="J47" s="49">
        <f t="shared" si="8"/>
        <v>9281.2099213952897</v>
      </c>
      <c r="K47" s="49">
        <f t="shared" si="8"/>
        <v>7532.3662157533172</v>
      </c>
      <c r="L47" s="49">
        <f t="shared" si="8"/>
        <v>3746.5901100475267</v>
      </c>
      <c r="M47" s="49">
        <f t="shared" si="8"/>
        <v>1998.9102217610209</v>
      </c>
      <c r="N47" s="49">
        <f t="shared" si="8"/>
        <v>6356.5643566831732</v>
      </c>
      <c r="O47" s="49">
        <f t="shared" si="8"/>
        <v>4333.877258830983</v>
      </c>
      <c r="P47" s="49">
        <f t="shared" si="8"/>
        <v>4173.5354320728766</v>
      </c>
      <c r="Q47" s="49">
        <f t="shared" si="8"/>
        <v>7031.2877152490846</v>
      </c>
      <c r="R47" s="49">
        <f t="shared" si="8"/>
        <v>8636.0497133484168</v>
      </c>
      <c r="S47" s="49">
        <f t="shared" si="8"/>
        <v>75217.657696668888</v>
      </c>
      <c r="T47" s="49">
        <f t="shared" si="8"/>
        <v>31996.320773571002</v>
      </c>
      <c r="U47" s="49">
        <f t="shared" si="8"/>
        <v>23271.848563124666</v>
      </c>
      <c r="V47" s="49">
        <f t="shared" si="8"/>
        <v>15406.574249096257</v>
      </c>
      <c r="W47" s="49">
        <f t="shared" si="8"/>
        <v>8282.6525494416474</v>
      </c>
      <c r="X47" s="49">
        <f t="shared" si="8"/>
        <v>26449.388241208457</v>
      </c>
      <c r="Y47" s="49">
        <f t="shared" si="8"/>
        <v>8848.6316226541658</v>
      </c>
      <c r="Z47" s="49">
        <f t="shared" si="8"/>
        <v>28226.719132033602</v>
      </c>
      <c r="AA47" s="49">
        <f t="shared" si="8"/>
        <v>6860.3328724484063</v>
      </c>
      <c r="AB47" s="49">
        <f t="shared" si="8"/>
        <v>11192.679700555876</v>
      </c>
      <c r="AC47" s="49">
        <f t="shared" si="8"/>
        <v>13237.967463059646</v>
      </c>
      <c r="AD47" s="49">
        <f t="shared" si="8"/>
        <v>4768.1424111258993</v>
      </c>
      <c r="AE47" s="49">
        <f t="shared" si="8"/>
        <v>11159.372265731139</v>
      </c>
      <c r="AF47" s="49">
        <f t="shared" si="8"/>
        <v>6681.1292955444078</v>
      </c>
    </row>
    <row r="48" spans="2:32" x14ac:dyDescent="0.35">
      <c r="B48" s="39" t="s">
        <v>49</v>
      </c>
      <c r="C48" s="49">
        <f>C34/C6*10^6</f>
        <v>32392.996472130057</v>
      </c>
      <c r="D48" s="49">
        <f t="shared" ref="D48:AF55" si="9">D34/D6*10^6</f>
        <v>4040.7095213093594</v>
      </c>
      <c r="E48" s="49">
        <f t="shared" si="9"/>
        <v>5235.765792696332</v>
      </c>
      <c r="F48" s="49">
        <f t="shared" si="9"/>
        <v>2738.442162205989</v>
      </c>
      <c r="G48" s="49">
        <f t="shared" si="9"/>
        <v>2224.0813128565264</v>
      </c>
      <c r="H48" s="49">
        <f t="shared" si="9"/>
        <v>2741.3200986355805</v>
      </c>
      <c r="I48" s="49">
        <f t="shared" si="9"/>
        <v>2140.6326369854773</v>
      </c>
      <c r="J48" s="49">
        <f t="shared" si="9"/>
        <v>1472.8289729855819</v>
      </c>
      <c r="K48" s="49">
        <f t="shared" si="9"/>
        <v>1197.7401806170085</v>
      </c>
      <c r="L48" s="49">
        <f t="shared" si="9"/>
        <v>574.45208314653451</v>
      </c>
      <c r="M48" s="49">
        <f t="shared" si="9"/>
        <v>328.94542289846112</v>
      </c>
      <c r="N48" s="49">
        <f t="shared" si="9"/>
        <v>1104.8809377024393</v>
      </c>
      <c r="O48" s="49">
        <f t="shared" si="9"/>
        <v>751.74585581088024</v>
      </c>
      <c r="P48" s="49">
        <f t="shared" si="9"/>
        <v>692.54722519523148</v>
      </c>
      <c r="Q48" s="49">
        <f t="shared" si="9"/>
        <v>1073.78414041064</v>
      </c>
      <c r="R48" s="49">
        <f t="shared" si="9"/>
        <v>1438.2570321574631</v>
      </c>
      <c r="S48" s="49">
        <f t="shared" si="9"/>
        <v>12762.906203019307</v>
      </c>
      <c r="T48" s="49">
        <f t="shared" si="9"/>
        <v>5538.9130798632868</v>
      </c>
      <c r="U48" s="49">
        <f t="shared" si="9"/>
        <v>3709.0321581527469</v>
      </c>
      <c r="V48" s="49">
        <f t="shared" si="9"/>
        <v>2476.3678932352268</v>
      </c>
      <c r="W48" s="49">
        <f t="shared" si="9"/>
        <v>1493.4416120800972</v>
      </c>
      <c r="X48" s="49">
        <f t="shared" si="9"/>
        <v>3989.021549137794</v>
      </c>
      <c r="Y48" s="49">
        <f t="shared" si="9"/>
        <v>1507.9175711583837</v>
      </c>
      <c r="Z48" s="49">
        <f t="shared" si="9"/>
        <v>4615.0336847602221</v>
      </c>
      <c r="AA48" s="49">
        <f t="shared" si="9"/>
        <v>1105.1332337046765</v>
      </c>
      <c r="AB48" s="49">
        <f t="shared" si="9"/>
        <v>1785.8923953043261</v>
      </c>
      <c r="AC48" s="49">
        <f t="shared" si="9"/>
        <v>2071.0166995113354</v>
      </c>
      <c r="AD48" s="49">
        <f t="shared" si="9"/>
        <v>812.77908897514703</v>
      </c>
      <c r="AE48" s="49">
        <f t="shared" si="9"/>
        <v>1877.4113358185143</v>
      </c>
      <c r="AF48" s="49">
        <f t="shared" si="9"/>
        <v>1127.2010379984288</v>
      </c>
    </row>
    <row r="49" spans="2:32" x14ac:dyDescent="0.35">
      <c r="B49" s="39" t="s">
        <v>50</v>
      </c>
      <c r="C49" s="49">
        <f t="shared" ref="C49:R55" si="10">C35/C7*10^6</f>
        <v>13501.75922593241</v>
      </c>
      <c r="D49" s="49">
        <f t="shared" si="10"/>
        <v>1940.2149456172799</v>
      </c>
      <c r="E49" s="49">
        <f t="shared" si="10"/>
        <v>2966.6079999284102</v>
      </c>
      <c r="F49" s="49">
        <f t="shared" si="10"/>
        <v>1461.9132752923092</v>
      </c>
      <c r="G49" s="49">
        <f t="shared" si="10"/>
        <v>1320.7687015215001</v>
      </c>
      <c r="H49" s="49">
        <f t="shared" si="10"/>
        <v>1683.9063418161602</v>
      </c>
      <c r="I49" s="49">
        <f t="shared" si="10"/>
        <v>1256.9523465278871</v>
      </c>
      <c r="J49" s="49">
        <f t="shared" si="10"/>
        <v>830.20683928900053</v>
      </c>
      <c r="K49" s="49">
        <f t="shared" si="10"/>
        <v>571.31356187136009</v>
      </c>
      <c r="L49" s="49">
        <f t="shared" si="10"/>
        <v>370.1851805667302</v>
      </c>
      <c r="M49" s="49">
        <f t="shared" si="10"/>
        <v>201.1363320791946</v>
      </c>
      <c r="N49" s="49">
        <f t="shared" si="10"/>
        <v>463.22084741972486</v>
      </c>
      <c r="O49" s="49">
        <f t="shared" si="10"/>
        <v>344.92257506997953</v>
      </c>
      <c r="P49" s="49">
        <f t="shared" si="10"/>
        <v>332.90945082373975</v>
      </c>
      <c r="Q49" s="49">
        <f t="shared" si="10"/>
        <v>683.51577851309617</v>
      </c>
      <c r="R49" s="49">
        <f t="shared" si="10"/>
        <v>698.11299480293917</v>
      </c>
      <c r="S49" s="49">
        <f t="shared" si="9"/>
        <v>5761.6491237284581</v>
      </c>
      <c r="T49" s="49">
        <f t="shared" si="9"/>
        <v>2963.3684655041916</v>
      </c>
      <c r="U49" s="49">
        <f t="shared" si="9"/>
        <v>2089.9122385338655</v>
      </c>
      <c r="V49" s="49">
        <f t="shared" si="9"/>
        <v>1353.2570789452673</v>
      </c>
      <c r="W49" s="49">
        <f t="shared" si="9"/>
        <v>657.61387786887246</v>
      </c>
      <c r="X49" s="49">
        <f t="shared" si="9"/>
        <v>2038.9664841328645</v>
      </c>
      <c r="Y49" s="49">
        <f t="shared" si="9"/>
        <v>707.97697662148073</v>
      </c>
      <c r="Z49" s="49">
        <f t="shared" si="9"/>
        <v>2780.4833105454618</v>
      </c>
      <c r="AA49" s="49">
        <f t="shared" si="9"/>
        <v>548.47889878328613</v>
      </c>
      <c r="AB49" s="49">
        <f t="shared" si="9"/>
        <v>960.28612113612405</v>
      </c>
      <c r="AC49" s="49">
        <f t="shared" si="9"/>
        <v>989.76476044343042</v>
      </c>
      <c r="AD49" s="49">
        <f t="shared" si="9"/>
        <v>346.17610853299959</v>
      </c>
      <c r="AE49" s="49">
        <f t="shared" si="9"/>
        <v>826.93123619799928</v>
      </c>
      <c r="AF49" s="49">
        <f t="shared" si="9"/>
        <v>526.94732279588118</v>
      </c>
    </row>
    <row r="50" spans="2:32" x14ac:dyDescent="0.35">
      <c r="B50" s="39" t="s">
        <v>51</v>
      </c>
      <c r="C50" s="49">
        <f t="shared" si="10"/>
        <v>14460.793760330918</v>
      </c>
      <c r="D50" s="49">
        <f t="shared" si="9"/>
        <v>1771.3693549759666</v>
      </c>
      <c r="E50" s="49">
        <f t="shared" si="9"/>
        <v>2465.0996853436795</v>
      </c>
      <c r="F50" s="49">
        <f t="shared" si="9"/>
        <v>914.70524244260241</v>
      </c>
      <c r="G50" s="49">
        <f t="shared" si="9"/>
        <v>879.55934324006523</v>
      </c>
      <c r="H50" s="49">
        <f t="shared" si="9"/>
        <v>1237.4440749772546</v>
      </c>
      <c r="I50" s="49">
        <f t="shared" si="9"/>
        <v>786.18310327737822</v>
      </c>
      <c r="J50" s="49">
        <f t="shared" si="9"/>
        <v>577.33789656098543</v>
      </c>
      <c r="K50" s="49">
        <f t="shared" si="9"/>
        <v>534.21877301738482</v>
      </c>
      <c r="L50" s="49">
        <f t="shared" si="9"/>
        <v>300.07587241632001</v>
      </c>
      <c r="M50" s="49">
        <f t="shared" si="9"/>
        <v>155.82438108194705</v>
      </c>
      <c r="N50" s="49">
        <f t="shared" si="9"/>
        <v>529.05036606703436</v>
      </c>
      <c r="O50" s="49">
        <f t="shared" si="9"/>
        <v>304.85597108946536</v>
      </c>
      <c r="P50" s="49">
        <f t="shared" si="9"/>
        <v>345.05160510681912</v>
      </c>
      <c r="Q50" s="49">
        <f t="shared" si="9"/>
        <v>545.54673831131538</v>
      </c>
      <c r="R50" s="49">
        <f t="shared" si="9"/>
        <v>695.11890646053007</v>
      </c>
      <c r="S50" s="49">
        <f t="shared" si="9"/>
        <v>4454.8816846094778</v>
      </c>
      <c r="T50" s="49">
        <f t="shared" si="9"/>
        <v>2347.4403921120675</v>
      </c>
      <c r="U50" s="49">
        <f t="shared" si="9"/>
        <v>1902.4069859201047</v>
      </c>
      <c r="V50" s="49">
        <f t="shared" si="9"/>
        <v>996.95523098840624</v>
      </c>
      <c r="W50" s="49">
        <f t="shared" si="9"/>
        <v>482.19086849292086</v>
      </c>
      <c r="X50" s="49">
        <f t="shared" si="9"/>
        <v>2183.8323492161403</v>
      </c>
      <c r="Y50" s="49">
        <f t="shared" si="9"/>
        <v>601.91178021668566</v>
      </c>
      <c r="Z50" s="49">
        <f t="shared" si="9"/>
        <v>1562.2519359327703</v>
      </c>
      <c r="AA50" s="49">
        <f t="shared" si="9"/>
        <v>562.60939138472099</v>
      </c>
      <c r="AB50" s="49">
        <f t="shared" si="9"/>
        <v>854.98112625704164</v>
      </c>
      <c r="AC50" s="49">
        <f t="shared" si="9"/>
        <v>1075.2237556156947</v>
      </c>
      <c r="AD50" s="49">
        <f t="shared" si="9"/>
        <v>311.24426619142002</v>
      </c>
      <c r="AE50" s="49">
        <f t="shared" si="9"/>
        <v>850.3756962072697</v>
      </c>
      <c r="AF50" s="49">
        <f t="shared" si="9"/>
        <v>467.59047565513447</v>
      </c>
    </row>
    <row r="51" spans="2:32" x14ac:dyDescent="0.35">
      <c r="B51" s="39" t="s">
        <v>89</v>
      </c>
      <c r="C51" s="49">
        <f t="shared" si="10"/>
        <v>44972.145263281702</v>
      </c>
      <c r="D51" s="49">
        <f t="shared" si="9"/>
        <v>5985.0880045158856</v>
      </c>
      <c r="E51" s="49">
        <f t="shared" si="9"/>
        <v>6650.7984711127574</v>
      </c>
      <c r="F51" s="49">
        <f t="shared" si="9"/>
        <v>3510.5614092254032</v>
      </c>
      <c r="G51" s="49">
        <f t="shared" si="9"/>
        <v>3252.2788830639129</v>
      </c>
      <c r="H51" s="49">
        <f t="shared" si="9"/>
        <v>3747.2754983792556</v>
      </c>
      <c r="I51" s="49">
        <f t="shared" si="9"/>
        <v>2907.6876720762366</v>
      </c>
      <c r="J51" s="49">
        <f t="shared" si="9"/>
        <v>2000.4536850477045</v>
      </c>
      <c r="K51" s="49">
        <f t="shared" si="9"/>
        <v>1779.4852209657602</v>
      </c>
      <c r="L51" s="49">
        <f t="shared" si="9"/>
        <v>794.24956889369832</v>
      </c>
      <c r="M51" s="49">
        <f t="shared" si="9"/>
        <v>423.7451955413672</v>
      </c>
      <c r="N51" s="49">
        <f t="shared" si="9"/>
        <v>1425.3934733831391</v>
      </c>
      <c r="O51" s="49">
        <f t="shared" si="9"/>
        <v>992.98750552643571</v>
      </c>
      <c r="P51" s="49">
        <f t="shared" si="9"/>
        <v>903.10105919683906</v>
      </c>
      <c r="Q51" s="49">
        <f t="shared" si="9"/>
        <v>1508.6773120296707</v>
      </c>
      <c r="R51" s="49">
        <f t="shared" si="9"/>
        <v>1906.53394798878</v>
      </c>
      <c r="S51" s="49">
        <f t="shared" si="9"/>
        <v>16787.328602235462</v>
      </c>
      <c r="T51" s="49">
        <f t="shared" si="9"/>
        <v>6871.0228415119127</v>
      </c>
      <c r="U51" s="49">
        <f t="shared" si="9"/>
        <v>5031.7162894388011</v>
      </c>
      <c r="V51" s="49">
        <f t="shared" si="9"/>
        <v>3549.5219940148118</v>
      </c>
      <c r="W51" s="49">
        <f t="shared" si="9"/>
        <v>1828.6693556303389</v>
      </c>
      <c r="X51" s="49">
        <f t="shared" si="9"/>
        <v>6150.0976796734694</v>
      </c>
      <c r="Y51" s="49">
        <f t="shared" si="9"/>
        <v>1969.2263155438181</v>
      </c>
      <c r="Z51" s="49">
        <f t="shared" si="9"/>
        <v>6518.4150406263489</v>
      </c>
      <c r="AA51" s="49">
        <f t="shared" si="9"/>
        <v>1548.2542328685745</v>
      </c>
      <c r="AB51" s="49">
        <f t="shared" si="9"/>
        <v>2397.4322218791458</v>
      </c>
      <c r="AC51" s="49">
        <f t="shared" si="9"/>
        <v>3003.5681868615907</v>
      </c>
      <c r="AD51" s="49">
        <f t="shared" si="9"/>
        <v>1124.3213740113442</v>
      </c>
      <c r="AE51" s="49">
        <f t="shared" si="9"/>
        <v>2574.5774806383088</v>
      </c>
      <c r="AF51" s="49">
        <f t="shared" si="9"/>
        <v>1516.3254475966417</v>
      </c>
    </row>
    <row r="52" spans="2:32" x14ac:dyDescent="0.35">
      <c r="B52" s="39" t="s">
        <v>52</v>
      </c>
      <c r="C52" s="49">
        <f t="shared" si="10"/>
        <v>19760.869550498879</v>
      </c>
      <c r="D52" s="49">
        <f t="shared" si="9"/>
        <v>2421.2545571974465</v>
      </c>
      <c r="E52" s="49">
        <f t="shared" si="9"/>
        <v>3582.6803597798671</v>
      </c>
      <c r="F52" s="49">
        <f t="shared" si="9"/>
        <v>1651.8363894170602</v>
      </c>
      <c r="G52" s="49">
        <f t="shared" si="9"/>
        <v>1311.2192333285111</v>
      </c>
      <c r="H52" s="49">
        <f t="shared" si="9"/>
        <v>1978.2632810684715</v>
      </c>
      <c r="I52" s="49">
        <f t="shared" si="9"/>
        <v>1604.7593319705597</v>
      </c>
      <c r="J52" s="49">
        <f t="shared" si="9"/>
        <v>1058.3516813004981</v>
      </c>
      <c r="K52" s="49">
        <f t="shared" si="9"/>
        <v>764.43592601897421</v>
      </c>
      <c r="L52" s="49">
        <f t="shared" si="9"/>
        <v>413.32320222802673</v>
      </c>
      <c r="M52" s="49">
        <f t="shared" si="9"/>
        <v>209.95945737161813</v>
      </c>
      <c r="N52" s="49">
        <f t="shared" si="9"/>
        <v>622.9478137220641</v>
      </c>
      <c r="O52" s="49">
        <f t="shared" si="9"/>
        <v>504.6111108273389</v>
      </c>
      <c r="P52" s="49">
        <f t="shared" si="9"/>
        <v>471.65437664627876</v>
      </c>
      <c r="Q52" s="49">
        <f t="shared" si="9"/>
        <v>763.89463357386671</v>
      </c>
      <c r="R52" s="49">
        <f t="shared" si="9"/>
        <v>912.87430560479731</v>
      </c>
      <c r="S52" s="49">
        <f t="shared" si="9"/>
        <v>8845.7371056748689</v>
      </c>
      <c r="T52" s="49">
        <f t="shared" si="9"/>
        <v>3748.7821459865709</v>
      </c>
      <c r="U52" s="49">
        <f t="shared" si="9"/>
        <v>2369.4960130845088</v>
      </c>
      <c r="V52" s="49">
        <f t="shared" si="9"/>
        <v>1688.8702930572845</v>
      </c>
      <c r="W52" s="49">
        <f t="shared" si="9"/>
        <v>927.55139770187873</v>
      </c>
      <c r="X52" s="49">
        <f t="shared" si="9"/>
        <v>2733.2923631035183</v>
      </c>
      <c r="Y52" s="49">
        <f t="shared" si="9"/>
        <v>998.2286936442415</v>
      </c>
      <c r="Z52" s="49">
        <f t="shared" si="9"/>
        <v>3308.8137172550582</v>
      </c>
      <c r="AA52" s="49">
        <f t="shared" si="9"/>
        <v>801.46070432492229</v>
      </c>
      <c r="AB52" s="49">
        <f t="shared" si="9"/>
        <v>1322.7803285483647</v>
      </c>
      <c r="AC52" s="49">
        <f t="shared" si="9"/>
        <v>1352.1383403071563</v>
      </c>
      <c r="AD52" s="49">
        <f t="shared" si="9"/>
        <v>546.34945235134035</v>
      </c>
      <c r="AE52" s="49">
        <f t="shared" si="9"/>
        <v>1220.7356379595585</v>
      </c>
      <c r="AF52" s="49">
        <f t="shared" si="9"/>
        <v>638.71533327498923</v>
      </c>
    </row>
    <row r="53" spans="2:32" x14ac:dyDescent="0.35">
      <c r="B53" s="39" t="s">
        <v>90</v>
      </c>
      <c r="C53" s="49">
        <f t="shared" si="10"/>
        <v>29485.153166916411</v>
      </c>
      <c r="D53" s="49">
        <f t="shared" si="9"/>
        <v>4299.005747431399</v>
      </c>
      <c r="E53" s="49">
        <f t="shared" si="9"/>
        <v>4378.5956974064165</v>
      </c>
      <c r="F53" s="49">
        <f t="shared" si="9"/>
        <v>2511.6124606273756</v>
      </c>
      <c r="G53" s="49">
        <f t="shared" si="9"/>
        <v>1979.7982633246829</v>
      </c>
      <c r="H53" s="49">
        <f t="shared" si="9"/>
        <v>2676.5296824945603</v>
      </c>
      <c r="I53" s="49">
        <f t="shared" si="9"/>
        <v>2344.3060372720633</v>
      </c>
      <c r="J53" s="49">
        <f t="shared" si="9"/>
        <v>1430.6216395709157</v>
      </c>
      <c r="K53" s="49">
        <f t="shared" si="9"/>
        <v>1257.5644157446029</v>
      </c>
      <c r="L53" s="49">
        <f t="shared" si="9"/>
        <v>617.945029135754</v>
      </c>
      <c r="M53" s="49">
        <f t="shared" si="9"/>
        <v>286.39168406737775</v>
      </c>
      <c r="N53" s="49">
        <f t="shared" si="9"/>
        <v>1083.8751429834056</v>
      </c>
      <c r="O53" s="49">
        <f t="shared" si="9"/>
        <v>636.8960811951099</v>
      </c>
      <c r="P53" s="49">
        <f t="shared" si="9"/>
        <v>630.12692444884306</v>
      </c>
      <c r="Q53" s="49">
        <f t="shared" si="9"/>
        <v>1118.8520971403102</v>
      </c>
      <c r="R53" s="49">
        <f t="shared" si="9"/>
        <v>1253.7081885552116</v>
      </c>
      <c r="S53" s="49">
        <f t="shared" si="9"/>
        <v>11909.276097684877</v>
      </c>
      <c r="T53" s="49">
        <f t="shared" si="9"/>
        <v>4658.1001515379639</v>
      </c>
      <c r="U53" s="49">
        <f t="shared" si="9"/>
        <v>3376.5990716976753</v>
      </c>
      <c r="V53" s="49">
        <f t="shared" si="9"/>
        <v>2545.8702978343313</v>
      </c>
      <c r="W53" s="49">
        <f t="shared" si="9"/>
        <v>1302.39504844781</v>
      </c>
      <c r="X53" s="49">
        <f t="shared" si="9"/>
        <v>3903.3826139954949</v>
      </c>
      <c r="Y53" s="49">
        <f t="shared" si="9"/>
        <v>1339.3760507748525</v>
      </c>
      <c r="Z53" s="49">
        <f t="shared" si="9"/>
        <v>4273.4682498024385</v>
      </c>
      <c r="AA53" s="49">
        <f t="shared" si="9"/>
        <v>996.37446991699028</v>
      </c>
      <c r="AB53" s="49">
        <f t="shared" si="9"/>
        <v>1615.7355502845251</v>
      </c>
      <c r="AC53" s="49">
        <f t="shared" si="9"/>
        <v>2077.6738329677273</v>
      </c>
      <c r="AD53" s="49">
        <f t="shared" si="9"/>
        <v>696.81584521109642</v>
      </c>
      <c r="AE53" s="49">
        <f t="shared" si="9"/>
        <v>1777.3100572315032</v>
      </c>
      <c r="AF53" s="49">
        <f t="shared" si="9"/>
        <v>1024.0717143016145</v>
      </c>
    </row>
    <row r="54" spans="2:32" x14ac:dyDescent="0.35">
      <c r="B54" s="39" t="s">
        <v>91</v>
      </c>
      <c r="C54" s="49">
        <f t="shared" si="10"/>
        <v>34515.972621770517</v>
      </c>
      <c r="D54" s="49">
        <f t="shared" si="9"/>
        <v>5163.0303231026382</v>
      </c>
      <c r="E54" s="49">
        <f t="shared" si="9"/>
        <v>5450.7729786626633</v>
      </c>
      <c r="F54" s="49">
        <f t="shared" si="9"/>
        <v>3324.8466364383316</v>
      </c>
      <c r="G54" s="49">
        <f t="shared" si="9"/>
        <v>2757.3776486113838</v>
      </c>
      <c r="H54" s="49">
        <f t="shared" si="9"/>
        <v>3488.4399196948475</v>
      </c>
      <c r="I54" s="49">
        <f t="shared" si="9"/>
        <v>2425.9128675788743</v>
      </c>
      <c r="J54" s="49">
        <f t="shared" si="9"/>
        <v>1911.4092066406029</v>
      </c>
      <c r="K54" s="49">
        <f t="shared" si="9"/>
        <v>1427.6081375182264</v>
      </c>
      <c r="L54" s="49">
        <f t="shared" si="9"/>
        <v>676.35917366046294</v>
      </c>
      <c r="M54" s="49">
        <f t="shared" si="9"/>
        <v>392.90774872105493</v>
      </c>
      <c r="N54" s="49">
        <f t="shared" si="9"/>
        <v>1127.1957754053669</v>
      </c>
      <c r="O54" s="49">
        <f t="shared" si="9"/>
        <v>797.85815931177319</v>
      </c>
      <c r="P54" s="49">
        <f t="shared" si="9"/>
        <v>798.14479065512535</v>
      </c>
      <c r="Q54" s="49">
        <f t="shared" si="9"/>
        <v>1337.0170152701846</v>
      </c>
      <c r="R54" s="49">
        <f t="shared" si="9"/>
        <v>1731.4443377786949</v>
      </c>
      <c r="S54" s="49">
        <f t="shared" si="9"/>
        <v>14695.878879716432</v>
      </c>
      <c r="T54" s="49">
        <f t="shared" si="9"/>
        <v>5868.6936970550078</v>
      </c>
      <c r="U54" s="49">
        <f t="shared" si="9"/>
        <v>4792.6858062969604</v>
      </c>
      <c r="V54" s="49">
        <f t="shared" si="9"/>
        <v>2795.7314610209273</v>
      </c>
      <c r="W54" s="49">
        <f t="shared" si="9"/>
        <v>1590.7903892197296</v>
      </c>
      <c r="X54" s="49">
        <f t="shared" si="9"/>
        <v>5450.795201949175</v>
      </c>
      <c r="Y54" s="49">
        <f t="shared" si="9"/>
        <v>1723.9942346947041</v>
      </c>
      <c r="Z54" s="49">
        <f t="shared" si="9"/>
        <v>5168.2531931113035</v>
      </c>
      <c r="AA54" s="49">
        <f t="shared" si="9"/>
        <v>1298.0219414652354</v>
      </c>
      <c r="AB54" s="49">
        <f t="shared" si="9"/>
        <v>2255.5719571463492</v>
      </c>
      <c r="AC54" s="49">
        <f t="shared" si="9"/>
        <v>2668.5818873527087</v>
      </c>
      <c r="AD54" s="49">
        <f t="shared" si="9"/>
        <v>930.45627585255136</v>
      </c>
      <c r="AE54" s="49">
        <f t="shared" si="9"/>
        <v>2032.0308216779849</v>
      </c>
      <c r="AF54" s="49">
        <f t="shared" si="9"/>
        <v>1380.2779639217183</v>
      </c>
    </row>
    <row r="55" spans="2:32" x14ac:dyDescent="0.35">
      <c r="B55" t="s">
        <v>63</v>
      </c>
      <c r="C55" s="49">
        <f t="shared" si="10"/>
        <v>137283.66415076813</v>
      </c>
      <c r="D55" s="49">
        <f t="shared" si="9"/>
        <v>16825.261532160002</v>
      </c>
      <c r="E55" s="49">
        <f t="shared" si="9"/>
        <v>20887.399535431581</v>
      </c>
      <c r="F55" s="49">
        <f t="shared" si="9"/>
        <v>11651.227669470969</v>
      </c>
      <c r="G55" s="49">
        <f t="shared" si="9"/>
        <v>9229.8103833295609</v>
      </c>
      <c r="H55" s="49">
        <f t="shared" si="9"/>
        <v>11898.339566400002</v>
      </c>
      <c r="I55" s="49">
        <f t="shared" si="9"/>
        <v>9721.4548333645907</v>
      </c>
      <c r="J55" s="49">
        <f t="shared" si="9"/>
        <v>6063.7965475848796</v>
      </c>
      <c r="K55" s="49">
        <f t="shared" si="9"/>
        <v>5389.6517240603771</v>
      </c>
      <c r="L55" s="49">
        <f t="shared" si="9"/>
        <v>2502.1653354281589</v>
      </c>
      <c r="M55" s="49">
        <f t="shared" si="9"/>
        <v>1412.5405466712029</v>
      </c>
      <c r="N55" s="49">
        <f t="shared" si="9"/>
        <v>4281.6108902970309</v>
      </c>
      <c r="O55" s="49">
        <f t="shared" si="9"/>
        <v>3060.6599898885688</v>
      </c>
      <c r="P55" s="49">
        <f t="shared" si="9"/>
        <v>2826.9520552375848</v>
      </c>
      <c r="Q55" s="49">
        <f t="shared" si="9"/>
        <v>4568.2558665557999</v>
      </c>
      <c r="R55" s="49">
        <f t="shared" si="9"/>
        <v>5810.0505688138237</v>
      </c>
      <c r="S55" s="49">
        <f t="shared" si="9"/>
        <v>53991.776668775696</v>
      </c>
      <c r="T55" s="49">
        <f t="shared" si="9"/>
        <v>23863.261786273684</v>
      </c>
      <c r="U55" s="49">
        <f t="shared" si="9"/>
        <v>15635.779301244049</v>
      </c>
      <c r="V55" s="49">
        <f t="shared" si="9"/>
        <v>11331.09653333574</v>
      </c>
      <c r="W55" s="49">
        <f t="shared" si="9"/>
        <v>5583.7564731520006</v>
      </c>
      <c r="X55" s="49">
        <f t="shared" si="9"/>
        <v>19433.800643001272</v>
      </c>
      <c r="Y55" s="49">
        <f t="shared" si="9"/>
        <v>6032.0681866067416</v>
      </c>
      <c r="Z55" s="49">
        <f t="shared" si="9"/>
        <v>19610.197532850954</v>
      </c>
      <c r="AA55" s="49">
        <f t="shared" si="9"/>
        <v>4840.3726360799956</v>
      </c>
      <c r="AB55" s="49">
        <f t="shared" si="9"/>
        <v>7418.5893815393893</v>
      </c>
      <c r="AC55" s="49">
        <f t="shared" si="9"/>
        <v>8970.9749575615388</v>
      </c>
      <c r="AD55" s="49">
        <f t="shared" si="9"/>
        <v>3507.8098398874376</v>
      </c>
      <c r="AE55" s="49">
        <f t="shared" si="9"/>
        <v>8178.5378688936598</v>
      </c>
      <c r="AF55" s="49">
        <f t="shared" si="9"/>
        <v>4808.7052290782613</v>
      </c>
    </row>
  </sheetData>
  <mergeCells count="1">
    <mergeCell ref="E1:F1"/>
  </mergeCells>
  <conditionalFormatting sqref="C21:AF21">
    <cfRule type="cellIs" dxfId="7" priority="17" operator="greaterThan">
      <formula>0.079</formula>
    </cfRule>
    <cfRule type="cellIs" dxfId="6" priority="18" operator="lessThan">
      <formula>0.055</formula>
    </cfRule>
  </conditionalFormatting>
  <conditionalFormatting sqref="C22:AF22">
    <cfRule type="cellIs" dxfId="5" priority="19" operator="greaterThan">
      <formula>0.06</formula>
    </cfRule>
    <cfRule type="cellIs" dxfId="4" priority="20" operator="lessThan">
      <formula>0.038</formula>
    </cfRule>
  </conditionalFormatting>
  <conditionalFormatting sqref="C24:AF24">
    <cfRule type="cellIs" dxfId="3" priority="21" operator="greaterThan">
      <formula>0.104</formula>
    </cfRule>
    <cfRule type="cellIs" dxfId="2" priority="22" operator="lessThan">
      <formula>0.082</formula>
    </cfRule>
  </conditionalFormatting>
  <conditionalFormatting sqref="C26:AF26">
    <cfRule type="cellIs" dxfId="1" priority="23" operator="greaterThan">
      <formula>0.2</formula>
    </cfRule>
    <cfRule type="cellIs" dxfId="0" priority="24" operator="lessThan">
      <formula>0.17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ADA85-595A-4C7E-BE52-92FAD7657C4A}">
  <sheetPr codeName="Sheet3"/>
  <dimension ref="B2:M9"/>
  <sheetViews>
    <sheetView zoomScale="80" zoomScaleNormal="80" workbookViewId="0"/>
  </sheetViews>
  <sheetFormatPr defaultRowHeight="14.5" x14ac:dyDescent="0.35"/>
  <cols>
    <col min="2" max="2" width="18" bestFit="1" customWidth="1"/>
    <col min="3" max="3" width="16.26953125" customWidth="1"/>
    <col min="4" max="4" width="9.7265625" bestFit="1" customWidth="1"/>
    <col min="5" max="5" width="30.7265625" customWidth="1"/>
  </cols>
  <sheetData>
    <row r="2" spans="2:13" x14ac:dyDescent="0.35">
      <c r="C2" s="56" t="s">
        <v>43</v>
      </c>
      <c r="D2" s="56"/>
      <c r="E2" s="56" t="s">
        <v>44</v>
      </c>
      <c r="F2" s="56"/>
    </row>
    <row r="3" spans="2:13" x14ac:dyDescent="0.35">
      <c r="B3" s="24" t="s">
        <v>45</v>
      </c>
      <c r="C3" s="24" t="s">
        <v>38</v>
      </c>
      <c r="D3" s="24" t="s">
        <v>42</v>
      </c>
      <c r="E3" s="24"/>
      <c r="F3" s="24" t="s">
        <v>42</v>
      </c>
      <c r="G3" s="24" t="s">
        <v>16</v>
      </c>
    </row>
    <row r="4" spans="2:13" x14ac:dyDescent="0.35">
      <c r="B4" s="21" t="s">
        <v>4</v>
      </c>
      <c r="C4" s="20">
        <f>D4*$C$9</f>
        <v>3297.3804799999998</v>
      </c>
      <c r="D4" s="10">
        <v>0.35799999999999998</v>
      </c>
      <c r="F4" s="20"/>
      <c r="G4" s="10">
        <v>5.3999999999999999E-2</v>
      </c>
      <c r="L4" s="10"/>
      <c r="M4" s="10"/>
    </row>
    <row r="5" spans="2:13" x14ac:dyDescent="0.35">
      <c r="B5" s="21" t="s">
        <v>6</v>
      </c>
      <c r="C5" s="20">
        <f>D5*$C$9</f>
        <v>497.37023999999997</v>
      </c>
      <c r="D5" s="10">
        <v>5.3999999999999999E-2</v>
      </c>
      <c r="F5" s="20"/>
      <c r="G5" s="10">
        <v>5.6000000000000001E-2</v>
      </c>
      <c r="H5" s="11"/>
      <c r="L5" s="10"/>
      <c r="M5" s="10"/>
    </row>
    <row r="6" spans="2:13" x14ac:dyDescent="0.35">
      <c r="B6" s="21" t="s">
        <v>21</v>
      </c>
      <c r="C6" s="20">
        <f>D6*$C$9</f>
        <v>2127.6393600000001</v>
      </c>
      <c r="D6" s="10">
        <v>0.23100000000000001</v>
      </c>
      <c r="F6" s="20"/>
      <c r="G6" s="10">
        <v>0.05</v>
      </c>
      <c r="L6" s="10"/>
      <c r="M6" s="10"/>
    </row>
    <row r="7" spans="2:13" x14ac:dyDescent="0.35">
      <c r="B7" s="21" t="s">
        <v>22</v>
      </c>
      <c r="C7" s="20">
        <f>D7*$C$9</f>
        <v>2634.2201599999999</v>
      </c>
      <c r="D7" s="10">
        <v>0.28599999999999998</v>
      </c>
      <c r="F7" s="20"/>
      <c r="G7" s="10">
        <v>7.0999999999999994E-2</v>
      </c>
      <c r="I7" s="28"/>
      <c r="L7" s="10"/>
      <c r="M7" s="10"/>
    </row>
    <row r="8" spans="2:13" x14ac:dyDescent="0.35">
      <c r="B8" s="21" t="s">
        <v>37</v>
      </c>
      <c r="C8" s="20">
        <f>D8*$C$9</f>
        <v>653.94975999999951</v>
      </c>
      <c r="D8" s="10">
        <f>1-SUM(D4:D7)</f>
        <v>7.0999999999999952E-2</v>
      </c>
      <c r="F8" s="20"/>
      <c r="G8" s="10">
        <v>0.06</v>
      </c>
      <c r="L8" s="10"/>
      <c r="M8" s="10"/>
    </row>
    <row r="9" spans="2:13" x14ac:dyDescent="0.35">
      <c r="B9" s="19" t="s">
        <v>27</v>
      </c>
      <c r="C9">
        <v>9210.56</v>
      </c>
      <c r="D9" s="27">
        <f>SUM(D4:D8)</f>
        <v>1</v>
      </c>
      <c r="E9" s="34"/>
      <c r="F9" s="20"/>
      <c r="G9" s="27"/>
    </row>
  </sheetData>
  <mergeCells count="2">
    <mergeCell ref="C2:D2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ASP</vt:lpstr>
      <vt:lpstr>Market 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Sharma</dc:creator>
  <cp:lastModifiedBy>Omkar Munde</cp:lastModifiedBy>
  <dcterms:created xsi:type="dcterms:W3CDTF">2015-06-05T18:17:20Z</dcterms:created>
  <dcterms:modified xsi:type="dcterms:W3CDTF">2026-06-19T08:28:43Z</dcterms:modified>
</cp:coreProperties>
</file>