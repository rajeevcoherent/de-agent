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 firstSheet="5" activeTab="5"/>
  </bookViews>
  <sheets>
    <sheet name="Sheet1" sheetId="1" state="hidden" r:id="rId1"/>
    <sheet name="Input Sheet" sheetId="2" state="hidden" r:id="rId2"/>
    <sheet name="ASP" sheetId="3" state="hidden" r:id="rId3"/>
    <sheet name="Republic of Ireland" sheetId="4" state="hidden" r:id="rId4"/>
    <sheet name="Sheet2" sheetId="6" state="hidden" r:id="rId5"/>
    <sheet name="Data" sheetId="15" r:id="rId6"/>
    <sheet name="ASP " sheetId="16" r:id="rId7"/>
    <sheet name="Domestic Production" sheetId="9" state="hidden" r:id="rId8"/>
    <sheet name="Supplier Side" sheetId="11" state="hidden" r:id="rId9"/>
    <sheet name="Countries" sheetId="7" state="hidden" r:id="rId10"/>
    <sheet name="Sources" sheetId="8" state="hidden" r:id="rId11"/>
    <sheet name="Sheet6" sheetId="10" state="hidden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5" i="15" l="1"/>
  <c r="AA65" i="15"/>
  <c r="Z65" i="15"/>
  <c r="Y65" i="15"/>
  <c r="BA64" i="15" s="1"/>
  <c r="X65" i="15"/>
  <c r="W65" i="15"/>
  <c r="V65" i="15"/>
  <c r="U65" i="15"/>
  <c r="AW64" i="15" s="1"/>
  <c r="T65" i="15"/>
  <c r="S65" i="15"/>
  <c r="R65" i="15"/>
  <c r="Q65" i="15"/>
  <c r="AS64" i="15" s="1"/>
  <c r="P65" i="15"/>
  <c r="O65" i="15"/>
  <c r="N65" i="15"/>
  <c r="M65" i="15"/>
  <c r="AO64" i="15" s="1"/>
  <c r="L65" i="15"/>
  <c r="K65" i="15"/>
  <c r="J65" i="15"/>
  <c r="I65" i="15"/>
  <c r="AK64" i="15" s="1"/>
  <c r="H65" i="15"/>
  <c r="G65" i="15"/>
  <c r="F65" i="15"/>
  <c r="E65" i="15"/>
  <c r="AG64" i="15" s="1"/>
  <c r="D65" i="15"/>
  <c r="C65" i="15"/>
  <c r="BD64" i="15"/>
  <c r="BC64" i="15"/>
  <c r="BB64" i="15"/>
  <c r="AZ64" i="15"/>
  <c r="AY64" i="15"/>
  <c r="AX64" i="15"/>
  <c r="AV64" i="15"/>
  <c r="AU64" i="15"/>
  <c r="AT64" i="15"/>
  <c r="AR64" i="15"/>
  <c r="AQ64" i="15"/>
  <c r="AP64" i="15"/>
  <c r="AN64" i="15"/>
  <c r="AM64" i="15"/>
  <c r="AL64" i="15"/>
  <c r="AJ64" i="15"/>
  <c r="AI64" i="15"/>
  <c r="AH64" i="15"/>
  <c r="AF64" i="15"/>
  <c r="AE64" i="15"/>
  <c r="AB60" i="15"/>
  <c r="AA60" i="15"/>
  <c r="BC59" i="15" s="1"/>
  <c r="Z60" i="15"/>
  <c r="BB59" i="15" s="1"/>
  <c r="Y60" i="15"/>
  <c r="BA59" i="15" s="1"/>
  <c r="X60" i="15"/>
  <c r="W60" i="15"/>
  <c r="V60" i="15"/>
  <c r="AX59" i="15" s="1"/>
  <c r="U60" i="15"/>
  <c r="AW59" i="15" s="1"/>
  <c r="T60" i="15"/>
  <c r="S60" i="15"/>
  <c r="R60" i="15"/>
  <c r="Q60" i="15"/>
  <c r="AS59" i="15" s="1"/>
  <c r="P60" i="15"/>
  <c r="AR59" i="15" s="1"/>
  <c r="O60" i="15"/>
  <c r="AQ59" i="15" s="1"/>
  <c r="N60" i="15"/>
  <c r="AP59" i="15" s="1"/>
  <c r="M60" i="15"/>
  <c r="AO59" i="15" s="1"/>
  <c r="L60" i="15"/>
  <c r="K60" i="15"/>
  <c r="AM59" i="15" s="1"/>
  <c r="J60" i="15"/>
  <c r="AL59" i="15" s="1"/>
  <c r="I60" i="15"/>
  <c r="AK59" i="15" s="1"/>
  <c r="H60" i="15"/>
  <c r="G60" i="15"/>
  <c r="F60" i="15"/>
  <c r="AH59" i="15" s="1"/>
  <c r="E60" i="15"/>
  <c r="AG59" i="15" s="1"/>
  <c r="D60" i="15"/>
  <c r="C60" i="15"/>
  <c r="BD59" i="15"/>
  <c r="AZ59" i="15"/>
  <c r="AY59" i="15"/>
  <c r="AV59" i="15"/>
  <c r="AU59" i="15"/>
  <c r="AT59" i="15"/>
  <c r="AN59" i="15"/>
  <c r="AJ59" i="15"/>
  <c r="AI59" i="15"/>
  <c r="AF59" i="15"/>
  <c r="AE59" i="15"/>
  <c r="AB55" i="15"/>
  <c r="BD54" i="15" s="1"/>
  <c r="AA55" i="15"/>
  <c r="Z55" i="15"/>
  <c r="Y55" i="15"/>
  <c r="BA54" i="15" s="1"/>
  <c r="X55" i="15"/>
  <c r="AZ54" i="15" s="1"/>
  <c r="W55" i="15"/>
  <c r="V55" i="15"/>
  <c r="U55" i="15"/>
  <c r="AW54" i="15" s="1"/>
  <c r="T55" i="15"/>
  <c r="S55" i="15"/>
  <c r="R55" i="15"/>
  <c r="Q55" i="15"/>
  <c r="AS54" i="15" s="1"/>
  <c r="P55" i="15"/>
  <c r="AR54" i="15" s="1"/>
  <c r="O55" i="15"/>
  <c r="N55" i="15"/>
  <c r="AP54" i="15" s="1"/>
  <c r="M55" i="15"/>
  <c r="AO54" i="15" s="1"/>
  <c r="L55" i="15"/>
  <c r="AN54" i="15" s="1"/>
  <c r="K55" i="15"/>
  <c r="J55" i="15"/>
  <c r="I55" i="15"/>
  <c r="AK54" i="15" s="1"/>
  <c r="H55" i="15"/>
  <c r="AJ54" i="15" s="1"/>
  <c r="G55" i="15"/>
  <c r="F55" i="15"/>
  <c r="E55" i="15"/>
  <c r="AG54" i="15" s="1"/>
  <c r="D55" i="15"/>
  <c r="C55" i="15"/>
  <c r="BC54" i="15"/>
  <c r="BB54" i="15"/>
  <c r="AY54" i="15"/>
  <c r="AX54" i="15"/>
  <c r="AV54" i="15"/>
  <c r="AU54" i="15"/>
  <c r="AT54" i="15"/>
  <c r="AQ54" i="15"/>
  <c r="AM54" i="15"/>
  <c r="AL54" i="15"/>
  <c r="AI54" i="15"/>
  <c r="AH54" i="15"/>
  <c r="AF54" i="15"/>
  <c r="AE54" i="15"/>
  <c r="AB50" i="15"/>
  <c r="AA50" i="15"/>
  <c r="BC49" i="15" s="1"/>
  <c r="Z50" i="15"/>
  <c r="BB49" i="15" s="1"/>
  <c r="Y50" i="15"/>
  <c r="BA49" i="15" s="1"/>
  <c r="X50" i="15"/>
  <c r="W50" i="15"/>
  <c r="V50" i="15"/>
  <c r="AX49" i="15" s="1"/>
  <c r="U50" i="15"/>
  <c r="AW49" i="15" s="1"/>
  <c r="T50" i="15"/>
  <c r="S50" i="15"/>
  <c r="R50" i="15"/>
  <c r="Q50" i="15"/>
  <c r="AS49" i="15" s="1"/>
  <c r="P50" i="15"/>
  <c r="AR49" i="15" s="1"/>
  <c r="O50" i="15"/>
  <c r="AQ49" i="15" s="1"/>
  <c r="N50" i="15"/>
  <c r="AP49" i="15" s="1"/>
  <c r="M50" i="15"/>
  <c r="AO49" i="15" s="1"/>
  <c r="L50" i="15"/>
  <c r="K50" i="15"/>
  <c r="AM49" i="15" s="1"/>
  <c r="J50" i="15"/>
  <c r="AL49" i="15" s="1"/>
  <c r="I50" i="15"/>
  <c r="AK49" i="15" s="1"/>
  <c r="H50" i="15"/>
  <c r="G50" i="15"/>
  <c r="F50" i="15"/>
  <c r="AH49" i="15" s="1"/>
  <c r="E50" i="15"/>
  <c r="AG49" i="15" s="1"/>
  <c r="D50" i="15"/>
  <c r="C50" i="15"/>
  <c r="BD49" i="15"/>
  <c r="AZ49" i="15"/>
  <c r="AY49" i="15"/>
  <c r="AV49" i="15"/>
  <c r="AU49" i="15"/>
  <c r="AT49" i="15"/>
  <c r="AN49" i="15"/>
  <c r="AJ49" i="15"/>
  <c r="AI49" i="15"/>
  <c r="AF49" i="15"/>
  <c r="AE49" i="15"/>
  <c r="AB45" i="15"/>
  <c r="BD44" i="15" s="1"/>
  <c r="AA45" i="15"/>
  <c r="Z45" i="15"/>
  <c r="Y45" i="15"/>
  <c r="BA44" i="15" s="1"/>
  <c r="X45" i="15"/>
  <c r="AZ44" i="15" s="1"/>
  <c r="W45" i="15"/>
  <c r="V45" i="15"/>
  <c r="U45" i="15"/>
  <c r="AW44" i="15" s="1"/>
  <c r="AW43" i="15" s="1"/>
  <c r="T45" i="15"/>
  <c r="S45" i="15"/>
  <c r="R45" i="15"/>
  <c r="Q45" i="15"/>
  <c r="AS44" i="15" s="1"/>
  <c r="AS43" i="15" s="1"/>
  <c r="P45" i="15"/>
  <c r="AR44" i="15" s="1"/>
  <c r="O45" i="15"/>
  <c r="N45" i="15"/>
  <c r="AP44" i="15" s="1"/>
  <c r="AP43" i="15" s="1"/>
  <c r="M45" i="15"/>
  <c r="AO44" i="15" s="1"/>
  <c r="AO43" i="15" s="1"/>
  <c r="L45" i="15"/>
  <c r="AN44" i="15" s="1"/>
  <c r="K45" i="15"/>
  <c r="J45" i="15"/>
  <c r="I45" i="15"/>
  <c r="AK44" i="15" s="1"/>
  <c r="AK43" i="15" s="1"/>
  <c r="H45" i="15"/>
  <c r="AJ44" i="15" s="1"/>
  <c r="G45" i="15"/>
  <c r="F45" i="15"/>
  <c r="E45" i="15"/>
  <c r="AG44" i="15" s="1"/>
  <c r="AG43" i="15" s="1"/>
  <c r="D45" i="15"/>
  <c r="C45" i="15"/>
  <c r="BC44" i="15"/>
  <c r="BB44" i="15"/>
  <c r="BB43" i="15" s="1"/>
  <c r="AY44" i="15"/>
  <c r="AX44" i="15"/>
  <c r="AX43" i="15" s="1"/>
  <c r="AV44" i="15"/>
  <c r="AV43" i="15" s="1"/>
  <c r="AU44" i="15"/>
  <c r="AT44" i="15"/>
  <c r="AQ44" i="15"/>
  <c r="AM44" i="15"/>
  <c r="AL44" i="15"/>
  <c r="AL43" i="15" s="1"/>
  <c r="AI44" i="15"/>
  <c r="AH44" i="15"/>
  <c r="AH43" i="15" s="1"/>
  <c r="AF44" i="15"/>
  <c r="AF43" i="15" s="1"/>
  <c r="AE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Y43" i="15"/>
  <c r="AU43" i="15"/>
  <c r="AT43" i="15"/>
  <c r="AI43" i="15"/>
  <c r="AE43" i="15"/>
  <c r="AQ43" i="15" l="1"/>
  <c r="AM43" i="15"/>
  <c r="BC43" i="15"/>
  <c r="AJ43" i="15"/>
  <c r="AN43" i="15"/>
  <c r="AR43" i="15"/>
  <c r="AZ43" i="15"/>
  <c r="BD43" i="15"/>
  <c r="BA43" i="15"/>
  <c r="D59" i="16"/>
  <c r="D84" i="16" s="1"/>
  <c r="D113" i="16" s="1"/>
  <c r="E59" i="16"/>
  <c r="E83" i="16" s="1"/>
  <c r="E112" i="16" s="1"/>
  <c r="F59" i="16"/>
  <c r="G59" i="16"/>
  <c r="G78" i="16" s="1"/>
  <c r="H59" i="16"/>
  <c r="H84" i="16" s="1"/>
  <c r="H113" i="16" s="1"/>
  <c r="I59" i="16"/>
  <c r="I78" i="16" s="1"/>
  <c r="I81" i="16" s="1"/>
  <c r="I110" i="16" s="1"/>
  <c r="J59" i="16"/>
  <c r="K59" i="16"/>
  <c r="K83" i="16" s="1"/>
  <c r="K112" i="16" s="1"/>
  <c r="L59" i="16"/>
  <c r="L84" i="16" s="1"/>
  <c r="L113" i="16" s="1"/>
  <c r="M59" i="16"/>
  <c r="M83" i="16" s="1"/>
  <c r="M112" i="16" s="1"/>
  <c r="N59" i="16"/>
  <c r="O59" i="16"/>
  <c r="O78" i="16" s="1"/>
  <c r="P59" i="16"/>
  <c r="P84" i="16" s="1"/>
  <c r="P113" i="16" s="1"/>
  <c r="Q59" i="16"/>
  <c r="Q78" i="16" s="1"/>
  <c r="Q79" i="16" s="1"/>
  <c r="Q108" i="16" s="1"/>
  <c r="R59" i="16"/>
  <c r="S59" i="16"/>
  <c r="S83" i="16" s="1"/>
  <c r="S112" i="16" s="1"/>
  <c r="T59" i="16"/>
  <c r="T84" i="16" s="1"/>
  <c r="T113" i="16" s="1"/>
  <c r="U59" i="16"/>
  <c r="U83" i="16" s="1"/>
  <c r="U112" i="16" s="1"/>
  <c r="V59" i="16"/>
  <c r="W59" i="16"/>
  <c r="W78" i="16" s="1"/>
  <c r="X59" i="16"/>
  <c r="X84" i="16" s="1"/>
  <c r="X113" i="16" s="1"/>
  <c r="Y59" i="16"/>
  <c r="Y78" i="16" s="1"/>
  <c r="Y81" i="16" s="1"/>
  <c r="Y110" i="16" s="1"/>
  <c r="Z59" i="16"/>
  <c r="AA59" i="16"/>
  <c r="AA83" i="16" s="1"/>
  <c r="AA112" i="16" s="1"/>
  <c r="AB59" i="16"/>
  <c r="AB84" i="16" s="1"/>
  <c r="AB113" i="16" s="1"/>
  <c r="C59" i="16"/>
  <c r="C84" i="16" s="1"/>
  <c r="C113" i="16" s="1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R17" i="15"/>
  <c r="BD17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AE2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C71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C30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C5" i="15"/>
  <c r="D24" i="15"/>
  <c r="AF21" i="15" s="1"/>
  <c r="E24" i="15"/>
  <c r="AG21" i="15" s="1"/>
  <c r="F24" i="15"/>
  <c r="AH21" i="15" s="1"/>
  <c r="G24" i="15"/>
  <c r="AI21" i="15" s="1"/>
  <c r="H24" i="15"/>
  <c r="AJ21" i="15" s="1"/>
  <c r="I24" i="15"/>
  <c r="AK21" i="15" s="1"/>
  <c r="J24" i="15"/>
  <c r="AL21" i="15" s="1"/>
  <c r="K24" i="15"/>
  <c r="AM21" i="15" s="1"/>
  <c r="L24" i="15"/>
  <c r="AN21" i="15" s="1"/>
  <c r="M24" i="15"/>
  <c r="AO21" i="15" s="1"/>
  <c r="N24" i="15"/>
  <c r="AP21" i="15" s="1"/>
  <c r="O24" i="15"/>
  <c r="AQ21" i="15" s="1"/>
  <c r="P24" i="15"/>
  <c r="AR21" i="15" s="1"/>
  <c r="Q24" i="15"/>
  <c r="AS21" i="15" s="1"/>
  <c r="R24" i="15"/>
  <c r="AT21" i="15" s="1"/>
  <c r="S24" i="15"/>
  <c r="AU21" i="15" s="1"/>
  <c r="T24" i="15"/>
  <c r="AV21" i="15" s="1"/>
  <c r="U24" i="15"/>
  <c r="AW21" i="15" s="1"/>
  <c r="V24" i="15"/>
  <c r="AX21" i="15" s="1"/>
  <c r="W24" i="15"/>
  <c r="AY21" i="15" s="1"/>
  <c r="X24" i="15"/>
  <c r="AZ21" i="15" s="1"/>
  <c r="Y24" i="15"/>
  <c r="BA21" i="15" s="1"/>
  <c r="Z24" i="15"/>
  <c r="BB21" i="15" s="1"/>
  <c r="AA24" i="15"/>
  <c r="BC21" i="15" s="1"/>
  <c r="AB24" i="15"/>
  <c r="BD21" i="15" s="1"/>
  <c r="C24" i="15"/>
  <c r="AE21" i="15" s="1"/>
  <c r="D18" i="15"/>
  <c r="AF17" i="15" s="1"/>
  <c r="E18" i="15"/>
  <c r="AG17" i="15" s="1"/>
  <c r="F18" i="15"/>
  <c r="AH17" i="15" s="1"/>
  <c r="G18" i="15"/>
  <c r="AI17" i="15" s="1"/>
  <c r="H18" i="15"/>
  <c r="AJ17" i="15" s="1"/>
  <c r="I18" i="15"/>
  <c r="AK17" i="15" s="1"/>
  <c r="J18" i="15"/>
  <c r="AL17" i="15" s="1"/>
  <c r="K18" i="15"/>
  <c r="AM17" i="15" s="1"/>
  <c r="L18" i="15"/>
  <c r="AN17" i="15" s="1"/>
  <c r="M18" i="15"/>
  <c r="AO17" i="15" s="1"/>
  <c r="N18" i="15"/>
  <c r="AP17" i="15" s="1"/>
  <c r="O18" i="15"/>
  <c r="AQ17" i="15" s="1"/>
  <c r="P18" i="15"/>
  <c r="Q18" i="15"/>
  <c r="AS17" i="15" s="1"/>
  <c r="R18" i="15"/>
  <c r="AT17" i="15" s="1"/>
  <c r="S18" i="15"/>
  <c r="AU17" i="15" s="1"/>
  <c r="T18" i="15"/>
  <c r="AV17" i="15" s="1"/>
  <c r="U18" i="15"/>
  <c r="AW17" i="15" s="1"/>
  <c r="V18" i="15"/>
  <c r="AX17" i="15" s="1"/>
  <c r="W18" i="15"/>
  <c r="AY17" i="15" s="1"/>
  <c r="X18" i="15"/>
  <c r="AZ17" i="15" s="1"/>
  <c r="Y18" i="15"/>
  <c r="BA17" i="15" s="1"/>
  <c r="Z18" i="15"/>
  <c r="BB17" i="15" s="1"/>
  <c r="AA18" i="15"/>
  <c r="BC17" i="15" s="1"/>
  <c r="AB18" i="15"/>
  <c r="C18" i="15"/>
  <c r="AE17" i="15" s="1"/>
  <c r="AB15" i="15"/>
  <c r="BD14" i="15" s="1"/>
  <c r="AA15" i="15"/>
  <c r="BC14" i="15" s="1"/>
  <c r="Z15" i="15"/>
  <c r="BB14" i="15" s="1"/>
  <c r="Y15" i="15"/>
  <c r="BA14" i="15" s="1"/>
  <c r="X15" i="15"/>
  <c r="AZ14" i="15" s="1"/>
  <c r="W15" i="15"/>
  <c r="AY14" i="15" s="1"/>
  <c r="V15" i="15"/>
  <c r="AX14" i="15" s="1"/>
  <c r="U15" i="15"/>
  <c r="AW14" i="15" s="1"/>
  <c r="T15" i="15"/>
  <c r="AV14" i="15" s="1"/>
  <c r="S15" i="15"/>
  <c r="AU14" i="15" s="1"/>
  <c r="R15" i="15"/>
  <c r="AT14" i="15" s="1"/>
  <c r="Q15" i="15"/>
  <c r="AS14" i="15" s="1"/>
  <c r="P15" i="15"/>
  <c r="AR14" i="15" s="1"/>
  <c r="O15" i="15"/>
  <c r="AQ14" i="15" s="1"/>
  <c r="N15" i="15"/>
  <c r="AP14" i="15" s="1"/>
  <c r="M15" i="15"/>
  <c r="AO14" i="15" s="1"/>
  <c r="L15" i="15"/>
  <c r="AN14" i="15" s="1"/>
  <c r="K15" i="15"/>
  <c r="AM14" i="15" s="1"/>
  <c r="J15" i="15"/>
  <c r="AL14" i="15" s="1"/>
  <c r="I15" i="15"/>
  <c r="AK14" i="15" s="1"/>
  <c r="H15" i="15"/>
  <c r="AJ14" i="15" s="1"/>
  <c r="G15" i="15"/>
  <c r="AI14" i="15" s="1"/>
  <c r="F15" i="15"/>
  <c r="AH14" i="15" s="1"/>
  <c r="E15" i="15"/>
  <c r="AG14" i="15" s="1"/>
  <c r="D15" i="15"/>
  <c r="AF14" i="15" s="1"/>
  <c r="C15" i="15"/>
  <c r="AE14" i="15" s="1"/>
  <c r="D12" i="15"/>
  <c r="AF11" i="15" s="1"/>
  <c r="E12" i="15"/>
  <c r="AG11" i="15" s="1"/>
  <c r="F12" i="15"/>
  <c r="AH11" i="15" s="1"/>
  <c r="G12" i="15"/>
  <c r="AI11" i="15" s="1"/>
  <c r="H12" i="15"/>
  <c r="AJ11" i="15" s="1"/>
  <c r="I12" i="15"/>
  <c r="AK11" i="15" s="1"/>
  <c r="J12" i="15"/>
  <c r="AL11" i="15" s="1"/>
  <c r="K12" i="15"/>
  <c r="AM11" i="15" s="1"/>
  <c r="L12" i="15"/>
  <c r="AN11" i="15" s="1"/>
  <c r="M12" i="15"/>
  <c r="AO11" i="15" s="1"/>
  <c r="N12" i="15"/>
  <c r="AP11" i="15" s="1"/>
  <c r="O12" i="15"/>
  <c r="AQ11" i="15" s="1"/>
  <c r="P12" i="15"/>
  <c r="AR11" i="15" s="1"/>
  <c r="Q12" i="15"/>
  <c r="AS11" i="15" s="1"/>
  <c r="R12" i="15"/>
  <c r="AT11" i="15" s="1"/>
  <c r="S12" i="15"/>
  <c r="AU11" i="15" s="1"/>
  <c r="T12" i="15"/>
  <c r="AV11" i="15" s="1"/>
  <c r="U12" i="15"/>
  <c r="AW11" i="15" s="1"/>
  <c r="V12" i="15"/>
  <c r="AX11" i="15" s="1"/>
  <c r="W12" i="15"/>
  <c r="AY11" i="15" s="1"/>
  <c r="X12" i="15"/>
  <c r="AZ11" i="15" s="1"/>
  <c r="Y12" i="15"/>
  <c r="BA11" i="15" s="1"/>
  <c r="Z12" i="15"/>
  <c r="BB11" i="15" s="1"/>
  <c r="AA12" i="15"/>
  <c r="BC11" i="15" s="1"/>
  <c r="AB12" i="15"/>
  <c r="BD11" i="15" s="1"/>
  <c r="C12" i="15"/>
  <c r="AE11" i="15" s="1"/>
  <c r="D6" i="15"/>
  <c r="AF5" i="15" s="1"/>
  <c r="E6" i="15"/>
  <c r="AG5" i="15" s="1"/>
  <c r="F6" i="15"/>
  <c r="AH5" i="15" s="1"/>
  <c r="G6" i="15"/>
  <c r="AI5" i="15" s="1"/>
  <c r="H6" i="15"/>
  <c r="AJ5" i="15" s="1"/>
  <c r="I6" i="15"/>
  <c r="AK5" i="15" s="1"/>
  <c r="J6" i="15"/>
  <c r="AL5" i="15" s="1"/>
  <c r="K6" i="15"/>
  <c r="AM5" i="15" s="1"/>
  <c r="L6" i="15"/>
  <c r="AN5" i="15" s="1"/>
  <c r="M6" i="15"/>
  <c r="AO5" i="15" s="1"/>
  <c r="N6" i="15"/>
  <c r="AP5" i="15" s="1"/>
  <c r="O6" i="15"/>
  <c r="AQ5" i="15" s="1"/>
  <c r="P6" i="15"/>
  <c r="AR5" i="15" s="1"/>
  <c r="Q6" i="15"/>
  <c r="AS5" i="15" s="1"/>
  <c r="R6" i="15"/>
  <c r="AT5" i="15" s="1"/>
  <c r="S6" i="15"/>
  <c r="AU5" i="15" s="1"/>
  <c r="T6" i="15"/>
  <c r="AV5" i="15" s="1"/>
  <c r="U6" i="15"/>
  <c r="AW5" i="15" s="1"/>
  <c r="V6" i="15"/>
  <c r="AX5" i="15" s="1"/>
  <c r="W6" i="15"/>
  <c r="AY5" i="15" s="1"/>
  <c r="X6" i="15"/>
  <c r="AZ5" i="15" s="1"/>
  <c r="Y6" i="15"/>
  <c r="BA5" i="15" s="1"/>
  <c r="Z6" i="15"/>
  <c r="BB5" i="15" s="1"/>
  <c r="AA6" i="15"/>
  <c r="BC5" i="15" s="1"/>
  <c r="AB6" i="15"/>
  <c r="BD5" i="15" s="1"/>
  <c r="C6" i="15"/>
  <c r="AE5" i="15" s="1"/>
  <c r="I33" i="6"/>
  <c r="I34" i="6"/>
  <c r="I32" i="6"/>
  <c r="I31" i="6" s="1"/>
  <c r="I29" i="6"/>
  <c r="I30" i="6"/>
  <c r="I28" i="6"/>
  <c r="I27" i="6" s="1"/>
  <c r="I24" i="6"/>
  <c r="I25" i="6"/>
  <c r="I26" i="6"/>
  <c r="I23" i="6"/>
  <c r="I22" i="6" s="1"/>
  <c r="I16" i="6"/>
  <c r="I17" i="6"/>
  <c r="I18" i="6"/>
  <c r="I19" i="6"/>
  <c r="I20" i="6"/>
  <c r="I21" i="6"/>
  <c r="I15" i="6"/>
  <c r="I8" i="6"/>
  <c r="I9" i="6"/>
  <c r="I10" i="6"/>
  <c r="I11" i="6"/>
  <c r="I12" i="6"/>
  <c r="I13" i="6"/>
  <c r="I7" i="6"/>
  <c r="I6" i="6" s="1"/>
  <c r="I5" i="6"/>
  <c r="I4" i="6"/>
  <c r="I3" i="6" s="1"/>
  <c r="H35" i="6"/>
  <c r="H37" i="6" s="1"/>
  <c r="B35" i="9"/>
  <c r="B37" i="9" s="1"/>
  <c r="B37" i="7"/>
  <c r="B35" i="7"/>
  <c r="E36" i="7"/>
  <c r="E38" i="7" s="1"/>
  <c r="H35" i="9"/>
  <c r="H37" i="9" s="1"/>
  <c r="B22" i="6"/>
  <c r="B18" i="6"/>
  <c r="B14" i="6"/>
  <c r="B11" i="6"/>
  <c r="B8" i="6"/>
  <c r="B65" i="10"/>
  <c r="B61" i="10"/>
  <c r="B39" i="10"/>
  <c r="B32" i="10"/>
  <c r="B25" i="10"/>
  <c r="B65" i="6"/>
  <c r="B61" i="6"/>
  <c r="B39" i="6"/>
  <c r="B32" i="6"/>
  <c r="B25" i="6"/>
  <c r="D4" i="11"/>
  <c r="D5" i="11"/>
  <c r="D6" i="11"/>
  <c r="D7" i="11"/>
  <c r="D8" i="11"/>
  <c r="D9" i="11"/>
  <c r="D10" i="11"/>
  <c r="D11" i="11"/>
  <c r="D12" i="11"/>
  <c r="D3" i="11"/>
  <c r="D13" i="11"/>
  <c r="D16" i="11" s="1"/>
  <c r="D17" i="11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2" i="9"/>
  <c r="E34" i="9"/>
  <c r="AG11" i="3"/>
  <c r="AG6" i="3" s="1"/>
  <c r="AF11" i="3"/>
  <c r="AF6" i="3" s="1"/>
  <c r="AE11" i="3"/>
  <c r="AE6" i="3" s="1"/>
  <c r="AD11" i="3"/>
  <c r="AD6" i="3" s="1"/>
  <c r="AC11" i="3"/>
  <c r="AC6" i="3" s="1"/>
  <c r="AG10" i="3"/>
  <c r="AG5" i="3" s="1"/>
  <c r="AF10" i="3"/>
  <c r="AF5" i="3" s="1"/>
  <c r="AE10" i="3"/>
  <c r="AE5" i="3" s="1"/>
  <c r="AD10" i="3"/>
  <c r="AD5" i="3" s="1"/>
  <c r="AC10" i="3"/>
  <c r="AC5" i="3" s="1"/>
  <c r="AG9" i="3"/>
  <c r="AG4" i="3" s="1"/>
  <c r="AF9" i="3"/>
  <c r="AF4" i="3" s="1"/>
  <c r="AE9" i="3"/>
  <c r="AE4" i="3" s="1"/>
  <c r="AD9" i="3"/>
  <c r="AD4" i="3" s="1"/>
  <c r="AC9" i="3"/>
  <c r="AC4" i="3" s="1"/>
  <c r="AG8" i="3"/>
  <c r="AG3" i="3" s="1"/>
  <c r="AF8" i="3"/>
  <c r="AF3" i="3" s="1"/>
  <c r="AE8" i="3"/>
  <c r="AE3" i="3" s="1"/>
  <c r="AD8" i="3"/>
  <c r="AD3" i="3" s="1"/>
  <c r="AC8" i="3"/>
  <c r="AC3" i="3" s="1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T83" i="16" l="1"/>
  <c r="T112" i="16" s="1"/>
  <c r="C71" i="16"/>
  <c r="C72" i="16" s="1"/>
  <c r="C101" i="16" s="1"/>
  <c r="AB78" i="16"/>
  <c r="AB79" i="16" s="1"/>
  <c r="AB108" i="16" s="1"/>
  <c r="Q84" i="16"/>
  <c r="Q113" i="16" s="1"/>
  <c r="I68" i="16"/>
  <c r="I70" i="16" s="1"/>
  <c r="I99" i="16" s="1"/>
  <c r="Y74" i="16"/>
  <c r="Y75" i="16" s="1"/>
  <c r="Y104" i="16" s="1"/>
  <c r="C62" i="16"/>
  <c r="C64" i="16" s="1"/>
  <c r="C93" i="16" s="1"/>
  <c r="E74" i="16"/>
  <c r="E76" i="16" s="1"/>
  <c r="E105" i="16" s="1"/>
  <c r="Q82" i="16"/>
  <c r="Q111" i="16" s="1"/>
  <c r="U84" i="16"/>
  <c r="U113" i="16" s="1"/>
  <c r="M62" i="16"/>
  <c r="M67" i="16" s="1"/>
  <c r="M96" i="16" s="1"/>
  <c r="U74" i="16"/>
  <c r="U75" i="16" s="1"/>
  <c r="U104" i="16" s="1"/>
  <c r="Y82" i="16"/>
  <c r="Y111" i="16" s="1"/>
  <c r="AB62" i="16"/>
  <c r="AB64" i="16" s="1"/>
  <c r="AB93" i="16" s="1"/>
  <c r="L62" i="16"/>
  <c r="L67" i="16" s="1"/>
  <c r="L96" i="16" s="1"/>
  <c r="M68" i="16"/>
  <c r="M69" i="16" s="1"/>
  <c r="M98" i="16" s="1"/>
  <c r="D71" i="16"/>
  <c r="D72" i="16" s="1"/>
  <c r="D101" i="16" s="1"/>
  <c r="I74" i="16"/>
  <c r="I75" i="16" s="1"/>
  <c r="I104" i="16" s="1"/>
  <c r="H78" i="16"/>
  <c r="H80" i="16" s="1"/>
  <c r="H109" i="16" s="1"/>
  <c r="I82" i="16"/>
  <c r="I111" i="16" s="1"/>
  <c r="C83" i="16"/>
  <c r="C112" i="16" s="1"/>
  <c r="E84" i="16"/>
  <c r="E113" i="16" s="1"/>
  <c r="Y84" i="16"/>
  <c r="Y113" i="16" s="1"/>
  <c r="U62" i="16"/>
  <c r="U67" i="16" s="1"/>
  <c r="U96" i="16" s="1"/>
  <c r="E62" i="16"/>
  <c r="E65" i="16" s="1"/>
  <c r="E94" i="16" s="1"/>
  <c r="Q68" i="16"/>
  <c r="Q70" i="16" s="1"/>
  <c r="Q99" i="16" s="1"/>
  <c r="P71" i="16"/>
  <c r="P72" i="16" s="1"/>
  <c r="P101" i="16" s="1"/>
  <c r="Q74" i="16"/>
  <c r="Q77" i="16" s="1"/>
  <c r="Q106" i="16" s="1"/>
  <c r="L78" i="16"/>
  <c r="L79" i="16" s="1"/>
  <c r="L108" i="16" s="1"/>
  <c r="M82" i="16"/>
  <c r="M111" i="16" s="1"/>
  <c r="D83" i="16"/>
  <c r="D112" i="16" s="1"/>
  <c r="I84" i="16"/>
  <c r="I113" i="16" s="1"/>
  <c r="T62" i="16"/>
  <c r="T66" i="16" s="1"/>
  <c r="T95" i="16" s="1"/>
  <c r="D62" i="16"/>
  <c r="D63" i="16" s="1"/>
  <c r="D92" i="16" s="1"/>
  <c r="Y68" i="16"/>
  <c r="Y69" i="16" s="1"/>
  <c r="Y98" i="16" s="1"/>
  <c r="T71" i="16"/>
  <c r="T72" i="16" s="1"/>
  <c r="T101" i="16" s="1"/>
  <c r="X78" i="16"/>
  <c r="X80" i="16" s="1"/>
  <c r="X109" i="16" s="1"/>
  <c r="P83" i="16"/>
  <c r="P112" i="16" s="1"/>
  <c r="Y62" i="16"/>
  <c r="Y66" i="16" s="1"/>
  <c r="Y95" i="16" s="1"/>
  <c r="Q62" i="16"/>
  <c r="Q66" i="16" s="1"/>
  <c r="Q95" i="16" s="1"/>
  <c r="I62" i="16"/>
  <c r="I63" i="16" s="1"/>
  <c r="I92" i="16" s="1"/>
  <c r="E68" i="16"/>
  <c r="E69" i="16" s="1"/>
  <c r="E98" i="16" s="1"/>
  <c r="U68" i="16"/>
  <c r="U70" i="16" s="1"/>
  <c r="U99" i="16" s="1"/>
  <c r="H71" i="16"/>
  <c r="H72" i="16" s="1"/>
  <c r="H101" i="16" s="1"/>
  <c r="X71" i="16"/>
  <c r="X72" i="16" s="1"/>
  <c r="X101" i="16" s="1"/>
  <c r="M74" i="16"/>
  <c r="M75" i="16" s="1"/>
  <c r="M104" i="16" s="1"/>
  <c r="C78" i="16"/>
  <c r="C80" i="16" s="1"/>
  <c r="C109" i="16" s="1"/>
  <c r="P78" i="16"/>
  <c r="P79" i="16" s="1"/>
  <c r="P108" i="16" s="1"/>
  <c r="E82" i="16"/>
  <c r="E111" i="16" s="1"/>
  <c r="U82" i="16"/>
  <c r="U111" i="16" s="1"/>
  <c r="H83" i="16"/>
  <c r="H112" i="16" s="1"/>
  <c r="X83" i="16"/>
  <c r="X112" i="16" s="1"/>
  <c r="M84" i="16"/>
  <c r="M113" i="16" s="1"/>
  <c r="X62" i="16"/>
  <c r="X64" i="16" s="1"/>
  <c r="X93" i="16" s="1"/>
  <c r="P62" i="16"/>
  <c r="P67" i="16" s="1"/>
  <c r="P96" i="16" s="1"/>
  <c r="H62" i="16"/>
  <c r="H67" i="16" s="1"/>
  <c r="H96" i="16" s="1"/>
  <c r="L71" i="16"/>
  <c r="L72" i="16" s="1"/>
  <c r="L101" i="16" s="1"/>
  <c r="AB71" i="16"/>
  <c r="D78" i="16"/>
  <c r="D80" i="16" s="1"/>
  <c r="D109" i="16" s="1"/>
  <c r="T78" i="16"/>
  <c r="T79" i="16" s="1"/>
  <c r="T108" i="16" s="1"/>
  <c r="L83" i="16"/>
  <c r="L112" i="16" s="1"/>
  <c r="AB83" i="16"/>
  <c r="AB112" i="16" s="1"/>
  <c r="W80" i="16"/>
  <c r="W109" i="16" s="1"/>
  <c r="W79" i="16"/>
  <c r="W108" i="16" s="1"/>
  <c r="W81" i="16"/>
  <c r="W110" i="16" s="1"/>
  <c r="O80" i="16"/>
  <c r="O109" i="16" s="1"/>
  <c r="O79" i="16"/>
  <c r="O108" i="16" s="1"/>
  <c r="O81" i="16"/>
  <c r="O110" i="16" s="1"/>
  <c r="G80" i="16"/>
  <c r="G109" i="16" s="1"/>
  <c r="G79" i="16"/>
  <c r="G108" i="16" s="1"/>
  <c r="G81" i="16"/>
  <c r="G110" i="16" s="1"/>
  <c r="Z83" i="16"/>
  <c r="Z112" i="16" s="1"/>
  <c r="Z78" i="16"/>
  <c r="Z71" i="16"/>
  <c r="Z62" i="16"/>
  <c r="V83" i="16"/>
  <c r="V112" i="16" s="1"/>
  <c r="V78" i="16"/>
  <c r="V71" i="16"/>
  <c r="V62" i="16"/>
  <c r="R83" i="16"/>
  <c r="R112" i="16" s="1"/>
  <c r="R78" i="16"/>
  <c r="R71" i="16"/>
  <c r="R62" i="16"/>
  <c r="N83" i="16"/>
  <c r="N112" i="16" s="1"/>
  <c r="N78" i="16"/>
  <c r="N71" i="16"/>
  <c r="N62" i="16"/>
  <c r="J83" i="16"/>
  <c r="J112" i="16" s="1"/>
  <c r="J78" i="16"/>
  <c r="J71" i="16"/>
  <c r="J62" i="16"/>
  <c r="F83" i="16"/>
  <c r="F112" i="16" s="1"/>
  <c r="F78" i="16"/>
  <c r="F71" i="16"/>
  <c r="F62" i="16"/>
  <c r="J68" i="16"/>
  <c r="R68" i="16"/>
  <c r="Z68" i="16"/>
  <c r="F74" i="16"/>
  <c r="N74" i="16"/>
  <c r="V74" i="16"/>
  <c r="J82" i="16"/>
  <c r="J111" i="16" s="1"/>
  <c r="R82" i="16"/>
  <c r="R111" i="16" s="1"/>
  <c r="Z82" i="16"/>
  <c r="Z111" i="16" s="1"/>
  <c r="F84" i="16"/>
  <c r="F113" i="16" s="1"/>
  <c r="N84" i="16"/>
  <c r="N113" i="16" s="1"/>
  <c r="V84" i="16"/>
  <c r="V113" i="16" s="1"/>
  <c r="Y80" i="16"/>
  <c r="Y109" i="16" s="1"/>
  <c r="Y79" i="16"/>
  <c r="Y108" i="16" s="1"/>
  <c r="Q81" i="16"/>
  <c r="Q110" i="16" s="1"/>
  <c r="Q80" i="16"/>
  <c r="Q109" i="16" s="1"/>
  <c r="I80" i="16"/>
  <c r="I109" i="16" s="1"/>
  <c r="I79" i="16"/>
  <c r="I108" i="16" s="1"/>
  <c r="K71" i="16"/>
  <c r="S71" i="16"/>
  <c r="AA71" i="16"/>
  <c r="F68" i="16"/>
  <c r="N68" i="16"/>
  <c r="V68" i="16"/>
  <c r="J74" i="16"/>
  <c r="R74" i="16"/>
  <c r="Z74" i="16"/>
  <c r="F82" i="16"/>
  <c r="F111" i="16" s="1"/>
  <c r="N82" i="16"/>
  <c r="N111" i="16" s="1"/>
  <c r="V82" i="16"/>
  <c r="V111" i="16" s="1"/>
  <c r="J84" i="16"/>
  <c r="J113" i="16" s="1"/>
  <c r="R84" i="16"/>
  <c r="R113" i="16" s="1"/>
  <c r="Z84" i="16"/>
  <c r="Z113" i="16" s="1"/>
  <c r="AA84" i="16"/>
  <c r="AA113" i="16" s="1"/>
  <c r="AA74" i="16"/>
  <c r="AA68" i="16"/>
  <c r="AA82" i="16"/>
  <c r="AA111" i="16" s="1"/>
  <c r="AA62" i="16"/>
  <c r="W82" i="16"/>
  <c r="W111" i="16" s="1"/>
  <c r="W62" i="16"/>
  <c r="W84" i="16"/>
  <c r="W113" i="16" s="1"/>
  <c r="W74" i="16"/>
  <c r="W68" i="16"/>
  <c r="S84" i="16"/>
  <c r="S113" i="16" s="1"/>
  <c r="S74" i="16"/>
  <c r="S68" i="16"/>
  <c r="S62" i="16"/>
  <c r="S82" i="16"/>
  <c r="S111" i="16" s="1"/>
  <c r="O82" i="16"/>
  <c r="O111" i="16" s="1"/>
  <c r="O84" i="16"/>
  <c r="O113" i="16" s="1"/>
  <c r="O74" i="16"/>
  <c r="O68" i="16"/>
  <c r="O62" i="16"/>
  <c r="K84" i="16"/>
  <c r="K113" i="16" s="1"/>
  <c r="K74" i="16"/>
  <c r="K68" i="16"/>
  <c r="K62" i="16"/>
  <c r="K82" i="16"/>
  <c r="K111" i="16" s="1"/>
  <c r="G82" i="16"/>
  <c r="G111" i="16" s="1"/>
  <c r="G84" i="16"/>
  <c r="G113" i="16" s="1"/>
  <c r="G74" i="16"/>
  <c r="G68" i="16"/>
  <c r="G62" i="16"/>
  <c r="G71" i="16"/>
  <c r="O71" i="16"/>
  <c r="W71" i="16"/>
  <c r="K78" i="16"/>
  <c r="S78" i="16"/>
  <c r="AA78" i="16"/>
  <c r="G83" i="16"/>
  <c r="G112" i="16" s="1"/>
  <c r="O83" i="16"/>
  <c r="O112" i="16" s="1"/>
  <c r="W83" i="16"/>
  <c r="W112" i="16" s="1"/>
  <c r="E71" i="16"/>
  <c r="M71" i="16"/>
  <c r="Q71" i="16"/>
  <c r="Y71" i="16"/>
  <c r="E78" i="16"/>
  <c r="M78" i="16"/>
  <c r="U78" i="16"/>
  <c r="C82" i="16"/>
  <c r="C111" i="16" s="1"/>
  <c r="I83" i="16"/>
  <c r="I112" i="16" s="1"/>
  <c r="Q83" i="16"/>
  <c r="Q112" i="16" s="1"/>
  <c r="Y83" i="16"/>
  <c r="Y112" i="16" s="1"/>
  <c r="C68" i="16"/>
  <c r="I71" i="16"/>
  <c r="U71" i="16"/>
  <c r="C74" i="16"/>
  <c r="D68" i="16"/>
  <c r="H68" i="16"/>
  <c r="L68" i="16"/>
  <c r="P68" i="16"/>
  <c r="T68" i="16"/>
  <c r="X68" i="16"/>
  <c r="AB68" i="16"/>
  <c r="D74" i="16"/>
  <c r="H74" i="16"/>
  <c r="L74" i="16"/>
  <c r="P74" i="16"/>
  <c r="T74" i="16"/>
  <c r="X74" i="16"/>
  <c r="AB74" i="16"/>
  <c r="D82" i="16"/>
  <c r="D111" i="16" s="1"/>
  <c r="H82" i="16"/>
  <c r="H111" i="16" s="1"/>
  <c r="L82" i="16"/>
  <c r="L111" i="16" s="1"/>
  <c r="P82" i="16"/>
  <c r="P111" i="16" s="1"/>
  <c r="T82" i="16"/>
  <c r="T111" i="16" s="1"/>
  <c r="X82" i="16"/>
  <c r="X111" i="16" s="1"/>
  <c r="AB82" i="16"/>
  <c r="AB111" i="16" s="1"/>
  <c r="AE4" i="15"/>
  <c r="BC4" i="15"/>
  <c r="AY4" i="15"/>
  <c r="AU4" i="15"/>
  <c r="AQ4" i="15"/>
  <c r="AM4" i="15"/>
  <c r="AI4" i="15"/>
  <c r="BB4" i="15"/>
  <c r="AX4" i="15"/>
  <c r="AT4" i="15"/>
  <c r="AP4" i="15"/>
  <c r="AL4" i="15"/>
  <c r="AH4" i="15"/>
  <c r="BA4" i="15"/>
  <c r="AW4" i="15"/>
  <c r="AS4" i="15"/>
  <c r="AO4" i="15"/>
  <c r="AK4" i="15"/>
  <c r="AG4" i="15"/>
  <c r="BD4" i="15"/>
  <c r="AZ4" i="15"/>
  <c r="AV4" i="15"/>
  <c r="AR4" i="15"/>
  <c r="AN4" i="15"/>
  <c r="AJ4" i="15"/>
  <c r="AF4" i="15"/>
  <c r="I14" i="6"/>
  <c r="I35" i="2"/>
  <c r="J35" i="2" s="1"/>
  <c r="I32" i="2"/>
  <c r="J32" i="2" s="1"/>
  <c r="I27" i="2"/>
  <c r="J27" i="2" s="1"/>
  <c r="I18" i="2"/>
  <c r="J18" i="2" s="1"/>
  <c r="I2" i="2"/>
  <c r="J2" i="2" s="1"/>
  <c r="B81" i="2"/>
  <c r="C60" i="2"/>
  <c r="D61" i="2" s="1"/>
  <c r="C50" i="2"/>
  <c r="D51" i="2" s="1"/>
  <c r="C45" i="2"/>
  <c r="D46" i="2" s="1"/>
  <c r="C40" i="2"/>
  <c r="D41" i="2" s="1"/>
  <c r="C3" i="2"/>
  <c r="C29" i="2"/>
  <c r="D30" i="2" s="1"/>
  <c r="C24" i="2"/>
  <c r="D25" i="2" s="1"/>
  <c r="C14" i="2"/>
  <c r="D15" i="2" s="1"/>
  <c r="C19" i="2"/>
  <c r="D20" i="2" s="1"/>
  <c r="C9" i="2"/>
  <c r="D10" i="2" s="1"/>
  <c r="C4" i="2"/>
  <c r="D5" i="2" s="1"/>
  <c r="H21" i="2"/>
  <c r="H22" i="2"/>
  <c r="H23" i="2"/>
  <c r="H25" i="2"/>
  <c r="H26" i="2"/>
  <c r="H19" i="2"/>
  <c r="H37" i="2"/>
  <c r="H38" i="2"/>
  <c r="H4" i="2"/>
  <c r="G35" i="2"/>
  <c r="H36" i="2" s="1"/>
  <c r="H35" i="2" s="1"/>
  <c r="G32" i="2"/>
  <c r="H34" i="2" s="1"/>
  <c r="G27" i="2"/>
  <c r="H30" i="2" s="1"/>
  <c r="G18" i="2"/>
  <c r="H20" i="2" s="1"/>
  <c r="G5" i="2"/>
  <c r="H8" i="2" s="1"/>
  <c r="G2" i="2"/>
  <c r="H3" i="2" s="1"/>
  <c r="H2" i="2" s="1"/>
  <c r="B70" i="2"/>
  <c r="B64" i="2"/>
  <c r="B59" i="2"/>
  <c r="B54" i="2"/>
  <c r="B49" i="2"/>
  <c r="B44" i="2"/>
  <c r="B39" i="2"/>
  <c r="B60" i="2"/>
  <c r="B34" i="2"/>
  <c r="B33" i="2"/>
  <c r="B29" i="2"/>
  <c r="B23" i="2"/>
  <c r="B18" i="2"/>
  <c r="B28" i="2"/>
  <c r="B13" i="2"/>
  <c r="B8" i="2"/>
  <c r="X65" i="16" l="1"/>
  <c r="X94" i="16" s="1"/>
  <c r="E63" i="16"/>
  <c r="E92" i="16" s="1"/>
  <c r="Y76" i="16"/>
  <c r="Y105" i="16" s="1"/>
  <c r="C73" i="16"/>
  <c r="C102" i="16" s="1"/>
  <c r="C100" i="16" s="1"/>
  <c r="T63" i="16"/>
  <c r="T92" i="16" s="1"/>
  <c r="L80" i="16"/>
  <c r="L109" i="16" s="1"/>
  <c r="L63" i="16"/>
  <c r="L92" i="16" s="1"/>
  <c r="X81" i="16"/>
  <c r="X110" i="16" s="1"/>
  <c r="X63" i="16"/>
  <c r="X92" i="16" s="1"/>
  <c r="AB65" i="16"/>
  <c r="AB94" i="16" s="1"/>
  <c r="T64" i="16"/>
  <c r="T93" i="16" s="1"/>
  <c r="E67" i="16"/>
  <c r="E96" i="16" s="1"/>
  <c r="X79" i="16"/>
  <c r="X108" i="16" s="1"/>
  <c r="D73" i="16"/>
  <c r="D102" i="16" s="1"/>
  <c r="D100" i="16" s="1"/>
  <c r="T65" i="16"/>
  <c r="T94" i="16" s="1"/>
  <c r="L81" i="16"/>
  <c r="L110" i="16" s="1"/>
  <c r="I69" i="16"/>
  <c r="I98" i="16" s="1"/>
  <c r="I97" i="16" s="1"/>
  <c r="E64" i="16"/>
  <c r="E93" i="16" s="1"/>
  <c r="X73" i="16"/>
  <c r="X102" i="16" s="1"/>
  <c r="X100" i="16" s="1"/>
  <c r="E66" i="16"/>
  <c r="E95" i="16" s="1"/>
  <c r="T67" i="16"/>
  <c r="T96" i="16" s="1"/>
  <c r="Y77" i="16"/>
  <c r="Y106" i="16" s="1"/>
  <c r="C63" i="16"/>
  <c r="C92" i="16" s="1"/>
  <c r="X66" i="16"/>
  <c r="X95" i="16" s="1"/>
  <c r="D65" i="16"/>
  <c r="D94" i="16" s="1"/>
  <c r="I76" i="16"/>
  <c r="I105" i="16" s="1"/>
  <c r="U69" i="16"/>
  <c r="U98" i="16" s="1"/>
  <c r="U97" i="16" s="1"/>
  <c r="AB66" i="16"/>
  <c r="AB95" i="16" s="1"/>
  <c r="AB67" i="16"/>
  <c r="AB96" i="16" s="1"/>
  <c r="I77" i="16"/>
  <c r="I106" i="16" s="1"/>
  <c r="I103" i="16" s="1"/>
  <c r="E70" i="16"/>
  <c r="E99" i="16" s="1"/>
  <c r="E97" i="16" s="1"/>
  <c r="Q69" i="16"/>
  <c r="Q98" i="16" s="1"/>
  <c r="Q97" i="16" s="1"/>
  <c r="H64" i="16"/>
  <c r="H93" i="16" s="1"/>
  <c r="M66" i="16"/>
  <c r="M95" i="16" s="1"/>
  <c r="AB80" i="16"/>
  <c r="AB109" i="16" s="1"/>
  <c r="C81" i="16"/>
  <c r="C110" i="16" s="1"/>
  <c r="Y70" i="16"/>
  <c r="Y99" i="16" s="1"/>
  <c r="Y97" i="16" s="1"/>
  <c r="C65" i="16"/>
  <c r="C94" i="16" s="1"/>
  <c r="Y65" i="16"/>
  <c r="Y94" i="16" s="1"/>
  <c r="Y63" i="16"/>
  <c r="Y92" i="16" s="1"/>
  <c r="X67" i="16"/>
  <c r="X96" i="16" s="1"/>
  <c r="C79" i="16"/>
  <c r="C108" i="16" s="1"/>
  <c r="L66" i="16"/>
  <c r="L95" i="16" s="1"/>
  <c r="P73" i="16"/>
  <c r="P102" i="16" s="1"/>
  <c r="P100" i="16" s="1"/>
  <c r="M63" i="16"/>
  <c r="M92" i="16" s="1"/>
  <c r="M65" i="16"/>
  <c r="M94" i="16" s="1"/>
  <c r="H81" i="16"/>
  <c r="H110" i="16" s="1"/>
  <c r="L64" i="16"/>
  <c r="L93" i="16" s="1"/>
  <c r="U77" i="16"/>
  <c r="U106" i="16" s="1"/>
  <c r="H65" i="16"/>
  <c r="H94" i="16" s="1"/>
  <c r="U76" i="16"/>
  <c r="U105" i="16" s="1"/>
  <c r="U63" i="16"/>
  <c r="U92" i="16" s="1"/>
  <c r="H63" i="16"/>
  <c r="H92" i="16" s="1"/>
  <c r="C67" i="16"/>
  <c r="C96" i="16" s="1"/>
  <c r="AB81" i="16"/>
  <c r="AB110" i="16" s="1"/>
  <c r="L65" i="16"/>
  <c r="L94" i="16" s="1"/>
  <c r="E75" i="16"/>
  <c r="E104" i="16" s="1"/>
  <c r="M64" i="16"/>
  <c r="M93" i="16" s="1"/>
  <c r="C66" i="16"/>
  <c r="C95" i="16" s="1"/>
  <c r="H79" i="16"/>
  <c r="H108" i="16" s="1"/>
  <c r="T81" i="16"/>
  <c r="T110" i="16" s="1"/>
  <c r="E77" i="16"/>
  <c r="E106" i="16" s="1"/>
  <c r="T73" i="16"/>
  <c r="T102" i="16" s="1"/>
  <c r="T100" i="16" s="1"/>
  <c r="Q75" i="16"/>
  <c r="Q104" i="16" s="1"/>
  <c r="Q67" i="16"/>
  <c r="Q96" i="16" s="1"/>
  <c r="P64" i="16"/>
  <c r="P93" i="16" s="1"/>
  <c r="Q65" i="16"/>
  <c r="Q94" i="16" s="1"/>
  <c r="M70" i="16"/>
  <c r="M99" i="16" s="1"/>
  <c r="M97" i="16" s="1"/>
  <c r="U64" i="16"/>
  <c r="U93" i="16" s="1"/>
  <c r="P81" i="16"/>
  <c r="P110" i="16" s="1"/>
  <c r="I107" i="16"/>
  <c r="D79" i="16"/>
  <c r="D108" i="16" s="1"/>
  <c r="H73" i="16"/>
  <c r="H102" i="16" s="1"/>
  <c r="H100" i="16" s="1"/>
  <c r="D67" i="16"/>
  <c r="D96" i="16" s="1"/>
  <c r="U66" i="16"/>
  <c r="U95" i="16" s="1"/>
  <c r="P80" i="16"/>
  <c r="P109" i="16" s="1"/>
  <c r="Q64" i="16"/>
  <c r="Q93" i="16" s="1"/>
  <c r="D64" i="16"/>
  <c r="D93" i="16" s="1"/>
  <c r="D66" i="16"/>
  <c r="D95" i="16" s="1"/>
  <c r="AB63" i="16"/>
  <c r="AB92" i="16" s="1"/>
  <c r="U65" i="16"/>
  <c r="U94" i="16" s="1"/>
  <c r="Q76" i="16"/>
  <c r="Q105" i="16" s="1"/>
  <c r="D81" i="16"/>
  <c r="D110" i="16" s="1"/>
  <c r="Y107" i="16"/>
  <c r="Q107" i="16"/>
  <c r="M77" i="16"/>
  <c r="M106" i="16" s="1"/>
  <c r="L73" i="16"/>
  <c r="L102" i="16" s="1"/>
  <c r="L100" i="16" s="1"/>
  <c r="I65" i="16"/>
  <c r="I94" i="16" s="1"/>
  <c r="I64" i="16"/>
  <c r="I93" i="16" s="1"/>
  <c r="M76" i="16"/>
  <c r="M105" i="16" s="1"/>
  <c r="H66" i="16"/>
  <c r="H95" i="16" s="1"/>
  <c r="I66" i="16"/>
  <c r="I95" i="16" s="1"/>
  <c r="T80" i="16"/>
  <c r="T109" i="16" s="1"/>
  <c r="P66" i="16"/>
  <c r="P95" i="16" s="1"/>
  <c r="P65" i="16"/>
  <c r="P94" i="16" s="1"/>
  <c r="P63" i="16"/>
  <c r="P92" i="16" s="1"/>
  <c r="I67" i="16"/>
  <c r="I96" i="16" s="1"/>
  <c r="Q63" i="16"/>
  <c r="Q92" i="16" s="1"/>
  <c r="G107" i="16"/>
  <c r="AB72" i="16"/>
  <c r="AB101" i="16" s="1"/>
  <c r="AB73" i="16"/>
  <c r="AB102" i="16" s="1"/>
  <c r="Y64" i="16"/>
  <c r="Y93" i="16" s="1"/>
  <c r="Y67" i="16"/>
  <c r="Y96" i="16" s="1"/>
  <c r="P77" i="16"/>
  <c r="P106" i="16" s="1"/>
  <c r="P76" i="16"/>
  <c r="P105" i="16" s="1"/>
  <c r="P75" i="16"/>
  <c r="P104" i="16" s="1"/>
  <c r="AB69" i="16"/>
  <c r="AB98" i="16" s="1"/>
  <c r="AB70" i="16"/>
  <c r="AB99" i="16" s="1"/>
  <c r="L69" i="16"/>
  <c r="L98" i="16" s="1"/>
  <c r="L70" i="16"/>
  <c r="L99" i="16" s="1"/>
  <c r="U73" i="16"/>
  <c r="U102" i="16" s="1"/>
  <c r="U72" i="16"/>
  <c r="U101" i="16" s="1"/>
  <c r="M79" i="16"/>
  <c r="M108" i="16" s="1"/>
  <c r="M81" i="16"/>
  <c r="M110" i="16" s="1"/>
  <c r="M80" i="16"/>
  <c r="M109" i="16" s="1"/>
  <c r="M73" i="16"/>
  <c r="M102" i="16" s="1"/>
  <c r="M72" i="16"/>
  <c r="M101" i="16" s="1"/>
  <c r="K80" i="16"/>
  <c r="K109" i="16" s="1"/>
  <c r="K81" i="16"/>
  <c r="K110" i="16" s="1"/>
  <c r="K79" i="16"/>
  <c r="K108" i="16" s="1"/>
  <c r="O73" i="16"/>
  <c r="O102" i="16" s="1"/>
  <c r="O72" i="16"/>
  <c r="O101" i="16" s="1"/>
  <c r="G64" i="16"/>
  <c r="G93" i="16" s="1"/>
  <c r="G65" i="16"/>
  <c r="G94" i="16" s="1"/>
  <c r="G66" i="16"/>
  <c r="G95" i="16" s="1"/>
  <c r="G67" i="16"/>
  <c r="G96" i="16" s="1"/>
  <c r="G63" i="16"/>
  <c r="G92" i="16" s="1"/>
  <c r="K76" i="16"/>
  <c r="K105" i="16" s="1"/>
  <c r="K75" i="16"/>
  <c r="K104" i="16" s="1"/>
  <c r="K77" i="16"/>
  <c r="K106" i="16" s="1"/>
  <c r="O75" i="16"/>
  <c r="O104" i="16" s="1"/>
  <c r="O77" i="16"/>
  <c r="O106" i="16" s="1"/>
  <c r="O76" i="16"/>
  <c r="O105" i="16" s="1"/>
  <c r="S64" i="16"/>
  <c r="S93" i="16" s="1"/>
  <c r="S63" i="16"/>
  <c r="S92" i="16" s="1"/>
  <c r="S66" i="16"/>
  <c r="S95" i="16" s="1"/>
  <c r="S65" i="16"/>
  <c r="S94" i="16" s="1"/>
  <c r="S67" i="16"/>
  <c r="S96" i="16" s="1"/>
  <c r="W70" i="16"/>
  <c r="W99" i="16" s="1"/>
  <c r="W69" i="16"/>
  <c r="W98" i="16" s="1"/>
  <c r="AA76" i="16"/>
  <c r="AA105" i="16" s="1"/>
  <c r="AA75" i="16"/>
  <c r="AA104" i="16" s="1"/>
  <c r="AA77" i="16"/>
  <c r="AA106" i="16" s="1"/>
  <c r="R75" i="16"/>
  <c r="R104" i="16" s="1"/>
  <c r="R77" i="16"/>
  <c r="R106" i="16" s="1"/>
  <c r="R76" i="16"/>
  <c r="R105" i="16" s="1"/>
  <c r="F70" i="16"/>
  <c r="F99" i="16" s="1"/>
  <c r="F69" i="16"/>
  <c r="F98" i="16" s="1"/>
  <c r="F75" i="16"/>
  <c r="F104" i="16" s="1"/>
  <c r="F76" i="16"/>
  <c r="F105" i="16" s="1"/>
  <c r="F77" i="16"/>
  <c r="F106" i="16" s="1"/>
  <c r="R69" i="16"/>
  <c r="R98" i="16" s="1"/>
  <c r="R70" i="16"/>
  <c r="R99" i="16" s="1"/>
  <c r="F72" i="16"/>
  <c r="F101" i="16" s="1"/>
  <c r="F73" i="16"/>
  <c r="F102" i="16" s="1"/>
  <c r="J73" i="16"/>
  <c r="J102" i="16" s="1"/>
  <c r="J72" i="16"/>
  <c r="J101" i="16" s="1"/>
  <c r="N73" i="16"/>
  <c r="N102" i="16" s="1"/>
  <c r="N72" i="16"/>
  <c r="N101" i="16" s="1"/>
  <c r="R73" i="16"/>
  <c r="R102" i="16" s="1"/>
  <c r="R72" i="16"/>
  <c r="R101" i="16" s="1"/>
  <c r="V72" i="16"/>
  <c r="V101" i="16" s="1"/>
  <c r="V73" i="16"/>
  <c r="V102" i="16" s="1"/>
  <c r="Z73" i="16"/>
  <c r="Z102" i="16" s="1"/>
  <c r="Z72" i="16"/>
  <c r="Z101" i="16" s="1"/>
  <c r="AB77" i="16"/>
  <c r="AB106" i="16" s="1"/>
  <c r="AB76" i="16"/>
  <c r="AB105" i="16" s="1"/>
  <c r="AB75" i="16"/>
  <c r="AB104" i="16" s="1"/>
  <c r="L77" i="16"/>
  <c r="L106" i="16" s="1"/>
  <c r="L76" i="16"/>
  <c r="L105" i="16" s="1"/>
  <c r="L75" i="16"/>
  <c r="L104" i="16" s="1"/>
  <c r="X69" i="16"/>
  <c r="X98" i="16" s="1"/>
  <c r="X70" i="16"/>
  <c r="X99" i="16" s="1"/>
  <c r="H69" i="16"/>
  <c r="H98" i="16" s="1"/>
  <c r="H70" i="16"/>
  <c r="H99" i="16" s="1"/>
  <c r="I73" i="16"/>
  <c r="I102" i="16" s="1"/>
  <c r="I72" i="16"/>
  <c r="I101" i="16" s="1"/>
  <c r="E81" i="16"/>
  <c r="E110" i="16" s="1"/>
  <c r="E80" i="16"/>
  <c r="E109" i="16" s="1"/>
  <c r="E79" i="16"/>
  <c r="E108" i="16" s="1"/>
  <c r="E73" i="16"/>
  <c r="E102" i="16" s="1"/>
  <c r="E72" i="16"/>
  <c r="E101" i="16" s="1"/>
  <c r="G73" i="16"/>
  <c r="G102" i="16" s="1"/>
  <c r="G72" i="16"/>
  <c r="G101" i="16" s="1"/>
  <c r="G70" i="16"/>
  <c r="G99" i="16" s="1"/>
  <c r="G69" i="16"/>
  <c r="G98" i="16" s="1"/>
  <c r="S70" i="16"/>
  <c r="S99" i="16" s="1"/>
  <c r="S69" i="16"/>
  <c r="S98" i="16" s="1"/>
  <c r="W77" i="16"/>
  <c r="W106" i="16" s="1"/>
  <c r="W76" i="16"/>
  <c r="W105" i="16" s="1"/>
  <c r="W75" i="16"/>
  <c r="W104" i="16" s="1"/>
  <c r="AA64" i="16"/>
  <c r="AA93" i="16" s="1"/>
  <c r="AA67" i="16"/>
  <c r="AA96" i="16" s="1"/>
  <c r="AA63" i="16"/>
  <c r="AA92" i="16" s="1"/>
  <c r="AA65" i="16"/>
  <c r="AA94" i="16" s="1"/>
  <c r="AA66" i="16"/>
  <c r="AA95" i="16" s="1"/>
  <c r="J75" i="16"/>
  <c r="J104" i="16" s="1"/>
  <c r="J77" i="16"/>
  <c r="J106" i="16" s="1"/>
  <c r="J76" i="16"/>
  <c r="J105" i="16" s="1"/>
  <c r="AA73" i="16"/>
  <c r="AA102" i="16" s="1"/>
  <c r="AA72" i="16"/>
  <c r="AA101" i="16" s="1"/>
  <c r="J70" i="16"/>
  <c r="J99" i="16" s="1"/>
  <c r="J69" i="16"/>
  <c r="J98" i="16" s="1"/>
  <c r="F81" i="16"/>
  <c r="F110" i="16" s="1"/>
  <c r="F80" i="16"/>
  <c r="F109" i="16" s="1"/>
  <c r="F79" i="16"/>
  <c r="F108" i="16" s="1"/>
  <c r="J81" i="16"/>
  <c r="J110" i="16" s="1"/>
  <c r="J80" i="16"/>
  <c r="J109" i="16" s="1"/>
  <c r="J79" i="16"/>
  <c r="J108" i="16" s="1"/>
  <c r="N81" i="16"/>
  <c r="N110" i="16" s="1"/>
  <c r="N80" i="16"/>
  <c r="N109" i="16" s="1"/>
  <c r="N79" i="16"/>
  <c r="N108" i="16" s="1"/>
  <c r="R81" i="16"/>
  <c r="R110" i="16" s="1"/>
  <c r="R79" i="16"/>
  <c r="R108" i="16" s="1"/>
  <c r="R80" i="16"/>
  <c r="R109" i="16" s="1"/>
  <c r="V81" i="16"/>
  <c r="V110" i="16" s="1"/>
  <c r="V80" i="16"/>
  <c r="V109" i="16" s="1"/>
  <c r="V79" i="16"/>
  <c r="V108" i="16" s="1"/>
  <c r="Z81" i="16"/>
  <c r="Z110" i="16" s="1"/>
  <c r="Z80" i="16"/>
  <c r="Z109" i="16" s="1"/>
  <c r="Z79" i="16"/>
  <c r="Z108" i="16" s="1"/>
  <c r="X77" i="16"/>
  <c r="X106" i="16" s="1"/>
  <c r="X76" i="16"/>
  <c r="X105" i="16" s="1"/>
  <c r="X75" i="16"/>
  <c r="X104" i="16" s="1"/>
  <c r="H77" i="16"/>
  <c r="H106" i="16" s="1"/>
  <c r="H76" i="16"/>
  <c r="H105" i="16" s="1"/>
  <c r="H75" i="16"/>
  <c r="H104" i="16" s="1"/>
  <c r="T69" i="16"/>
  <c r="T98" i="16" s="1"/>
  <c r="T70" i="16"/>
  <c r="T99" i="16" s="1"/>
  <c r="D69" i="16"/>
  <c r="D98" i="16" s="1"/>
  <c r="D70" i="16"/>
  <c r="D99" i="16" s="1"/>
  <c r="C69" i="16"/>
  <c r="C98" i="16" s="1"/>
  <c r="C70" i="16"/>
  <c r="C99" i="16" s="1"/>
  <c r="Y73" i="16"/>
  <c r="Y102" i="16" s="1"/>
  <c r="Y72" i="16"/>
  <c r="Y101" i="16" s="1"/>
  <c r="AA80" i="16"/>
  <c r="AA109" i="16" s="1"/>
  <c r="AA81" i="16"/>
  <c r="AA110" i="16" s="1"/>
  <c r="AA79" i="16"/>
  <c r="AA108" i="16" s="1"/>
  <c r="G77" i="16"/>
  <c r="G106" i="16" s="1"/>
  <c r="G76" i="16"/>
  <c r="G105" i="16" s="1"/>
  <c r="G75" i="16"/>
  <c r="G104" i="16" s="1"/>
  <c r="K64" i="16"/>
  <c r="K93" i="16" s="1"/>
  <c r="K67" i="16"/>
  <c r="K96" i="16" s="1"/>
  <c r="K63" i="16"/>
  <c r="K92" i="16" s="1"/>
  <c r="K65" i="16"/>
  <c r="K94" i="16" s="1"/>
  <c r="K66" i="16"/>
  <c r="K95" i="16" s="1"/>
  <c r="O64" i="16"/>
  <c r="O93" i="16" s="1"/>
  <c r="O67" i="16"/>
  <c r="O96" i="16" s="1"/>
  <c r="O63" i="16"/>
  <c r="O92" i="16" s="1"/>
  <c r="O66" i="16"/>
  <c r="O95" i="16" s="1"/>
  <c r="O65" i="16"/>
  <c r="O94" i="16" s="1"/>
  <c r="S77" i="16"/>
  <c r="S106" i="16" s="1"/>
  <c r="S76" i="16"/>
  <c r="S105" i="16" s="1"/>
  <c r="S75" i="16"/>
  <c r="S104" i="16" s="1"/>
  <c r="V70" i="16"/>
  <c r="V99" i="16" s="1"/>
  <c r="V69" i="16"/>
  <c r="V98" i="16" s="1"/>
  <c r="S73" i="16"/>
  <c r="S102" i="16" s="1"/>
  <c r="S72" i="16"/>
  <c r="S101" i="16" s="1"/>
  <c r="V75" i="16"/>
  <c r="V104" i="16" s="1"/>
  <c r="V76" i="16"/>
  <c r="V105" i="16" s="1"/>
  <c r="V77" i="16"/>
  <c r="V106" i="16" s="1"/>
  <c r="W107" i="16"/>
  <c r="T77" i="16"/>
  <c r="T106" i="16" s="1"/>
  <c r="T75" i="16"/>
  <c r="T104" i="16" s="1"/>
  <c r="T76" i="16"/>
  <c r="T105" i="16" s="1"/>
  <c r="D77" i="16"/>
  <c r="D106" i="16" s="1"/>
  <c r="D75" i="16"/>
  <c r="D104" i="16" s="1"/>
  <c r="D76" i="16"/>
  <c r="D105" i="16" s="1"/>
  <c r="P69" i="16"/>
  <c r="P98" i="16" s="1"/>
  <c r="P70" i="16"/>
  <c r="P99" i="16" s="1"/>
  <c r="C76" i="16"/>
  <c r="C105" i="16" s="1"/>
  <c r="C77" i="16"/>
  <c r="C106" i="16" s="1"/>
  <c r="C75" i="16"/>
  <c r="C104" i="16" s="1"/>
  <c r="U81" i="16"/>
  <c r="U110" i="16" s="1"/>
  <c r="U80" i="16"/>
  <c r="U109" i="16" s="1"/>
  <c r="U79" i="16"/>
  <c r="U108" i="16" s="1"/>
  <c r="Q72" i="16"/>
  <c r="Q101" i="16" s="1"/>
  <c r="Q73" i="16"/>
  <c r="Q102" i="16" s="1"/>
  <c r="S80" i="16"/>
  <c r="S109" i="16" s="1"/>
  <c r="S79" i="16"/>
  <c r="S108" i="16" s="1"/>
  <c r="S81" i="16"/>
  <c r="S110" i="16" s="1"/>
  <c r="W73" i="16"/>
  <c r="W102" i="16" s="1"/>
  <c r="W72" i="16"/>
  <c r="W101" i="16" s="1"/>
  <c r="K70" i="16"/>
  <c r="K99" i="16" s="1"/>
  <c r="K69" i="16"/>
  <c r="K98" i="16" s="1"/>
  <c r="O70" i="16"/>
  <c r="O99" i="16" s="1"/>
  <c r="O69" i="16"/>
  <c r="O98" i="16" s="1"/>
  <c r="W64" i="16"/>
  <c r="W93" i="16" s="1"/>
  <c r="W65" i="16"/>
  <c r="W94" i="16" s="1"/>
  <c r="W63" i="16"/>
  <c r="W92" i="16" s="1"/>
  <c r="W66" i="16"/>
  <c r="W95" i="16" s="1"/>
  <c r="W67" i="16"/>
  <c r="W96" i="16" s="1"/>
  <c r="AA70" i="16"/>
  <c r="AA99" i="16" s="1"/>
  <c r="AA69" i="16"/>
  <c r="AA98" i="16" s="1"/>
  <c r="Z75" i="16"/>
  <c r="Z104" i="16" s="1"/>
  <c r="Z77" i="16"/>
  <c r="Z106" i="16" s="1"/>
  <c r="Z76" i="16"/>
  <c r="Z105" i="16" s="1"/>
  <c r="N70" i="16"/>
  <c r="N99" i="16" s="1"/>
  <c r="N69" i="16"/>
  <c r="N98" i="16" s="1"/>
  <c r="K73" i="16"/>
  <c r="K102" i="16" s="1"/>
  <c r="K72" i="16"/>
  <c r="K101" i="16" s="1"/>
  <c r="N75" i="16"/>
  <c r="N104" i="16" s="1"/>
  <c r="N77" i="16"/>
  <c r="N106" i="16" s="1"/>
  <c r="N76" i="16"/>
  <c r="N105" i="16" s="1"/>
  <c r="Z70" i="16"/>
  <c r="Z99" i="16" s="1"/>
  <c r="Z69" i="16"/>
  <c r="Z98" i="16" s="1"/>
  <c r="F65" i="16"/>
  <c r="F94" i="16" s="1"/>
  <c r="F64" i="16"/>
  <c r="F93" i="16" s="1"/>
  <c r="F67" i="16"/>
  <c r="F96" i="16" s="1"/>
  <c r="F63" i="16"/>
  <c r="F92" i="16" s="1"/>
  <c r="F66" i="16"/>
  <c r="F95" i="16" s="1"/>
  <c r="J65" i="16"/>
  <c r="J94" i="16" s="1"/>
  <c r="J64" i="16"/>
  <c r="J93" i="16" s="1"/>
  <c r="J67" i="16"/>
  <c r="J96" i="16" s="1"/>
  <c r="J63" i="16"/>
  <c r="J92" i="16" s="1"/>
  <c r="J66" i="16"/>
  <c r="J95" i="16" s="1"/>
  <c r="N65" i="16"/>
  <c r="N94" i="16" s="1"/>
  <c r="N63" i="16"/>
  <c r="N92" i="16" s="1"/>
  <c r="N66" i="16"/>
  <c r="N95" i="16" s="1"/>
  <c r="N67" i="16"/>
  <c r="N96" i="16" s="1"/>
  <c r="N64" i="16"/>
  <c r="N93" i="16" s="1"/>
  <c r="R65" i="16"/>
  <c r="R94" i="16" s="1"/>
  <c r="R64" i="16"/>
  <c r="R93" i="16" s="1"/>
  <c r="R66" i="16"/>
  <c r="R95" i="16" s="1"/>
  <c r="R63" i="16"/>
  <c r="R92" i="16" s="1"/>
  <c r="R67" i="16"/>
  <c r="R96" i="16" s="1"/>
  <c r="V65" i="16"/>
  <c r="V94" i="16" s="1"/>
  <c r="V64" i="16"/>
  <c r="V93" i="16" s="1"/>
  <c r="V67" i="16"/>
  <c r="V96" i="16" s="1"/>
  <c r="V63" i="16"/>
  <c r="V92" i="16" s="1"/>
  <c r="V66" i="16"/>
  <c r="V95" i="16" s="1"/>
  <c r="Z65" i="16"/>
  <c r="Z94" i="16" s="1"/>
  <c r="Z64" i="16"/>
  <c r="Z93" i="16" s="1"/>
  <c r="Z67" i="16"/>
  <c r="Z96" i="16" s="1"/>
  <c r="Z63" i="16"/>
  <c r="Z92" i="16" s="1"/>
  <c r="Z66" i="16"/>
  <c r="Z95" i="16" s="1"/>
  <c r="O107" i="16"/>
  <c r="H14" i="2"/>
  <c r="H11" i="2"/>
  <c r="H6" i="2"/>
  <c r="H10" i="2"/>
  <c r="H15" i="2"/>
  <c r="H7" i="2"/>
  <c r="H29" i="2"/>
  <c r="H28" i="2"/>
  <c r="H27" i="2" s="1"/>
  <c r="H33" i="2"/>
  <c r="H32" i="2" s="1"/>
  <c r="H17" i="2"/>
  <c r="H13" i="2"/>
  <c r="H9" i="2"/>
  <c r="H31" i="2"/>
  <c r="H16" i="2"/>
  <c r="H12" i="2"/>
  <c r="H24" i="2"/>
  <c r="H18" i="2" s="1"/>
  <c r="L10" i="2"/>
  <c r="L7" i="2" s="1"/>
  <c r="L41" i="1"/>
  <c r="H46" i="1"/>
  <c r="F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45" i="1" s="1"/>
  <c r="Y103" i="16" l="1"/>
  <c r="X107" i="16"/>
  <c r="L107" i="16"/>
  <c r="T91" i="16"/>
  <c r="E91" i="16"/>
  <c r="X91" i="16"/>
  <c r="AB107" i="16"/>
  <c r="H107" i="16"/>
  <c r="L91" i="16"/>
  <c r="M91" i="16"/>
  <c r="AB91" i="16"/>
  <c r="C107" i="16"/>
  <c r="D107" i="16"/>
  <c r="C91" i="16"/>
  <c r="H91" i="16"/>
  <c r="P107" i="16"/>
  <c r="T107" i="16"/>
  <c r="Q103" i="16"/>
  <c r="U91" i="16"/>
  <c r="Q91" i="16"/>
  <c r="D91" i="16"/>
  <c r="Y91" i="16"/>
  <c r="K107" i="16"/>
  <c r="N100" i="16"/>
  <c r="Z100" i="16"/>
  <c r="R100" i="16"/>
  <c r="K103" i="16"/>
  <c r="K100" i="16"/>
  <c r="K97" i="16"/>
  <c r="Q100" i="16"/>
  <c r="S100" i="16"/>
  <c r="S103" i="16"/>
  <c r="AA107" i="16"/>
  <c r="Y100" i="16"/>
  <c r="D97" i="16"/>
  <c r="J97" i="16"/>
  <c r="S97" i="16"/>
  <c r="G100" i="16"/>
  <c r="E107" i="16"/>
  <c r="E103" i="16" s="1"/>
  <c r="I100" i="16"/>
  <c r="X97" i="16"/>
  <c r="R97" i="16"/>
  <c r="AB100" i="16"/>
  <c r="P91" i="16"/>
  <c r="S91" i="16"/>
  <c r="O103" i="16"/>
  <c r="G91" i="16"/>
  <c r="U100" i="16"/>
  <c r="V91" i="16"/>
  <c r="N91" i="16"/>
  <c r="F91" i="16"/>
  <c r="Z97" i="16"/>
  <c r="N97" i="16"/>
  <c r="O97" i="16"/>
  <c r="S107" i="16"/>
  <c r="T103" i="16"/>
  <c r="V97" i="16"/>
  <c r="C97" i="16"/>
  <c r="T97" i="16"/>
  <c r="G97" i="16"/>
  <c r="H97" i="16"/>
  <c r="O100" i="16"/>
  <c r="P103" i="16"/>
  <c r="I91" i="16"/>
  <c r="R91" i="16"/>
  <c r="AA97" i="16"/>
  <c r="W91" i="16"/>
  <c r="W100" i="16"/>
  <c r="D103" i="16"/>
  <c r="V103" i="16"/>
  <c r="H103" i="16"/>
  <c r="N107" i="16"/>
  <c r="AA100" i="16"/>
  <c r="J103" i="16"/>
  <c r="E100" i="16"/>
  <c r="V100" i="16"/>
  <c r="F100" i="16"/>
  <c r="AA103" i="16"/>
  <c r="AB103" i="16"/>
  <c r="J100" i="16"/>
  <c r="F103" i="16"/>
  <c r="M107" i="16"/>
  <c r="M103" i="16" s="1"/>
  <c r="L97" i="16"/>
  <c r="Z91" i="16"/>
  <c r="J91" i="16"/>
  <c r="C103" i="16"/>
  <c r="P97" i="16"/>
  <c r="O91" i="16"/>
  <c r="G103" i="16"/>
  <c r="V107" i="16"/>
  <c r="R107" i="16"/>
  <c r="F107" i="16"/>
  <c r="W103" i="16"/>
  <c r="L103" i="16"/>
  <c r="F97" i="16"/>
  <c r="R103" i="16"/>
  <c r="W97" i="16"/>
  <c r="M100" i="16"/>
  <c r="N103" i="16"/>
  <c r="Z103" i="16"/>
  <c r="U107" i="16"/>
  <c r="U103" i="16" s="1"/>
  <c r="K91" i="16"/>
  <c r="X103" i="16"/>
  <c r="Z107" i="16"/>
  <c r="J107" i="16"/>
  <c r="AA91" i="16"/>
  <c r="AB97" i="16"/>
  <c r="L4" i="2"/>
  <c r="L3" i="2"/>
  <c r="L5" i="2"/>
  <c r="I5" i="2"/>
  <c r="J5" i="2" s="1"/>
  <c r="L6" i="2"/>
  <c r="H5" i="2"/>
  <c r="Y88" i="16" l="1"/>
  <c r="Y1" i="16" s="1"/>
  <c r="M88" i="16"/>
  <c r="M1" i="16" s="1"/>
  <c r="C88" i="16"/>
  <c r="C1" i="16" s="1"/>
  <c r="Q88" i="16"/>
  <c r="Q1" i="16" s="1"/>
  <c r="X88" i="16"/>
  <c r="X1" i="16" s="1"/>
  <c r="P88" i="16"/>
  <c r="P1" i="16" s="1"/>
  <c r="T88" i="16"/>
  <c r="T1" i="16" s="1"/>
  <c r="AB88" i="16"/>
  <c r="AB1" i="16" s="1"/>
  <c r="N88" i="16"/>
  <c r="N1" i="16" s="1"/>
  <c r="K88" i="16"/>
  <c r="K1" i="16" s="1"/>
  <c r="F88" i="16"/>
  <c r="F1" i="16" s="1"/>
  <c r="G88" i="16"/>
  <c r="G1" i="16" s="1"/>
  <c r="S88" i="16"/>
  <c r="S1" i="16" s="1"/>
  <c r="U88" i="16"/>
  <c r="U1" i="16" s="1"/>
  <c r="D88" i="16"/>
  <c r="D1" i="16" s="1"/>
  <c r="O88" i="16"/>
  <c r="O1" i="16" s="1"/>
  <c r="AA88" i="16"/>
  <c r="AA1" i="16" s="1"/>
  <c r="E88" i="16"/>
  <c r="E1" i="16" s="1"/>
  <c r="V88" i="16"/>
  <c r="V1" i="16" s="1"/>
  <c r="L88" i="16"/>
  <c r="L1" i="16" s="1"/>
  <c r="H88" i="16"/>
  <c r="H1" i="16" s="1"/>
  <c r="I88" i="16"/>
  <c r="I1" i="16" s="1"/>
  <c r="Z88" i="16"/>
  <c r="Z1" i="16" s="1"/>
  <c r="W88" i="16"/>
  <c r="W1" i="16" s="1"/>
  <c r="J88" i="16"/>
  <c r="J1" i="16" s="1"/>
  <c r="R88" i="16"/>
  <c r="R1" i="16" s="1"/>
  <c r="L8" i="2"/>
  <c r="M2" i="2"/>
  <c r="N2" i="2" s="1"/>
  <c r="C55" i="2"/>
  <c r="D56" i="2" s="1"/>
  <c r="C35" i="2"/>
  <c r="C34" i="2" s="1"/>
  <c r="C2" i="2" s="1"/>
  <c r="B88" i="16" l="1"/>
  <c r="B1" i="16" s="1"/>
  <c r="D36" i="2"/>
  <c r="D2" i="16" l="1"/>
</calcChain>
</file>

<file path=xl/sharedStrings.xml><?xml version="1.0" encoding="utf-8"?>
<sst xmlns="http://schemas.openxmlformats.org/spreadsheetml/2006/main" count="3319" uniqueCount="241">
  <si>
    <t>Population</t>
  </si>
  <si>
    <t xml:space="preserve">Per Capita Consumption </t>
  </si>
  <si>
    <t>Total Consumption (Units)</t>
  </si>
  <si>
    <t>Pricing (US$)</t>
  </si>
  <si>
    <t>Pricing Share (Pizza Base)</t>
  </si>
  <si>
    <t>Total Size (USD Million)</t>
  </si>
  <si>
    <t>Global Pizza Base Market Size (USD Million)</t>
  </si>
  <si>
    <t>Pizza Market Size</t>
  </si>
  <si>
    <t>Segment</t>
  </si>
  <si>
    <t>By Pizza Base Type</t>
  </si>
  <si>
    <t>Ready to Eat Bases</t>
  </si>
  <si>
    <t>Quick Service Restaurants (QSR)</t>
  </si>
  <si>
    <t>Traditional Round Pizza</t>
  </si>
  <si>
    <t>Pizza Romana</t>
  </si>
  <si>
    <t>Pinsa</t>
  </si>
  <si>
    <t>Other Regional / Specialty Pizza Styles</t>
  </si>
  <si>
    <t>Full-Service Restaurants (FSR)</t>
  </si>
  <si>
    <t>Made From Scratch</t>
  </si>
  <si>
    <t>Pizza Type</t>
  </si>
  <si>
    <t>By Temperature / Preservation Technology</t>
  </si>
  <si>
    <t>Chilled / Refrigerated Pizza</t>
  </si>
  <si>
    <t>Frozen Pizza</t>
  </si>
  <si>
    <t>Pizzeria</t>
  </si>
  <si>
    <t>Retail</t>
  </si>
  <si>
    <t>Bars/Hotels</t>
  </si>
  <si>
    <t>Others ( (Institutional Food Service, etc.)</t>
  </si>
  <si>
    <t xml:space="preserve">By End-Use Channel </t>
  </si>
  <si>
    <t>Ambient Pizza</t>
  </si>
  <si>
    <t>North America</t>
  </si>
  <si>
    <t>U.S.</t>
  </si>
  <si>
    <t>Canada</t>
  </si>
  <si>
    <t>Europe</t>
  </si>
  <si>
    <t>Norway</t>
  </si>
  <si>
    <t>UK</t>
  </si>
  <si>
    <t>Germany</t>
  </si>
  <si>
    <t>Romania</t>
  </si>
  <si>
    <t>Italy</t>
  </si>
  <si>
    <t>France</t>
  </si>
  <si>
    <t>Spain</t>
  </si>
  <si>
    <t>Russia</t>
  </si>
  <si>
    <t>Switzerland</t>
  </si>
  <si>
    <t>Sweden</t>
  </si>
  <si>
    <t>Finland</t>
  </si>
  <si>
    <t>Rest of Europe</t>
  </si>
  <si>
    <t>Asia Pacific</t>
  </si>
  <si>
    <t>China</t>
  </si>
  <si>
    <t>India</t>
  </si>
  <si>
    <t>Japan</t>
  </si>
  <si>
    <t>South Korea</t>
  </si>
  <si>
    <t>ASEAN</t>
  </si>
  <si>
    <t>Australia</t>
  </si>
  <si>
    <t>New Zealand</t>
  </si>
  <si>
    <t>Rest of Asia Pacific</t>
  </si>
  <si>
    <t>Latin America</t>
  </si>
  <si>
    <t>Brazil</t>
  </si>
  <si>
    <t>Argentina</t>
  </si>
  <si>
    <t>Mexico</t>
  </si>
  <si>
    <t>Rest of Latin America</t>
  </si>
  <si>
    <t>Middle East</t>
  </si>
  <si>
    <t>GCC Countries</t>
  </si>
  <si>
    <t>Rest of Middle East</t>
  </si>
  <si>
    <t>Africa</t>
  </si>
  <si>
    <t>North Africa</t>
  </si>
  <si>
    <t>South Africa</t>
  </si>
  <si>
    <t>Central Africa</t>
  </si>
  <si>
    <t>Market Share</t>
  </si>
  <si>
    <t>Region</t>
  </si>
  <si>
    <t>Adjusted Market Share</t>
  </si>
  <si>
    <t>LATAM</t>
  </si>
  <si>
    <t>Global Size (USD Million)</t>
  </si>
  <si>
    <t>CAGR</t>
  </si>
  <si>
    <t>Polyurethane (PU) Foams</t>
  </si>
  <si>
    <t>Product Type</t>
  </si>
  <si>
    <t>Polystyrene (PS) Foams</t>
  </si>
  <si>
    <t>Polyolefin Foams</t>
  </si>
  <si>
    <t>PVC Foams</t>
  </si>
  <si>
    <t>High-Performance Engineering Polymer Foams</t>
  </si>
  <si>
    <t>Melamine Foams</t>
  </si>
  <si>
    <t>Elastomeric &amp; Specialty Foams</t>
  </si>
  <si>
    <t>Bio-Based &amp; Sustainable Foams</t>
  </si>
  <si>
    <t>Density</t>
  </si>
  <si>
    <t>Form</t>
  </si>
  <si>
    <t>End-Use</t>
  </si>
  <si>
    <t>Automotive &amp; Transportation</t>
  </si>
  <si>
    <t>Building &amp; Construction</t>
  </si>
  <si>
    <t>Furniture &amp; Bedding</t>
  </si>
  <si>
    <t>Others (Healthcare, Defense etc.)</t>
  </si>
  <si>
    <t>Distribution</t>
  </si>
  <si>
    <t>Ultra-Low Density: &lt; 15</t>
  </si>
  <si>
    <t>Low Density: 15 – 30</t>
  </si>
  <si>
    <t>Medium Density: 30 – 80</t>
  </si>
  <si>
    <t>High Density: 80 – 250</t>
  </si>
  <si>
    <t>Ultra-High Density / Structural: &gt; 250</t>
  </si>
  <si>
    <t>Sheets &amp; Boards</t>
  </si>
  <si>
    <t>Rolls</t>
  </si>
  <si>
    <t>Blocks / Buns</t>
  </si>
  <si>
    <t>Molded &amp; Fabricated Parts</t>
  </si>
  <si>
    <t>Laminated / Composite Foam Structures</t>
  </si>
  <si>
    <t>Packaging &amp; Logistics</t>
  </si>
  <si>
    <t>Electronics &amp; Electrical</t>
  </si>
  <si>
    <t>Direct OEM Supplies</t>
  </si>
  <si>
    <t>Indirect (via Distributors / Traders)</t>
  </si>
  <si>
    <t>Flexible PU</t>
  </si>
  <si>
    <t>Rigid PU</t>
  </si>
  <si>
    <t>Semi-Rigid PU</t>
  </si>
  <si>
    <t>Integral Skin PU</t>
  </si>
  <si>
    <t>Microcellular PU</t>
  </si>
  <si>
    <t>Expanded Polystyrene (EPS)</t>
  </si>
  <si>
    <t>Extruded Polystyrene (XPS)</t>
  </si>
  <si>
    <t>Polyethylene (PE) Foams</t>
  </si>
  <si>
    <t>Polypropylene (PP) Foams</t>
  </si>
  <si>
    <t>Rigid PVC Foam</t>
  </si>
  <si>
    <t>Semi-Rigid PVC Foam</t>
  </si>
  <si>
    <t>Closed-Cell PVC Structural Foam</t>
  </si>
  <si>
    <t>Polyimide (PI) Foams</t>
  </si>
  <si>
    <t>Phenolic Foams</t>
  </si>
  <si>
    <t>Advanced Thermoplastic Foams</t>
  </si>
  <si>
    <t>Seating &amp; interior trim</t>
  </si>
  <si>
    <t>NVH insulation</t>
  </si>
  <si>
    <t>Thermal &amp; impact protection</t>
  </si>
  <si>
    <t>Thermal insulation</t>
  </si>
  <si>
    <t>Acoustic panels</t>
  </si>
  <si>
    <t>Structural &amp; fire-resistant insulation</t>
  </si>
  <si>
    <t>Protective cushioning</t>
  </si>
  <si>
    <t>Cold-chain insulation</t>
  </si>
  <si>
    <t>Transit &amp; shock-absorbing packaging</t>
  </si>
  <si>
    <t>Mattresses</t>
  </si>
  <si>
    <t>Upholstery &amp; seating foams</t>
  </si>
  <si>
    <t>Component cushioning</t>
  </si>
  <si>
    <t>Thermal management</t>
  </si>
  <si>
    <t>EMI / ESD protection</t>
  </si>
  <si>
    <t>Israel</t>
  </si>
  <si>
    <t>GCC</t>
  </si>
  <si>
    <t>https://www.worldbank.org/en/news/press-release/2022/09/15/risk-of-global-recession-in-2023-rises-amid-simultaneous-rate-hikes</t>
  </si>
  <si>
    <t>https://www.americanchemistry.com/industry-groups/center-for-the-polyurethanes-industry-cpi/environment/state-phase-down-of-hfcs-in-the-spray-foam-industry</t>
  </si>
  <si>
    <t>https://www.as-enterprises.com/blog/the-future-of-foam-manufacturing-what-the-industry-will-look-like-by-2030/</t>
  </si>
  <si>
    <t>https://comtradeplus.un.org/</t>
  </si>
  <si>
    <t>Region / Country</t>
  </si>
  <si>
    <t>Source Link / Validation</t>
  </si>
  <si>
    <t>Europe cellular plastic sheets/films production source.</t>
  </si>
  <si>
    <t>Country-level production cited in Europe source.</t>
  </si>
  <si>
    <t>Covered in Europe source country cluster; validate further through UK PRODCOM/ONS.</t>
  </si>
  <si>
    <t>Covered in Europe source country cluster; validate further through Eurostat PRODCOM.</t>
  </si>
  <si>
    <t>Use Europe total as regional anchor.</t>
  </si>
  <si>
    <t>Asia Pacific cellular plastic sheets/films production source.</t>
  </si>
  <si>
    <t>Country-level production cited in Asia Pacific source.</t>
  </si>
  <si>
    <t>Use APAC total as anchor; validate through national production/statistics and trade proxy.</t>
  </si>
  <si>
    <t>Use APAC total as anchor; split ASEAN by Indonesia, Vietnam, Thailand, Malaysia, etc. using trade/company capacity.</t>
  </si>
  <si>
    <t>Use APAC source as regional anchor; validate through national manufacturing and import dependence.</t>
  </si>
  <si>
    <t>Use APAC total as anchor.</t>
  </si>
  <si>
    <t>Latin America cellular plastic sheets/films production source.</t>
  </si>
  <si>
    <t>Country-level production cited in Latin America source.</t>
  </si>
  <si>
    <t>Use Latin America total as anchor; Brazil should be estimated through apparent consumption/trade/company capacity.</t>
  </si>
  <si>
    <t>Latin America source cites Guatemala as a key producing country along with Mexico and Argentina.</t>
  </si>
  <si>
    <t>Middle East cellular plastic sheets/films production source.</t>
  </si>
  <si>
    <t>Middle East source reports Israel as an exporter, but not as a top production country.</t>
  </si>
  <si>
    <t>GCC production source.</t>
  </si>
  <si>
    <t>Saudi Arabia</t>
  </si>
  <si>
    <t>Country-level production cited in GCC source.</t>
  </si>
  <si>
    <t>UAE</t>
  </si>
  <si>
    <t>Oman</t>
  </si>
  <si>
    <t>Middle East source cites Turkey, Iran, Saudi Arabia, UAE, Oman, Jordan and Syria as key producing countries.</t>
  </si>
  <si>
    <t>Africa cellular plastic sheets/films production source.</t>
  </si>
  <si>
    <t>Africa source identifies Egypt as a leading producer.</t>
  </si>
  <si>
    <t>Use Africa total as anchor; estimate through apparent consumption and imports.</t>
  </si>
  <si>
    <t>Africa source reports South Africa as a key exporter, but not as a top production country.</t>
  </si>
  <si>
    <t>https://europur.org/flexible-pu-foam/elementor-4539/</t>
  </si>
  <si>
    <t>https://eximtradedata.com/search/country-india/type-import/product-foam-foam/hscode-94</t>
  </si>
  <si>
    <t>Domestic Production Data Available in 'Mn Tons (2024)</t>
  </si>
  <si>
    <t>https://ozone.unep.org/system/files/documents/TEAP_2018_Assessment_Report.pdf</t>
  </si>
  <si>
    <t>Step</t>
  </si>
  <si>
    <t>Calculation Logic</t>
  </si>
  <si>
    <t>Global polymeric foam base in 2017</t>
  </si>
  <si>
    <t>2026 foam base estimate</t>
  </si>
  <si>
    <t>24.0 × 1.039⁹</t>
  </si>
  <si>
    <t>Share fitting your technical foam scope</t>
  </si>
  <si>
    <t>85%–88% of total foam</t>
  </si>
  <si>
    <t>Excluded non-technical/commodity foam</t>
  </si>
  <si>
    <t>12%–15% of total foam</t>
  </si>
  <si>
    <r>
      <t xml:space="preserve">UNEP/TEAP reported global polymeric foam production at around </t>
    </r>
    <r>
      <rPr>
        <b/>
        <sz val="9"/>
        <color theme="1"/>
        <rFont val="Assistant"/>
        <charset val="177"/>
      </rPr>
      <t>24 million tons</t>
    </r>
    <r>
      <rPr>
        <sz val="9"/>
        <color theme="1"/>
        <rFont val="Assistant"/>
        <charset val="177"/>
      </rPr>
      <t xml:space="preserve"> in 2017, growing at around </t>
    </r>
    <r>
      <rPr>
        <b/>
        <sz val="9"/>
        <color theme="1"/>
        <rFont val="Assistant"/>
        <charset val="177"/>
      </rPr>
      <t>3.9% per year</t>
    </r>
    <r>
      <rPr>
        <sz val="9"/>
        <color theme="1"/>
        <rFont val="Assistant"/>
        <charset val="177"/>
      </rPr>
      <t>.</t>
    </r>
  </si>
  <si>
    <t>Company</t>
  </si>
  <si>
    <t>Revenue in 2024 USD Mn</t>
  </si>
  <si>
    <t>Product Revenue Percent</t>
  </si>
  <si>
    <t>Product Revenue USD Mn</t>
  </si>
  <si>
    <t>BASF SE</t>
  </si>
  <si>
    <t>Dow Inc.</t>
  </si>
  <si>
    <t>Covestro AG</t>
  </si>
  <si>
    <t>Huntsman Corporation</t>
  </si>
  <si>
    <t>Sekisui Chemical Co., Ltd.</t>
  </si>
  <si>
    <t>JSP Corporation</t>
  </si>
  <si>
    <t>Zotefoams plc</t>
  </si>
  <si>
    <t>Recticel NV</t>
  </si>
  <si>
    <t>Rogers Corporation</t>
  </si>
  <si>
    <t>UFP Technologies</t>
  </si>
  <si>
    <t>Top 10 Companies Market Share in (%)</t>
  </si>
  <si>
    <t>Total Global Market Size (USD Billion)</t>
  </si>
  <si>
    <t>Total Global Market Size (USD Million)</t>
  </si>
  <si>
    <t>Domestic Production Data Available in ’000 Tons (2024)</t>
  </si>
  <si>
    <t>Central Africa / Rest of Africa</t>
  </si>
  <si>
    <t>Global Total</t>
  </si>
  <si>
    <t>Global Total (Volume in Mn Ton)</t>
  </si>
  <si>
    <t>ASP</t>
  </si>
  <si>
    <t>Total Value (USD Bn)</t>
  </si>
  <si>
    <t xml:space="preserve">U.S. </t>
  </si>
  <si>
    <t>Domestic Production / Consumption Data in ’000 Tons, 2024</t>
  </si>
  <si>
    <t>Actual Data</t>
  </si>
  <si>
    <t>Finalised Country Data</t>
  </si>
  <si>
    <t>Region Name</t>
  </si>
  <si>
    <t>Market Volume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</si>
  <si>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</si>
  <si>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</si>
  <si>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</si>
  <si>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</si>
  <si>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</si>
  <si>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</si>
  <si>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</si>
  <si>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</si>
  <si>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</si>
  <si>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</si>
  <si>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</si>
  <si>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</si>
  <si>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</si>
  <si>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</si>
  <si>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</si>
  <si>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</si>
  <si>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By Product Type</t>
  </si>
  <si>
    <t>By Density</t>
  </si>
  <si>
    <t>By Form</t>
  </si>
  <si>
    <t>By Distribution Channel</t>
  </si>
  <si>
    <t>Volume</t>
  </si>
  <si>
    <t>Automotive</t>
  </si>
  <si>
    <t>Others (Headliners, Door Panels, etc.)</t>
  </si>
  <si>
    <t>Others (Pipe Insulations, etc.)</t>
  </si>
  <si>
    <t>Others (Reusable Packaging Inserts, etc.)</t>
  </si>
  <si>
    <t>Consumer Electronics</t>
  </si>
  <si>
    <t>Others (Display Protection Pads, Battery Cushioning)</t>
  </si>
  <si>
    <t>Medical &amp; Healthcare</t>
  </si>
  <si>
    <t>Medical Supports</t>
  </si>
  <si>
    <t>Orthotics &amp; prosthetics</t>
  </si>
  <si>
    <t>Others (Surgical Kit, etc)</t>
  </si>
  <si>
    <t>Others (Furniture &amp; Bedding)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</si>
</sst>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%"/>
    <numFmt numFmtId="167" formatCode="0.0"/>
    <numFmt numFmtId="168" formatCode="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ssistant"/>
      <charset val="177"/>
    </font>
    <font>
      <sz val="9"/>
      <color theme="1"/>
      <name val="Assistant"/>
      <charset val="177"/>
    </font>
    <font>
      <sz val="9"/>
      <color rgb="FFFF0000"/>
      <name val="Assistant"/>
      <charset val="177"/>
    </font>
    <font>
      <sz val="9"/>
      <name val="Assistant"/>
      <charset val="177"/>
    </font>
    <font>
      <b/>
      <sz val="9"/>
      <color theme="1"/>
      <name val="Assistant"/>
      <charset val="177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9" tint="-0.249977111117893"/>
      <name val="Assistant"/>
      <charset val="177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45">
    <xf numFmtId="0" fontId="0" fillId="0" borderId="0" xfId="0"/>
    <xf numFmtId="0" fontId="2" fillId="2" borderId="0" xfId="0" applyFont="1" applyFill="1"/>
    <xf numFmtId="165" fontId="3" fillId="3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/>
    </xf>
    <xf numFmtId="165" fontId="2" fillId="4" borderId="1" xfId="1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vertical="center"/>
    </xf>
    <xf numFmtId="165" fontId="2" fillId="4" borderId="1" xfId="0" applyNumberFormat="1" applyFont="1" applyFill="1" applyBorder="1" applyAlignment="1">
      <alignment horizontal="left" vertical="center"/>
    </xf>
    <xf numFmtId="43" fontId="4" fillId="0" borderId="0" xfId="1" applyFont="1"/>
    <xf numFmtId="43" fontId="0" fillId="0" borderId="0" xfId="0" applyNumberFormat="1"/>
    <xf numFmtId="166" fontId="3" fillId="3" borderId="2" xfId="2" applyNumberFormat="1" applyFont="1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indent="2"/>
    </xf>
    <xf numFmtId="0" fontId="5" fillId="9" borderId="1" xfId="0" applyFont="1" applyFill="1" applyBorder="1" applyAlignment="1">
      <alignment horizontal="left" vertical="center" indent="3"/>
    </xf>
    <xf numFmtId="0" fontId="2" fillId="6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9" fontId="3" fillId="0" borderId="0" xfId="2" applyFont="1"/>
    <xf numFmtId="0" fontId="3" fillId="3" borderId="1" xfId="0" applyFont="1" applyFill="1" applyBorder="1"/>
    <xf numFmtId="43" fontId="0" fillId="0" borderId="0" xfId="1" applyFont="1"/>
    <xf numFmtId="10" fontId="0" fillId="0" borderId="0" xfId="2" applyNumberFormat="1" applyFont="1"/>
    <xf numFmtId="167" fontId="2" fillId="6" borderId="1" xfId="0" applyNumberFormat="1" applyFont="1" applyFill="1" applyBorder="1" applyAlignment="1">
      <alignment vertical="center"/>
    </xf>
    <xf numFmtId="2" fontId="3" fillId="0" borderId="1" xfId="0" applyNumberFormat="1" applyFont="1" applyBorder="1"/>
    <xf numFmtId="0" fontId="3" fillId="0" borderId="1" xfId="0" applyFont="1" applyBorder="1"/>
    <xf numFmtId="165" fontId="6" fillId="3" borderId="1" xfId="1" applyNumberFormat="1" applyFont="1" applyFill="1" applyBorder="1"/>
    <xf numFmtId="0" fontId="6" fillId="3" borderId="1" xfId="0" applyFont="1" applyFill="1" applyBorder="1"/>
    <xf numFmtId="10" fontId="0" fillId="0" borderId="0" xfId="0" applyNumberFormat="1"/>
    <xf numFmtId="10" fontId="3" fillId="0" borderId="0" xfId="2" applyNumberFormat="1" applyFont="1"/>
    <xf numFmtId="10" fontId="2" fillId="6" borderId="1" xfId="2" applyNumberFormat="1" applyFont="1" applyFill="1" applyBorder="1" applyAlignment="1">
      <alignment vertical="center"/>
    </xf>
    <xf numFmtId="10" fontId="3" fillId="0" borderId="1" xfId="2" applyNumberFormat="1" applyFont="1" applyBorder="1"/>
    <xf numFmtId="9" fontId="6" fillId="0" borderId="1" xfId="2" applyFont="1" applyBorder="1"/>
    <xf numFmtId="9" fontId="3" fillId="0" borderId="1" xfId="2" applyFont="1" applyBorder="1"/>
    <xf numFmtId="10" fontId="3" fillId="0" borderId="1" xfId="0" applyNumberFormat="1" applyFont="1" applyBorder="1"/>
    <xf numFmtId="10" fontId="2" fillId="5" borderId="0" xfId="2" applyNumberFormat="1" applyFont="1" applyFill="1" applyAlignment="1">
      <alignment vertical="center"/>
    </xf>
    <xf numFmtId="10" fontId="3" fillId="4" borderId="1" xfId="2" applyNumberFormat="1" applyFont="1" applyFill="1" applyBorder="1"/>
    <xf numFmtId="10" fontId="3" fillId="10" borderId="1" xfId="2" applyNumberFormat="1" applyFont="1" applyFill="1" applyBorder="1"/>
    <xf numFmtId="0" fontId="2" fillId="2" borderId="1" xfId="0" applyFont="1" applyFill="1" applyBorder="1" applyAlignment="1">
      <alignment vertical="center"/>
    </xf>
    <xf numFmtId="10" fontId="3" fillId="3" borderId="1" xfId="2" applyNumberFormat="1" applyFont="1" applyFill="1" applyBorder="1" applyAlignment="1">
      <alignment horizontal="center"/>
    </xf>
    <xf numFmtId="10" fontId="3" fillId="10" borderId="1" xfId="2" applyNumberFormat="1" applyFont="1" applyFill="1" applyBorder="1" applyAlignment="1">
      <alignment horizontal="center"/>
    </xf>
    <xf numFmtId="10" fontId="6" fillId="10" borderId="1" xfId="2" applyNumberFormat="1" applyFont="1" applyFill="1" applyBorder="1" applyAlignment="1">
      <alignment horizontal="center"/>
    </xf>
    <xf numFmtId="0" fontId="7" fillId="0" borderId="0" xfId="0" applyFont="1"/>
    <xf numFmtId="10" fontId="6" fillId="0" borderId="0" xfId="2" applyNumberFormat="1" applyFont="1"/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43" fontId="3" fillId="0" borderId="0" xfId="1" applyFont="1"/>
    <xf numFmtId="0" fontId="3" fillId="11" borderId="1" xfId="0" applyFont="1" applyFill="1" applyBorder="1" applyAlignment="1">
      <alignment vertical="center"/>
    </xf>
    <xf numFmtId="43" fontId="3" fillId="0" borderId="1" xfId="1" applyFont="1" applyBorder="1"/>
    <xf numFmtId="166" fontId="3" fillId="0" borderId="1" xfId="2" applyNumberFormat="1" applyFont="1" applyBorder="1"/>
    <xf numFmtId="0" fontId="0" fillId="0" borderId="1" xfId="0" applyBorder="1"/>
    <xf numFmtId="166" fontId="0" fillId="0" borderId="0" xfId="2" applyNumberFormat="1" applyFont="1"/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left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left" vertical="top"/>
    </xf>
    <xf numFmtId="0" fontId="0" fillId="3" borderId="0" xfId="0" applyFill="1" applyAlignment="1">
      <alignment wrapText="1"/>
    </xf>
    <xf numFmtId="0" fontId="8" fillId="3" borderId="0" xfId="3" applyFill="1" applyAlignment="1">
      <alignment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3" fontId="3" fillId="0" borderId="0" xfId="0" applyNumberFormat="1" applyFont="1"/>
    <xf numFmtId="2" fontId="3" fillId="3" borderId="1" xfId="0" applyNumberFormat="1" applyFont="1" applyFill="1" applyBorder="1"/>
    <xf numFmtId="10" fontId="3" fillId="0" borderId="0" xfId="2" applyNumberFormat="1" applyFont="1" applyAlignment="1">
      <alignment vertical="top"/>
    </xf>
    <xf numFmtId="0" fontId="7" fillId="0" borderId="0" xfId="0" applyFont="1" applyAlignment="1">
      <alignment vertical="center"/>
    </xf>
    <xf numFmtId="0" fontId="3" fillId="11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6" fontId="3" fillId="11" borderId="0" xfId="2" applyNumberFormat="1" applyFont="1" applyFill="1" applyAlignment="1">
      <alignment horizontal="right" vertical="center"/>
    </xf>
    <xf numFmtId="166" fontId="3" fillId="7" borderId="0" xfId="2" applyNumberFormat="1" applyFont="1" applyFill="1" applyAlignment="1">
      <alignment horizontal="right" vertical="center"/>
    </xf>
    <xf numFmtId="166" fontId="3" fillId="3" borderId="0" xfId="2" applyNumberFormat="1" applyFont="1" applyFill="1" applyAlignment="1">
      <alignment horizontal="right" vertical="center"/>
    </xf>
    <xf numFmtId="166" fontId="3" fillId="0" borderId="0" xfId="2" applyNumberFormat="1" applyFont="1" applyAlignment="1">
      <alignment horizontal="right" vertical="center"/>
    </xf>
    <xf numFmtId="166" fontId="2" fillId="5" borderId="0" xfId="2" applyNumberFormat="1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166" fontId="6" fillId="11" borderId="0" xfId="2" applyNumberFormat="1" applyFont="1" applyFill="1" applyAlignment="1">
      <alignment horizontal="right" vertical="center"/>
    </xf>
    <xf numFmtId="0" fontId="6" fillId="0" borderId="1" xfId="0" applyFont="1" applyBorder="1" applyAlignment="1">
      <alignment vertical="center"/>
    </xf>
    <xf numFmtId="165" fontId="6" fillId="0" borderId="1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5" fontId="3" fillId="0" borderId="0" xfId="0" applyNumberFormat="1" applyFont="1"/>
    <xf numFmtId="164" fontId="3" fillId="0" borderId="0" xfId="0" applyNumberFormat="1" applyFont="1" applyAlignment="1">
      <alignment vertical="top"/>
    </xf>
    <xf numFmtId="164" fontId="6" fillId="0" borderId="1" xfId="0" applyNumberFormat="1" applyFont="1" applyBorder="1" applyAlignment="1">
      <alignment vertical="top"/>
    </xf>
    <xf numFmtId="2" fontId="3" fillId="0" borderId="1" xfId="0" applyNumberFormat="1" applyFont="1" applyBorder="1" applyAlignment="1">
      <alignment vertical="top"/>
    </xf>
    <xf numFmtId="0" fontId="3" fillId="3" borderId="3" xfId="0" applyFont="1" applyFill="1" applyBorder="1"/>
    <xf numFmtId="0" fontId="3" fillId="0" borderId="3" xfId="0" applyFont="1" applyBorder="1" applyAlignment="1">
      <alignment horizontal="left" inden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vertical="center" wrapText="1"/>
    </xf>
    <xf numFmtId="3" fontId="6" fillId="12" borderId="1" xfId="0" applyNumberFormat="1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/>
    <xf numFmtId="3" fontId="6" fillId="3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3" fontId="6" fillId="12" borderId="5" xfId="0" applyNumberFormat="1" applyFont="1" applyFill="1" applyBorder="1" applyAlignment="1">
      <alignment horizontal="right" vertical="center" wrapText="1"/>
    </xf>
    <xf numFmtId="10" fontId="9" fillId="3" borderId="1" xfId="0" applyNumberFormat="1" applyFont="1" applyFill="1" applyBorder="1"/>
    <xf numFmtId="10" fontId="6" fillId="3" borderId="1" xfId="2" applyNumberFormat="1" applyFont="1" applyFill="1" applyBorder="1"/>
    <xf numFmtId="0" fontId="7" fillId="12" borderId="1" xfId="0" applyFont="1" applyFill="1" applyBorder="1"/>
    <xf numFmtId="3" fontId="9" fillId="0" borderId="0" xfId="0" applyNumberFormat="1" applyFont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166" fontId="0" fillId="0" borderId="0" xfId="0" applyNumberFormat="1"/>
    <xf numFmtId="9" fontId="0" fillId="0" borderId="0" xfId="0" applyNumberFormat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0" xfId="0" applyFill="1" applyAlignment="1">
      <alignment horizontal="left" vertical="center" indent="2"/>
    </xf>
    <xf numFmtId="166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7" borderId="0" xfId="2" applyNumberFormat="1" applyFont="1" applyFill="1" applyAlignment="1">
      <alignment horizontal="center" vertical="center"/>
    </xf>
    <xf numFmtId="166" fontId="3" fillId="3" borderId="0" xfId="2" applyNumberFormat="1" applyFont="1" applyFill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right" vertical="center" wrapText="1"/>
    </xf>
    <xf numFmtId="168" fontId="3" fillId="0" borderId="1" xfId="0" applyNumberFormat="1" applyFont="1" applyBorder="1" applyAlignment="1">
      <alignment horizontal="right" vertical="center" wrapText="1"/>
    </xf>
    <xf numFmtId="4" fontId="0" fillId="14" borderId="0" xfId="0" applyNumberFormat="1" applyFill="1"/>
    <xf numFmtId="10" fontId="4" fillId="0" borderId="1" xfId="2" applyNumberFormat="1" applyFont="1" applyBorder="1"/>
    <xf numFmtId="10" fontId="11" fillId="0" borderId="1" xfId="2" applyNumberFormat="1" applyFont="1" applyBorder="1"/>
    <xf numFmtId="0" fontId="3" fillId="7" borderId="0" xfId="0" applyFont="1" applyFill="1" applyAlignment="1">
      <alignment horizontal="left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ozone.unep.org/system/files/documents/TEAP_2018_Assessment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6"/>
  <sheetViews>
    <sheetView workbookViewId="0">
      <selection activeCell="C14" sqref="C14"/>
    </sheetView>
  </sheetViews>
  <sheetFormatPr defaultRowHeight="14.5"/>
  <cols>
    <col min="2" max="2" width="10.90625" bestFit="1" customWidth="1"/>
    <col min="3" max="3" width="18.6328125" bestFit="1" customWidth="1"/>
    <col min="4" max="4" width="19.90625" bestFit="1" customWidth="1"/>
    <col min="5" max="5" width="12.08984375" customWidth="1"/>
    <col min="6" max="6" width="13.36328125" bestFit="1" customWidth="1"/>
    <col min="7" max="7" width="32.08984375" bestFit="1" customWidth="1"/>
    <col min="8" max="8" width="23.7265625" customWidth="1"/>
  </cols>
  <sheetData>
    <row r="1" spans="2:8">
      <c r="E1">
        <v>0.5</v>
      </c>
    </row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4</v>
      </c>
      <c r="H2" s="1" t="s">
        <v>5</v>
      </c>
    </row>
    <row r="3" spans="2:8">
      <c r="B3" s="2">
        <v>349035000</v>
      </c>
      <c r="C3" s="3">
        <v>48</v>
      </c>
      <c r="D3" s="4">
        <v>16753680000</v>
      </c>
      <c r="E3" s="5">
        <v>6.75</v>
      </c>
      <c r="F3" s="5">
        <f>D3*E3/10^6</f>
        <v>113087.34</v>
      </c>
      <c r="G3" s="6">
        <f>E3*8%</f>
        <v>0.54</v>
      </c>
      <c r="H3" s="7">
        <f>D3*G3/10^6</f>
        <v>9046.9871999999996</v>
      </c>
    </row>
    <row r="4" spans="2:8">
      <c r="B4" s="2">
        <v>40467700</v>
      </c>
      <c r="C4" s="3">
        <v>44.5</v>
      </c>
      <c r="D4" s="4">
        <v>1800812650</v>
      </c>
      <c r="E4" s="5">
        <v>6.25</v>
      </c>
      <c r="F4" s="5">
        <f t="shared" ref="F4:F44" si="0">D4*E4/10^6</f>
        <v>11255.079062500001</v>
      </c>
      <c r="G4" s="6">
        <f t="shared" ref="G4:G44" si="1">E4*8%</f>
        <v>0.5</v>
      </c>
      <c r="H4" s="7">
        <f t="shared" ref="H4:H44" si="2">D4*G4/10^6</f>
        <v>900.40632500000004</v>
      </c>
    </row>
    <row r="5" spans="2:8">
      <c r="B5" s="2"/>
      <c r="C5" s="3">
        <v>0</v>
      </c>
      <c r="D5" s="4">
        <v>0</v>
      </c>
      <c r="E5" s="5">
        <v>0</v>
      </c>
      <c r="F5" s="5">
        <f t="shared" si="0"/>
        <v>0</v>
      </c>
      <c r="G5" s="6">
        <f t="shared" si="1"/>
        <v>0</v>
      </c>
      <c r="H5" s="7">
        <f t="shared" si="2"/>
        <v>0</v>
      </c>
    </row>
    <row r="6" spans="2:8">
      <c r="B6" s="2">
        <v>5652990</v>
      </c>
      <c r="C6" s="3">
        <v>57</v>
      </c>
      <c r="D6" s="4">
        <v>322220430</v>
      </c>
      <c r="E6" s="5">
        <v>9</v>
      </c>
      <c r="F6" s="5">
        <f t="shared" si="0"/>
        <v>2899.98387</v>
      </c>
      <c r="G6" s="6">
        <f t="shared" si="1"/>
        <v>0.72</v>
      </c>
      <c r="H6" s="7">
        <f t="shared" si="2"/>
        <v>231.99870959999998</v>
      </c>
    </row>
    <row r="7" spans="2:8">
      <c r="B7" s="8">
        <v>58926200</v>
      </c>
      <c r="C7" s="9">
        <v>38</v>
      </c>
      <c r="D7" s="8">
        <v>2239195600</v>
      </c>
      <c r="E7" s="10">
        <v>5</v>
      </c>
      <c r="F7" s="10">
        <f t="shared" si="0"/>
        <v>11195.977999999999</v>
      </c>
      <c r="G7" s="11">
        <f t="shared" si="1"/>
        <v>0.4</v>
      </c>
      <c r="H7" s="12">
        <f t="shared" si="2"/>
        <v>895.67823999999996</v>
      </c>
    </row>
    <row r="8" spans="2:8">
      <c r="B8" s="2">
        <v>9007800</v>
      </c>
      <c r="C8" s="3">
        <v>37.5</v>
      </c>
      <c r="D8" s="4">
        <v>337792500</v>
      </c>
      <c r="E8" s="5">
        <v>10.5</v>
      </c>
      <c r="F8" s="5">
        <f t="shared" si="0"/>
        <v>3546.82125</v>
      </c>
      <c r="G8" s="6">
        <f t="shared" si="1"/>
        <v>0.84</v>
      </c>
      <c r="H8" s="7">
        <f t="shared" si="2"/>
        <v>283.7457</v>
      </c>
    </row>
    <row r="9" spans="2:8">
      <c r="B9" s="2">
        <v>10701000</v>
      </c>
      <c r="C9" s="3">
        <v>36</v>
      </c>
      <c r="D9" s="4">
        <v>385236000</v>
      </c>
      <c r="E9" s="5">
        <v>5.75</v>
      </c>
      <c r="F9" s="5">
        <f t="shared" si="0"/>
        <v>2215.107</v>
      </c>
      <c r="G9" s="6">
        <f t="shared" si="1"/>
        <v>0.46</v>
      </c>
      <c r="H9" s="7">
        <f t="shared" si="2"/>
        <v>177.20856000000001</v>
      </c>
    </row>
    <row r="10" spans="2:8">
      <c r="B10" s="2">
        <v>66746400</v>
      </c>
      <c r="C10" s="3">
        <v>34</v>
      </c>
      <c r="D10" s="4">
        <v>2269377600</v>
      </c>
      <c r="E10" s="5">
        <v>6.25</v>
      </c>
      <c r="F10" s="5">
        <f t="shared" si="0"/>
        <v>14183.61</v>
      </c>
      <c r="G10" s="6">
        <f t="shared" si="1"/>
        <v>0.5</v>
      </c>
      <c r="H10" s="7">
        <f t="shared" si="2"/>
        <v>1134.6887999999999</v>
      </c>
    </row>
    <row r="11" spans="2:8">
      <c r="B11" s="2">
        <v>5621740</v>
      </c>
      <c r="C11" s="3">
        <v>33.5</v>
      </c>
      <c r="D11" s="4">
        <v>188328290</v>
      </c>
      <c r="E11" s="5">
        <v>6.75</v>
      </c>
      <c r="F11" s="5">
        <f t="shared" si="0"/>
        <v>1271.2159575000001</v>
      </c>
      <c r="G11" s="6">
        <f t="shared" si="1"/>
        <v>0.54</v>
      </c>
      <c r="H11" s="7">
        <f t="shared" si="2"/>
        <v>101.69727660000001</v>
      </c>
    </row>
    <row r="12" spans="2:8">
      <c r="B12" s="2">
        <v>69931500</v>
      </c>
      <c r="C12" s="3">
        <v>31.5</v>
      </c>
      <c r="D12" s="4">
        <v>2202842250</v>
      </c>
      <c r="E12" s="5">
        <v>7.5</v>
      </c>
      <c r="F12" s="5">
        <f t="shared" si="0"/>
        <v>16521.316875</v>
      </c>
      <c r="G12" s="6">
        <f t="shared" si="1"/>
        <v>0.6</v>
      </c>
      <c r="H12" s="7">
        <f t="shared" si="2"/>
        <v>1321.70535</v>
      </c>
    </row>
    <row r="13" spans="2:8">
      <c r="B13" s="2">
        <v>83644300</v>
      </c>
      <c r="C13" s="3">
        <v>31</v>
      </c>
      <c r="D13" s="4">
        <v>2592973300</v>
      </c>
      <c r="E13" s="5">
        <v>6.25</v>
      </c>
      <c r="F13" s="5">
        <f t="shared" si="0"/>
        <v>16206.083124999999</v>
      </c>
      <c r="G13" s="6">
        <f t="shared" si="1"/>
        <v>0.5</v>
      </c>
      <c r="H13" s="7">
        <f t="shared" si="2"/>
        <v>1296.4866500000001</v>
      </c>
    </row>
    <row r="14" spans="2:8">
      <c r="B14" s="2">
        <v>47850800</v>
      </c>
      <c r="C14" s="3">
        <v>29.5</v>
      </c>
      <c r="D14" s="4">
        <v>1411598600</v>
      </c>
      <c r="E14" s="5">
        <v>5.5</v>
      </c>
      <c r="F14" s="5">
        <f t="shared" si="0"/>
        <v>7763.7923000000001</v>
      </c>
      <c r="G14" s="6">
        <f t="shared" si="1"/>
        <v>0.44</v>
      </c>
      <c r="H14" s="7">
        <f t="shared" si="2"/>
        <v>621.10338400000001</v>
      </c>
    </row>
    <row r="15" spans="2:8">
      <c r="B15" s="2">
        <v>143394000</v>
      </c>
      <c r="C15" s="3">
        <v>27</v>
      </c>
      <c r="D15" s="4">
        <v>3871638000</v>
      </c>
      <c r="E15" s="5">
        <v>3.75</v>
      </c>
      <c r="F15" s="5">
        <f t="shared" si="0"/>
        <v>14518.6425</v>
      </c>
      <c r="G15" s="6">
        <f t="shared" si="1"/>
        <v>0.3</v>
      </c>
      <c r="H15" s="7">
        <f t="shared" si="2"/>
        <v>1161.4914000000001</v>
      </c>
    </row>
    <row r="16" spans="2:8">
      <c r="B16" s="2">
        <v>11774600</v>
      </c>
      <c r="C16" s="3">
        <v>26.5</v>
      </c>
      <c r="D16" s="4">
        <v>312026900</v>
      </c>
      <c r="E16" s="5">
        <v>6.75</v>
      </c>
      <c r="F16" s="5">
        <f t="shared" si="0"/>
        <v>2106.1815750000001</v>
      </c>
      <c r="G16" s="6">
        <f t="shared" si="1"/>
        <v>0.54</v>
      </c>
      <c r="H16" s="7">
        <f t="shared" si="2"/>
        <v>168.49452600000001</v>
      </c>
    </row>
    <row r="17" spans="2:8">
      <c r="B17" s="2">
        <v>6023520</v>
      </c>
      <c r="C17" s="3">
        <v>25.5</v>
      </c>
      <c r="D17" s="4">
        <v>153599760</v>
      </c>
      <c r="E17" s="5">
        <v>7.5</v>
      </c>
      <c r="F17" s="5">
        <f t="shared" si="0"/>
        <v>1151.9982</v>
      </c>
      <c r="G17" s="6">
        <f t="shared" si="1"/>
        <v>0.6</v>
      </c>
      <c r="H17" s="7">
        <f t="shared" si="2"/>
        <v>92.159856000000005</v>
      </c>
    </row>
    <row r="18" spans="2:8">
      <c r="B18" s="2">
        <v>18448800</v>
      </c>
      <c r="C18" s="3">
        <v>24.5</v>
      </c>
      <c r="D18" s="4">
        <v>451995600</v>
      </c>
      <c r="E18" s="5">
        <v>7</v>
      </c>
      <c r="F18" s="5">
        <f t="shared" si="0"/>
        <v>3163.9692</v>
      </c>
      <c r="G18" s="6">
        <f t="shared" si="1"/>
        <v>0.56000000000000005</v>
      </c>
      <c r="H18" s="7">
        <f t="shared" si="2"/>
        <v>253.11753600000003</v>
      </c>
    </row>
    <row r="19" spans="2:8">
      <c r="B19" s="2">
        <v>10395400</v>
      </c>
      <c r="C19" s="3">
        <v>24</v>
      </c>
      <c r="D19" s="4">
        <v>249489600</v>
      </c>
      <c r="E19" s="5">
        <v>5</v>
      </c>
      <c r="F19" s="5">
        <f t="shared" si="0"/>
        <v>1247.4480000000001</v>
      </c>
      <c r="G19" s="6">
        <f t="shared" si="1"/>
        <v>0.4</v>
      </c>
      <c r="H19" s="7">
        <f t="shared" si="2"/>
        <v>99.795839999999998</v>
      </c>
    </row>
    <row r="20" spans="2:8">
      <c r="B20" s="2">
        <v>9897120</v>
      </c>
      <c r="C20" s="3">
        <v>23.5</v>
      </c>
      <c r="D20" s="4">
        <v>232582320</v>
      </c>
      <c r="E20" s="5">
        <v>5</v>
      </c>
      <c r="F20" s="5">
        <f t="shared" si="0"/>
        <v>1162.9115999999999</v>
      </c>
      <c r="G20" s="6">
        <f t="shared" si="1"/>
        <v>0.4</v>
      </c>
      <c r="H20" s="7">
        <f t="shared" si="2"/>
        <v>93.032927999999998</v>
      </c>
    </row>
    <row r="21" spans="2:8">
      <c r="B21" s="2">
        <v>5356950</v>
      </c>
      <c r="C21" s="3">
        <v>23</v>
      </c>
      <c r="D21" s="4">
        <v>123209850</v>
      </c>
      <c r="E21" s="5">
        <v>8</v>
      </c>
      <c r="F21" s="5">
        <f t="shared" si="0"/>
        <v>985.67880000000002</v>
      </c>
      <c r="G21" s="6">
        <f t="shared" si="1"/>
        <v>0.64</v>
      </c>
      <c r="H21" s="7">
        <f t="shared" si="2"/>
        <v>78.854303999999999</v>
      </c>
    </row>
    <row r="22" spans="2:8">
      <c r="B22" s="2">
        <v>37843200</v>
      </c>
      <c r="C22" s="3">
        <v>22.5</v>
      </c>
      <c r="D22" s="4">
        <v>851472000</v>
      </c>
      <c r="E22" s="5">
        <v>4.25</v>
      </c>
      <c r="F22" s="5">
        <f t="shared" si="0"/>
        <v>3618.7559999999999</v>
      </c>
      <c r="G22" s="6">
        <f t="shared" si="1"/>
        <v>0.34</v>
      </c>
      <c r="H22" s="7">
        <f t="shared" si="2"/>
        <v>289.50047999999998</v>
      </c>
    </row>
    <row r="23" spans="2:8">
      <c r="B23" s="2">
        <v>87926100</v>
      </c>
      <c r="C23" s="3">
        <v>20</v>
      </c>
      <c r="D23" s="4">
        <v>1758522000</v>
      </c>
      <c r="E23" s="5">
        <v>3.5</v>
      </c>
      <c r="F23" s="5">
        <f t="shared" si="0"/>
        <v>6154.8270000000002</v>
      </c>
      <c r="G23" s="6">
        <f t="shared" si="1"/>
        <v>0.28000000000000003</v>
      </c>
      <c r="H23" s="7">
        <f t="shared" si="2"/>
        <v>492.38616000000007</v>
      </c>
    </row>
    <row r="24" spans="2:8">
      <c r="B24" s="2">
        <v>9107270</v>
      </c>
      <c r="C24" s="3">
        <v>18.5</v>
      </c>
      <c r="D24" s="4">
        <v>168484495</v>
      </c>
      <c r="E24" s="5">
        <v>6</v>
      </c>
      <c r="F24" s="5">
        <f t="shared" si="0"/>
        <v>1010.90697</v>
      </c>
      <c r="G24" s="6">
        <f t="shared" si="1"/>
        <v>0.48</v>
      </c>
      <c r="H24" s="7">
        <f t="shared" si="2"/>
        <v>80.872557599999993</v>
      </c>
    </row>
    <row r="25" spans="2:8">
      <c r="B25" s="2">
        <v>18800600</v>
      </c>
      <c r="C25" s="3">
        <v>18</v>
      </c>
      <c r="D25" s="4">
        <v>338410800</v>
      </c>
      <c r="E25" s="5">
        <v>4</v>
      </c>
      <c r="F25" s="5">
        <f t="shared" si="0"/>
        <v>1353.6432</v>
      </c>
      <c r="G25" s="6">
        <f t="shared" si="1"/>
        <v>0.32</v>
      </c>
      <c r="H25" s="7">
        <f t="shared" si="2"/>
        <v>108.291456</v>
      </c>
    </row>
    <row r="26" spans="2:8">
      <c r="B26" s="2">
        <v>10527800</v>
      </c>
      <c r="C26" s="3">
        <v>17.5</v>
      </c>
      <c r="D26" s="4">
        <v>184236500</v>
      </c>
      <c r="E26" s="5">
        <v>4.75</v>
      </c>
      <c r="F26" s="5">
        <f t="shared" si="0"/>
        <v>875.12337500000001</v>
      </c>
      <c r="G26" s="6">
        <f t="shared" si="1"/>
        <v>0.38</v>
      </c>
      <c r="H26" s="7">
        <f t="shared" si="2"/>
        <v>70.009870000000006</v>
      </c>
    </row>
    <row r="27" spans="2:8">
      <c r="B27" s="2">
        <v>9585820</v>
      </c>
      <c r="C27" s="3">
        <v>17</v>
      </c>
      <c r="D27" s="4">
        <v>162958940</v>
      </c>
      <c r="E27" s="5">
        <v>4.25</v>
      </c>
      <c r="F27" s="5">
        <f t="shared" si="0"/>
        <v>692.57549500000005</v>
      </c>
      <c r="G27" s="6">
        <f t="shared" si="1"/>
        <v>0.34</v>
      </c>
      <c r="H27" s="7">
        <f t="shared" si="2"/>
        <v>55.4060396</v>
      </c>
    </row>
    <row r="28" spans="2:8">
      <c r="B28" s="2">
        <v>1412910000</v>
      </c>
      <c r="C28" s="3">
        <v>16</v>
      </c>
      <c r="D28" s="4">
        <v>22606560000</v>
      </c>
      <c r="E28" s="5">
        <v>2.75</v>
      </c>
      <c r="F28" s="5">
        <f t="shared" si="0"/>
        <v>62168.04</v>
      </c>
      <c r="G28" s="6">
        <f t="shared" si="1"/>
        <v>0.22</v>
      </c>
      <c r="H28" s="7">
        <f t="shared" si="2"/>
        <v>4973.4431999999997</v>
      </c>
    </row>
    <row r="29" spans="2:8">
      <c r="B29" s="2">
        <v>6667660</v>
      </c>
      <c r="C29" s="3">
        <v>15</v>
      </c>
      <c r="D29" s="4">
        <v>100014900</v>
      </c>
      <c r="E29" s="5">
        <v>4</v>
      </c>
      <c r="F29" s="5">
        <f t="shared" si="0"/>
        <v>400.05959999999999</v>
      </c>
      <c r="G29" s="6">
        <f t="shared" si="1"/>
        <v>0.32</v>
      </c>
      <c r="H29" s="7">
        <f t="shared" si="2"/>
        <v>32.004767999999999</v>
      </c>
    </row>
    <row r="30" spans="2:8">
      <c r="B30" s="2">
        <v>6641960</v>
      </c>
      <c r="C30" s="3">
        <v>14.5</v>
      </c>
      <c r="D30" s="4">
        <v>96308420</v>
      </c>
      <c r="E30" s="5">
        <v>3.75</v>
      </c>
      <c r="F30" s="5">
        <f t="shared" si="0"/>
        <v>361.15657499999998</v>
      </c>
      <c r="G30" s="6">
        <f t="shared" si="1"/>
        <v>0.3</v>
      </c>
      <c r="H30" s="7">
        <f t="shared" si="2"/>
        <v>28.892526</v>
      </c>
    </row>
    <row r="31" spans="2:8">
      <c r="B31" s="2">
        <v>5451340</v>
      </c>
      <c r="C31" s="3">
        <v>14</v>
      </c>
      <c r="D31" s="4">
        <v>76318760</v>
      </c>
      <c r="E31" s="5">
        <v>4.25</v>
      </c>
      <c r="F31" s="5">
        <f t="shared" si="0"/>
        <v>324.35473000000002</v>
      </c>
      <c r="G31" s="6">
        <f t="shared" si="1"/>
        <v>0.34</v>
      </c>
      <c r="H31" s="7">
        <f t="shared" si="2"/>
        <v>25.948378400000003</v>
      </c>
    </row>
    <row r="32" spans="2:8">
      <c r="B32" s="2">
        <v>2114570</v>
      </c>
      <c r="C32" s="3">
        <v>13.5</v>
      </c>
      <c r="D32" s="4">
        <v>28546695</v>
      </c>
      <c r="E32" s="5">
        <v>5</v>
      </c>
      <c r="F32" s="5">
        <f t="shared" si="0"/>
        <v>142.733475</v>
      </c>
      <c r="G32" s="6">
        <f t="shared" si="1"/>
        <v>0.4</v>
      </c>
      <c r="H32" s="7">
        <f t="shared" si="2"/>
        <v>11.418678</v>
      </c>
    </row>
    <row r="33" spans="2:12">
      <c r="B33" s="2">
        <v>2797340</v>
      </c>
      <c r="C33" s="3">
        <v>13</v>
      </c>
      <c r="D33" s="4">
        <v>36365420</v>
      </c>
      <c r="E33" s="5">
        <v>4.75</v>
      </c>
      <c r="F33" s="5">
        <f t="shared" si="0"/>
        <v>172.73574500000001</v>
      </c>
      <c r="G33" s="6">
        <f t="shared" si="1"/>
        <v>0.38</v>
      </c>
      <c r="H33" s="7">
        <f t="shared" si="2"/>
        <v>13.8188596</v>
      </c>
    </row>
    <row r="34" spans="2:12">
      <c r="B34" s="2">
        <v>1331060</v>
      </c>
      <c r="C34" s="3">
        <v>12.5</v>
      </c>
      <c r="D34" s="4">
        <v>16638250</v>
      </c>
      <c r="E34" s="5">
        <v>5</v>
      </c>
      <c r="F34" s="5">
        <f t="shared" si="0"/>
        <v>83.191249999999997</v>
      </c>
      <c r="G34" s="6">
        <f t="shared" si="1"/>
        <v>0.4</v>
      </c>
      <c r="H34" s="7">
        <f t="shared" si="2"/>
        <v>6.6553000000000004</v>
      </c>
    </row>
    <row r="35" spans="2:12">
      <c r="B35" s="2"/>
      <c r="C35" s="3">
        <v>0</v>
      </c>
      <c r="D35" s="4">
        <v>0</v>
      </c>
      <c r="E35" s="5">
        <v>0</v>
      </c>
      <c r="F35" s="5">
        <f t="shared" si="0"/>
        <v>0</v>
      </c>
      <c r="G35" s="6">
        <f t="shared" si="1"/>
        <v>0</v>
      </c>
      <c r="H35" s="7">
        <f t="shared" si="2"/>
        <v>0</v>
      </c>
    </row>
    <row r="36" spans="2:12">
      <c r="B36" s="2">
        <v>132998000</v>
      </c>
      <c r="C36" s="3">
        <v>21.5</v>
      </c>
      <c r="D36" s="4">
        <v>2859457000</v>
      </c>
      <c r="E36" s="5">
        <v>4.5</v>
      </c>
      <c r="F36" s="5">
        <f t="shared" si="0"/>
        <v>12867.556500000001</v>
      </c>
      <c r="G36" s="6">
        <f t="shared" si="1"/>
        <v>0.36</v>
      </c>
      <c r="H36" s="7">
        <f t="shared" si="2"/>
        <v>1029.40452</v>
      </c>
    </row>
    <row r="37" spans="2:12">
      <c r="B37" s="2">
        <v>46003700</v>
      </c>
      <c r="C37" s="3">
        <v>21</v>
      </c>
      <c r="D37" s="4">
        <v>966077700</v>
      </c>
      <c r="E37" s="5">
        <v>4.25</v>
      </c>
      <c r="F37" s="5">
        <f t="shared" si="0"/>
        <v>4105.8302249999997</v>
      </c>
      <c r="G37" s="6">
        <f t="shared" si="1"/>
        <v>0.34</v>
      </c>
      <c r="H37" s="7">
        <f t="shared" si="2"/>
        <v>328.46641799999998</v>
      </c>
    </row>
    <row r="38" spans="2:12">
      <c r="B38" s="2">
        <v>213563000</v>
      </c>
      <c r="C38" s="3">
        <v>29</v>
      </c>
      <c r="D38" s="4">
        <v>6193327000</v>
      </c>
      <c r="E38" s="5">
        <v>3.75</v>
      </c>
      <c r="F38" s="5">
        <f t="shared" si="0"/>
        <v>23224.97625</v>
      </c>
      <c r="G38" s="6">
        <f t="shared" si="1"/>
        <v>0.3</v>
      </c>
      <c r="H38" s="7">
        <f t="shared" si="2"/>
        <v>1857.9981</v>
      </c>
    </row>
    <row r="39" spans="2:12">
      <c r="B39" s="2">
        <v>122428000</v>
      </c>
      <c r="C39" s="3">
        <v>28</v>
      </c>
      <c r="D39" s="4">
        <v>3427984000</v>
      </c>
      <c r="E39" s="5">
        <v>5.5</v>
      </c>
      <c r="F39" s="5">
        <f t="shared" si="0"/>
        <v>18853.912</v>
      </c>
      <c r="G39" s="6">
        <f t="shared" si="1"/>
        <v>0.44</v>
      </c>
      <c r="H39" s="7">
        <f t="shared" si="2"/>
        <v>1508.31296</v>
      </c>
    </row>
    <row r="40" spans="2:12">
      <c r="B40" s="2"/>
      <c r="C40" s="3">
        <v>0</v>
      </c>
      <c r="D40" s="4">
        <v>0</v>
      </c>
      <c r="E40" s="5">
        <v>0</v>
      </c>
      <c r="F40" s="5">
        <f t="shared" si="0"/>
        <v>0</v>
      </c>
      <c r="G40" s="6">
        <f t="shared" si="1"/>
        <v>0</v>
      </c>
      <c r="H40" s="7">
        <f t="shared" si="2"/>
        <v>0</v>
      </c>
      <c r="L40">
        <v>50</v>
      </c>
    </row>
    <row r="41" spans="2:12">
      <c r="B41" s="2">
        <v>27227100</v>
      </c>
      <c r="C41" s="3">
        <v>43</v>
      </c>
      <c r="D41" s="4">
        <v>1170765300</v>
      </c>
      <c r="E41" s="5">
        <v>6.5</v>
      </c>
      <c r="F41" s="5">
        <f t="shared" si="0"/>
        <v>7609.9744499999997</v>
      </c>
      <c r="G41" s="6">
        <f t="shared" si="1"/>
        <v>0.52</v>
      </c>
      <c r="H41" s="7">
        <f t="shared" si="2"/>
        <v>608.797956</v>
      </c>
      <c r="L41">
        <f>L40/5%</f>
        <v>1000</v>
      </c>
    </row>
    <row r="42" spans="2:12">
      <c r="B42" s="2">
        <v>5287480</v>
      </c>
      <c r="C42" s="3">
        <v>19.5</v>
      </c>
      <c r="D42" s="4">
        <v>103105860</v>
      </c>
      <c r="E42" s="5">
        <v>6.25</v>
      </c>
      <c r="F42" s="5">
        <f t="shared" si="0"/>
        <v>644.41162499999996</v>
      </c>
      <c r="G42" s="6">
        <f t="shared" si="1"/>
        <v>0.5</v>
      </c>
      <c r="H42" s="7">
        <f t="shared" si="2"/>
        <v>51.552930000000003</v>
      </c>
    </row>
    <row r="43" spans="2:12">
      <c r="B43" s="2">
        <v>51600400</v>
      </c>
      <c r="C43" s="3">
        <v>19</v>
      </c>
      <c r="D43" s="4">
        <v>980407600</v>
      </c>
      <c r="E43" s="5">
        <v>5.25</v>
      </c>
      <c r="F43" s="5">
        <f t="shared" si="0"/>
        <v>5147.1399000000001</v>
      </c>
      <c r="G43" s="6">
        <f t="shared" si="1"/>
        <v>0.42</v>
      </c>
      <c r="H43" s="7">
        <f t="shared" si="2"/>
        <v>411.77119199999999</v>
      </c>
    </row>
    <row r="44" spans="2:12">
      <c r="B44" s="2">
        <v>1476630000</v>
      </c>
      <c r="C44" s="3">
        <v>6.5</v>
      </c>
      <c r="D44" s="4">
        <v>9598095000</v>
      </c>
      <c r="E44" s="5">
        <v>2.5</v>
      </c>
      <c r="F44" s="5">
        <f t="shared" si="0"/>
        <v>23995.237499999999</v>
      </c>
      <c r="G44" s="6">
        <f t="shared" si="1"/>
        <v>0.2</v>
      </c>
      <c r="H44" s="7">
        <f t="shared" si="2"/>
        <v>1919.6189999999999</v>
      </c>
    </row>
    <row r="45" spans="2:12">
      <c r="B45" s="13"/>
      <c r="C45" s="13"/>
      <c r="D45" s="13"/>
      <c r="E45" s="13"/>
      <c r="F45" s="16">
        <f>SUM(F3:F44)</f>
        <v>398290.29917999991</v>
      </c>
      <c r="G45" s="14" t="s">
        <v>6</v>
      </c>
      <c r="H45" s="15">
        <f>SUM(H3:H44)</f>
        <v>31863.223934399994</v>
      </c>
    </row>
    <row r="46" spans="2:12">
      <c r="F46" s="17">
        <f>F45*40%</f>
        <v>159316.11967199997</v>
      </c>
      <c r="H46" s="18">
        <f>H45/F46</f>
        <v>0.19999999999999998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83"/>
  <sheetViews>
    <sheetView topLeftCell="A16" workbookViewId="0">
      <selection activeCell="C2" sqref="C2"/>
    </sheetView>
  </sheetViews>
  <sheetFormatPr defaultRowHeight="14.5"/>
  <cols>
    <col min="1" max="1" width="48.6328125" customWidth="1"/>
    <col min="2" max="2" width="12.26953125" style="26" customWidth="1"/>
    <col min="3" max="3" width="8.7265625" style="29"/>
    <col min="5" max="5" width="8.7265625" style="49"/>
    <col min="6" max="6" width="19.54296875" customWidth="1"/>
    <col min="7" max="7" width="16.90625" style="13" customWidth="1"/>
    <col min="8" max="8" width="16.81640625" style="36" customWidth="1"/>
    <col min="9" max="9" width="8.7265625" style="36"/>
    <col min="11" max="11" width="20.54296875" customWidth="1"/>
    <col min="12" max="12" width="21.26953125" customWidth="1"/>
    <col min="13" max="13" width="10.81640625" bestFit="1" customWidth="1"/>
    <col min="14" max="14" width="9.08984375" bestFit="1" customWidth="1"/>
  </cols>
  <sheetData>
    <row r="1" spans="1:14">
      <c r="A1" s="19" t="s">
        <v>8</v>
      </c>
      <c r="B1" s="19" t="s">
        <v>65</v>
      </c>
      <c r="C1" s="42" t="s">
        <v>70</v>
      </c>
    </row>
    <row r="2" spans="1:14">
      <c r="A2" s="20" t="s">
        <v>9</v>
      </c>
      <c r="B2" s="39">
        <v>1</v>
      </c>
      <c r="C2" s="38">
        <f>C3*B3+B34*C34</f>
        <v>9.1427059524795518E-2</v>
      </c>
      <c r="D2" s="41">
        <v>9.4200000000000006E-2</v>
      </c>
      <c r="F2" s="20" t="s">
        <v>28</v>
      </c>
      <c r="G2" s="30">
        <f>SUM(G3:G4)</f>
        <v>9947.3935249999995</v>
      </c>
      <c r="H2" s="37">
        <f>SUM(H3:H4)</f>
        <v>1</v>
      </c>
      <c r="I2" s="50">
        <f>SUMPRODUCT(I3:I4,H3:H4)</f>
        <v>8.5387897765494561E-2</v>
      </c>
      <c r="J2" s="36">
        <f>I2-M3</f>
        <v>0</v>
      </c>
      <c r="K2" s="45" t="s">
        <v>66</v>
      </c>
      <c r="L2" s="45" t="s">
        <v>67</v>
      </c>
      <c r="M2" s="48">
        <f>SUMPRODUCT(M3:M8,L3:L8)</f>
        <v>9.1427059524795518E-2</v>
      </c>
      <c r="N2" s="48">
        <f>M2-C2</f>
        <v>0</v>
      </c>
    </row>
    <row r="3" spans="1:14">
      <c r="A3" s="21" t="s">
        <v>10</v>
      </c>
      <c r="B3" s="40">
        <v>0.55000000000000004</v>
      </c>
      <c r="C3" s="38">
        <f>C4*B4+C9*B9+C14*B14+B19*C19+B24*C24+C29*B29</f>
        <v>9.5736770971915172E-2</v>
      </c>
      <c r="D3" s="57"/>
      <c r="F3" s="25" t="s">
        <v>29</v>
      </c>
      <c r="G3" s="31">
        <v>9046.9871999999996</v>
      </c>
      <c r="H3" s="38">
        <f>G3/G2</f>
        <v>0.9094831904722499</v>
      </c>
      <c r="I3" s="36">
        <v>8.6347375946488711E-2</v>
      </c>
      <c r="J3" s="36"/>
      <c r="K3" s="27" t="s">
        <v>28</v>
      </c>
      <c r="L3" s="46">
        <f>G2/L10</f>
        <v>0.28443905358557042</v>
      </c>
      <c r="M3" s="47">
        <v>8.5387897765494561E-2</v>
      </c>
      <c r="N3" s="44"/>
    </row>
    <row r="4" spans="1:14">
      <c r="A4" s="22" t="s">
        <v>11</v>
      </c>
      <c r="B4" s="40">
        <v>0.12</v>
      </c>
      <c r="C4" s="43">
        <f>SUMPRODUCT(C5:C8,B5:B8)</f>
        <v>0.10539979229999999</v>
      </c>
      <c r="D4" s="43">
        <v>0.10539979229999999</v>
      </c>
      <c r="E4" s="49">
        <v>3</v>
      </c>
      <c r="F4" s="25" t="s">
        <v>30</v>
      </c>
      <c r="G4" s="31">
        <v>900.40632500000004</v>
      </c>
      <c r="H4" s="38">
        <f>G4/G2</f>
        <v>9.0516809527750139E-2</v>
      </c>
      <c r="I4" s="36">
        <v>7.5747375946488713E-2</v>
      </c>
      <c r="J4" s="36"/>
      <c r="K4" s="27" t="s">
        <v>31</v>
      </c>
      <c r="L4" s="46">
        <f>G5/L10</f>
        <v>0.26506824881611435</v>
      </c>
      <c r="M4" s="47">
        <v>8.9887897765494551E-2</v>
      </c>
      <c r="N4" s="44"/>
    </row>
    <row r="5" spans="1:14">
      <c r="A5" s="23" t="s">
        <v>12</v>
      </c>
      <c r="B5" s="40">
        <v>0.57999999999999996</v>
      </c>
      <c r="C5" s="38">
        <v>9.7794792299999989E-2</v>
      </c>
      <c r="D5" s="41">
        <f>C4-D4</f>
        <v>0</v>
      </c>
      <c r="F5" s="20" t="s">
        <v>31</v>
      </c>
      <c r="G5" s="30">
        <f>SUM(G6:G17)</f>
        <v>9269.9583573999989</v>
      </c>
      <c r="H5" s="37">
        <f>SUM(H6:H17)</f>
        <v>1.0000000000000002</v>
      </c>
      <c r="I5" s="50">
        <f>SUMPRODUCT(I6:I17,H6:H17)</f>
        <v>8.9887897765494537E-2</v>
      </c>
      <c r="J5" s="36">
        <f>I5-M4</f>
        <v>0</v>
      </c>
      <c r="K5" s="27" t="s">
        <v>44</v>
      </c>
      <c r="L5" s="46">
        <f>G18/L10</f>
        <v>0.28153454770989517</v>
      </c>
      <c r="M5" s="47">
        <v>0.10178789776549456</v>
      </c>
      <c r="N5" s="44"/>
    </row>
    <row r="6" spans="1:14">
      <c r="A6" s="23" t="s">
        <v>13</v>
      </c>
      <c r="B6" s="40">
        <v>0.15</v>
      </c>
      <c r="C6" s="38">
        <v>0.11869479229999999</v>
      </c>
      <c r="D6" s="32">
        <v>2</v>
      </c>
      <c r="F6" s="25" t="s">
        <v>32</v>
      </c>
      <c r="G6" s="31">
        <v>180.44344080000002</v>
      </c>
      <c r="H6" s="38">
        <f>G6/$G$5</f>
        <v>1.9465399286929492E-2</v>
      </c>
      <c r="I6" s="36">
        <v>7.783441619880721E-2</v>
      </c>
      <c r="K6" s="27" t="s">
        <v>68</v>
      </c>
      <c r="L6" s="46">
        <f>G27/L10</f>
        <v>0.10499091790800673</v>
      </c>
      <c r="M6" s="47">
        <v>9.4287897765494552E-2</v>
      </c>
      <c r="N6" s="44"/>
    </row>
    <row r="7" spans="1:14">
      <c r="A7" s="23" t="s">
        <v>14</v>
      </c>
      <c r="B7" s="40">
        <v>0.12</v>
      </c>
      <c r="C7" s="38">
        <v>0.1377947923</v>
      </c>
      <c r="D7" s="32">
        <v>1</v>
      </c>
      <c r="F7" s="25" t="s">
        <v>33</v>
      </c>
      <c r="G7" s="31">
        <v>1321.70535</v>
      </c>
      <c r="H7" s="38">
        <f t="shared" ref="H7:H17" si="0">G7/$G$5</f>
        <v>0.14257942690162273</v>
      </c>
      <c r="I7" s="36">
        <v>9.1134416198807203E-2</v>
      </c>
      <c r="K7" s="27" t="s">
        <v>58</v>
      </c>
      <c r="L7" s="46">
        <f>G32/L10</f>
        <v>3.5643404293235224E-2</v>
      </c>
      <c r="M7" s="47">
        <v>7.9587897765494561E-2</v>
      </c>
      <c r="N7" s="44"/>
    </row>
    <row r="8" spans="1:14">
      <c r="A8" s="23" t="s">
        <v>15</v>
      </c>
      <c r="B8" s="40">
        <f>1-SUM(B5:B7)</f>
        <v>0.15000000000000002</v>
      </c>
      <c r="C8" s="38">
        <v>9.5594792299999995E-2</v>
      </c>
      <c r="D8" s="32">
        <v>4</v>
      </c>
      <c r="F8" s="25" t="s">
        <v>34</v>
      </c>
      <c r="G8" s="31">
        <v>1296.4866500000001</v>
      </c>
      <c r="H8" s="38">
        <f t="shared" si="0"/>
        <v>0.1398589508188075</v>
      </c>
      <c r="I8" s="36">
        <v>8.5434416198807206E-2</v>
      </c>
      <c r="K8" s="27" t="s">
        <v>61</v>
      </c>
      <c r="L8" s="46">
        <f>1-SUM(L3:L7)</f>
        <v>2.8323827687178116E-2</v>
      </c>
      <c r="M8" s="47">
        <v>6.7787897765494556E-2</v>
      </c>
      <c r="N8" s="44"/>
    </row>
    <row r="9" spans="1:14">
      <c r="A9" s="22" t="s">
        <v>16</v>
      </c>
      <c r="B9" s="40">
        <v>0.08</v>
      </c>
      <c r="C9" s="43">
        <f>SUMPRODUCT(C10:C13,B10:B13)</f>
        <v>9.7673674847652853E-2</v>
      </c>
      <c r="D9" s="43">
        <v>9.7673674847652839E-2</v>
      </c>
      <c r="E9" s="49">
        <v>4</v>
      </c>
      <c r="F9" s="25" t="s">
        <v>35</v>
      </c>
      <c r="G9" s="31">
        <v>108.291456</v>
      </c>
      <c r="H9" s="38">
        <f t="shared" si="0"/>
        <v>1.1681978691258452E-2</v>
      </c>
      <c r="I9" s="36">
        <v>9.6834416198807213E-2</v>
      </c>
    </row>
    <row r="10" spans="1:14">
      <c r="A10" s="23" t="s">
        <v>12</v>
      </c>
      <c r="B10" s="40">
        <v>0.5</v>
      </c>
      <c r="C10" s="38">
        <v>8.9433674847652841E-2</v>
      </c>
      <c r="D10" s="41">
        <f>C9-D9</f>
        <v>0</v>
      </c>
      <c r="F10" s="25" t="s">
        <v>36</v>
      </c>
      <c r="G10" s="31">
        <v>895.67823999999996</v>
      </c>
      <c r="H10" s="38">
        <f t="shared" si="0"/>
        <v>9.6621603406125356E-2</v>
      </c>
      <c r="I10" s="36">
        <v>8.6834416198807204E-2</v>
      </c>
      <c r="K10" s="34" t="s">
        <v>69</v>
      </c>
      <c r="L10" s="33">
        <f>SUM(G2,G5,G18,G27,G32,G35)</f>
        <v>34971.968158399999</v>
      </c>
    </row>
    <row r="11" spans="1:14">
      <c r="A11" s="23" t="s">
        <v>13</v>
      </c>
      <c r="B11" s="40">
        <v>0.18</v>
      </c>
      <c r="C11" s="38">
        <v>0.11543367484765285</v>
      </c>
      <c r="D11" s="32">
        <v>2</v>
      </c>
      <c r="F11" s="25" t="s">
        <v>37</v>
      </c>
      <c r="G11" s="31">
        <v>1134.6887999999999</v>
      </c>
      <c r="H11" s="38">
        <f t="shared" si="0"/>
        <v>0.12240495116077878</v>
      </c>
      <c r="I11" s="36">
        <v>8.1134416198807208E-2</v>
      </c>
    </row>
    <row r="12" spans="1:14">
      <c r="A12" s="23" t="s">
        <v>14</v>
      </c>
      <c r="B12" s="40">
        <v>0.12</v>
      </c>
      <c r="C12" s="38">
        <v>0.13593367484765284</v>
      </c>
      <c r="D12" s="32">
        <v>1</v>
      </c>
      <c r="F12" s="25" t="s">
        <v>38</v>
      </c>
      <c r="G12" s="31">
        <v>621.10338400000001</v>
      </c>
      <c r="H12" s="38">
        <f t="shared" si="0"/>
        <v>6.7001744781753761E-2</v>
      </c>
      <c r="I12" s="36">
        <v>0.10113441619880721</v>
      </c>
    </row>
    <row r="13" spans="1:14">
      <c r="A13" s="23" t="s">
        <v>15</v>
      </c>
      <c r="B13" s="40">
        <f>1-SUM(B10:B12)</f>
        <v>0.20000000000000007</v>
      </c>
      <c r="C13" s="38">
        <v>7.9333674847652844E-2</v>
      </c>
      <c r="D13" s="32">
        <v>4</v>
      </c>
      <c r="F13" s="25" t="s">
        <v>39</v>
      </c>
      <c r="G13" s="31">
        <v>1161.4914000000001</v>
      </c>
      <c r="H13" s="38">
        <f t="shared" si="0"/>
        <v>0.12529629101006778</v>
      </c>
      <c r="I13" s="36">
        <v>0.10683441619880721</v>
      </c>
    </row>
    <row r="14" spans="1:14">
      <c r="A14" s="22" t="s">
        <v>24</v>
      </c>
      <c r="B14" s="40">
        <v>7.0000000000000007E-2</v>
      </c>
      <c r="C14" s="43">
        <f>SUMPRODUCT(C15:C18,B15:B18)</f>
        <v>0.11207305187699999</v>
      </c>
      <c r="D14" s="43">
        <v>0.11207305187699999</v>
      </c>
      <c r="E14" s="49">
        <v>2</v>
      </c>
      <c r="F14" s="25" t="s">
        <v>40</v>
      </c>
      <c r="G14" s="31">
        <v>189.16380000000004</v>
      </c>
      <c r="H14" s="38">
        <f t="shared" si="0"/>
        <v>2.0406111085601031E-2</v>
      </c>
      <c r="I14" s="36">
        <v>8.0034416198807204E-2</v>
      </c>
    </row>
    <row r="15" spans="1:14">
      <c r="A15" s="23" t="s">
        <v>12</v>
      </c>
      <c r="B15" s="40">
        <v>0.46</v>
      </c>
      <c r="C15" s="38">
        <v>0.10363805187699998</v>
      </c>
      <c r="D15" s="41">
        <f>C14-D14</f>
        <v>0</v>
      </c>
      <c r="F15" s="25" t="s">
        <v>41</v>
      </c>
      <c r="G15" s="31">
        <v>177.20856000000001</v>
      </c>
      <c r="H15" s="38">
        <f t="shared" si="0"/>
        <v>1.911643538922032E-2</v>
      </c>
      <c r="I15" s="36">
        <v>7.4334416198807207E-2</v>
      </c>
      <c r="L15" s="28"/>
    </row>
    <row r="16" spans="1:14">
      <c r="A16" s="23" t="s">
        <v>13</v>
      </c>
      <c r="B16" s="40">
        <v>0.17</v>
      </c>
      <c r="C16" s="38">
        <v>0.13093805187699997</v>
      </c>
      <c r="D16" s="32">
        <v>2</v>
      </c>
      <c r="F16" s="25" t="s">
        <v>42</v>
      </c>
      <c r="G16" s="31">
        <v>101.69727660000001</v>
      </c>
      <c r="H16" s="38">
        <f t="shared" si="0"/>
        <v>1.0970629282149619E-2</v>
      </c>
      <c r="I16" s="36">
        <v>6.763441619880721E-2</v>
      </c>
      <c r="J16" s="36"/>
    </row>
    <row r="17" spans="1:10">
      <c r="A17" s="23" t="s">
        <v>14</v>
      </c>
      <c r="B17" s="40">
        <v>0.13</v>
      </c>
      <c r="C17" s="38">
        <v>0.14943805187699999</v>
      </c>
      <c r="D17" s="32">
        <v>1</v>
      </c>
      <c r="F17" s="25" t="s">
        <v>43</v>
      </c>
      <c r="G17" s="31">
        <v>2082</v>
      </c>
      <c r="H17" s="38">
        <f t="shared" si="0"/>
        <v>0.22459647818568529</v>
      </c>
      <c r="I17" s="36">
        <v>8.9134416198807201E-2</v>
      </c>
      <c r="J17" s="36"/>
    </row>
    <row r="18" spans="1:10">
      <c r="A18" s="23" t="s">
        <v>15</v>
      </c>
      <c r="B18" s="40">
        <f>1-SUM(B15:B17)</f>
        <v>0.24</v>
      </c>
      <c r="C18" s="38">
        <v>9.4638051876999987E-2</v>
      </c>
      <c r="D18" s="32">
        <v>4</v>
      </c>
      <c r="F18" s="20" t="s">
        <v>44</v>
      </c>
      <c r="G18" s="30">
        <f>SUM(G19:G26)</f>
        <v>9845.8172379999996</v>
      </c>
      <c r="H18" s="37">
        <f>SUM(H19:H26)</f>
        <v>1</v>
      </c>
      <c r="I18" s="50">
        <f>SUMPRODUCT(I19:I26,H19:H26)</f>
        <v>0.10178789776549454</v>
      </c>
      <c r="J18" s="36">
        <f>I18-M5</f>
        <v>0</v>
      </c>
    </row>
    <row r="19" spans="1:10">
      <c r="A19" s="22" t="s">
        <v>22</v>
      </c>
      <c r="B19" s="40">
        <v>0.08</v>
      </c>
      <c r="C19" s="43">
        <f>SUMPRODUCT(C20:C23,B20:B23)</f>
        <v>0.12029382355599999</v>
      </c>
      <c r="D19" s="43">
        <v>0.12029382355599999</v>
      </c>
      <c r="E19" s="49">
        <v>1</v>
      </c>
      <c r="F19" s="25" t="s">
        <v>45</v>
      </c>
      <c r="G19" s="31">
        <v>4973.4431999999997</v>
      </c>
      <c r="H19" s="38">
        <f>G19/$G$18</f>
        <v>0.50513259384959552</v>
      </c>
      <c r="I19" s="36">
        <v>0.10224588308785018</v>
      </c>
      <c r="J19" s="36"/>
    </row>
    <row r="20" spans="1:10">
      <c r="A20" s="23" t="s">
        <v>12</v>
      </c>
      <c r="B20" s="40">
        <v>0.45</v>
      </c>
      <c r="C20" s="38">
        <v>0.112986823556</v>
      </c>
      <c r="D20" s="41">
        <f>C19-D19</f>
        <v>0</v>
      </c>
      <c r="F20" s="25" t="s">
        <v>46</v>
      </c>
      <c r="G20" s="31">
        <v>1919.6189999999999</v>
      </c>
      <c r="H20" s="38">
        <f t="shared" ref="H20:H26" si="1">G20/$G$18</f>
        <v>0.19496797001179517</v>
      </c>
      <c r="I20" s="36">
        <v>0.11664588308785019</v>
      </c>
      <c r="J20" s="36"/>
    </row>
    <row r="21" spans="1:10">
      <c r="A21" s="23" t="s">
        <v>13</v>
      </c>
      <c r="B21" s="40">
        <v>0.19</v>
      </c>
      <c r="C21" s="38">
        <v>0.13628682355599997</v>
      </c>
      <c r="D21" s="32">
        <v>2</v>
      </c>
      <c r="F21" s="25" t="s">
        <v>47</v>
      </c>
      <c r="G21" s="31">
        <v>1508.31296</v>
      </c>
      <c r="H21" s="38">
        <f t="shared" si="1"/>
        <v>0.15319327218249143</v>
      </c>
      <c r="I21" s="36">
        <v>9.4545883087850183E-2</v>
      </c>
    </row>
    <row r="22" spans="1:10">
      <c r="A22" s="23" t="s">
        <v>14</v>
      </c>
      <c r="B22" s="40">
        <v>0.18</v>
      </c>
      <c r="C22" s="38">
        <v>0.142086823556</v>
      </c>
      <c r="D22" s="32">
        <v>1</v>
      </c>
      <c r="F22" s="25" t="s">
        <v>48</v>
      </c>
      <c r="G22" s="31">
        <v>411.77119199999999</v>
      </c>
      <c r="H22" s="38">
        <f t="shared" si="1"/>
        <v>4.1821941444410142E-2</v>
      </c>
      <c r="I22" s="36">
        <v>8.5645883087850191E-2</v>
      </c>
    </row>
    <row r="23" spans="1:10">
      <c r="A23" s="23" t="s">
        <v>15</v>
      </c>
      <c r="B23" s="40">
        <f>1-SUM(B20:B22)</f>
        <v>0.17999999999999994</v>
      </c>
      <c r="C23" s="38">
        <v>9.9886823555999996E-2</v>
      </c>
      <c r="D23" s="32">
        <v>4</v>
      </c>
      <c r="F23" s="25" t="s">
        <v>49</v>
      </c>
      <c r="G23" s="31">
        <v>342.1</v>
      </c>
      <c r="H23" s="38">
        <f t="shared" si="1"/>
        <v>3.4745719093755137E-2</v>
      </c>
      <c r="I23" s="36">
        <v>8.0145883087850187E-2</v>
      </c>
    </row>
    <row r="24" spans="1:10">
      <c r="A24" s="22" t="s">
        <v>23</v>
      </c>
      <c r="B24" s="40">
        <v>0.6</v>
      </c>
      <c r="C24" s="43">
        <f>SUMPRODUCT(C25:C28,B25:B28)</f>
        <v>8.9585470653721577E-2</v>
      </c>
      <c r="D24" s="43">
        <v>8.9585470653721577E-2</v>
      </c>
      <c r="E24" s="49">
        <v>5</v>
      </c>
      <c r="F24" s="25" t="s">
        <v>50</v>
      </c>
      <c r="G24" s="31">
        <v>608.797956</v>
      </c>
      <c r="H24" s="38">
        <f t="shared" si="1"/>
        <v>6.1833156281871665E-2</v>
      </c>
      <c r="I24" s="36">
        <v>9.2345883087850189E-2</v>
      </c>
    </row>
    <row r="25" spans="1:10">
      <c r="A25" s="23" t="s">
        <v>12</v>
      </c>
      <c r="B25" s="40">
        <v>0.53</v>
      </c>
      <c r="C25" s="38">
        <v>8.9701470653721582E-2</v>
      </c>
      <c r="D25" s="41">
        <f>C24-D24</f>
        <v>0</v>
      </c>
      <c r="F25" s="25" t="s">
        <v>51</v>
      </c>
      <c r="G25" s="31">
        <v>51.552930000000003</v>
      </c>
      <c r="H25" s="38">
        <f t="shared" si="1"/>
        <v>5.2360234558316921E-3</v>
      </c>
      <c r="I25" s="36">
        <v>0.10564588308785018</v>
      </c>
    </row>
    <row r="26" spans="1:10">
      <c r="A26" s="23" t="s">
        <v>13</v>
      </c>
      <c r="B26" s="40">
        <v>0.16</v>
      </c>
      <c r="C26" s="38">
        <v>9.8701470653721576E-2</v>
      </c>
      <c r="D26" s="32">
        <v>2</v>
      </c>
      <c r="F26" s="25" t="s">
        <v>52</v>
      </c>
      <c r="G26" s="31">
        <v>30.22</v>
      </c>
      <c r="H26" s="38">
        <f t="shared" si="1"/>
        <v>3.0693236802492841E-3</v>
      </c>
      <c r="I26" s="36">
        <v>9.2645883087850184E-2</v>
      </c>
    </row>
    <row r="27" spans="1:10">
      <c r="A27" s="23" t="s">
        <v>14</v>
      </c>
      <c r="B27" s="40">
        <v>0.12</v>
      </c>
      <c r="C27" s="38">
        <v>0.10840147065372158</v>
      </c>
      <c r="D27" s="32">
        <v>1</v>
      </c>
      <c r="F27" s="20" t="s">
        <v>53</v>
      </c>
      <c r="G27" s="30">
        <f>SUM(G28:G31)</f>
        <v>3671.7390379999997</v>
      </c>
      <c r="H27" s="37">
        <f>SUM(H28:H31)</f>
        <v>1.0000000000000002</v>
      </c>
      <c r="I27" s="50">
        <f>SUMPRODUCT(I28:I31,H28:H31)</f>
        <v>9.4287897765494552E-2</v>
      </c>
      <c r="J27" s="35">
        <f>I27-M6</f>
        <v>0</v>
      </c>
    </row>
    <row r="28" spans="1:10">
      <c r="A28" s="23" t="s">
        <v>15</v>
      </c>
      <c r="B28" s="40">
        <f>1-SUM(B25:B27)</f>
        <v>0.18999999999999995</v>
      </c>
      <c r="C28" s="38">
        <v>6.9701470653721578E-2</v>
      </c>
      <c r="D28" s="32">
        <v>4</v>
      </c>
      <c r="F28" s="25" t="s">
        <v>54</v>
      </c>
      <c r="G28" s="31">
        <v>1857.9981</v>
      </c>
      <c r="H28" s="38">
        <f>G28/$G$27</f>
        <v>0.50602673032342016</v>
      </c>
      <c r="I28" s="36">
        <v>0.10726119062128166</v>
      </c>
    </row>
    <row r="29" spans="1:10">
      <c r="A29" s="22" t="s">
        <v>25</v>
      </c>
      <c r="B29" s="40">
        <f>1-SUM(B4,B9,B14,B19,B24)</f>
        <v>5.0000000000000044E-2</v>
      </c>
      <c r="C29" s="43">
        <f>SUMPRODUCT(C30:C33,B30:B33)</f>
        <v>8.1100000000000005E-2</v>
      </c>
      <c r="D29" s="43">
        <v>8.1100000000000005E-2</v>
      </c>
      <c r="E29" s="49">
        <v>6</v>
      </c>
      <c r="F29" s="25" t="s">
        <v>55</v>
      </c>
      <c r="G29" s="31">
        <v>328.46641799999998</v>
      </c>
      <c r="H29" s="38">
        <f t="shared" ref="H29:H31" si="2">G29/$G$27</f>
        <v>8.9457996497190065E-2</v>
      </c>
      <c r="I29" s="36">
        <v>9.6261190621281648E-2</v>
      </c>
    </row>
    <row r="30" spans="1:10">
      <c r="A30" s="23" t="s">
        <v>12</v>
      </c>
      <c r="B30" s="40">
        <v>0.67</v>
      </c>
      <c r="C30" s="38">
        <v>8.4603999999999999E-2</v>
      </c>
      <c r="D30" s="41">
        <f>C29-D29</f>
        <v>0</v>
      </c>
      <c r="F30" s="25" t="s">
        <v>56</v>
      </c>
      <c r="G30" s="31">
        <v>1029.40452</v>
      </c>
      <c r="H30" s="38">
        <f t="shared" si="2"/>
        <v>0.28035884613431511</v>
      </c>
      <c r="I30" s="36">
        <v>8.0661190621281659E-2</v>
      </c>
    </row>
    <row r="31" spans="1:10">
      <c r="A31" s="23" t="s">
        <v>13</v>
      </c>
      <c r="B31" s="40">
        <v>0.1</v>
      </c>
      <c r="C31" s="38">
        <v>9.2504000000000003E-2</v>
      </c>
      <c r="D31" s="32">
        <v>2</v>
      </c>
      <c r="F31" s="25" t="s">
        <v>57</v>
      </c>
      <c r="G31" s="32">
        <v>455.87</v>
      </c>
      <c r="H31" s="38">
        <f t="shared" si="2"/>
        <v>0.12415642704507478</v>
      </c>
      <c r="I31" s="36">
        <v>7.0761190621281653E-2</v>
      </c>
    </row>
    <row r="32" spans="1:10">
      <c r="A32" s="23" t="s">
        <v>14</v>
      </c>
      <c r="B32" s="40">
        <v>0.06</v>
      </c>
      <c r="C32" s="38">
        <v>0.100304</v>
      </c>
      <c r="D32" s="32">
        <v>1</v>
      </c>
      <c r="F32" s="20" t="s">
        <v>58</v>
      </c>
      <c r="G32" s="30">
        <f>SUM(G33:G34)</f>
        <v>1246.52</v>
      </c>
      <c r="H32" s="37">
        <f>SUM(H33:H34)</f>
        <v>1</v>
      </c>
      <c r="I32" s="50">
        <f>SUMPRODUCT(I33:I34,H33:H34)</f>
        <v>7.9587897765494561E-2</v>
      </c>
      <c r="J32" s="35">
        <f>I32-M7</f>
        <v>0</v>
      </c>
    </row>
    <row r="33" spans="1:10">
      <c r="A33" s="23" t="s">
        <v>15</v>
      </c>
      <c r="B33" s="40">
        <f>1-SUM(B30:B32)</f>
        <v>0.16999999999999993</v>
      </c>
      <c r="C33" s="38">
        <v>5.3804000000000005E-2</v>
      </c>
      <c r="D33" s="32">
        <v>4</v>
      </c>
      <c r="F33" s="25" t="s">
        <v>59</v>
      </c>
      <c r="G33" s="32">
        <v>790.87</v>
      </c>
      <c r="H33" s="38">
        <f>G33/$G$32</f>
        <v>0.6344623431633668</v>
      </c>
      <c r="I33" s="36">
        <v>8.4047457178901483E-2</v>
      </c>
    </row>
    <row r="34" spans="1:10">
      <c r="A34" s="21" t="s">
        <v>17</v>
      </c>
      <c r="B34" s="40">
        <f>1-SUM(B3)</f>
        <v>0.44999999999999996</v>
      </c>
      <c r="C34" s="38">
        <f>C35*B35+C40*B40+C45*B45+B50*C50+B55*C55+C60*B60</f>
        <v>8.6159634422760395E-2</v>
      </c>
      <c r="F34" s="25" t="s">
        <v>60</v>
      </c>
      <c r="G34" s="32">
        <v>455.65</v>
      </c>
      <c r="H34" s="38">
        <f>G34/$G$32</f>
        <v>0.3655376568366332</v>
      </c>
      <c r="I34" s="36">
        <v>7.1847457178901494E-2</v>
      </c>
    </row>
    <row r="35" spans="1:10">
      <c r="A35" s="22" t="s">
        <v>11</v>
      </c>
      <c r="B35" s="40">
        <v>0.14000000000000001</v>
      </c>
      <c r="C35" s="43">
        <f>SUMPRODUCT(C36:C39,B36:B39)</f>
        <v>8.8422703656504245E-2</v>
      </c>
      <c r="D35" s="43">
        <v>8.8422703656504259E-2</v>
      </c>
      <c r="E35" s="49">
        <v>3</v>
      </c>
      <c r="F35" s="20" t="s">
        <v>61</v>
      </c>
      <c r="G35" s="20">
        <f>SUM(G36:G38)</f>
        <v>990.54</v>
      </c>
      <c r="H35" s="37">
        <f>SUM(H36:H38)</f>
        <v>1</v>
      </c>
      <c r="I35" s="50">
        <f>SUMPRODUCT(I36:I38,H36:H38)</f>
        <v>6.7787897765494556E-2</v>
      </c>
      <c r="J35" s="35">
        <f>I35-M8</f>
        <v>0</v>
      </c>
    </row>
    <row r="36" spans="1:10">
      <c r="A36" s="23" t="s">
        <v>12</v>
      </c>
      <c r="B36" s="40">
        <v>0.57999999999999996</v>
      </c>
      <c r="C36" s="38">
        <v>8.6926703656504262E-2</v>
      </c>
      <c r="D36" s="41">
        <f>C35-D35</f>
        <v>0</v>
      </c>
      <c r="F36" s="25" t="s">
        <v>62</v>
      </c>
      <c r="G36" s="32">
        <v>566.77</v>
      </c>
      <c r="H36" s="38">
        <f>G36/$G$35</f>
        <v>0.57218284975871747</v>
      </c>
      <c r="I36" s="36">
        <v>7.2640886034519528E-2</v>
      </c>
    </row>
    <row r="37" spans="1:10">
      <c r="A37" s="23" t="s">
        <v>13</v>
      </c>
      <c r="B37" s="40">
        <v>0.16</v>
      </c>
      <c r="C37" s="38">
        <v>9.9226703656504253E-2</v>
      </c>
      <c r="D37" s="32">
        <v>2</v>
      </c>
      <c r="F37" s="25" t="s">
        <v>63</v>
      </c>
      <c r="G37" s="32">
        <v>312.89999999999998</v>
      </c>
      <c r="H37" s="38">
        <f t="shared" ref="H37:H38" si="3">G37/$G$35</f>
        <v>0.31588830334968804</v>
      </c>
      <c r="I37" s="36">
        <v>6.2840886034519525E-2</v>
      </c>
    </row>
    <row r="38" spans="1:10">
      <c r="A38" s="23" t="s">
        <v>14</v>
      </c>
      <c r="B38" s="40">
        <v>7.0000000000000007E-2</v>
      </c>
      <c r="C38" s="38">
        <v>0.11302670365650426</v>
      </c>
      <c r="D38" s="32">
        <v>1</v>
      </c>
      <c r="F38" s="25" t="s">
        <v>64</v>
      </c>
      <c r="G38" s="32">
        <v>110.87</v>
      </c>
      <c r="H38" s="38">
        <f t="shared" si="3"/>
        <v>0.11192884689159449</v>
      </c>
      <c r="I38" s="36">
        <v>5.6940886034519522E-2</v>
      </c>
    </row>
    <row r="39" spans="1:10">
      <c r="A39" s="23" t="s">
        <v>15</v>
      </c>
      <c r="B39" s="40">
        <f>1-SUM(B36:B38)</f>
        <v>0.18999999999999995</v>
      </c>
      <c r="C39" s="38">
        <v>7.4826703656504248E-2</v>
      </c>
      <c r="D39" s="32">
        <v>4</v>
      </c>
    </row>
    <row r="40" spans="1:10">
      <c r="A40" s="22" t="s">
        <v>16</v>
      </c>
      <c r="B40" s="40">
        <v>0.12</v>
      </c>
      <c r="C40" s="43">
        <f>SUMPRODUCT(C41:C44,B41:B44)</f>
        <v>8.4131168534583592E-2</v>
      </c>
      <c r="D40" s="43">
        <v>8.4131168534583606E-2</v>
      </c>
      <c r="E40" s="49">
        <v>4</v>
      </c>
    </row>
    <row r="41" spans="1:10">
      <c r="A41" s="23" t="s">
        <v>12</v>
      </c>
      <c r="B41" s="40">
        <v>0.45</v>
      </c>
      <c r="C41" s="38">
        <v>8.4474168534583602E-2</v>
      </c>
      <c r="D41" s="41">
        <f>C40-D40</f>
        <v>0</v>
      </c>
    </row>
    <row r="42" spans="1:10">
      <c r="A42" s="23" t="s">
        <v>13</v>
      </c>
      <c r="B42" s="40">
        <v>0.18</v>
      </c>
      <c r="C42" s="38">
        <v>8.9574168534583595E-2</v>
      </c>
      <c r="D42" s="32">
        <v>2</v>
      </c>
    </row>
    <row r="43" spans="1:10">
      <c r="A43" s="23" t="s">
        <v>14</v>
      </c>
      <c r="B43" s="40">
        <v>0.13</v>
      </c>
      <c r="C43" s="38">
        <v>0.10837416853458359</v>
      </c>
      <c r="D43" s="32">
        <v>1</v>
      </c>
    </row>
    <row r="44" spans="1:10">
      <c r="A44" s="23" t="s">
        <v>15</v>
      </c>
      <c r="B44" s="40">
        <f>1-SUM(B41:B43)</f>
        <v>0.24</v>
      </c>
      <c r="C44" s="38">
        <v>6.6274168534583594E-2</v>
      </c>
      <c r="D44" s="32">
        <v>4</v>
      </c>
    </row>
    <row r="45" spans="1:10">
      <c r="A45" s="22" t="s">
        <v>24</v>
      </c>
      <c r="B45" s="40">
        <v>0.08</v>
      </c>
      <c r="C45" s="43">
        <f>SUMPRODUCT(C46:C49,B46:B49)</f>
        <v>9.4801106519020018E-2</v>
      </c>
      <c r="D45" s="43">
        <v>9.4801106519020004E-2</v>
      </c>
      <c r="E45" s="49">
        <v>2</v>
      </c>
    </row>
    <row r="46" spans="1:10">
      <c r="A46" s="23" t="s">
        <v>12</v>
      </c>
      <c r="B46" s="40">
        <v>0.47</v>
      </c>
      <c r="C46" s="38">
        <v>9.0291106519020004E-2</v>
      </c>
      <c r="D46" s="41">
        <f>C45-D45</f>
        <v>0</v>
      </c>
    </row>
    <row r="47" spans="1:10">
      <c r="A47" s="23" t="s">
        <v>13</v>
      </c>
      <c r="B47" s="40">
        <v>0.17</v>
      </c>
      <c r="C47" s="38">
        <v>0.10829110651902001</v>
      </c>
      <c r="D47" s="32">
        <v>2</v>
      </c>
    </row>
    <row r="48" spans="1:10">
      <c r="A48" s="23" t="s">
        <v>14</v>
      </c>
      <c r="B48" s="40">
        <v>0.14000000000000001</v>
      </c>
      <c r="C48" s="38">
        <v>0.12029110651902</v>
      </c>
      <c r="D48" s="32">
        <v>1</v>
      </c>
    </row>
    <row r="49" spans="1:11">
      <c r="A49" s="23" t="s">
        <v>15</v>
      </c>
      <c r="B49" s="40">
        <f>1-SUM(B46:B48)</f>
        <v>0.21999999999999997</v>
      </c>
      <c r="C49" s="38">
        <v>7.7791106519020006E-2</v>
      </c>
      <c r="D49" s="32">
        <v>4</v>
      </c>
    </row>
    <row r="50" spans="1:11">
      <c r="A50" s="22" t="s">
        <v>22</v>
      </c>
      <c r="B50" s="40">
        <v>0.17</v>
      </c>
      <c r="C50" s="43">
        <f>SUMPRODUCT(C51:C54,B51:B54)</f>
        <v>0.10252005000000002</v>
      </c>
      <c r="D50" s="43">
        <v>0.10252005000000002</v>
      </c>
      <c r="E50" s="49">
        <v>1</v>
      </c>
    </row>
    <row r="51" spans="1:11">
      <c r="A51" s="23" t="s">
        <v>12</v>
      </c>
      <c r="B51" s="40">
        <v>0.45</v>
      </c>
      <c r="C51" s="38">
        <v>9.4483050000000013E-2</v>
      </c>
      <c r="D51" s="41">
        <f>C50-D50</f>
        <v>0</v>
      </c>
    </row>
    <row r="52" spans="1:11">
      <c r="A52" s="23" t="s">
        <v>13</v>
      </c>
      <c r="B52" s="40">
        <v>0.18</v>
      </c>
      <c r="C52" s="38">
        <v>0.11238305000000003</v>
      </c>
      <c r="D52" s="32">
        <v>2</v>
      </c>
      <c r="K52" s="58"/>
    </row>
    <row r="53" spans="1:11">
      <c r="A53" s="23" t="s">
        <v>14</v>
      </c>
      <c r="B53" s="40">
        <v>0.17</v>
      </c>
      <c r="C53" s="38">
        <v>0.12998305000000002</v>
      </c>
      <c r="D53" s="32">
        <v>1</v>
      </c>
    </row>
    <row r="54" spans="1:11">
      <c r="A54" s="23" t="s">
        <v>15</v>
      </c>
      <c r="B54" s="40">
        <f>1-SUM(B51:B53)</f>
        <v>0.19999999999999996</v>
      </c>
      <c r="C54" s="38">
        <v>8.8383050000000019E-2</v>
      </c>
      <c r="D54" s="32">
        <v>4</v>
      </c>
    </row>
    <row r="55" spans="1:11">
      <c r="A55" s="22" t="s">
        <v>23</v>
      </c>
      <c r="B55" s="40">
        <v>0.46</v>
      </c>
      <c r="C55" s="43">
        <f>SUMPRODUCT(C56:C59,B56:B59)</f>
        <v>7.9255366454373144E-2</v>
      </c>
      <c r="D55" s="43">
        <v>7.925536645437313E-2</v>
      </c>
      <c r="E55" s="49">
        <v>5</v>
      </c>
    </row>
    <row r="56" spans="1:11">
      <c r="A56" s="23" t="s">
        <v>12</v>
      </c>
      <c r="B56" s="40">
        <v>0.5</v>
      </c>
      <c r="C56" s="38">
        <v>7.2105366454373127E-2</v>
      </c>
      <c r="D56" s="41">
        <f>C55-D55</f>
        <v>0</v>
      </c>
    </row>
    <row r="57" spans="1:11">
      <c r="A57" s="23" t="s">
        <v>13</v>
      </c>
      <c r="B57" s="40">
        <v>0.19</v>
      </c>
      <c r="C57" s="38">
        <v>8.7805366454373118E-2</v>
      </c>
      <c r="D57" s="32">
        <v>2</v>
      </c>
    </row>
    <row r="58" spans="1:11">
      <c r="A58" s="23" t="s">
        <v>14</v>
      </c>
      <c r="B58" s="40">
        <v>0.14000000000000001</v>
      </c>
      <c r="C58" s="38">
        <v>0.10320536645437312</v>
      </c>
      <c r="D58" s="32">
        <v>1</v>
      </c>
    </row>
    <row r="59" spans="1:11">
      <c r="A59" s="23" t="s">
        <v>15</v>
      </c>
      <c r="B59" s="40">
        <f>1-SUM(B56:B58)</f>
        <v>0.17000000000000004</v>
      </c>
      <c r="C59" s="38">
        <v>7.1005366454373123E-2</v>
      </c>
      <c r="D59" s="32">
        <v>4</v>
      </c>
    </row>
    <row r="60" spans="1:11">
      <c r="A60" s="22" t="s">
        <v>25</v>
      </c>
      <c r="B60" s="40">
        <f>1-SUM(B35,B40,B45,B50,B55)</f>
        <v>3.0000000000000027E-2</v>
      </c>
      <c r="C60" s="43">
        <f>SUMPRODUCT(C61:C64,B61:B64)</f>
        <v>7.3825003205550452E-2</v>
      </c>
      <c r="D60" s="43">
        <v>7.3825003205550466E-2</v>
      </c>
      <c r="E60" s="49">
        <v>6</v>
      </c>
    </row>
    <row r="61" spans="1:11">
      <c r="A61" s="23" t="s">
        <v>12</v>
      </c>
      <c r="B61" s="40">
        <v>0.64</v>
      </c>
      <c r="C61" s="38">
        <v>7.5104003205550454E-2</v>
      </c>
      <c r="D61" s="41">
        <f>C60-D60</f>
        <v>0</v>
      </c>
    </row>
    <row r="62" spans="1:11">
      <c r="A62" s="23" t="s">
        <v>13</v>
      </c>
      <c r="B62" s="40">
        <v>0.11</v>
      </c>
      <c r="C62" s="38">
        <v>7.7204003205550459E-2</v>
      </c>
      <c r="D62" s="32">
        <v>2</v>
      </c>
    </row>
    <row r="63" spans="1:11">
      <c r="A63" s="23" t="s">
        <v>14</v>
      </c>
      <c r="B63" s="40">
        <v>0.06</v>
      </c>
      <c r="C63" s="38">
        <v>9.6804003205550451E-2</v>
      </c>
      <c r="D63" s="32">
        <v>1</v>
      </c>
    </row>
    <row r="64" spans="1:11">
      <c r="A64" s="23" t="s">
        <v>15</v>
      </c>
      <c r="B64" s="40">
        <f>1-SUM(B61:B63)</f>
        <v>0.18999999999999995</v>
      </c>
      <c r="C64" s="38">
        <v>6.030400320555046E-2</v>
      </c>
      <c r="D64" s="32">
        <v>4</v>
      </c>
    </row>
    <row r="65" spans="1:2">
      <c r="A65" s="13"/>
    </row>
    <row r="66" spans="1:2">
      <c r="A66" s="20" t="s">
        <v>18</v>
      </c>
    </row>
    <row r="67" spans="1:2">
      <c r="A67" s="21" t="s">
        <v>12</v>
      </c>
      <c r="B67" s="26">
        <v>0.52</v>
      </c>
    </row>
    <row r="68" spans="1:2">
      <c r="A68" s="21" t="s">
        <v>13</v>
      </c>
      <c r="B68" s="26">
        <v>0.16</v>
      </c>
    </row>
    <row r="69" spans="1:2">
      <c r="A69" s="21" t="s">
        <v>14</v>
      </c>
      <c r="B69" s="26">
        <v>0.12</v>
      </c>
    </row>
    <row r="70" spans="1:2">
      <c r="A70" s="21" t="s">
        <v>15</v>
      </c>
      <c r="B70" s="26">
        <f>1-SUM(B67:B69)</f>
        <v>0.19999999999999996</v>
      </c>
    </row>
    <row r="72" spans="1:2">
      <c r="A72" s="24" t="s">
        <v>26</v>
      </c>
    </row>
    <row r="73" spans="1:2">
      <c r="A73" s="21" t="s">
        <v>11</v>
      </c>
    </row>
    <row r="74" spans="1:2">
      <c r="A74" s="21" t="s">
        <v>16</v>
      </c>
    </row>
    <row r="75" spans="1:2">
      <c r="A75" s="21" t="s">
        <v>24</v>
      </c>
    </row>
    <row r="76" spans="1:2">
      <c r="A76" s="21" t="s">
        <v>22</v>
      </c>
    </row>
    <row r="77" spans="1:2">
      <c r="A77" s="21" t="s">
        <v>23</v>
      </c>
    </row>
    <row r="78" spans="1:2">
      <c r="A78" s="21" t="s">
        <v>25</v>
      </c>
    </row>
    <row r="79" spans="1:2">
      <c r="A79" s="13"/>
    </row>
    <row r="80" spans="1:2">
      <c r="A80" s="20" t="s">
        <v>19</v>
      </c>
      <c r="B80" s="36"/>
    </row>
    <row r="81" spans="1:3">
      <c r="A81" s="21" t="s">
        <v>27</v>
      </c>
      <c r="B81" s="26">
        <f>1-SUM(B82:B83)</f>
        <v>0.17979999999999996</v>
      </c>
      <c r="C81" s="29">
        <v>8.0841859524795529E-2</v>
      </c>
    </row>
    <row r="82" spans="1:3">
      <c r="A82" s="21" t="s">
        <v>20</v>
      </c>
      <c r="B82" s="26">
        <v>0.47899999999999998</v>
      </c>
      <c r="C82" s="29">
        <v>9.7241859524795526E-2</v>
      </c>
    </row>
    <row r="83" spans="1:3">
      <c r="A83" s="21" t="s">
        <v>21</v>
      </c>
      <c r="B83" s="26">
        <v>0.3412</v>
      </c>
      <c r="C83" s="29">
        <v>8.8841859524795522E-2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>
      <selection activeCell="H12" sqref="H12"/>
    </sheetView>
  </sheetViews>
  <sheetFormatPr defaultRowHeight="15" customHeight="1"/>
  <cols>
    <col min="1" max="1" width="9.36328125" style="13" customWidth="1"/>
    <col min="2" max="2" width="32.36328125" style="13" bestFit="1" customWidth="1"/>
    <col min="3" max="33" width="8.453125" style="13" customWidth="1"/>
    <col min="34" max="16384" width="8.7265625" style="13"/>
  </cols>
  <sheetData>
    <row r="1" spans="1:33" ht="15" customHeight="1">
      <c r="C1" s="51" t="s">
        <v>29</v>
      </c>
      <c r="D1" s="51" t="s">
        <v>30</v>
      </c>
      <c r="E1" s="51" t="s">
        <v>32</v>
      </c>
      <c r="F1" s="51" t="s">
        <v>33</v>
      </c>
      <c r="G1" s="51" t="s">
        <v>34</v>
      </c>
      <c r="H1" s="51" t="s">
        <v>35</v>
      </c>
      <c r="I1" s="51" t="s">
        <v>36</v>
      </c>
      <c r="J1" s="51" t="s">
        <v>37</v>
      </c>
      <c r="K1" s="51" t="s">
        <v>38</v>
      </c>
      <c r="L1" s="51" t="s">
        <v>39</v>
      </c>
      <c r="M1" s="51" t="s">
        <v>40</v>
      </c>
      <c r="N1" s="51" t="s">
        <v>41</v>
      </c>
      <c r="O1" s="51" t="s">
        <v>42</v>
      </c>
      <c r="P1" s="51" t="s">
        <v>43</v>
      </c>
      <c r="Q1" s="51" t="s">
        <v>45</v>
      </c>
      <c r="R1" s="51" t="s">
        <v>46</v>
      </c>
      <c r="S1" s="51" t="s">
        <v>47</v>
      </c>
      <c r="T1" s="51" t="s">
        <v>48</v>
      </c>
      <c r="U1" s="51" t="s">
        <v>49</v>
      </c>
      <c r="V1" s="51" t="s">
        <v>50</v>
      </c>
      <c r="W1" s="51" t="s">
        <v>51</v>
      </c>
      <c r="X1" s="51" t="s">
        <v>52</v>
      </c>
      <c r="Y1" s="51" t="s">
        <v>54</v>
      </c>
      <c r="Z1" s="51" t="s">
        <v>55</v>
      </c>
      <c r="AA1" s="51" t="s">
        <v>56</v>
      </c>
      <c r="AB1" s="51" t="s">
        <v>57</v>
      </c>
      <c r="AC1" s="51" t="s">
        <v>59</v>
      </c>
      <c r="AD1" s="51" t="s">
        <v>60</v>
      </c>
      <c r="AE1" s="51" t="s">
        <v>62</v>
      </c>
      <c r="AF1" s="51" t="s">
        <v>63</v>
      </c>
      <c r="AG1" s="51" t="s">
        <v>64</v>
      </c>
    </row>
    <row r="2" spans="1:33" ht="15" customHeight="1">
      <c r="B2" s="52" t="s">
        <v>18</v>
      </c>
    </row>
    <row r="3" spans="1:33" ht="15" customHeight="1">
      <c r="A3" s="53">
        <v>1.1100000000000001</v>
      </c>
      <c r="B3" s="54" t="s">
        <v>12</v>
      </c>
      <c r="C3" s="55">
        <f t="shared" ref="C3:AG3" si="0">$A3*C8</f>
        <v>1.1100000000000001</v>
      </c>
      <c r="D3" s="55">
        <f t="shared" si="0"/>
        <v>1.3397700000000001</v>
      </c>
      <c r="E3" s="55">
        <f t="shared" si="0"/>
        <v>1.3109100000000002</v>
      </c>
      <c r="F3" s="55">
        <f t="shared" si="0"/>
        <v>1.4962800000000003</v>
      </c>
      <c r="G3" s="55">
        <f t="shared" si="0"/>
        <v>1.4718600000000002</v>
      </c>
      <c r="H3" s="55">
        <f t="shared" si="0"/>
        <v>1.5029400000000002</v>
      </c>
      <c r="I3" s="55">
        <f t="shared" si="0"/>
        <v>1.4563200000000003</v>
      </c>
      <c r="J3" s="55">
        <f t="shared" si="0"/>
        <v>1.5051600000000003</v>
      </c>
      <c r="K3" s="55">
        <f t="shared" si="0"/>
        <v>1.4985000000000002</v>
      </c>
      <c r="L3" s="55">
        <f t="shared" si="0"/>
        <v>1.4685300000000001</v>
      </c>
      <c r="M3" s="55">
        <f t="shared" si="0"/>
        <v>1.4940600000000002</v>
      </c>
      <c r="N3" s="55">
        <f t="shared" si="0"/>
        <v>1.44855</v>
      </c>
      <c r="O3" s="55">
        <f t="shared" si="0"/>
        <v>1.4740800000000003</v>
      </c>
      <c r="P3" s="55">
        <f t="shared" si="0"/>
        <v>1.4674200000000002</v>
      </c>
      <c r="Q3" s="55">
        <f t="shared" si="0"/>
        <v>0.98457000000000006</v>
      </c>
      <c r="R3" s="55">
        <f t="shared" si="0"/>
        <v>0.98346000000000011</v>
      </c>
      <c r="S3" s="55">
        <f t="shared" si="0"/>
        <v>0.98346000000000011</v>
      </c>
      <c r="T3" s="55">
        <f t="shared" si="0"/>
        <v>0.97902000000000011</v>
      </c>
      <c r="U3" s="55">
        <f t="shared" si="0"/>
        <v>0.98235000000000006</v>
      </c>
      <c r="V3" s="55">
        <f t="shared" si="0"/>
        <v>0.98013000000000006</v>
      </c>
      <c r="W3" s="55">
        <f t="shared" si="0"/>
        <v>0.98124000000000011</v>
      </c>
      <c r="X3" s="55">
        <f t="shared" si="0"/>
        <v>0.97347000000000006</v>
      </c>
      <c r="Y3" s="55">
        <f t="shared" si="0"/>
        <v>1.1766000000000001</v>
      </c>
      <c r="Z3" s="55">
        <f t="shared" si="0"/>
        <v>1.2187800000000002</v>
      </c>
      <c r="AA3" s="55">
        <f t="shared" si="0"/>
        <v>1.20879</v>
      </c>
      <c r="AB3" s="55">
        <f t="shared" si="0"/>
        <v>1.1843700000000001</v>
      </c>
      <c r="AC3" s="55">
        <f t="shared" ca="1" si="0"/>
        <v>1.0123200000000001</v>
      </c>
      <c r="AD3" s="55">
        <f t="shared" ca="1" si="0"/>
        <v>1.0556099999999999</v>
      </c>
      <c r="AE3" s="55">
        <f t="shared" ca="1" si="0"/>
        <v>1.0300800000000001</v>
      </c>
      <c r="AF3" s="55">
        <f t="shared" ca="1" si="0"/>
        <v>1.05894</v>
      </c>
      <c r="AG3" s="55">
        <f t="shared" ca="1" si="0"/>
        <v>1.0878000000000001</v>
      </c>
    </row>
    <row r="4" spans="1:33" ht="15" customHeight="1">
      <c r="A4" s="53">
        <v>1.2</v>
      </c>
      <c r="B4" s="54" t="s">
        <v>13</v>
      </c>
      <c r="C4" s="55">
        <f t="shared" ref="C4:AG4" si="1">$A4*C9</f>
        <v>1.2</v>
      </c>
      <c r="D4" s="55">
        <f t="shared" si="1"/>
        <v>1.476</v>
      </c>
      <c r="E4" s="55">
        <f t="shared" si="1"/>
        <v>1.4028</v>
      </c>
      <c r="F4" s="55">
        <f t="shared" si="1"/>
        <v>1.6355999999999999</v>
      </c>
      <c r="G4" s="55">
        <f t="shared" si="1"/>
        <v>1.5972</v>
      </c>
      <c r="H4" s="55">
        <f t="shared" si="1"/>
        <v>1.5948</v>
      </c>
      <c r="I4" s="55">
        <f t="shared" si="1"/>
        <v>1.62</v>
      </c>
      <c r="J4" s="55">
        <f t="shared" si="1"/>
        <v>1.5696000000000001</v>
      </c>
      <c r="K4" s="55">
        <f t="shared" si="1"/>
        <v>1.5923999999999998</v>
      </c>
      <c r="L4" s="55">
        <f t="shared" si="1"/>
        <v>1.6176000000000001</v>
      </c>
      <c r="M4" s="55">
        <f t="shared" si="1"/>
        <v>1.5923999999999998</v>
      </c>
      <c r="N4" s="55">
        <f t="shared" si="1"/>
        <v>1.5923999999999998</v>
      </c>
      <c r="O4" s="55">
        <f t="shared" si="1"/>
        <v>1.6139999999999999</v>
      </c>
      <c r="P4" s="55">
        <f t="shared" si="1"/>
        <v>1.6272</v>
      </c>
      <c r="Q4" s="55">
        <f t="shared" si="1"/>
        <v>1.056</v>
      </c>
      <c r="R4" s="55">
        <f t="shared" si="1"/>
        <v>1.0584</v>
      </c>
      <c r="S4" s="55">
        <f t="shared" si="1"/>
        <v>1.0644</v>
      </c>
      <c r="T4" s="55">
        <f t="shared" si="1"/>
        <v>1.0631999999999999</v>
      </c>
      <c r="U4" s="55">
        <f t="shared" si="1"/>
        <v>1.0595999999999999</v>
      </c>
      <c r="V4" s="55">
        <f t="shared" si="1"/>
        <v>1.0571999999999999</v>
      </c>
      <c r="W4" s="55">
        <f t="shared" si="1"/>
        <v>1.0535999999999999</v>
      </c>
      <c r="X4" s="55">
        <f t="shared" si="1"/>
        <v>1.0620000000000001</v>
      </c>
      <c r="Y4" s="55">
        <f t="shared" si="1"/>
        <v>1.2527999999999999</v>
      </c>
      <c r="Z4" s="55">
        <f t="shared" si="1"/>
        <v>1.3152000000000001</v>
      </c>
      <c r="AA4" s="55">
        <f t="shared" si="1"/>
        <v>1.284</v>
      </c>
      <c r="AB4" s="55">
        <f t="shared" si="1"/>
        <v>1.2684</v>
      </c>
      <c r="AC4" s="55">
        <f t="shared" ca="1" si="1"/>
        <v>1.1639999999999999</v>
      </c>
      <c r="AD4" s="55">
        <f t="shared" ca="1" si="1"/>
        <v>1.1303999999999998</v>
      </c>
      <c r="AE4" s="55">
        <f t="shared" ca="1" si="1"/>
        <v>1.1387999999999998</v>
      </c>
      <c r="AF4" s="55">
        <f t="shared" ca="1" si="1"/>
        <v>1.0968</v>
      </c>
      <c r="AG4" s="55">
        <f t="shared" ca="1" si="1"/>
        <v>1.1723999999999999</v>
      </c>
    </row>
    <row r="5" spans="1:33" ht="15" customHeight="1">
      <c r="A5" s="53">
        <v>1.3</v>
      </c>
      <c r="B5" s="54" t="s">
        <v>14</v>
      </c>
      <c r="C5" s="55">
        <f t="shared" ref="C5:AG5" si="2">$A5*C10</f>
        <v>1.3</v>
      </c>
      <c r="D5" s="55">
        <f t="shared" si="2"/>
        <v>1.5275000000000001</v>
      </c>
      <c r="E5" s="55">
        <f t="shared" si="2"/>
        <v>1.5808</v>
      </c>
      <c r="F5" s="55">
        <f t="shared" si="2"/>
        <v>1.7056000000000002</v>
      </c>
      <c r="G5" s="55">
        <f t="shared" si="2"/>
        <v>1.7641</v>
      </c>
      <c r="H5" s="55">
        <f t="shared" si="2"/>
        <v>1.7498000000000002</v>
      </c>
      <c r="I5" s="55">
        <f t="shared" si="2"/>
        <v>1.7484999999999999</v>
      </c>
      <c r="J5" s="55">
        <f t="shared" si="2"/>
        <v>1.7666999999999999</v>
      </c>
      <c r="K5" s="55">
        <f t="shared" si="2"/>
        <v>1.6978000000000002</v>
      </c>
      <c r="L5" s="55">
        <f t="shared" si="2"/>
        <v>1.7589000000000001</v>
      </c>
      <c r="M5" s="55">
        <f t="shared" si="2"/>
        <v>1.7524000000000002</v>
      </c>
      <c r="N5" s="55">
        <f t="shared" si="2"/>
        <v>1.7498000000000002</v>
      </c>
      <c r="O5" s="55">
        <f t="shared" si="2"/>
        <v>1.7524000000000002</v>
      </c>
      <c r="P5" s="55">
        <f t="shared" si="2"/>
        <v>1.7459</v>
      </c>
      <c r="Q5" s="55">
        <f t="shared" si="2"/>
        <v>1.1505000000000001</v>
      </c>
      <c r="R5" s="55">
        <f t="shared" si="2"/>
        <v>1.1556999999999999</v>
      </c>
      <c r="S5" s="55">
        <f t="shared" si="2"/>
        <v>1.1556999999999999</v>
      </c>
      <c r="T5" s="55">
        <f t="shared" si="2"/>
        <v>1.1453</v>
      </c>
      <c r="U5" s="55">
        <f t="shared" si="2"/>
        <v>1.1492</v>
      </c>
      <c r="V5" s="55">
        <f t="shared" si="2"/>
        <v>1.1544000000000001</v>
      </c>
      <c r="W5" s="55">
        <f t="shared" si="2"/>
        <v>1.1505000000000001</v>
      </c>
      <c r="X5" s="55">
        <f t="shared" si="2"/>
        <v>1.1544000000000001</v>
      </c>
      <c r="Y5" s="55">
        <f t="shared" si="2"/>
        <v>1.3740999999999999</v>
      </c>
      <c r="Z5" s="55">
        <f t="shared" si="2"/>
        <v>1.3896999999999999</v>
      </c>
      <c r="AA5" s="55">
        <f t="shared" si="2"/>
        <v>1.4287000000000001</v>
      </c>
      <c r="AB5" s="55">
        <f t="shared" si="2"/>
        <v>1.4274000000000002</v>
      </c>
      <c r="AC5" s="55">
        <f t="shared" ca="1" si="2"/>
        <v>1.2272000000000001</v>
      </c>
      <c r="AD5" s="55">
        <f t="shared" ca="1" si="2"/>
        <v>1.2311000000000001</v>
      </c>
      <c r="AE5" s="55">
        <f t="shared" ca="1" si="2"/>
        <v>1.1908000000000001</v>
      </c>
      <c r="AF5" s="55">
        <f t="shared" ca="1" si="2"/>
        <v>1.1960000000000002</v>
      </c>
      <c r="AG5" s="55">
        <f t="shared" ca="1" si="2"/>
        <v>1.1843000000000001</v>
      </c>
    </row>
    <row r="6" spans="1:33" ht="15" customHeight="1">
      <c r="A6" s="53">
        <v>1.1499999999999999</v>
      </c>
      <c r="B6" s="54" t="s">
        <v>15</v>
      </c>
      <c r="C6" s="55">
        <f t="shared" ref="C6:AG6" si="3">$A6*C11</f>
        <v>1.1499999999999999</v>
      </c>
      <c r="D6" s="55">
        <f t="shared" si="3"/>
        <v>1.3454999999999999</v>
      </c>
      <c r="E6" s="55">
        <f t="shared" si="3"/>
        <v>1.3443499999999999</v>
      </c>
      <c r="F6" s="55">
        <f t="shared" si="3"/>
        <v>1.5651499999999998</v>
      </c>
      <c r="G6" s="55">
        <f t="shared" si="3"/>
        <v>1.5525</v>
      </c>
      <c r="H6" s="55">
        <f t="shared" si="3"/>
        <v>1.5513499999999998</v>
      </c>
      <c r="I6" s="55">
        <f t="shared" si="3"/>
        <v>1.5226</v>
      </c>
      <c r="J6" s="55">
        <f t="shared" si="3"/>
        <v>1.5099499999999999</v>
      </c>
      <c r="K6" s="55">
        <f t="shared" si="3"/>
        <v>1.5387</v>
      </c>
      <c r="L6" s="55">
        <f t="shared" si="3"/>
        <v>1.5271999999999999</v>
      </c>
      <c r="M6" s="55">
        <f t="shared" si="3"/>
        <v>1.5099499999999999</v>
      </c>
      <c r="N6" s="55">
        <f t="shared" si="3"/>
        <v>1.5421499999999999</v>
      </c>
      <c r="O6" s="55">
        <f t="shared" si="3"/>
        <v>1.5582499999999999</v>
      </c>
      <c r="P6" s="55">
        <f t="shared" si="3"/>
        <v>1.5525</v>
      </c>
      <c r="Q6" s="55">
        <f t="shared" si="3"/>
        <v>1.0165999999999999</v>
      </c>
      <c r="R6" s="55">
        <f t="shared" si="3"/>
        <v>1.0177499999999999</v>
      </c>
      <c r="S6" s="55">
        <f t="shared" si="3"/>
        <v>1.01315</v>
      </c>
      <c r="T6" s="55">
        <f t="shared" si="3"/>
        <v>1.0223499999999999</v>
      </c>
      <c r="U6" s="55">
        <f t="shared" si="3"/>
        <v>1.0223499999999999</v>
      </c>
      <c r="V6" s="55">
        <f t="shared" si="3"/>
        <v>1.0085499999999998</v>
      </c>
      <c r="W6" s="55">
        <f t="shared" si="3"/>
        <v>1.0143</v>
      </c>
      <c r="X6" s="55">
        <f t="shared" si="3"/>
        <v>1.0096999999999998</v>
      </c>
      <c r="Y6" s="55">
        <f t="shared" si="3"/>
        <v>1.2052</v>
      </c>
      <c r="Z6" s="55">
        <f t="shared" si="3"/>
        <v>1.2362499999999998</v>
      </c>
      <c r="AA6" s="55">
        <f t="shared" si="3"/>
        <v>1.2201499999999998</v>
      </c>
      <c r="AB6" s="55">
        <f t="shared" si="3"/>
        <v>1.2374000000000001</v>
      </c>
      <c r="AC6" s="55">
        <f t="shared" ca="1" si="3"/>
        <v>1.1005499999999999</v>
      </c>
      <c r="AD6" s="55">
        <f t="shared" ca="1" si="3"/>
        <v>1.0844499999999999</v>
      </c>
      <c r="AE6" s="55">
        <f t="shared" ca="1" si="3"/>
        <v>1.081</v>
      </c>
      <c r="AF6" s="55">
        <f t="shared" ca="1" si="3"/>
        <v>1.0844499999999999</v>
      </c>
      <c r="AG6" s="55">
        <f t="shared" ca="1" si="3"/>
        <v>1.1327499999999999</v>
      </c>
    </row>
    <row r="8" spans="1:33" ht="15" customHeight="1">
      <c r="B8" s="54" t="s">
        <v>12</v>
      </c>
      <c r="C8" s="56">
        <v>1</v>
      </c>
      <c r="D8" s="56">
        <v>1.2070000000000001</v>
      </c>
      <c r="E8" s="56">
        <v>1.181</v>
      </c>
      <c r="F8" s="56">
        <v>1.3480000000000001</v>
      </c>
      <c r="G8" s="56">
        <v>1.3260000000000001</v>
      </c>
      <c r="H8" s="56">
        <v>1.3540000000000001</v>
      </c>
      <c r="I8" s="56">
        <v>1.3120000000000001</v>
      </c>
      <c r="J8" s="56">
        <v>1.3560000000000001</v>
      </c>
      <c r="K8" s="56">
        <v>1.35</v>
      </c>
      <c r="L8" s="56">
        <v>1.323</v>
      </c>
      <c r="M8" s="56">
        <v>1.3460000000000001</v>
      </c>
      <c r="N8" s="56">
        <v>1.3049999999999999</v>
      </c>
      <c r="O8" s="56">
        <v>1.3280000000000001</v>
      </c>
      <c r="P8" s="56">
        <v>1.3220000000000001</v>
      </c>
      <c r="Q8" s="56">
        <v>0.88700000000000001</v>
      </c>
      <c r="R8" s="56">
        <v>0.88600000000000001</v>
      </c>
      <c r="S8" s="56">
        <v>0.88600000000000001</v>
      </c>
      <c r="T8" s="56">
        <v>0.88200000000000001</v>
      </c>
      <c r="U8" s="56">
        <v>0.88500000000000001</v>
      </c>
      <c r="V8" s="56">
        <v>0.88300000000000001</v>
      </c>
      <c r="W8" s="56">
        <v>0.88400000000000001</v>
      </c>
      <c r="X8" s="56">
        <v>0.877</v>
      </c>
      <c r="Y8" s="56">
        <v>1.06</v>
      </c>
      <c r="Z8" s="56">
        <v>1.0980000000000001</v>
      </c>
      <c r="AA8" s="56">
        <v>1.089</v>
      </c>
      <c r="AB8" s="56">
        <v>1.0669999999999999</v>
      </c>
      <c r="AC8" s="56">
        <f ca="1">RANDBETWEEN(910,990)/1000</f>
        <v>0.91200000000000003</v>
      </c>
      <c r="AD8" s="56">
        <f ca="1">RANDBETWEEN(910,990)/1000</f>
        <v>0.95099999999999996</v>
      </c>
      <c r="AE8" s="56">
        <f t="shared" ref="AE8:AG8" ca="1" si="4">RANDBETWEEN(910,990)/1000</f>
        <v>0.92800000000000005</v>
      </c>
      <c r="AF8" s="56">
        <f t="shared" ca="1" si="4"/>
        <v>0.95399999999999996</v>
      </c>
      <c r="AG8" s="56">
        <f t="shared" ca="1" si="4"/>
        <v>0.98</v>
      </c>
    </row>
    <row r="9" spans="1:33" ht="15" customHeight="1">
      <c r="B9" s="54" t="s">
        <v>13</v>
      </c>
      <c r="C9" s="56">
        <v>1</v>
      </c>
      <c r="D9" s="56">
        <v>1.23</v>
      </c>
      <c r="E9" s="56">
        <v>1.169</v>
      </c>
      <c r="F9" s="56">
        <v>1.363</v>
      </c>
      <c r="G9" s="56">
        <v>1.331</v>
      </c>
      <c r="H9" s="56">
        <v>1.329</v>
      </c>
      <c r="I9" s="56">
        <v>1.35</v>
      </c>
      <c r="J9" s="56">
        <v>1.3080000000000001</v>
      </c>
      <c r="K9" s="56">
        <v>1.327</v>
      </c>
      <c r="L9" s="56">
        <v>1.3480000000000001</v>
      </c>
      <c r="M9" s="56">
        <v>1.327</v>
      </c>
      <c r="N9" s="56">
        <v>1.327</v>
      </c>
      <c r="O9" s="56">
        <v>1.345</v>
      </c>
      <c r="P9" s="56">
        <v>1.3560000000000001</v>
      </c>
      <c r="Q9" s="56">
        <v>0.88</v>
      </c>
      <c r="R9" s="56">
        <v>0.88200000000000001</v>
      </c>
      <c r="S9" s="56">
        <v>0.88700000000000001</v>
      </c>
      <c r="T9" s="56">
        <v>0.88600000000000001</v>
      </c>
      <c r="U9" s="56">
        <v>0.88300000000000001</v>
      </c>
      <c r="V9" s="56">
        <v>0.88100000000000001</v>
      </c>
      <c r="W9" s="56">
        <v>0.878</v>
      </c>
      <c r="X9" s="56">
        <v>0.88500000000000001</v>
      </c>
      <c r="Y9" s="56">
        <v>1.044</v>
      </c>
      <c r="Z9" s="56">
        <v>1.0960000000000001</v>
      </c>
      <c r="AA9" s="56">
        <v>1.07</v>
      </c>
      <c r="AB9" s="56">
        <v>1.0569999999999999</v>
      </c>
      <c r="AC9" s="56">
        <f t="shared" ref="AC9:AG11" ca="1" si="5">RANDBETWEEN(910,990)/1000</f>
        <v>0.97</v>
      </c>
      <c r="AD9" s="56">
        <f t="shared" ca="1" si="5"/>
        <v>0.94199999999999995</v>
      </c>
      <c r="AE9" s="56">
        <f t="shared" ca="1" si="5"/>
        <v>0.94899999999999995</v>
      </c>
      <c r="AF9" s="56">
        <f t="shared" ca="1" si="5"/>
        <v>0.91400000000000003</v>
      </c>
      <c r="AG9" s="56">
        <f t="shared" ca="1" si="5"/>
        <v>0.97699999999999998</v>
      </c>
    </row>
    <row r="10" spans="1:33" ht="15" customHeight="1">
      <c r="B10" s="54" t="s">
        <v>14</v>
      </c>
      <c r="C10" s="56">
        <v>1</v>
      </c>
      <c r="D10" s="56">
        <v>1.175</v>
      </c>
      <c r="E10" s="56">
        <v>1.216</v>
      </c>
      <c r="F10" s="56">
        <v>1.3120000000000001</v>
      </c>
      <c r="G10" s="56">
        <v>1.357</v>
      </c>
      <c r="H10" s="56">
        <v>1.3460000000000001</v>
      </c>
      <c r="I10" s="56">
        <v>1.345</v>
      </c>
      <c r="J10" s="56">
        <v>1.359</v>
      </c>
      <c r="K10" s="56">
        <v>1.306</v>
      </c>
      <c r="L10" s="56">
        <v>1.353</v>
      </c>
      <c r="M10" s="56">
        <v>1.3480000000000001</v>
      </c>
      <c r="N10" s="56">
        <v>1.3460000000000001</v>
      </c>
      <c r="O10" s="56">
        <v>1.3480000000000001</v>
      </c>
      <c r="P10" s="56">
        <v>1.343</v>
      </c>
      <c r="Q10" s="56">
        <v>0.88500000000000001</v>
      </c>
      <c r="R10" s="56">
        <v>0.88900000000000001</v>
      </c>
      <c r="S10" s="56">
        <v>0.88900000000000001</v>
      </c>
      <c r="T10" s="56">
        <v>0.88100000000000001</v>
      </c>
      <c r="U10" s="56">
        <v>0.88400000000000001</v>
      </c>
      <c r="V10" s="56">
        <v>0.88800000000000001</v>
      </c>
      <c r="W10" s="56">
        <v>0.88500000000000001</v>
      </c>
      <c r="X10" s="56">
        <v>0.88800000000000001</v>
      </c>
      <c r="Y10" s="56">
        <v>1.0569999999999999</v>
      </c>
      <c r="Z10" s="56">
        <v>1.069</v>
      </c>
      <c r="AA10" s="56">
        <v>1.099</v>
      </c>
      <c r="AB10" s="56">
        <v>1.0980000000000001</v>
      </c>
      <c r="AC10" s="56">
        <f t="shared" ca="1" si="5"/>
        <v>0.94399999999999995</v>
      </c>
      <c r="AD10" s="56">
        <f t="shared" ca="1" si="5"/>
        <v>0.94699999999999995</v>
      </c>
      <c r="AE10" s="56">
        <f t="shared" ca="1" si="5"/>
        <v>0.91600000000000004</v>
      </c>
      <c r="AF10" s="56">
        <f t="shared" ca="1" si="5"/>
        <v>0.92</v>
      </c>
      <c r="AG10" s="56">
        <f t="shared" ca="1" si="5"/>
        <v>0.91100000000000003</v>
      </c>
    </row>
    <row r="11" spans="1:33" ht="15" customHeight="1">
      <c r="B11" s="54" t="s">
        <v>15</v>
      </c>
      <c r="C11" s="56">
        <v>1</v>
      </c>
      <c r="D11" s="56">
        <v>1.17</v>
      </c>
      <c r="E11" s="56">
        <v>1.169</v>
      </c>
      <c r="F11" s="56">
        <v>1.361</v>
      </c>
      <c r="G11" s="56">
        <v>1.35</v>
      </c>
      <c r="H11" s="56">
        <v>1.349</v>
      </c>
      <c r="I11" s="56">
        <v>1.3240000000000001</v>
      </c>
      <c r="J11" s="56">
        <v>1.3129999999999999</v>
      </c>
      <c r="K11" s="56">
        <v>1.3380000000000001</v>
      </c>
      <c r="L11" s="56">
        <v>1.3280000000000001</v>
      </c>
      <c r="M11" s="56">
        <v>1.3129999999999999</v>
      </c>
      <c r="N11" s="56">
        <v>1.341</v>
      </c>
      <c r="O11" s="56">
        <v>1.355</v>
      </c>
      <c r="P11" s="56">
        <v>1.35</v>
      </c>
      <c r="Q11" s="56">
        <v>0.88400000000000001</v>
      </c>
      <c r="R11" s="56">
        <v>0.88500000000000001</v>
      </c>
      <c r="S11" s="56">
        <v>0.88100000000000001</v>
      </c>
      <c r="T11" s="56">
        <v>0.88900000000000001</v>
      </c>
      <c r="U11" s="56">
        <v>0.88900000000000001</v>
      </c>
      <c r="V11" s="56">
        <v>0.877</v>
      </c>
      <c r="W11" s="56">
        <v>0.88200000000000001</v>
      </c>
      <c r="X11" s="56">
        <v>0.878</v>
      </c>
      <c r="Y11" s="56">
        <v>1.048</v>
      </c>
      <c r="Z11" s="56">
        <v>1.075</v>
      </c>
      <c r="AA11" s="56">
        <v>1.0609999999999999</v>
      </c>
      <c r="AB11" s="56">
        <v>1.0760000000000001</v>
      </c>
      <c r="AC11" s="56">
        <f t="shared" ca="1" si="5"/>
        <v>0.95699999999999996</v>
      </c>
      <c r="AD11" s="56">
        <f t="shared" ca="1" si="5"/>
        <v>0.94299999999999995</v>
      </c>
      <c r="AE11" s="56">
        <f t="shared" ca="1" si="5"/>
        <v>0.94</v>
      </c>
      <c r="AF11" s="56">
        <f t="shared" ca="1" si="5"/>
        <v>0.94299999999999995</v>
      </c>
      <c r="AG11" s="56">
        <f t="shared" ca="1" si="5"/>
        <v>0.98499999999999999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2" sqref="H12"/>
    </sheetView>
  </sheetViews>
  <sheetFormatPr defaultRowHeight="14.5"/>
  <cols>
    <col min="1" max="1" width="8.7265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topLeftCell="A10" zoomScale="70" zoomScaleNormal="70" workbookViewId="0">
      <selection activeCell="D2" sqref="D2"/>
    </sheetView>
  </sheetViews>
  <sheetFormatPr defaultRowHeight="15" customHeight="1"/>
  <cols>
    <col min="1" max="1" width="31.90625" style="67" customWidth="1"/>
    <col min="2" max="2" width="12.1796875" style="92" customWidth="1"/>
    <col min="3" max="3" width="16.81640625" style="92" customWidth="1"/>
    <col min="4" max="6" width="8.7265625" style="84"/>
    <col min="7" max="7" width="15.6328125" style="84" bestFit="1" customWidth="1"/>
    <col min="8" max="8" width="52.08984375" style="84" customWidth="1"/>
    <col min="9" max="10" width="12.1796875" style="92" customWidth="1"/>
    <col min="12" max="14" width="8.7265625" style="84"/>
    <col min="15" max="15" width="18.453125" style="84" bestFit="1" customWidth="1"/>
    <col min="16" max="16" width="18" style="84" customWidth="1"/>
    <col min="17" max="17" width="7.81640625" style="84" customWidth="1"/>
    <col min="18" max="16384" width="8.7265625" style="84"/>
  </cols>
  <sheetData>
    <row r="1" spans="1:17" ht="15" customHeight="1">
      <c r="A1" s="88" t="s">
        <v>8</v>
      </c>
      <c r="B1" s="93" t="s">
        <v>65</v>
      </c>
      <c r="C1" s="93" t="s">
        <v>70</v>
      </c>
      <c r="G1" s="142" t="s">
        <v>206</v>
      </c>
      <c r="H1" s="143"/>
      <c r="I1" s="93" t="s">
        <v>65</v>
      </c>
      <c r="J1" s="93"/>
      <c r="O1" s="120" t="s">
        <v>207</v>
      </c>
      <c r="P1" s="121" t="s">
        <v>208</v>
      </c>
      <c r="Q1" s="120" t="s">
        <v>70</v>
      </c>
    </row>
    <row r="2" spans="1:17" ht="15" customHeight="1">
      <c r="A2" s="94" t="s">
        <v>72</v>
      </c>
      <c r="B2" s="95">
        <v>1</v>
      </c>
      <c r="C2" s="89">
        <v>4.4999999999999998E-2</v>
      </c>
      <c r="G2" s="109" t="s">
        <v>137</v>
      </c>
      <c r="H2" s="109" t="s">
        <v>204</v>
      </c>
      <c r="I2" s="118"/>
      <c r="J2" s="111" t="s">
        <v>70</v>
      </c>
      <c r="O2" s="27" t="s">
        <v>28</v>
      </c>
      <c r="P2" s="113">
        <v>10956</v>
      </c>
      <c r="Q2" s="116">
        <v>4.1399999999999999E-2</v>
      </c>
    </row>
    <row r="3" spans="1:17" ht="15" customHeight="1">
      <c r="A3" s="86" t="s">
        <v>71</v>
      </c>
      <c r="B3" s="90">
        <v>0.47</v>
      </c>
      <c r="C3" s="90">
        <v>4.5999999999999999E-2</v>
      </c>
      <c r="G3" s="27" t="s">
        <v>28</v>
      </c>
      <c r="H3" s="113">
        <v>10956</v>
      </c>
      <c r="I3" s="116">
        <f>SUM(I4:I5)</f>
        <v>1</v>
      </c>
      <c r="J3" s="116">
        <v>4.1399999999999999E-2</v>
      </c>
      <c r="O3" s="27" t="s">
        <v>31</v>
      </c>
      <c r="P3" s="113">
        <v>4000</v>
      </c>
      <c r="Q3" s="117">
        <v>3.1300000000000001E-2</v>
      </c>
    </row>
    <row r="4" spans="1:17" ht="15" customHeight="1">
      <c r="A4" s="87" t="s">
        <v>102</v>
      </c>
      <c r="B4" s="91">
        <v>0.55000000000000004</v>
      </c>
      <c r="C4" s="91">
        <v>3.9E-2</v>
      </c>
      <c r="G4" s="105" t="s">
        <v>29</v>
      </c>
      <c r="H4" s="106">
        <v>9860</v>
      </c>
      <c r="I4" s="38">
        <f>H4/$H$3</f>
        <v>0.89996349032493606</v>
      </c>
      <c r="J4" s="38">
        <v>4.2000000000000003E-2</v>
      </c>
      <c r="O4" s="27" t="s">
        <v>44</v>
      </c>
      <c r="P4" s="113">
        <v>9900</v>
      </c>
      <c r="Q4" s="117">
        <v>5.21E-2</v>
      </c>
    </row>
    <row r="5" spans="1:17" ht="15" customHeight="1">
      <c r="A5" s="87" t="s">
        <v>103</v>
      </c>
      <c r="B5" s="91">
        <v>0.25</v>
      </c>
      <c r="C5" s="91">
        <v>5.1999999999999998E-2</v>
      </c>
      <c r="G5" s="105" t="s">
        <v>30</v>
      </c>
      <c r="H5" s="106">
        <v>1096</v>
      </c>
      <c r="I5" s="38">
        <f>H5/$H$3</f>
        <v>0.10003650967506389</v>
      </c>
      <c r="J5" s="38">
        <v>3.5999999999999997E-2</v>
      </c>
      <c r="O5" s="27" t="s">
        <v>53</v>
      </c>
      <c r="P5" s="108">
        <v>979</v>
      </c>
      <c r="Q5" s="117">
        <v>4.5400000000000003E-2</v>
      </c>
    </row>
    <row r="6" spans="1:17" ht="15" customHeight="1">
      <c r="A6" s="87" t="s">
        <v>104</v>
      </c>
      <c r="B6" s="91">
        <v>7.0000000000000007E-2</v>
      </c>
      <c r="C6" s="91">
        <v>4.2999999999999997E-2</v>
      </c>
      <c r="G6" s="27" t="s">
        <v>31</v>
      </c>
      <c r="H6" s="113">
        <v>4000</v>
      </c>
      <c r="I6" s="117">
        <f>SUM(I7:I13)</f>
        <v>1</v>
      </c>
      <c r="J6" s="117">
        <v>3.1300000000000001E-2</v>
      </c>
      <c r="O6" s="27" t="s">
        <v>58</v>
      </c>
      <c r="P6" s="113">
        <v>1300</v>
      </c>
      <c r="Q6" s="117">
        <v>4.9599999999999998E-2</v>
      </c>
    </row>
    <row r="7" spans="1:17" ht="15" customHeight="1">
      <c r="A7" s="87" t="s">
        <v>105</v>
      </c>
      <c r="B7" s="91">
        <v>0.05</v>
      </c>
      <c r="C7" s="91">
        <v>4.1000000000000002E-2</v>
      </c>
      <c r="G7" s="105" t="s">
        <v>34</v>
      </c>
      <c r="H7" s="107">
        <v>656</v>
      </c>
      <c r="I7" s="38">
        <f>H7/$H$6</f>
        <v>0.16400000000000001</v>
      </c>
      <c r="J7" s="38">
        <v>3.1E-2</v>
      </c>
      <c r="O7" s="27" t="s">
        <v>61</v>
      </c>
      <c r="P7" s="113">
        <v>1900</v>
      </c>
      <c r="Q7" s="117">
        <v>5.11E-2</v>
      </c>
    </row>
    <row r="8" spans="1:17" ht="15" customHeight="1">
      <c r="A8" s="87" t="s">
        <v>106</v>
      </c>
      <c r="B8" s="91">
        <f>1-SUM(B4:B7)</f>
        <v>7.9999999999999849E-2</v>
      </c>
      <c r="C8" s="91">
        <v>5.7000000000000002E-2</v>
      </c>
      <c r="G8" s="105" t="s">
        <v>33</v>
      </c>
      <c r="H8" s="107">
        <v>265</v>
      </c>
      <c r="I8" s="38">
        <f t="shared" ref="I8:I13" si="0">H8/$H$6</f>
        <v>6.6250000000000003E-2</v>
      </c>
      <c r="J8" s="38">
        <v>3.4000000000000002E-2</v>
      </c>
      <c r="P8" s="119"/>
    </row>
    <row r="9" spans="1:17" ht="15" customHeight="1">
      <c r="A9" s="86" t="s">
        <v>73</v>
      </c>
      <c r="B9" s="90">
        <v>0.23</v>
      </c>
      <c r="C9" s="90">
        <v>3.7999999999999999E-2</v>
      </c>
      <c r="G9" s="105" t="s">
        <v>37</v>
      </c>
      <c r="H9" s="107">
        <v>335</v>
      </c>
      <c r="I9" s="38">
        <f t="shared" si="0"/>
        <v>8.3750000000000005E-2</v>
      </c>
      <c r="J9" s="38">
        <v>3.2000000000000001E-2</v>
      </c>
    </row>
    <row r="10" spans="1:17" ht="15" customHeight="1">
      <c r="A10" s="87" t="s">
        <v>107</v>
      </c>
      <c r="B10" s="91">
        <v>0.72</v>
      </c>
      <c r="C10" s="91">
        <v>3.5999999999999997E-2</v>
      </c>
      <c r="G10" s="105" t="s">
        <v>36</v>
      </c>
      <c r="H10" s="107">
        <v>221</v>
      </c>
      <c r="I10" s="38">
        <f t="shared" si="0"/>
        <v>5.525E-2</v>
      </c>
      <c r="J10" s="38">
        <v>2.9000000000000001E-2</v>
      </c>
    </row>
    <row r="11" spans="1:17" ht="15" customHeight="1">
      <c r="A11" s="87" t="s">
        <v>108</v>
      </c>
      <c r="B11" s="91">
        <f>1-SUM(B10)</f>
        <v>0.28000000000000003</v>
      </c>
      <c r="C11" s="91">
        <v>4.3999999999999997E-2</v>
      </c>
      <c r="G11" s="105" t="s">
        <v>38</v>
      </c>
      <c r="H11" s="107">
        <v>185</v>
      </c>
      <c r="I11" s="38">
        <f t="shared" si="0"/>
        <v>4.6249999999999999E-2</v>
      </c>
      <c r="J11" s="38">
        <v>3.5000000000000003E-2</v>
      </c>
    </row>
    <row r="12" spans="1:17" ht="15" customHeight="1">
      <c r="A12" s="86" t="s">
        <v>74</v>
      </c>
      <c r="B12" s="90">
        <v>0.09</v>
      </c>
      <c r="C12" s="90">
        <v>0.05</v>
      </c>
      <c r="G12" s="105" t="s">
        <v>39</v>
      </c>
      <c r="H12" s="107">
        <v>919</v>
      </c>
      <c r="I12" s="38">
        <f t="shared" si="0"/>
        <v>0.22975000000000001</v>
      </c>
      <c r="J12" s="38">
        <v>2.5999999999999999E-2</v>
      </c>
    </row>
    <row r="13" spans="1:17" ht="15" customHeight="1">
      <c r="A13" s="87" t="s">
        <v>109</v>
      </c>
      <c r="B13" s="91">
        <v>0.62</v>
      </c>
      <c r="C13" s="91">
        <v>4.5999999999999999E-2</v>
      </c>
      <c r="G13" s="105" t="s">
        <v>43</v>
      </c>
      <c r="H13" s="106">
        <v>1419</v>
      </c>
      <c r="I13" s="38">
        <f t="shared" si="0"/>
        <v>0.35475000000000001</v>
      </c>
      <c r="J13" s="38">
        <v>3.4000000000000002E-2</v>
      </c>
    </row>
    <row r="14" spans="1:17" ht="15" customHeight="1">
      <c r="A14" s="87" t="s">
        <v>110</v>
      </c>
      <c r="B14" s="91">
        <f>1-SUM(B13)</f>
        <v>0.38</v>
      </c>
      <c r="C14" s="91">
        <v>5.7000000000000002E-2</v>
      </c>
      <c r="G14" s="27" t="s">
        <v>44</v>
      </c>
      <c r="H14" s="113">
        <v>9900</v>
      </c>
      <c r="I14" s="117">
        <f>SUM(I15:I21)</f>
        <v>1</v>
      </c>
      <c r="J14" s="117">
        <v>5.21E-2</v>
      </c>
    </row>
    <row r="15" spans="1:17" ht="15" customHeight="1">
      <c r="A15" s="86" t="s">
        <v>75</v>
      </c>
      <c r="B15" s="90">
        <v>0.04</v>
      </c>
      <c r="C15" s="90">
        <v>3.7999999999999999E-2</v>
      </c>
      <c r="G15" s="105" t="s">
        <v>45</v>
      </c>
      <c r="H15" s="106">
        <v>5700</v>
      </c>
      <c r="I15" s="38">
        <f>H15/$H$14</f>
        <v>0.5757575757575758</v>
      </c>
      <c r="J15" s="38">
        <v>0.05</v>
      </c>
    </row>
    <row r="16" spans="1:17" ht="15" customHeight="1">
      <c r="A16" s="87" t="s">
        <v>111</v>
      </c>
      <c r="B16" s="91">
        <v>0.48</v>
      </c>
      <c r="C16" s="91">
        <v>3.5999999999999997E-2</v>
      </c>
      <c r="G16" s="105" t="s">
        <v>46</v>
      </c>
      <c r="H16" s="107">
        <v>920</v>
      </c>
      <c r="I16" s="38">
        <f t="shared" ref="I16:I21" si="1">H16/$H$14</f>
        <v>9.2929292929292931E-2</v>
      </c>
      <c r="J16" s="38">
        <v>7.0000000000000007E-2</v>
      </c>
    </row>
    <row r="17" spans="1:10" ht="15" customHeight="1">
      <c r="A17" s="87" t="s">
        <v>112</v>
      </c>
      <c r="B17" s="91">
        <v>0.22</v>
      </c>
      <c r="C17" s="91">
        <v>3.4000000000000002E-2</v>
      </c>
      <c r="G17" s="105" t="s">
        <v>47</v>
      </c>
      <c r="H17" s="107">
        <v>813</v>
      </c>
      <c r="I17" s="38">
        <f t="shared" si="1"/>
        <v>8.2121212121212123E-2</v>
      </c>
      <c r="J17" s="38">
        <v>0.03</v>
      </c>
    </row>
    <row r="18" spans="1:10" ht="15" customHeight="1">
      <c r="A18" s="87" t="s">
        <v>113</v>
      </c>
      <c r="B18" s="91">
        <f>1-SUM(B16:B17)</f>
        <v>0.30000000000000004</v>
      </c>
      <c r="C18" s="91">
        <v>4.2999999999999997E-2</v>
      </c>
      <c r="G18" s="105" t="s">
        <v>48</v>
      </c>
      <c r="H18" s="107">
        <v>520</v>
      </c>
      <c r="I18" s="38">
        <f t="shared" si="1"/>
        <v>5.2525252525252523E-2</v>
      </c>
      <c r="J18" s="38">
        <v>4.2999999999999997E-2</v>
      </c>
    </row>
    <row r="19" spans="1:10" ht="15" customHeight="1">
      <c r="A19" s="86" t="s">
        <v>76</v>
      </c>
      <c r="B19" s="90">
        <v>0.05</v>
      </c>
      <c r="C19" s="90">
        <v>6.0999999999999999E-2</v>
      </c>
      <c r="G19" s="105" t="s">
        <v>49</v>
      </c>
      <c r="H19" s="106">
        <v>1430</v>
      </c>
      <c r="I19" s="38">
        <f t="shared" si="1"/>
        <v>0.14444444444444443</v>
      </c>
      <c r="J19" s="38">
        <v>6.5000000000000002E-2</v>
      </c>
    </row>
    <row r="20" spans="1:10" ht="15" customHeight="1">
      <c r="A20" s="87" t="s">
        <v>114</v>
      </c>
      <c r="B20" s="91">
        <v>0.3</v>
      </c>
      <c r="C20" s="91">
        <v>5.8000000000000003E-2</v>
      </c>
      <c r="G20" s="105" t="s">
        <v>50</v>
      </c>
      <c r="H20" s="107">
        <v>119</v>
      </c>
      <c r="I20" s="38">
        <f t="shared" si="1"/>
        <v>1.202020202020202E-2</v>
      </c>
      <c r="J20" s="38">
        <v>3.5999999999999997E-2</v>
      </c>
    </row>
    <row r="21" spans="1:10" ht="15" customHeight="1">
      <c r="A21" s="87" t="s">
        <v>115</v>
      </c>
      <c r="B21" s="91">
        <v>0.35</v>
      </c>
      <c r="C21" s="91">
        <v>5.0999999999999997E-2</v>
      </c>
      <c r="G21" s="105" t="s">
        <v>52</v>
      </c>
      <c r="H21" s="107">
        <v>398</v>
      </c>
      <c r="I21" s="38">
        <f t="shared" si="1"/>
        <v>4.0202020202020204E-2</v>
      </c>
      <c r="J21" s="38">
        <v>5.7000000000000002E-2</v>
      </c>
    </row>
    <row r="22" spans="1:10" ht="15" customHeight="1">
      <c r="A22" s="87" t="s">
        <v>116</v>
      </c>
      <c r="B22" s="91">
        <f>1-SUM(B20:B21)</f>
        <v>0.35000000000000009</v>
      </c>
      <c r="C22" s="91">
        <v>7.0000000000000007E-2</v>
      </c>
      <c r="G22" s="27" t="s">
        <v>53</v>
      </c>
      <c r="H22" s="108">
        <v>979</v>
      </c>
      <c r="I22" s="117">
        <f>SUM(I23:I26)</f>
        <v>1</v>
      </c>
      <c r="J22" s="117">
        <v>4.5400000000000003E-2</v>
      </c>
    </row>
    <row r="23" spans="1:10" ht="15" customHeight="1">
      <c r="A23" s="86" t="s">
        <v>77</v>
      </c>
      <c r="B23" s="90">
        <v>1.4999999999999999E-2</v>
      </c>
      <c r="C23" s="90">
        <v>4.2999999999999997E-2</v>
      </c>
      <c r="G23" s="105" t="s">
        <v>54</v>
      </c>
      <c r="H23" s="107">
        <v>170</v>
      </c>
      <c r="I23" s="38">
        <f>H23/$H$22</f>
        <v>0.17364657814096016</v>
      </c>
      <c r="J23" s="38">
        <v>4.3999999999999997E-2</v>
      </c>
    </row>
    <row r="24" spans="1:10" ht="15" customHeight="1">
      <c r="A24" s="86" t="s">
        <v>78</v>
      </c>
      <c r="B24" s="90">
        <v>0.06</v>
      </c>
      <c r="C24" s="90">
        <v>0.05</v>
      </c>
      <c r="G24" s="105" t="s">
        <v>56</v>
      </c>
      <c r="H24" s="107">
        <v>491</v>
      </c>
      <c r="I24" s="38">
        <f t="shared" ref="I24:I26" si="2">H24/$H$22</f>
        <v>0.50153217568947905</v>
      </c>
      <c r="J24" s="38">
        <v>5.1999999999999998E-2</v>
      </c>
    </row>
    <row r="25" spans="1:10" ht="15" customHeight="1">
      <c r="A25" s="86" t="s">
        <v>79</v>
      </c>
      <c r="B25" s="90">
        <f>1-SUM(B3,B9,B12,B15,B19,B23,B24)</f>
        <v>4.4999999999999929E-2</v>
      </c>
      <c r="C25" s="90">
        <v>0.08</v>
      </c>
      <c r="G25" s="105" t="s">
        <v>55</v>
      </c>
      <c r="H25" s="107">
        <v>138</v>
      </c>
      <c r="I25" s="38">
        <f t="shared" si="2"/>
        <v>0.14096016343207354</v>
      </c>
      <c r="J25" s="38">
        <v>3.1E-2</v>
      </c>
    </row>
    <row r="26" spans="1:10" ht="15" customHeight="1">
      <c r="G26" s="105" t="s">
        <v>57</v>
      </c>
      <c r="H26" s="107">
        <v>180</v>
      </c>
      <c r="I26" s="38">
        <f t="shared" si="2"/>
        <v>0.18386108273748722</v>
      </c>
      <c r="J26" s="38">
        <v>0.04</v>
      </c>
    </row>
    <row r="27" spans="1:10" ht="15" customHeight="1">
      <c r="A27" s="85" t="s">
        <v>80</v>
      </c>
      <c r="B27" s="95">
        <v>1</v>
      </c>
      <c r="C27" s="89">
        <v>4.4999999999999998E-2</v>
      </c>
      <c r="G27" s="27" t="s">
        <v>58</v>
      </c>
      <c r="H27" s="113">
        <v>1300</v>
      </c>
      <c r="I27" s="117">
        <f>SUM(I28:I30)</f>
        <v>1</v>
      </c>
      <c r="J27" s="117">
        <v>4.9599999999999998E-2</v>
      </c>
    </row>
    <row r="28" spans="1:10" ht="15" customHeight="1">
      <c r="A28" s="86" t="s">
        <v>88</v>
      </c>
      <c r="B28" s="90">
        <v>0.14000000000000001</v>
      </c>
      <c r="C28" s="90">
        <v>3.6999999999999998E-2</v>
      </c>
      <c r="G28" s="105" t="s">
        <v>131</v>
      </c>
      <c r="H28" s="107">
        <v>40</v>
      </c>
      <c r="I28" s="38">
        <f>H28/$H$27</f>
        <v>3.0769230769230771E-2</v>
      </c>
      <c r="J28" s="38">
        <v>4.2999999999999997E-2</v>
      </c>
    </row>
    <row r="29" spans="1:10" ht="15" customHeight="1">
      <c r="A29" s="86" t="s">
        <v>89</v>
      </c>
      <c r="B29" s="90">
        <v>0.28000000000000003</v>
      </c>
      <c r="C29" s="90">
        <v>0.04</v>
      </c>
      <c r="G29" s="105" t="s">
        <v>132</v>
      </c>
      <c r="H29" s="107">
        <v>384</v>
      </c>
      <c r="I29" s="38">
        <f t="shared" ref="I29:I30" si="3">H29/$H$27</f>
        <v>0.29538461538461541</v>
      </c>
      <c r="J29" s="38">
        <v>5.3999999999999999E-2</v>
      </c>
    </row>
    <row r="30" spans="1:10" ht="15" customHeight="1">
      <c r="A30" s="86" t="s">
        <v>90</v>
      </c>
      <c r="B30" s="90">
        <v>0.33</v>
      </c>
      <c r="C30" s="90">
        <v>4.4999999999999998E-2</v>
      </c>
      <c r="G30" s="105" t="s">
        <v>60</v>
      </c>
      <c r="H30" s="107">
        <v>876</v>
      </c>
      <c r="I30" s="38">
        <f t="shared" si="3"/>
        <v>0.67384615384615387</v>
      </c>
      <c r="J30" s="38">
        <v>4.8000000000000001E-2</v>
      </c>
    </row>
    <row r="31" spans="1:10" ht="15" customHeight="1">
      <c r="A31" s="86" t="s">
        <v>91</v>
      </c>
      <c r="B31" s="90">
        <v>0.18</v>
      </c>
      <c r="C31" s="90">
        <v>5.5E-2</v>
      </c>
      <c r="G31" s="27" t="s">
        <v>61</v>
      </c>
      <c r="H31" s="113">
        <v>1900</v>
      </c>
      <c r="I31" s="117">
        <f>SUM(I32:I34)</f>
        <v>1</v>
      </c>
      <c r="J31" s="117">
        <v>5.11E-2</v>
      </c>
    </row>
    <row r="32" spans="1:10" ht="15" customHeight="1">
      <c r="A32" s="86" t="s">
        <v>92</v>
      </c>
      <c r="B32" s="90">
        <f>1-SUM(B28:B31)</f>
        <v>7.0000000000000062E-2</v>
      </c>
      <c r="C32" s="90">
        <v>6.3E-2</v>
      </c>
      <c r="G32" s="105" t="s">
        <v>62</v>
      </c>
      <c r="H32" s="107">
        <v>600</v>
      </c>
      <c r="I32" s="38">
        <f>H32/$H$31</f>
        <v>0.31578947368421051</v>
      </c>
      <c r="J32" s="38">
        <v>5.1999999999999998E-2</v>
      </c>
    </row>
    <row r="33" spans="1:10" ht="15" customHeight="1">
      <c r="G33" s="105" t="s">
        <v>64</v>
      </c>
      <c r="H33" s="107">
        <v>950</v>
      </c>
      <c r="I33" s="38">
        <f t="shared" ref="I33:I34" si="4">H33/$H$31</f>
        <v>0.5</v>
      </c>
      <c r="J33" s="38">
        <v>5.5E-2</v>
      </c>
    </row>
    <row r="34" spans="1:10" ht="15" customHeight="1">
      <c r="A34" s="94" t="s">
        <v>81</v>
      </c>
      <c r="B34" s="95">
        <v>1</v>
      </c>
      <c r="C34" s="89">
        <v>4.4999999999999998E-2</v>
      </c>
      <c r="G34" s="105" t="s">
        <v>63</v>
      </c>
      <c r="H34" s="107">
        <v>350</v>
      </c>
      <c r="I34" s="38">
        <f t="shared" si="4"/>
        <v>0.18421052631578946</v>
      </c>
      <c r="J34" s="38">
        <v>3.9E-2</v>
      </c>
    </row>
    <row r="35" spans="1:10" ht="15" customHeight="1">
      <c r="A35" s="86" t="s">
        <v>93</v>
      </c>
      <c r="B35" s="90">
        <v>0.35</v>
      </c>
      <c r="C35" s="90">
        <v>4.7E-2</v>
      </c>
      <c r="G35" s="109" t="s">
        <v>199</v>
      </c>
      <c r="H35" s="115">
        <f>SUM(H3,H6,H14,H22,H27,H31)</f>
        <v>29035</v>
      </c>
      <c r="I35" s="49"/>
      <c r="J35" s="49"/>
    </row>
    <row r="36" spans="1:10" ht="15" customHeight="1">
      <c r="A36" s="86" t="s">
        <v>94</v>
      </c>
      <c r="B36" s="90">
        <v>0.1</v>
      </c>
      <c r="C36" s="90">
        <v>0.04</v>
      </c>
      <c r="G36" s="112" t="s">
        <v>201</v>
      </c>
      <c r="H36" s="112">
        <v>2000</v>
      </c>
      <c r="I36" s="49"/>
      <c r="J36" s="49"/>
    </row>
    <row r="37" spans="1:10" ht="15" customHeight="1">
      <c r="A37" s="86" t="s">
        <v>95</v>
      </c>
      <c r="B37" s="90">
        <v>0.24</v>
      </c>
      <c r="C37" s="90">
        <v>3.5999999999999997E-2</v>
      </c>
      <c r="G37" s="112" t="s">
        <v>202</v>
      </c>
      <c r="H37" s="112">
        <f>((H35/1000)*H36)/1000</f>
        <v>58.07</v>
      </c>
      <c r="I37" s="49"/>
      <c r="J37" s="49"/>
    </row>
    <row r="38" spans="1:10" ht="15" customHeight="1">
      <c r="A38" s="86" t="s">
        <v>96</v>
      </c>
      <c r="B38" s="90">
        <v>0.21</v>
      </c>
      <c r="C38" s="90">
        <v>5.3999999999999999E-2</v>
      </c>
      <c r="I38" s="49"/>
      <c r="J38" s="49"/>
    </row>
    <row r="39" spans="1:10" ht="15" customHeight="1">
      <c r="A39" s="86" t="s">
        <v>97</v>
      </c>
      <c r="B39" s="90">
        <f>1-SUM(B35:B38)</f>
        <v>0.10000000000000009</v>
      </c>
      <c r="C39" s="90">
        <v>6.3E-2</v>
      </c>
      <c r="I39" s="49"/>
      <c r="J39" s="49"/>
    </row>
    <row r="40" spans="1:10" ht="15" customHeight="1">
      <c r="I40" s="49"/>
      <c r="J40" s="49"/>
    </row>
    <row r="41" spans="1:10" ht="15" customHeight="1">
      <c r="A41" s="94" t="s">
        <v>82</v>
      </c>
      <c r="B41" s="95">
        <v>1</v>
      </c>
      <c r="C41" s="89">
        <v>4.4999999999999998E-2</v>
      </c>
      <c r="I41" s="49"/>
      <c r="J41" s="49"/>
    </row>
    <row r="42" spans="1:10" ht="15" customHeight="1">
      <c r="A42" s="86" t="s">
        <v>83</v>
      </c>
      <c r="B42" s="90">
        <v>0.12</v>
      </c>
      <c r="C42" s="90">
        <v>4.7E-2</v>
      </c>
      <c r="I42" s="49"/>
      <c r="J42" s="49"/>
    </row>
    <row r="43" spans="1:10" ht="15" customHeight="1">
      <c r="A43" s="87" t="s">
        <v>117</v>
      </c>
      <c r="B43" s="91">
        <v>0.54</v>
      </c>
      <c r="C43" s="91">
        <v>4.1000000000000002E-2</v>
      </c>
      <c r="I43" s="49"/>
      <c r="J43" s="49"/>
    </row>
    <row r="44" spans="1:10" ht="15" customHeight="1">
      <c r="A44" s="87" t="s">
        <v>118</v>
      </c>
      <c r="B44" s="91">
        <v>0.27</v>
      </c>
      <c r="C44" s="91">
        <v>5.1999999999999998E-2</v>
      </c>
      <c r="I44" s="49"/>
      <c r="J44" s="49"/>
    </row>
    <row r="45" spans="1:10" ht="15" customHeight="1">
      <c r="A45" s="87" t="s">
        <v>119</v>
      </c>
      <c r="B45" s="91">
        <v>0.19</v>
      </c>
      <c r="C45" s="91">
        <v>5.2999999999999999E-2</v>
      </c>
      <c r="I45" s="49"/>
      <c r="J45" s="49"/>
    </row>
    <row r="46" spans="1:10" ht="15" customHeight="1">
      <c r="A46" s="86" t="s">
        <v>84</v>
      </c>
      <c r="B46" s="90">
        <v>0.3</v>
      </c>
      <c r="C46" s="90">
        <v>0.05</v>
      </c>
      <c r="I46" s="49"/>
      <c r="J46" s="49"/>
    </row>
    <row r="47" spans="1:10" ht="15" customHeight="1">
      <c r="A47" s="87" t="s">
        <v>120</v>
      </c>
      <c r="B47" s="91">
        <v>0.68</v>
      </c>
      <c r="C47" s="91">
        <v>4.8000000000000001E-2</v>
      </c>
      <c r="I47" s="49"/>
      <c r="J47" s="49"/>
    </row>
    <row r="48" spans="1:10" ht="15" customHeight="1">
      <c r="A48" s="87" t="s">
        <v>121</v>
      </c>
      <c r="B48" s="91">
        <v>0.15</v>
      </c>
      <c r="C48" s="91">
        <v>5.0999999999999997E-2</v>
      </c>
      <c r="I48" s="49"/>
      <c r="J48" s="49"/>
    </row>
    <row r="49" spans="1:10" ht="15" customHeight="1">
      <c r="A49" s="87" t="s">
        <v>122</v>
      </c>
      <c r="B49" s="91">
        <v>0.17</v>
      </c>
      <c r="C49" s="91">
        <v>5.7000000000000002E-2</v>
      </c>
      <c r="I49" s="49"/>
      <c r="J49" s="49"/>
    </row>
    <row r="50" spans="1:10" ht="15" customHeight="1">
      <c r="A50" s="86" t="s">
        <v>98</v>
      </c>
      <c r="B50" s="90">
        <v>0.2</v>
      </c>
      <c r="C50" s="90">
        <v>0.04</v>
      </c>
      <c r="I50" s="49"/>
      <c r="J50" s="49"/>
    </row>
    <row r="51" spans="1:10" ht="15" customHeight="1">
      <c r="A51" s="87" t="s">
        <v>123</v>
      </c>
      <c r="B51" s="91">
        <v>0.48</v>
      </c>
      <c r="C51" s="91">
        <v>3.5999999999999997E-2</v>
      </c>
      <c r="I51" s="49"/>
      <c r="J51" s="49"/>
    </row>
    <row r="52" spans="1:10" ht="15" customHeight="1">
      <c r="A52" s="87" t="s">
        <v>124</v>
      </c>
      <c r="B52" s="91">
        <v>0.22</v>
      </c>
      <c r="C52" s="91">
        <v>5.2999999999999999E-2</v>
      </c>
      <c r="I52" s="49"/>
      <c r="J52" s="49"/>
    </row>
    <row r="53" spans="1:10" ht="15" customHeight="1">
      <c r="A53" s="87" t="s">
        <v>125</v>
      </c>
      <c r="B53" s="91">
        <v>0.3</v>
      </c>
      <c r="C53" s="91">
        <v>3.9E-2</v>
      </c>
      <c r="I53" s="49"/>
      <c r="J53" s="49"/>
    </row>
    <row r="54" spans="1:10" ht="15" customHeight="1">
      <c r="A54" s="86" t="s">
        <v>85</v>
      </c>
      <c r="B54" s="90">
        <v>0.22</v>
      </c>
      <c r="C54" s="90">
        <v>3.3000000000000002E-2</v>
      </c>
      <c r="I54" s="49"/>
      <c r="J54" s="49"/>
    </row>
    <row r="55" spans="1:10" ht="15" customHeight="1">
      <c r="A55" s="87" t="s">
        <v>126</v>
      </c>
      <c r="B55" s="91">
        <v>0.56999999999999995</v>
      </c>
      <c r="C55" s="91">
        <v>3.1E-2</v>
      </c>
      <c r="I55" s="49"/>
      <c r="J55" s="49"/>
    </row>
    <row r="56" spans="1:10" ht="15" customHeight="1">
      <c r="A56" s="87" t="s">
        <v>127</v>
      </c>
      <c r="B56" s="91">
        <v>0.43</v>
      </c>
      <c r="C56" s="91">
        <v>3.5000000000000003E-2</v>
      </c>
      <c r="I56" s="49"/>
      <c r="J56" s="49"/>
    </row>
    <row r="57" spans="1:10" ht="15" customHeight="1">
      <c r="A57" s="86" t="s">
        <v>99</v>
      </c>
      <c r="B57" s="90">
        <v>0.06</v>
      </c>
      <c r="C57" s="90">
        <v>6.2E-2</v>
      </c>
      <c r="I57" s="49"/>
      <c r="J57" s="49"/>
    </row>
    <row r="58" spans="1:10" ht="15" customHeight="1">
      <c r="A58" s="87" t="s">
        <v>128</v>
      </c>
      <c r="B58" s="91">
        <v>0.52</v>
      </c>
      <c r="C58" s="91">
        <v>4.9000000000000002E-2</v>
      </c>
      <c r="I58" s="49"/>
      <c r="J58" s="49"/>
    </row>
    <row r="59" spans="1:10" ht="15" customHeight="1">
      <c r="A59" s="87" t="s">
        <v>129</v>
      </c>
      <c r="B59" s="91">
        <v>0.28000000000000003</v>
      </c>
      <c r="C59" s="91">
        <v>7.1999999999999995E-2</v>
      </c>
      <c r="I59" s="49"/>
      <c r="J59" s="49"/>
    </row>
    <row r="60" spans="1:10" ht="15" customHeight="1">
      <c r="A60" s="87" t="s">
        <v>130</v>
      </c>
      <c r="B60" s="91">
        <v>0.2</v>
      </c>
      <c r="C60" s="91">
        <v>6.8000000000000005E-2</v>
      </c>
      <c r="I60" s="49"/>
      <c r="J60" s="49"/>
    </row>
    <row r="61" spans="1:10" ht="15" customHeight="1">
      <c r="A61" s="86" t="s">
        <v>86</v>
      </c>
      <c r="B61" s="90">
        <f>1-SUM(B42,B46,B50,B54,B57)</f>
        <v>0.10000000000000009</v>
      </c>
      <c r="C61" s="90">
        <v>4.8000000000000001E-2</v>
      </c>
      <c r="I61" s="49"/>
      <c r="J61" s="49"/>
    </row>
    <row r="62" spans="1:10" ht="15" customHeight="1">
      <c r="I62" s="49"/>
      <c r="J62" s="49"/>
    </row>
    <row r="63" spans="1:10" ht="15" customHeight="1">
      <c r="A63" s="94" t="s">
        <v>87</v>
      </c>
      <c r="B63" s="95">
        <v>1</v>
      </c>
      <c r="C63" s="89">
        <v>4.4999999999999998E-2</v>
      </c>
      <c r="I63" s="49"/>
      <c r="J63" s="49"/>
    </row>
    <row r="64" spans="1:10" ht="15" customHeight="1">
      <c r="A64" s="86" t="s">
        <v>100</v>
      </c>
      <c r="B64" s="90">
        <v>0.64</v>
      </c>
      <c r="C64" s="90">
        <v>0.05</v>
      </c>
      <c r="I64" s="49"/>
      <c r="J64" s="49"/>
    </row>
    <row r="65" spans="1:10" ht="15" customHeight="1">
      <c r="A65" s="86" t="s">
        <v>101</v>
      </c>
      <c r="B65" s="90">
        <f>1-SUM(B64)</f>
        <v>0.36</v>
      </c>
      <c r="C65" s="90">
        <v>3.5999999999999997E-2</v>
      </c>
      <c r="I65" s="49"/>
      <c r="J65" s="49"/>
    </row>
    <row r="66" spans="1:10" ht="15" customHeight="1">
      <c r="I66" s="49"/>
      <c r="J66" s="49"/>
    </row>
  </sheetData>
  <mergeCells count="1"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F112"/>
  <sheetViews>
    <sheetView tabSelected="1" zoomScale="55" zoomScaleNormal="55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4.5"/>
  <cols>
    <col min="2" max="2" width="39.90625" bestFit="1" customWidth="1"/>
    <col min="31" max="31" width="20" bestFit="1" customWidth="1"/>
  </cols>
  <sheetData>
    <row r="1" spans="2:84">
      <c r="AE1" s="35"/>
      <c r="AI1" s="35"/>
    </row>
    <row r="2" spans="2:84">
      <c r="D2" s="35"/>
      <c r="AE2" s="128">
        <f>VLOOKUP(AE3,$B$76:$D$107,3,0)</f>
        <v>4.08211647209707E-2</v>
      </c>
      <c r="AF2" s="128">
        <f t="shared" ref="AF2:BD2" si="0">VLOOKUP(AF3,$B$76:$D$107,3,0)</f>
        <v>2.8020178770306423E-2</v>
      </c>
      <c r="AG2" s="128">
        <f t="shared" si="0"/>
        <v>3.113121726646164E-2</v>
      </c>
      <c r="AH2" s="128">
        <f t="shared" si="0"/>
        <v>4.0314901008474902E-2</v>
      </c>
      <c r="AI2" s="128">
        <f t="shared" si="0"/>
        <v>3.4437446274363452E-2</v>
      </c>
      <c r="AJ2" s="128">
        <f t="shared" si="0"/>
        <v>2.8167765791133861E-2</v>
      </c>
      <c r="AK2" s="128">
        <f t="shared" si="0"/>
        <v>4.3853148399669528E-2</v>
      </c>
      <c r="AL2" s="128">
        <f t="shared" si="0"/>
        <v>2.5284187275030841E-2</v>
      </c>
      <c r="AM2" s="128">
        <f t="shared" si="0"/>
        <v>3.7773838143567225E-2</v>
      </c>
      <c r="AN2" s="128">
        <f t="shared" si="0"/>
        <v>5.3310091071460369E-2</v>
      </c>
      <c r="AO2" s="128">
        <f t="shared" si="0"/>
        <v>8.413792519256863E-2</v>
      </c>
      <c r="AP2" s="128">
        <f t="shared" si="0"/>
        <v>3.5457843785910902E-2</v>
      </c>
      <c r="AQ2" s="128">
        <f t="shared" si="0"/>
        <v>4.8457843785910899E-2</v>
      </c>
      <c r="AR2" s="128">
        <f t="shared" si="0"/>
        <v>6.8546203401207789E-2</v>
      </c>
      <c r="AS2" s="128">
        <f t="shared" si="0"/>
        <v>4.2701482926539115E-2</v>
      </c>
      <c r="AT2" s="128">
        <f t="shared" si="0"/>
        <v>6.2457843785910905E-2</v>
      </c>
      <c r="AU2" s="128">
        <f t="shared" si="0"/>
        <v>4.1965895263804884E-2</v>
      </c>
      <c r="AV2" s="128">
        <f t="shared" si="0"/>
        <v>4.9081495263804883E-2</v>
      </c>
      <c r="AW2" s="128">
        <f t="shared" si="0"/>
        <v>2.9340219573804886E-2</v>
      </c>
      <c r="AX2" s="128">
        <f t="shared" si="0"/>
        <v>3.668545565984449E-2</v>
      </c>
      <c r="AY2" s="128">
        <f t="shared" si="0"/>
        <v>4.0216255113709305E-2</v>
      </c>
      <c r="AZ2" s="128">
        <f t="shared" si="0"/>
        <v>5.1756255113709307E-2</v>
      </c>
      <c r="BA2" s="128">
        <f t="shared" si="0"/>
        <v>4.5696255113709311E-2</v>
      </c>
      <c r="BB2" s="128">
        <f t="shared" si="0"/>
        <v>4.9915347471830566E-2</v>
      </c>
      <c r="BC2" s="128">
        <f t="shared" si="0"/>
        <v>5.6414008627059531E-2</v>
      </c>
      <c r="BD2" s="128">
        <f t="shared" si="0"/>
        <v>4.0414008627059531E-2</v>
      </c>
    </row>
    <row r="3" spans="2:84">
      <c r="C3" s="126" t="s">
        <v>29</v>
      </c>
      <c r="D3" s="126" t="s">
        <v>30</v>
      </c>
      <c r="E3" s="126" t="s">
        <v>34</v>
      </c>
      <c r="F3" s="126" t="s">
        <v>33</v>
      </c>
      <c r="G3" s="126" t="s">
        <v>37</v>
      </c>
      <c r="H3" s="126" t="s">
        <v>36</v>
      </c>
      <c r="I3" s="126" t="s">
        <v>38</v>
      </c>
      <c r="J3" s="126" t="s">
        <v>39</v>
      </c>
      <c r="K3" s="126" t="s">
        <v>43</v>
      </c>
      <c r="L3" s="126" t="s">
        <v>45</v>
      </c>
      <c r="M3" s="126" t="s">
        <v>46</v>
      </c>
      <c r="N3" s="126" t="s">
        <v>47</v>
      </c>
      <c r="O3" s="126" t="s">
        <v>48</v>
      </c>
      <c r="P3" s="126" t="s">
        <v>49</v>
      </c>
      <c r="Q3" s="126" t="s">
        <v>50</v>
      </c>
      <c r="R3" s="126" t="s">
        <v>52</v>
      </c>
      <c r="S3" s="126" t="s">
        <v>54</v>
      </c>
      <c r="T3" s="126" t="s">
        <v>56</v>
      </c>
      <c r="U3" s="126" t="s">
        <v>55</v>
      </c>
      <c r="V3" s="126" t="s">
        <v>57</v>
      </c>
      <c r="W3" s="126" t="s">
        <v>131</v>
      </c>
      <c r="X3" s="126" t="s">
        <v>132</v>
      </c>
      <c r="Y3" s="126" t="s">
        <v>60</v>
      </c>
      <c r="Z3" s="126" t="s">
        <v>62</v>
      </c>
      <c r="AA3" s="126" t="s">
        <v>64</v>
      </c>
      <c r="AB3" s="126" t="s">
        <v>63</v>
      </c>
      <c r="AE3" s="126" t="s">
        <v>29</v>
      </c>
      <c r="AF3" s="126" t="s">
        <v>30</v>
      </c>
      <c r="AG3" s="126" t="s">
        <v>34</v>
      </c>
      <c r="AH3" s="126" t="s">
        <v>33</v>
      </c>
      <c r="AI3" s="126" t="s">
        <v>37</v>
      </c>
      <c r="AJ3" s="126" t="s">
        <v>36</v>
      </c>
      <c r="AK3" s="126" t="s">
        <v>38</v>
      </c>
      <c r="AL3" s="126" t="s">
        <v>39</v>
      </c>
      <c r="AM3" s="126" t="s">
        <v>43</v>
      </c>
      <c r="AN3" s="126" t="s">
        <v>45</v>
      </c>
      <c r="AO3" s="126" t="s">
        <v>46</v>
      </c>
      <c r="AP3" s="126" t="s">
        <v>47</v>
      </c>
      <c r="AQ3" s="126" t="s">
        <v>48</v>
      </c>
      <c r="AR3" s="126" t="s">
        <v>49</v>
      </c>
      <c r="AS3" s="126" t="s">
        <v>50</v>
      </c>
      <c r="AT3" s="126" t="s">
        <v>52</v>
      </c>
      <c r="AU3" s="126" t="s">
        <v>54</v>
      </c>
      <c r="AV3" s="126" t="s">
        <v>56</v>
      </c>
      <c r="AW3" s="126" t="s">
        <v>55</v>
      </c>
      <c r="AX3" s="126" t="s">
        <v>57</v>
      </c>
      <c r="AY3" s="126" t="s">
        <v>131</v>
      </c>
      <c r="AZ3" s="126" t="s">
        <v>132</v>
      </c>
      <c r="BA3" s="126" t="s">
        <v>60</v>
      </c>
      <c r="BB3" s="126" t="s">
        <v>62</v>
      </c>
      <c r="BC3" s="126" t="s">
        <v>64</v>
      </c>
      <c r="BD3" s="126" t="s">
        <v>63</v>
      </c>
      <c r="BG3" s="126" t="s">
        <v>29</v>
      </c>
      <c r="BH3" s="126" t="s">
        <v>30</v>
      </c>
      <c r="BI3" s="126" t="s">
        <v>34</v>
      </c>
      <c r="BJ3" s="126" t="s">
        <v>33</v>
      </c>
      <c r="BK3" s="126" t="s">
        <v>37</v>
      </c>
      <c r="BL3" s="126" t="s">
        <v>36</v>
      </c>
      <c r="BM3" s="126" t="s">
        <v>38</v>
      </c>
      <c r="BN3" s="126" t="s">
        <v>39</v>
      </c>
      <c r="BO3" s="126" t="s">
        <v>43</v>
      </c>
      <c r="BP3" s="126" t="s">
        <v>45</v>
      </c>
      <c r="BQ3" s="126" t="s">
        <v>46</v>
      </c>
      <c r="BR3" s="126" t="s">
        <v>47</v>
      </c>
      <c r="BS3" s="126" t="s">
        <v>48</v>
      </c>
      <c r="BT3" s="126" t="s">
        <v>49</v>
      </c>
      <c r="BU3" s="126" t="s">
        <v>50</v>
      </c>
      <c r="BV3" s="126" t="s">
        <v>52</v>
      </c>
      <c r="BW3" s="126" t="s">
        <v>54</v>
      </c>
      <c r="BX3" s="126" t="s">
        <v>56</v>
      </c>
      <c r="BY3" s="126" t="s">
        <v>55</v>
      </c>
      <c r="BZ3" s="126" t="s">
        <v>57</v>
      </c>
      <c r="CA3" s="126" t="s">
        <v>131</v>
      </c>
      <c r="CB3" s="126" t="s">
        <v>132</v>
      </c>
      <c r="CC3" s="126" t="s">
        <v>60</v>
      </c>
      <c r="CD3" s="126" t="s">
        <v>62</v>
      </c>
      <c r="CE3" s="126" t="s">
        <v>64</v>
      </c>
      <c r="CF3" s="126" t="s">
        <v>63</v>
      </c>
    </row>
    <row r="4" spans="2:84">
      <c r="B4" s="124" t="s">
        <v>225</v>
      </c>
      <c r="AD4" s="124" t="s">
        <v>225</v>
      </c>
      <c r="AE4" s="58">
        <f>AE5*C5+AE11*C11+AE14*C14+AE17*C17+AE21*C21+AE25*C25+AE26*C26+AE27*C27</f>
        <v>4.0843164720970701E-2</v>
      </c>
      <c r="AF4" s="58">
        <f t="shared" ref="AF4:BD4" si="1">AF5*D5+AF11*D11+AF14*D14+AF17*D17+AF21*D21+AF25*D25+AF26*D26+AF27*D27</f>
        <v>2.8136289637249408E-2</v>
      </c>
      <c r="AG4" s="58">
        <f t="shared" si="1"/>
        <v>3.1160541818726538E-2</v>
      </c>
      <c r="AH4" s="58">
        <f t="shared" si="1"/>
        <v>4.0335301008474912E-2</v>
      </c>
      <c r="AI4" s="58">
        <f t="shared" si="1"/>
        <v>3.4454246274363449E-2</v>
      </c>
      <c r="AJ4" s="58">
        <f t="shared" si="1"/>
        <v>2.8231038746108949E-2</v>
      </c>
      <c r="AK4" s="58">
        <f t="shared" si="1"/>
        <v>4.3871848399669525E-2</v>
      </c>
      <c r="AL4" s="58">
        <f t="shared" si="1"/>
        <v>2.5313569313651887E-2</v>
      </c>
      <c r="AM4" s="58">
        <f t="shared" si="1"/>
        <v>3.7795738143567223E-2</v>
      </c>
      <c r="AN4" s="58">
        <f t="shared" si="1"/>
        <v>5.3325191071460366E-2</v>
      </c>
      <c r="AO4" s="58">
        <f t="shared" si="1"/>
        <v>8.4159525192568654E-2</v>
      </c>
      <c r="AP4" s="58">
        <f t="shared" si="1"/>
        <v>3.5477643785910895E-2</v>
      </c>
      <c r="AQ4" s="58">
        <f t="shared" si="1"/>
        <v>4.8474343785910902E-2</v>
      </c>
      <c r="AR4" s="58">
        <f t="shared" si="1"/>
        <v>6.8568503401207778E-2</v>
      </c>
      <c r="AS4" s="58">
        <f t="shared" si="1"/>
        <v>4.2714182926539113E-2</v>
      </c>
      <c r="AT4" s="58">
        <f t="shared" si="1"/>
        <v>6.2479743785910917E-2</v>
      </c>
      <c r="AU4" s="58">
        <f t="shared" si="1"/>
        <v>4.1985695263804877E-2</v>
      </c>
      <c r="AV4" s="58">
        <f t="shared" si="1"/>
        <v>4.9098695263804899E-2</v>
      </c>
      <c r="AW4" s="58">
        <f t="shared" si="1"/>
        <v>2.9358619573804885E-2</v>
      </c>
      <c r="AX4" s="58">
        <f t="shared" si="1"/>
        <v>3.6706755659844492E-2</v>
      </c>
      <c r="AY4" s="58">
        <f t="shared" si="1"/>
        <v>4.0228655113709294E-2</v>
      </c>
      <c r="AZ4" s="58">
        <f t="shared" si="1"/>
        <v>5.1776455113709305E-2</v>
      </c>
      <c r="BA4" s="58">
        <f t="shared" si="1"/>
        <v>4.571515511370932E-2</v>
      </c>
      <c r="BB4" s="58">
        <f t="shared" si="1"/>
        <v>4.9931447471830571E-2</v>
      </c>
      <c r="BC4" s="58">
        <f t="shared" si="1"/>
        <v>5.6435608627059528E-2</v>
      </c>
      <c r="BD4" s="58">
        <f t="shared" si="1"/>
        <v>4.0430108627059536E-2</v>
      </c>
      <c r="BF4" s="124" t="s">
        <v>225</v>
      </c>
    </row>
    <row r="5" spans="2:84">
      <c r="B5" s="114" t="s">
        <v>71</v>
      </c>
      <c r="C5" s="122">
        <f>1-SUM(C11,C14,C17,C21,C25:C27)</f>
        <v>0.42159999999999997</v>
      </c>
      <c r="D5" s="122">
        <f t="shared" ref="D5:AB5" si="2">1-SUM(D11,D14,D17,D21,D25:D27)</f>
        <v>0.45710000000000006</v>
      </c>
      <c r="E5" s="122">
        <f t="shared" si="2"/>
        <v>0.46460000000000001</v>
      </c>
      <c r="F5" s="122">
        <f t="shared" si="2"/>
        <v>0.45240000000000014</v>
      </c>
      <c r="G5" s="122">
        <f t="shared" si="2"/>
        <v>0.49700000000000011</v>
      </c>
      <c r="H5" s="122">
        <f t="shared" si="2"/>
        <v>0.47020000000000006</v>
      </c>
      <c r="I5" s="122">
        <f t="shared" si="2"/>
        <v>0.43010000000000015</v>
      </c>
      <c r="J5" s="122">
        <f t="shared" si="2"/>
        <v>0.46700000000000008</v>
      </c>
      <c r="K5" s="122">
        <f t="shared" si="2"/>
        <v>0.48090000000000011</v>
      </c>
      <c r="L5" s="122">
        <f t="shared" si="2"/>
        <v>0.4447000000000001</v>
      </c>
      <c r="M5" s="122">
        <f t="shared" si="2"/>
        <v>0.46240000000000003</v>
      </c>
      <c r="N5" s="122">
        <f t="shared" si="2"/>
        <v>0.43430000000000002</v>
      </c>
      <c r="O5" s="122">
        <f t="shared" si="2"/>
        <v>0.43720000000000003</v>
      </c>
      <c r="P5" s="122">
        <f t="shared" si="2"/>
        <v>0.47889999999999999</v>
      </c>
      <c r="Q5" s="122">
        <f t="shared" si="2"/>
        <v>0.49090000000000011</v>
      </c>
      <c r="R5" s="122">
        <f t="shared" si="2"/>
        <v>0.49140000000000006</v>
      </c>
      <c r="S5" s="122">
        <f t="shared" si="2"/>
        <v>0.43600000000000005</v>
      </c>
      <c r="T5" s="122">
        <f t="shared" si="2"/>
        <v>0.48280000000000012</v>
      </c>
      <c r="U5" s="122">
        <f t="shared" si="2"/>
        <v>0.45230000000000004</v>
      </c>
      <c r="V5" s="122">
        <f t="shared" si="2"/>
        <v>0.42160000000000009</v>
      </c>
      <c r="W5" s="122">
        <f t="shared" si="2"/>
        <v>0.44660000000000011</v>
      </c>
      <c r="X5" s="122">
        <f t="shared" si="2"/>
        <v>0.45290000000000008</v>
      </c>
      <c r="Y5" s="122">
        <f t="shared" si="2"/>
        <v>0.46150000000000002</v>
      </c>
      <c r="Z5" s="122">
        <f t="shared" si="2"/>
        <v>0.47940000000000005</v>
      </c>
      <c r="AA5" s="122">
        <f t="shared" si="2"/>
        <v>0.44769999999999999</v>
      </c>
      <c r="AB5" s="122">
        <f t="shared" si="2"/>
        <v>0.42930000000000001</v>
      </c>
      <c r="AD5" s="114" t="s">
        <v>71</v>
      </c>
      <c r="AE5" s="130">
        <f>SUMPRODUCT(AE6:AE10,C6:C10)</f>
        <v>3.9469783753962345E-2</v>
      </c>
      <c r="AF5" s="130">
        <f t="shared" ref="AF5:BD5" si="3">SUMPRODUCT(AF6:AF10,D6:D10)</f>
        <v>2.7491434665886445E-2</v>
      </c>
      <c r="AG5" s="130">
        <f t="shared" si="3"/>
        <v>3.112802332049476E-2</v>
      </c>
      <c r="AH5" s="130">
        <f t="shared" si="3"/>
        <v>3.9387880744967511E-2</v>
      </c>
      <c r="AI5" s="130">
        <f t="shared" si="3"/>
        <v>3.4040587624746169E-2</v>
      </c>
      <c r="AJ5" s="130">
        <f t="shared" si="3"/>
        <v>2.6968036789542685E-2</v>
      </c>
      <c r="AK5" s="130">
        <f t="shared" si="3"/>
        <v>4.2951447367804152E-2</v>
      </c>
      <c r="AL5" s="130">
        <f t="shared" si="3"/>
        <v>2.4242402814364055E-2</v>
      </c>
      <c r="AM5" s="130">
        <f t="shared" si="3"/>
        <v>3.7263772461626266E-2</v>
      </c>
      <c r="AN5" s="130">
        <f t="shared" si="3"/>
        <v>5.2516056849228519E-2</v>
      </c>
      <c r="AO5" s="130">
        <f t="shared" si="3"/>
        <v>8.3359323623526119E-2</v>
      </c>
      <c r="AP5" s="130">
        <f t="shared" si="3"/>
        <v>3.4183652986225541E-2</v>
      </c>
      <c r="AQ5" s="130">
        <f t="shared" si="3"/>
        <v>4.7809825760951136E-2</v>
      </c>
      <c r="AR5" s="130">
        <f t="shared" si="3"/>
        <v>6.8077762155848986E-2</v>
      </c>
      <c r="AS5" s="130">
        <f t="shared" si="3"/>
        <v>4.2423656698748188E-2</v>
      </c>
      <c r="AT5" s="130">
        <f t="shared" si="3"/>
        <v>6.2028659497146595E-2</v>
      </c>
      <c r="AU5" s="130">
        <f t="shared" si="3"/>
        <v>4.1081507150220069E-2</v>
      </c>
      <c r="AV5" s="130">
        <f t="shared" si="3"/>
        <v>4.7711892811337003E-2</v>
      </c>
      <c r="AW5" s="130">
        <f t="shared" si="3"/>
        <v>2.8449822503791411E-2</v>
      </c>
      <c r="AX5" s="130">
        <f t="shared" si="3"/>
        <v>3.5801447162251809E-2</v>
      </c>
      <c r="AY5" s="130">
        <f t="shared" si="3"/>
        <v>3.9351661863587323E-2</v>
      </c>
      <c r="AZ5" s="130">
        <f t="shared" si="3"/>
        <v>5.0801096152203941E-2</v>
      </c>
      <c r="BA5" s="130">
        <f t="shared" si="3"/>
        <v>4.5455273368980316E-2</v>
      </c>
      <c r="BB5" s="130">
        <f t="shared" si="3"/>
        <v>4.9280154481332696E-2</v>
      </c>
      <c r="BC5" s="130">
        <f t="shared" si="3"/>
        <v>5.5937646464475785E-2</v>
      </c>
      <c r="BD5" s="130">
        <f t="shared" si="3"/>
        <v>3.961954729913688E-2</v>
      </c>
      <c r="BF5" s="114" t="s">
        <v>71</v>
      </c>
      <c r="BG5" t="s">
        <v>215</v>
      </c>
      <c r="BH5" t="s">
        <v>213</v>
      </c>
      <c r="BI5" t="s">
        <v>209</v>
      </c>
      <c r="BJ5" t="s">
        <v>212</v>
      </c>
      <c r="BK5" t="s">
        <v>214</v>
      </c>
      <c r="BL5" t="s">
        <v>213</v>
      </c>
      <c r="BM5" t="s">
        <v>213</v>
      </c>
      <c r="BN5" t="s">
        <v>210</v>
      </c>
      <c r="BO5" t="s">
        <v>210</v>
      </c>
      <c r="BP5" t="s">
        <v>215</v>
      </c>
      <c r="BQ5" t="s">
        <v>213</v>
      </c>
      <c r="BR5" t="s">
        <v>213</v>
      </c>
      <c r="BS5" t="s">
        <v>212</v>
      </c>
      <c r="BT5" t="s">
        <v>212</v>
      </c>
      <c r="BU5" t="s">
        <v>214</v>
      </c>
      <c r="BV5" t="s">
        <v>212</v>
      </c>
      <c r="BW5" t="s">
        <v>215</v>
      </c>
      <c r="BX5" t="s">
        <v>209</v>
      </c>
      <c r="BY5" t="s">
        <v>209</v>
      </c>
      <c r="BZ5" t="s">
        <v>213</v>
      </c>
      <c r="CA5" t="s">
        <v>210</v>
      </c>
      <c r="CB5" t="s">
        <v>215</v>
      </c>
      <c r="CC5" t="s">
        <v>209</v>
      </c>
      <c r="CD5" t="s">
        <v>209</v>
      </c>
      <c r="CE5" t="s">
        <v>209</v>
      </c>
      <c r="CF5" t="s">
        <v>213</v>
      </c>
    </row>
    <row r="6" spans="2:84">
      <c r="B6" s="127" t="s">
        <v>102</v>
      </c>
      <c r="C6" s="122">
        <f>1-SUM(C7:C10)</f>
        <v>0.58110000000000017</v>
      </c>
      <c r="D6" s="122">
        <f t="shared" ref="D6:AB6" si="4">1-SUM(D7:D10)</f>
        <v>0.55370000000000008</v>
      </c>
      <c r="E6" s="122">
        <f t="shared" si="4"/>
        <v>0.52300000000000013</v>
      </c>
      <c r="F6" s="122">
        <f t="shared" si="4"/>
        <v>0.55490000000000017</v>
      </c>
      <c r="G6" s="122">
        <f t="shared" si="4"/>
        <v>0.5414000000000001</v>
      </c>
      <c r="H6" s="122">
        <f t="shared" si="4"/>
        <v>0.56850000000000012</v>
      </c>
      <c r="I6" s="122">
        <f t="shared" si="4"/>
        <v>0.53070000000000006</v>
      </c>
      <c r="J6" s="122">
        <f t="shared" si="4"/>
        <v>0.53890000000000016</v>
      </c>
      <c r="K6" s="122">
        <f t="shared" si="4"/>
        <v>0.56290000000000018</v>
      </c>
      <c r="L6" s="122">
        <f t="shared" si="4"/>
        <v>0.56190000000000018</v>
      </c>
      <c r="M6" s="122">
        <f t="shared" si="4"/>
        <v>0.52660000000000018</v>
      </c>
      <c r="N6" s="122">
        <f t="shared" si="4"/>
        <v>0.5717000000000001</v>
      </c>
      <c r="O6" s="122">
        <f t="shared" si="4"/>
        <v>0.57410000000000005</v>
      </c>
      <c r="P6" s="122">
        <f t="shared" si="4"/>
        <v>0.53400000000000025</v>
      </c>
      <c r="Q6" s="122">
        <f t="shared" si="4"/>
        <v>0.53980000000000017</v>
      </c>
      <c r="R6" s="122">
        <f t="shared" si="4"/>
        <v>0.56130000000000013</v>
      </c>
      <c r="S6" s="122">
        <f t="shared" si="4"/>
        <v>0.56050000000000022</v>
      </c>
      <c r="T6" s="122">
        <f t="shared" si="4"/>
        <v>0.57470000000000021</v>
      </c>
      <c r="U6" s="122">
        <f t="shared" si="4"/>
        <v>0.57950000000000013</v>
      </c>
      <c r="V6" s="122">
        <f t="shared" si="4"/>
        <v>0.54720000000000013</v>
      </c>
      <c r="W6" s="122">
        <f t="shared" si="4"/>
        <v>0.54930000000000012</v>
      </c>
      <c r="X6" s="122">
        <f t="shared" si="4"/>
        <v>0.55320000000000014</v>
      </c>
      <c r="Y6" s="122">
        <f t="shared" si="4"/>
        <v>0.52610000000000023</v>
      </c>
      <c r="Z6" s="122">
        <f t="shared" si="4"/>
        <v>0.52260000000000018</v>
      </c>
      <c r="AA6" s="122">
        <f t="shared" si="4"/>
        <v>0.53150000000000019</v>
      </c>
      <c r="AB6" s="122">
        <f t="shared" si="4"/>
        <v>0.51850000000000018</v>
      </c>
      <c r="AD6" s="127" t="s">
        <v>102</v>
      </c>
      <c r="AE6" s="131">
        <v>3.3092985995167294E-2</v>
      </c>
      <c r="AF6" s="131">
        <v>2.0912575577228455E-2</v>
      </c>
      <c r="AG6" s="131">
        <v>2.3882607627514429E-2</v>
      </c>
      <c r="AH6" s="131">
        <v>3.2752591271039258E-2</v>
      </c>
      <c r="AI6" s="131">
        <v>2.7169916204243236E-2</v>
      </c>
      <c r="AJ6" s="131">
        <v>2.0439168009560506E-2</v>
      </c>
      <c r="AK6" s="131">
        <v>3.5816249037117637E-2</v>
      </c>
      <c r="AL6" s="131">
        <v>1.7309969789039946E-2</v>
      </c>
      <c r="AM6" s="131">
        <v>3.0585264630992703E-2</v>
      </c>
      <c r="AN6" s="131">
        <v>4.6044395637252433E-2</v>
      </c>
      <c r="AO6" s="131">
        <v>7.6299163719855831E-2</v>
      </c>
      <c r="AP6" s="131">
        <v>2.7754242443706605E-2</v>
      </c>
      <c r="AQ6" s="131">
        <v>4.1436917880155466E-2</v>
      </c>
      <c r="AR6" s="131">
        <v>6.1056366459222411E-2</v>
      </c>
      <c r="AS6" s="131">
        <v>3.5405810809634765E-2</v>
      </c>
      <c r="AT6" s="131">
        <v>5.5558108058846832E-2</v>
      </c>
      <c r="AU6" s="131">
        <v>3.4396772983819636E-2</v>
      </c>
      <c r="AV6" s="131">
        <v>4.1344438761828674E-2</v>
      </c>
      <c r="AW6" s="131">
        <v>2.2178762997378611E-2</v>
      </c>
      <c r="AX6" s="131">
        <v>2.9045271071840767E-2</v>
      </c>
      <c r="AY6" s="131">
        <v>3.2562842351416849E-2</v>
      </c>
      <c r="AZ6" s="131">
        <v>4.412656225594979E-2</v>
      </c>
      <c r="BA6" s="131">
        <v>3.8425964042132728E-2</v>
      </c>
      <c r="BB6" s="131">
        <v>4.197251738976205E-2</v>
      </c>
      <c r="BC6" s="131">
        <v>4.9098778325110407E-2</v>
      </c>
      <c r="BD6" s="131">
        <v>3.2300375729376558E-2</v>
      </c>
      <c r="BF6" s="127" t="s">
        <v>102</v>
      </c>
      <c r="BG6" t="s">
        <v>213</v>
      </c>
      <c r="BH6" t="s">
        <v>210</v>
      </c>
      <c r="BI6" t="s">
        <v>214</v>
      </c>
      <c r="BJ6" t="s">
        <v>210</v>
      </c>
      <c r="BK6" t="s">
        <v>214</v>
      </c>
      <c r="BL6" t="s">
        <v>214</v>
      </c>
      <c r="BM6" t="s">
        <v>211</v>
      </c>
      <c r="BN6" t="s">
        <v>211</v>
      </c>
      <c r="BO6" t="s">
        <v>215</v>
      </c>
      <c r="BP6" t="s">
        <v>210</v>
      </c>
      <c r="BQ6" t="s">
        <v>214</v>
      </c>
      <c r="BR6" t="s">
        <v>215</v>
      </c>
      <c r="BS6" t="s">
        <v>209</v>
      </c>
      <c r="BT6" t="s">
        <v>212</v>
      </c>
      <c r="BU6" t="s">
        <v>215</v>
      </c>
      <c r="BV6" t="s">
        <v>214</v>
      </c>
      <c r="BW6" t="s">
        <v>214</v>
      </c>
      <c r="BX6" t="s">
        <v>214</v>
      </c>
      <c r="BY6" t="s">
        <v>213</v>
      </c>
      <c r="BZ6" t="s">
        <v>210</v>
      </c>
      <c r="CA6" t="s">
        <v>210</v>
      </c>
      <c r="CB6" t="s">
        <v>214</v>
      </c>
      <c r="CC6" t="s">
        <v>209</v>
      </c>
      <c r="CD6" t="s">
        <v>213</v>
      </c>
      <c r="CE6" t="s">
        <v>209</v>
      </c>
      <c r="CF6" t="s">
        <v>213</v>
      </c>
    </row>
    <row r="7" spans="2:84">
      <c r="B7" s="127" t="s">
        <v>103</v>
      </c>
      <c r="C7" s="129">
        <v>0.23680000000000001</v>
      </c>
      <c r="D7" s="129">
        <v>0.2397</v>
      </c>
      <c r="E7" s="129">
        <v>0.26540000000000002</v>
      </c>
      <c r="F7" s="129">
        <v>0.24809999999999999</v>
      </c>
      <c r="G7" s="129">
        <v>0.25519999999999998</v>
      </c>
      <c r="H7" s="129">
        <v>0.2364</v>
      </c>
      <c r="I7" s="129">
        <v>0.25580000000000003</v>
      </c>
      <c r="J7" s="129">
        <v>0.24929999999999999</v>
      </c>
      <c r="K7" s="129">
        <v>0.24229999999999999</v>
      </c>
      <c r="L7" s="129">
        <v>0.23449999999999999</v>
      </c>
      <c r="M7" s="129">
        <v>0.254</v>
      </c>
      <c r="N7" s="129">
        <v>0.247</v>
      </c>
      <c r="O7" s="129">
        <v>0.25409999999999999</v>
      </c>
      <c r="P7" s="129">
        <v>0.26019999999999999</v>
      </c>
      <c r="Q7" s="129">
        <v>0.25659999999999999</v>
      </c>
      <c r="R7" s="129">
        <v>0.2389</v>
      </c>
      <c r="S7" s="129">
        <v>0.24879999999999999</v>
      </c>
      <c r="T7" s="129">
        <v>0.2417</v>
      </c>
      <c r="U7" s="129">
        <v>0.2402</v>
      </c>
      <c r="V7" s="129">
        <v>0.26729999999999998</v>
      </c>
      <c r="W7" s="129">
        <v>0.2341</v>
      </c>
      <c r="X7" s="129">
        <v>0.23799999999999999</v>
      </c>
      <c r="Y7" s="129">
        <v>0.26629999999999998</v>
      </c>
      <c r="Z7" s="129">
        <v>0.2646</v>
      </c>
      <c r="AA7" s="129">
        <v>0.26079999999999998</v>
      </c>
      <c r="AB7" s="129">
        <v>0.26769999999999999</v>
      </c>
      <c r="AD7" s="127" t="s">
        <v>103</v>
      </c>
      <c r="AE7" s="131">
        <v>4.9337297361917255E-2</v>
      </c>
      <c r="AF7" s="131">
        <v>3.7156886943978416E-2</v>
      </c>
      <c r="AG7" s="131">
        <v>4.0126918994264391E-2</v>
      </c>
      <c r="AH7" s="131">
        <v>4.8996902637789219E-2</v>
      </c>
      <c r="AI7" s="131">
        <v>4.3414227570993197E-2</v>
      </c>
      <c r="AJ7" s="131">
        <v>3.6683479376310474E-2</v>
      </c>
      <c r="AK7" s="131">
        <v>5.2060560403867598E-2</v>
      </c>
      <c r="AL7" s="131">
        <v>3.35542811557899E-2</v>
      </c>
      <c r="AM7" s="131">
        <v>4.6829575997742665E-2</v>
      </c>
      <c r="AN7" s="131">
        <v>6.2288707004002394E-2</v>
      </c>
      <c r="AO7" s="131">
        <v>9.2543475086605792E-2</v>
      </c>
      <c r="AP7" s="131">
        <v>4.3998553810456566E-2</v>
      </c>
      <c r="AQ7" s="131">
        <v>5.7681229246905427E-2</v>
      </c>
      <c r="AR7" s="131">
        <v>7.7300677825972372E-2</v>
      </c>
      <c r="AS7" s="131">
        <v>5.1650122176384726E-2</v>
      </c>
      <c r="AT7" s="131">
        <v>7.1802419425596786E-2</v>
      </c>
      <c r="AU7" s="131">
        <v>5.0641084350569597E-2</v>
      </c>
      <c r="AV7" s="131">
        <v>5.7588750128578635E-2</v>
      </c>
      <c r="AW7" s="131">
        <v>3.8423074364128576E-2</v>
      </c>
      <c r="AX7" s="131">
        <v>4.5289582438590728E-2</v>
      </c>
      <c r="AY7" s="131">
        <v>4.880715371816681E-2</v>
      </c>
      <c r="AZ7" s="131">
        <v>6.0370873622699751E-2</v>
      </c>
      <c r="BA7" s="131">
        <v>5.4670275408882689E-2</v>
      </c>
      <c r="BB7" s="131">
        <v>5.8216828756512011E-2</v>
      </c>
      <c r="BC7" s="131">
        <v>6.5343089691860368E-2</v>
      </c>
      <c r="BD7" s="131">
        <v>4.8544687096126519E-2</v>
      </c>
      <c r="BF7" s="127" t="s">
        <v>103</v>
      </c>
      <c r="BG7" t="s">
        <v>209</v>
      </c>
      <c r="BH7" t="s">
        <v>215</v>
      </c>
      <c r="BI7" t="s">
        <v>215</v>
      </c>
      <c r="BJ7" t="s">
        <v>209</v>
      </c>
      <c r="BK7" t="s">
        <v>213</v>
      </c>
      <c r="BL7" t="s">
        <v>215</v>
      </c>
      <c r="BM7" t="s">
        <v>210</v>
      </c>
      <c r="BN7" t="s">
        <v>214</v>
      </c>
      <c r="BO7" t="s">
        <v>211</v>
      </c>
      <c r="BP7" t="s">
        <v>210</v>
      </c>
      <c r="BQ7" t="s">
        <v>215</v>
      </c>
      <c r="BR7" t="s">
        <v>213</v>
      </c>
      <c r="BS7" t="s">
        <v>214</v>
      </c>
      <c r="BT7" t="s">
        <v>212</v>
      </c>
      <c r="BU7" t="s">
        <v>210</v>
      </c>
      <c r="BV7" t="s">
        <v>210</v>
      </c>
      <c r="BW7" t="s">
        <v>214</v>
      </c>
      <c r="BX7" t="s">
        <v>212</v>
      </c>
      <c r="BY7" t="s">
        <v>212</v>
      </c>
      <c r="BZ7" t="s">
        <v>210</v>
      </c>
      <c r="CA7" t="s">
        <v>209</v>
      </c>
      <c r="CB7" t="s">
        <v>215</v>
      </c>
      <c r="CC7" t="s">
        <v>210</v>
      </c>
      <c r="CD7" t="s">
        <v>213</v>
      </c>
      <c r="CE7" t="s">
        <v>214</v>
      </c>
      <c r="CF7" t="s">
        <v>212</v>
      </c>
    </row>
    <row r="8" spans="2:84">
      <c r="B8" s="127" t="s">
        <v>104</v>
      </c>
      <c r="C8" s="129">
        <v>6.0800000000000007E-2</v>
      </c>
      <c r="D8" s="129">
        <v>6.7899999999999988E-2</v>
      </c>
      <c r="E8" s="129">
        <v>7.9199999999999993E-2</v>
      </c>
      <c r="F8" s="129">
        <v>7.5300000000000006E-2</v>
      </c>
      <c r="G8" s="129">
        <v>6.5100000000000005E-2</v>
      </c>
      <c r="H8" s="129">
        <v>6.3600000000000004E-2</v>
      </c>
      <c r="I8" s="129">
        <v>6.0200000000000004E-2</v>
      </c>
      <c r="J8" s="129">
        <v>7.3000000000000009E-2</v>
      </c>
      <c r="K8" s="129">
        <v>6.3800000000000009E-2</v>
      </c>
      <c r="L8" s="129">
        <v>6.5800000000000011E-2</v>
      </c>
      <c r="M8" s="129">
        <v>7.010000000000001E-2</v>
      </c>
      <c r="N8" s="129">
        <v>7.1000000000000008E-2</v>
      </c>
      <c r="O8" s="129">
        <v>6.6300000000000012E-2</v>
      </c>
      <c r="P8" s="129">
        <v>6.430000000000001E-2</v>
      </c>
      <c r="Q8" s="129">
        <v>7.1400000000000019E-2</v>
      </c>
      <c r="R8" s="129">
        <v>6.5500000000000003E-2</v>
      </c>
      <c r="S8" s="129">
        <v>6.4900000000000013E-2</v>
      </c>
      <c r="T8" s="129">
        <v>6.3600000000000004E-2</v>
      </c>
      <c r="U8" s="129">
        <v>6.6500000000000004E-2</v>
      </c>
      <c r="V8" s="129">
        <v>7.8699999999999992E-2</v>
      </c>
      <c r="W8" s="129">
        <v>6.8000000000000005E-2</v>
      </c>
      <c r="X8" s="129">
        <v>7.51E-2</v>
      </c>
      <c r="Y8" s="129">
        <v>7.060000000000001E-2</v>
      </c>
      <c r="Z8" s="129">
        <v>7.5600000000000001E-2</v>
      </c>
      <c r="AA8" s="129">
        <v>7.9000000000000001E-2</v>
      </c>
      <c r="AB8" s="129">
        <v>6.8500000000000005E-2</v>
      </c>
      <c r="AD8" s="127" t="s">
        <v>104</v>
      </c>
      <c r="AE8" s="131">
        <v>4.3191832349803658E-2</v>
      </c>
      <c r="AF8" s="131">
        <v>3.1011421931864819E-2</v>
      </c>
      <c r="AG8" s="131">
        <v>3.3981453982150793E-2</v>
      </c>
      <c r="AH8" s="131">
        <v>4.2851437625675622E-2</v>
      </c>
      <c r="AI8" s="131">
        <v>3.7268762558879599E-2</v>
      </c>
      <c r="AJ8" s="131">
        <v>3.0538014364196866E-2</v>
      </c>
      <c r="AK8" s="131">
        <v>4.5915095391754E-2</v>
      </c>
      <c r="AL8" s="131">
        <v>2.7408816143676309E-2</v>
      </c>
      <c r="AM8" s="131">
        <v>4.0684110985629067E-2</v>
      </c>
      <c r="AN8" s="131">
        <v>5.6143241991888797E-2</v>
      </c>
      <c r="AO8" s="131">
        <v>8.6398010074492188E-2</v>
      </c>
      <c r="AP8" s="131">
        <v>3.7853088798342968E-2</v>
      </c>
      <c r="AQ8" s="131">
        <v>5.153576423479183E-2</v>
      </c>
      <c r="AR8" s="131">
        <v>7.1155212813858768E-2</v>
      </c>
      <c r="AS8" s="131">
        <v>4.5504657164271128E-2</v>
      </c>
      <c r="AT8" s="131">
        <v>6.5656954413483182E-2</v>
      </c>
      <c r="AU8" s="131">
        <v>4.4495619338455999E-2</v>
      </c>
      <c r="AV8" s="131">
        <v>5.1443285116465037E-2</v>
      </c>
      <c r="AW8" s="131">
        <v>3.2277609352014971E-2</v>
      </c>
      <c r="AX8" s="131">
        <v>3.914411742647713E-2</v>
      </c>
      <c r="AY8" s="131">
        <v>4.2661688706053212E-2</v>
      </c>
      <c r="AZ8" s="131">
        <v>5.4225408610586154E-2</v>
      </c>
      <c r="BA8" s="131">
        <v>4.8524810396769091E-2</v>
      </c>
      <c r="BB8" s="131">
        <v>5.2071363744398413E-2</v>
      </c>
      <c r="BC8" s="131">
        <v>5.919762467974677E-2</v>
      </c>
      <c r="BD8" s="131">
        <v>4.2399222084012922E-2</v>
      </c>
      <c r="BF8" s="127" t="s">
        <v>104</v>
      </c>
      <c r="BG8" t="s">
        <v>214</v>
      </c>
      <c r="BH8" t="s">
        <v>215</v>
      </c>
      <c r="BI8" t="s">
        <v>212</v>
      </c>
      <c r="BJ8" t="s">
        <v>214</v>
      </c>
      <c r="BK8" t="s">
        <v>211</v>
      </c>
      <c r="BL8" t="s">
        <v>210</v>
      </c>
      <c r="BM8" t="s">
        <v>211</v>
      </c>
      <c r="BN8" t="s">
        <v>215</v>
      </c>
      <c r="BO8" t="s">
        <v>213</v>
      </c>
      <c r="BP8" t="s">
        <v>210</v>
      </c>
      <c r="BQ8" t="s">
        <v>212</v>
      </c>
      <c r="BR8" t="s">
        <v>212</v>
      </c>
      <c r="BS8" t="s">
        <v>211</v>
      </c>
      <c r="BT8" t="s">
        <v>213</v>
      </c>
      <c r="BU8" t="s">
        <v>215</v>
      </c>
      <c r="BV8" t="s">
        <v>214</v>
      </c>
      <c r="BW8" t="s">
        <v>215</v>
      </c>
      <c r="BX8" t="s">
        <v>212</v>
      </c>
      <c r="BY8" t="s">
        <v>212</v>
      </c>
      <c r="BZ8" t="s">
        <v>215</v>
      </c>
      <c r="CA8" t="s">
        <v>213</v>
      </c>
      <c r="CB8" t="s">
        <v>213</v>
      </c>
      <c r="CC8" t="s">
        <v>213</v>
      </c>
      <c r="CD8" t="s">
        <v>209</v>
      </c>
      <c r="CE8" t="s">
        <v>215</v>
      </c>
      <c r="CF8" t="s">
        <v>212</v>
      </c>
    </row>
    <row r="9" spans="2:84">
      <c r="B9" s="127" t="s">
        <v>105</v>
      </c>
      <c r="C9" s="129">
        <v>4.130000000000001E-2</v>
      </c>
      <c r="D9" s="129">
        <v>5.9200000000000003E-2</v>
      </c>
      <c r="E9" s="129">
        <v>4.2400000000000007E-2</v>
      </c>
      <c r="F9" s="129">
        <v>4.6300000000000001E-2</v>
      </c>
      <c r="G9" s="129">
        <v>5.4399999999999997E-2</v>
      </c>
      <c r="H9" s="129">
        <v>4.6699999999999992E-2</v>
      </c>
      <c r="I9" s="129">
        <v>5.5300000000000002E-2</v>
      </c>
      <c r="J9" s="129">
        <v>5.0199999999999995E-2</v>
      </c>
      <c r="K9" s="129">
        <v>4.2800000000000005E-2</v>
      </c>
      <c r="L9" s="129">
        <v>5.8099999999999999E-2</v>
      </c>
      <c r="M9" s="129">
        <v>5.91E-2</v>
      </c>
      <c r="N9" s="129">
        <v>4.02E-2</v>
      </c>
      <c r="O9" s="129">
        <v>4.1600000000000005E-2</v>
      </c>
      <c r="P9" s="129">
        <v>5.3799999999999987E-2</v>
      </c>
      <c r="Q9" s="129">
        <v>4.2500000000000003E-2</v>
      </c>
      <c r="R9" s="129">
        <v>5.779999999999999E-2</v>
      </c>
      <c r="S9" s="129">
        <v>4.2800000000000005E-2</v>
      </c>
      <c r="T9" s="129">
        <v>4.6900000000000004E-2</v>
      </c>
      <c r="U9" s="129">
        <v>4.5000000000000012E-2</v>
      </c>
      <c r="V9" s="129">
        <v>4.0600000000000004E-2</v>
      </c>
      <c r="W9" s="129">
        <v>5.3599999999999995E-2</v>
      </c>
      <c r="X9" s="129">
        <v>4.9399999999999999E-2</v>
      </c>
      <c r="Y9" s="129">
        <v>5.7499999999999996E-2</v>
      </c>
      <c r="Z9" s="129">
        <v>4.1800000000000004E-2</v>
      </c>
      <c r="AA9" s="129">
        <v>5.8099999999999999E-2</v>
      </c>
      <c r="AB9" s="129">
        <v>5.0500000000000003E-2</v>
      </c>
      <c r="AD9" s="127" t="s">
        <v>105</v>
      </c>
      <c r="AE9" s="131">
        <v>3.8337297361917259E-2</v>
      </c>
      <c r="AF9" s="131">
        <v>2.615688694397842E-2</v>
      </c>
      <c r="AG9" s="131">
        <v>2.9126918994264395E-2</v>
      </c>
      <c r="AH9" s="131">
        <v>3.7996902637789223E-2</v>
      </c>
      <c r="AI9" s="131">
        <v>3.2414227570993201E-2</v>
      </c>
      <c r="AJ9" s="131">
        <v>2.5683479376310471E-2</v>
      </c>
      <c r="AK9" s="131">
        <v>4.1060560403867602E-2</v>
      </c>
      <c r="AL9" s="131">
        <v>2.2554281155789911E-2</v>
      </c>
      <c r="AM9" s="131">
        <v>3.5829575997742669E-2</v>
      </c>
      <c r="AN9" s="131">
        <v>5.1288707004002398E-2</v>
      </c>
      <c r="AO9" s="131">
        <v>8.1543475086605796E-2</v>
      </c>
      <c r="AP9" s="131">
        <v>3.299855381045657E-2</v>
      </c>
      <c r="AQ9" s="131">
        <v>4.6681229246905431E-2</v>
      </c>
      <c r="AR9" s="131">
        <v>6.6300677825972376E-2</v>
      </c>
      <c r="AS9" s="131">
        <v>4.065012217638473E-2</v>
      </c>
      <c r="AT9" s="131">
        <v>6.0802419425596797E-2</v>
      </c>
      <c r="AU9" s="131">
        <v>3.9641084350569601E-2</v>
      </c>
      <c r="AV9" s="131">
        <v>4.6588750128578639E-2</v>
      </c>
      <c r="AW9" s="131">
        <v>2.7423074364128577E-2</v>
      </c>
      <c r="AX9" s="131">
        <v>3.4289582438590732E-2</v>
      </c>
      <c r="AY9" s="131">
        <v>3.7807153718166814E-2</v>
      </c>
      <c r="AZ9" s="131">
        <v>4.9370873622699755E-2</v>
      </c>
      <c r="BA9" s="131">
        <v>4.3670275408882693E-2</v>
      </c>
      <c r="BB9" s="131">
        <v>4.7216828756512015E-2</v>
      </c>
      <c r="BC9" s="131">
        <v>5.4343089691860372E-2</v>
      </c>
      <c r="BD9" s="131">
        <v>3.7544687096126524E-2</v>
      </c>
      <c r="BF9" s="127" t="s">
        <v>105</v>
      </c>
      <c r="BG9" t="s">
        <v>213</v>
      </c>
      <c r="BH9" t="s">
        <v>215</v>
      </c>
      <c r="BI9" t="s">
        <v>214</v>
      </c>
      <c r="BJ9" t="s">
        <v>213</v>
      </c>
      <c r="BK9" t="s">
        <v>211</v>
      </c>
      <c r="BL9" t="s">
        <v>215</v>
      </c>
      <c r="BM9" t="s">
        <v>211</v>
      </c>
      <c r="BN9" t="s">
        <v>209</v>
      </c>
      <c r="BO9" t="s">
        <v>210</v>
      </c>
      <c r="BP9" t="s">
        <v>210</v>
      </c>
      <c r="BQ9" t="s">
        <v>211</v>
      </c>
      <c r="BR9" t="s">
        <v>214</v>
      </c>
      <c r="BS9" t="s">
        <v>213</v>
      </c>
      <c r="BT9" t="s">
        <v>209</v>
      </c>
      <c r="BU9" t="s">
        <v>214</v>
      </c>
      <c r="BV9" t="s">
        <v>209</v>
      </c>
      <c r="BW9" t="s">
        <v>211</v>
      </c>
      <c r="BX9" t="s">
        <v>212</v>
      </c>
      <c r="BY9" t="s">
        <v>210</v>
      </c>
      <c r="BZ9" t="s">
        <v>213</v>
      </c>
      <c r="CA9" t="s">
        <v>210</v>
      </c>
      <c r="CB9" t="s">
        <v>211</v>
      </c>
      <c r="CC9" t="s">
        <v>215</v>
      </c>
      <c r="CD9" t="s">
        <v>214</v>
      </c>
      <c r="CE9" t="s">
        <v>210</v>
      </c>
      <c r="CF9" t="s">
        <v>213</v>
      </c>
    </row>
    <row r="10" spans="2:84">
      <c r="B10" s="127" t="s">
        <v>106</v>
      </c>
      <c r="C10" s="129">
        <v>7.9999999999999849E-2</v>
      </c>
      <c r="D10" s="129">
        <v>7.9499999999999849E-2</v>
      </c>
      <c r="E10" s="129">
        <v>8.9999999999999844E-2</v>
      </c>
      <c r="F10" s="129">
        <v>7.5399999999999856E-2</v>
      </c>
      <c r="G10" s="129">
        <v>8.389999999999985E-2</v>
      </c>
      <c r="H10" s="129">
        <v>8.4799999999999848E-2</v>
      </c>
      <c r="I10" s="129">
        <v>9.7999999999999851E-2</v>
      </c>
      <c r="J10" s="129">
        <v>8.8599999999999846E-2</v>
      </c>
      <c r="K10" s="129">
        <v>8.8199999999999848E-2</v>
      </c>
      <c r="L10" s="129">
        <v>7.9699999999999854E-2</v>
      </c>
      <c r="M10" s="129">
        <v>9.019999999999985E-2</v>
      </c>
      <c r="N10" s="129">
        <v>7.0099999999999843E-2</v>
      </c>
      <c r="O10" s="129">
        <v>6.3899999999999846E-2</v>
      </c>
      <c r="P10" s="129">
        <v>8.7699999999999848E-2</v>
      </c>
      <c r="Q10" s="129">
        <v>8.9699999999999849E-2</v>
      </c>
      <c r="R10" s="129">
        <v>7.6499999999999846E-2</v>
      </c>
      <c r="S10" s="129">
        <v>8.2999999999999852E-2</v>
      </c>
      <c r="T10" s="129">
        <v>7.3099999999999846E-2</v>
      </c>
      <c r="U10" s="129">
        <v>6.8799999999999847E-2</v>
      </c>
      <c r="V10" s="129">
        <v>6.6199999999999842E-2</v>
      </c>
      <c r="W10" s="129">
        <v>9.4999999999999848E-2</v>
      </c>
      <c r="X10" s="129">
        <v>8.4299999999999847E-2</v>
      </c>
      <c r="Y10" s="129">
        <v>7.9499999999999849E-2</v>
      </c>
      <c r="Z10" s="129">
        <v>9.5399999999999846E-2</v>
      </c>
      <c r="AA10" s="129">
        <v>7.0599999999999843E-2</v>
      </c>
      <c r="AB10" s="129">
        <v>9.4799999999999857E-2</v>
      </c>
      <c r="AD10" s="127" t="s">
        <v>106</v>
      </c>
      <c r="AE10" s="131">
        <v>5.4337297361917253E-2</v>
      </c>
      <c r="AF10" s="131">
        <v>4.2156886943978414E-2</v>
      </c>
      <c r="AG10" s="131">
        <v>4.5126918994264388E-2</v>
      </c>
      <c r="AH10" s="131">
        <v>5.3996902637789217E-2</v>
      </c>
      <c r="AI10" s="131">
        <v>4.8414227570993194E-2</v>
      </c>
      <c r="AJ10" s="131">
        <v>4.1683479376310464E-2</v>
      </c>
      <c r="AK10" s="131">
        <v>5.7060560403867595E-2</v>
      </c>
      <c r="AL10" s="131">
        <v>3.8554281155789905E-2</v>
      </c>
      <c r="AM10" s="131">
        <v>5.1829575997742662E-2</v>
      </c>
      <c r="AN10" s="131">
        <v>6.7288707004002385E-2</v>
      </c>
      <c r="AO10" s="131">
        <v>9.7543475086605796E-2</v>
      </c>
      <c r="AP10" s="131">
        <v>4.8998553810456563E-2</v>
      </c>
      <c r="AQ10" s="131">
        <v>6.2681229246905418E-2</v>
      </c>
      <c r="AR10" s="131">
        <v>8.2300677825972376E-2</v>
      </c>
      <c r="AS10" s="131">
        <v>5.6650122176384723E-2</v>
      </c>
      <c r="AT10" s="131">
        <v>7.6802419425596791E-2</v>
      </c>
      <c r="AU10" s="131">
        <v>5.5641084350569595E-2</v>
      </c>
      <c r="AV10" s="131">
        <v>6.2588750128578632E-2</v>
      </c>
      <c r="AW10" s="131">
        <v>4.3423074364128567E-2</v>
      </c>
      <c r="AX10" s="131">
        <v>5.0289582438590726E-2</v>
      </c>
      <c r="AY10" s="131">
        <v>5.3807153718166807E-2</v>
      </c>
      <c r="AZ10" s="131">
        <v>6.5370873622699749E-2</v>
      </c>
      <c r="BA10" s="131">
        <v>5.9670275408882686E-2</v>
      </c>
      <c r="BB10" s="131">
        <v>6.3216828756512009E-2</v>
      </c>
      <c r="BC10" s="131">
        <v>7.0343089691860372E-2</v>
      </c>
      <c r="BD10" s="131">
        <v>5.3544687096126517E-2</v>
      </c>
      <c r="BF10" s="127" t="s">
        <v>106</v>
      </c>
      <c r="BG10" t="s">
        <v>215</v>
      </c>
      <c r="BH10" t="s">
        <v>210</v>
      </c>
      <c r="BI10" t="s">
        <v>212</v>
      </c>
      <c r="BJ10" t="s">
        <v>211</v>
      </c>
      <c r="BK10" t="s">
        <v>214</v>
      </c>
      <c r="BL10" t="s">
        <v>209</v>
      </c>
      <c r="BM10" t="s">
        <v>210</v>
      </c>
      <c r="BN10" t="s">
        <v>209</v>
      </c>
      <c r="BO10" t="s">
        <v>213</v>
      </c>
      <c r="BP10" t="s">
        <v>214</v>
      </c>
      <c r="BQ10" t="s">
        <v>215</v>
      </c>
      <c r="BR10" t="s">
        <v>214</v>
      </c>
      <c r="BS10" t="s">
        <v>214</v>
      </c>
      <c r="BT10" t="s">
        <v>212</v>
      </c>
      <c r="BU10" t="s">
        <v>210</v>
      </c>
      <c r="BV10" t="s">
        <v>211</v>
      </c>
      <c r="BW10" t="s">
        <v>210</v>
      </c>
      <c r="BX10" t="s">
        <v>213</v>
      </c>
      <c r="BY10" t="s">
        <v>212</v>
      </c>
      <c r="BZ10" t="s">
        <v>212</v>
      </c>
      <c r="CA10" t="s">
        <v>214</v>
      </c>
      <c r="CB10" t="s">
        <v>212</v>
      </c>
      <c r="CC10" t="s">
        <v>209</v>
      </c>
      <c r="CD10" t="s">
        <v>212</v>
      </c>
      <c r="CE10" t="s">
        <v>214</v>
      </c>
      <c r="CF10" t="s">
        <v>212</v>
      </c>
    </row>
    <row r="11" spans="2:84">
      <c r="B11" s="114" t="s">
        <v>73</v>
      </c>
      <c r="C11" s="129">
        <v>0.2346</v>
      </c>
      <c r="D11" s="129">
        <v>0.2417</v>
      </c>
      <c r="E11" s="129">
        <v>0.24540000000000001</v>
      </c>
      <c r="F11" s="129">
        <v>0.23240000000000002</v>
      </c>
      <c r="G11" s="129">
        <v>0.22040000000000001</v>
      </c>
      <c r="H11" s="129">
        <v>0.21380000000000002</v>
      </c>
      <c r="I11" s="129">
        <v>0.222</v>
      </c>
      <c r="J11" s="129">
        <v>0.23</v>
      </c>
      <c r="K11" s="129">
        <v>0.22840000000000002</v>
      </c>
      <c r="L11" s="129">
        <v>0.2394</v>
      </c>
      <c r="M11" s="129">
        <v>0.2203</v>
      </c>
      <c r="N11" s="129">
        <v>0.22390000000000002</v>
      </c>
      <c r="O11" s="129">
        <v>0.2432</v>
      </c>
      <c r="P11" s="129">
        <v>0.2278</v>
      </c>
      <c r="Q11" s="129">
        <v>0.23500000000000001</v>
      </c>
      <c r="R11" s="129">
        <v>0.22210000000000002</v>
      </c>
      <c r="S11" s="129">
        <v>0.2475</v>
      </c>
      <c r="T11" s="129">
        <v>0.21480000000000002</v>
      </c>
      <c r="U11" s="129">
        <v>0.2419</v>
      </c>
      <c r="V11" s="129">
        <v>0.24200000000000002</v>
      </c>
      <c r="W11" s="129">
        <v>0.2414</v>
      </c>
      <c r="X11" s="129">
        <v>0.22490000000000002</v>
      </c>
      <c r="Y11" s="129">
        <v>0.2331</v>
      </c>
      <c r="Z11" s="129">
        <v>0.22610000000000002</v>
      </c>
      <c r="AA11" s="129">
        <v>0.23930000000000001</v>
      </c>
      <c r="AB11" s="129">
        <v>0.24060000000000001</v>
      </c>
      <c r="AD11" s="114" t="s">
        <v>73</v>
      </c>
      <c r="AE11" s="130">
        <f>SUMPRODUCT(AE12:AE13,C12:C13)</f>
        <v>3.1759582010327359E-2</v>
      </c>
      <c r="AF11" s="130">
        <f t="shared" ref="AF11:BD11" si="5">SUMPRODUCT(AF12:AF13,D12:D13)</f>
        <v>1.9794371592388518E-2</v>
      </c>
      <c r="AG11" s="130">
        <f t="shared" si="5"/>
        <v>2.2731603642674493E-2</v>
      </c>
      <c r="AH11" s="130">
        <f t="shared" si="5"/>
        <v>3.1502387286199321E-2</v>
      </c>
      <c r="AI11" s="130">
        <f t="shared" si="5"/>
        <v>2.60509122194033E-2</v>
      </c>
      <c r="AJ11" s="130">
        <f t="shared" si="5"/>
        <v>1.9180964024720568E-2</v>
      </c>
      <c r="AK11" s="130">
        <f t="shared" si="5"/>
        <v>3.4538045052277699E-2</v>
      </c>
      <c r="AL11" s="130">
        <f t="shared" si="5"/>
        <v>1.5941365804200011E-2</v>
      </c>
      <c r="AM11" s="130">
        <f t="shared" si="5"/>
        <v>2.9320660646152765E-2</v>
      </c>
      <c r="AN11" s="130">
        <f t="shared" si="5"/>
        <v>4.4710991652412498E-2</v>
      </c>
      <c r="AO11" s="130">
        <f t="shared" si="5"/>
        <v>7.4974559735015878E-2</v>
      </c>
      <c r="AP11" s="130">
        <f t="shared" si="5"/>
        <v>2.6450438458866667E-2</v>
      </c>
      <c r="AQ11" s="130">
        <f t="shared" si="5"/>
        <v>4.0253913895315532E-2</v>
      </c>
      <c r="AR11" s="130">
        <f t="shared" si="5"/>
        <v>5.988696247438248E-2</v>
      </c>
      <c r="AS11" s="130">
        <f t="shared" si="5"/>
        <v>3.4250006824794829E-2</v>
      </c>
      <c r="AT11" s="130">
        <f t="shared" si="5"/>
        <v>5.4446304074006899E-2</v>
      </c>
      <c r="AU11" s="130">
        <f t="shared" si="5"/>
        <v>3.30377689989797E-2</v>
      </c>
      <c r="AV11" s="130">
        <f t="shared" si="5"/>
        <v>4.0201434776988738E-2</v>
      </c>
      <c r="AW11" s="130">
        <f t="shared" si="5"/>
        <v>2.0915759012538674E-2</v>
      </c>
      <c r="AX11" s="130">
        <f t="shared" si="5"/>
        <v>2.7893467087000828E-2</v>
      </c>
      <c r="AY11" s="130">
        <f t="shared" si="5"/>
        <v>3.1277438366576912E-2</v>
      </c>
      <c r="AZ11" s="130">
        <f t="shared" si="5"/>
        <v>4.2859558271109856E-2</v>
      </c>
      <c r="BA11" s="130">
        <f t="shared" si="5"/>
        <v>3.707656005729279E-2</v>
      </c>
      <c r="BB11" s="130">
        <f t="shared" si="5"/>
        <v>4.0732713404922113E-2</v>
      </c>
      <c r="BC11" s="130">
        <f t="shared" si="5"/>
        <v>4.7982974340270462E-2</v>
      </c>
      <c r="BD11" s="130">
        <f t="shared" si="5"/>
        <v>3.1185371744536623E-2</v>
      </c>
      <c r="BF11" s="114" t="s">
        <v>73</v>
      </c>
      <c r="BG11" t="s">
        <v>211</v>
      </c>
      <c r="BH11" t="s">
        <v>215</v>
      </c>
      <c r="BI11" t="s">
        <v>213</v>
      </c>
      <c r="BJ11" t="s">
        <v>214</v>
      </c>
      <c r="BK11" t="s">
        <v>210</v>
      </c>
      <c r="BL11" t="s">
        <v>210</v>
      </c>
      <c r="BM11" t="s">
        <v>214</v>
      </c>
      <c r="BN11" t="s">
        <v>214</v>
      </c>
      <c r="BO11" t="s">
        <v>210</v>
      </c>
      <c r="BP11" t="s">
        <v>209</v>
      </c>
      <c r="BQ11" t="s">
        <v>214</v>
      </c>
      <c r="BR11" t="s">
        <v>212</v>
      </c>
      <c r="BS11" t="s">
        <v>213</v>
      </c>
      <c r="BT11" t="s">
        <v>215</v>
      </c>
      <c r="BU11" t="s">
        <v>209</v>
      </c>
      <c r="BV11" t="s">
        <v>213</v>
      </c>
      <c r="BW11" t="s">
        <v>213</v>
      </c>
      <c r="BX11" t="s">
        <v>215</v>
      </c>
      <c r="BY11" t="s">
        <v>211</v>
      </c>
      <c r="BZ11" t="s">
        <v>215</v>
      </c>
      <c r="CA11" t="s">
        <v>209</v>
      </c>
      <c r="CB11" t="s">
        <v>214</v>
      </c>
      <c r="CC11" t="s">
        <v>209</v>
      </c>
      <c r="CD11" t="s">
        <v>213</v>
      </c>
      <c r="CE11" t="s">
        <v>215</v>
      </c>
      <c r="CF11" t="s">
        <v>209</v>
      </c>
    </row>
    <row r="12" spans="2:84">
      <c r="B12" s="127" t="s">
        <v>107</v>
      </c>
      <c r="C12" s="129">
        <f>1-C13</f>
        <v>0.73160000000000003</v>
      </c>
      <c r="D12" s="129">
        <f t="shared" ref="D12:AB12" si="6">1-D13</f>
        <v>0.70469999999999999</v>
      </c>
      <c r="E12" s="129">
        <f t="shared" si="6"/>
        <v>0.70879999999999999</v>
      </c>
      <c r="F12" s="129">
        <f t="shared" si="6"/>
        <v>0.72119999999999995</v>
      </c>
      <c r="G12" s="129">
        <f t="shared" si="6"/>
        <v>0.70479999999999998</v>
      </c>
      <c r="H12" s="129">
        <f t="shared" si="6"/>
        <v>0.72219999999999995</v>
      </c>
      <c r="I12" s="129">
        <f t="shared" si="6"/>
        <v>0.7246999999999999</v>
      </c>
      <c r="J12" s="129">
        <f t="shared" si="6"/>
        <v>0.73599999999999999</v>
      </c>
      <c r="K12" s="129">
        <f t="shared" si="6"/>
        <v>0.72299999999999998</v>
      </c>
      <c r="L12" s="129">
        <f t="shared" si="6"/>
        <v>0.73160000000000003</v>
      </c>
      <c r="M12" s="129">
        <f t="shared" si="6"/>
        <v>0.73049999999999993</v>
      </c>
      <c r="N12" s="129">
        <f t="shared" si="6"/>
        <v>0.72789999999999999</v>
      </c>
      <c r="O12" s="129">
        <f t="shared" si="6"/>
        <v>0.71279999999999999</v>
      </c>
      <c r="P12" s="129">
        <f t="shared" si="6"/>
        <v>0.71109999999999995</v>
      </c>
      <c r="Q12" s="129">
        <f t="shared" si="6"/>
        <v>0.70940000000000003</v>
      </c>
      <c r="R12" s="129">
        <f t="shared" si="6"/>
        <v>0.70389999999999997</v>
      </c>
      <c r="S12" s="129">
        <f t="shared" si="6"/>
        <v>0.7347999999999999</v>
      </c>
      <c r="T12" s="129">
        <f t="shared" si="6"/>
        <v>0.70779999999999998</v>
      </c>
      <c r="U12" s="129">
        <f t="shared" si="6"/>
        <v>0.7228</v>
      </c>
      <c r="V12" s="129">
        <f t="shared" si="6"/>
        <v>0.70889999999999997</v>
      </c>
      <c r="W12" s="129">
        <f t="shared" si="6"/>
        <v>0.72560000000000002</v>
      </c>
      <c r="X12" s="129">
        <f t="shared" si="6"/>
        <v>0.72330000000000005</v>
      </c>
      <c r="Y12" s="129">
        <f t="shared" si="6"/>
        <v>0.73360000000000003</v>
      </c>
      <c r="Z12" s="129">
        <f t="shared" si="6"/>
        <v>0.71989999999999998</v>
      </c>
      <c r="AA12" s="129">
        <f t="shared" si="6"/>
        <v>0.70439999999999992</v>
      </c>
      <c r="AB12" s="129">
        <f t="shared" si="6"/>
        <v>0.70429999999999993</v>
      </c>
      <c r="AD12" s="127" t="s">
        <v>107</v>
      </c>
      <c r="AE12" s="131">
        <v>2.9612382010327357E-2</v>
      </c>
      <c r="AF12" s="131">
        <v>1.7431971592388518E-2</v>
      </c>
      <c r="AG12" s="131">
        <v>2.0402003642674492E-2</v>
      </c>
      <c r="AH12" s="131">
        <v>2.927198728619932E-2</v>
      </c>
      <c r="AI12" s="131">
        <v>2.3689312219403298E-2</v>
      </c>
      <c r="AJ12" s="131">
        <v>1.6958564024720568E-2</v>
      </c>
      <c r="AK12" s="131">
        <v>3.2335645052277699E-2</v>
      </c>
      <c r="AL12" s="131">
        <v>1.3829365804200008E-2</v>
      </c>
      <c r="AM12" s="131">
        <v>2.7104660646152766E-2</v>
      </c>
      <c r="AN12" s="131">
        <v>4.2563791652412496E-2</v>
      </c>
      <c r="AO12" s="131">
        <v>7.2818559735015886E-2</v>
      </c>
      <c r="AP12" s="131">
        <v>2.4273638458866667E-2</v>
      </c>
      <c r="AQ12" s="131">
        <v>3.7956313895315529E-2</v>
      </c>
      <c r="AR12" s="131">
        <v>5.7575762474382473E-2</v>
      </c>
      <c r="AS12" s="131">
        <v>3.1925206824794827E-2</v>
      </c>
      <c r="AT12" s="131">
        <v>5.2077504074006895E-2</v>
      </c>
      <c r="AU12" s="131">
        <v>3.0916168998979698E-2</v>
      </c>
      <c r="AV12" s="131">
        <v>3.7863834776988736E-2</v>
      </c>
      <c r="AW12" s="131">
        <v>1.8698159012538674E-2</v>
      </c>
      <c r="AX12" s="131">
        <v>2.5564667087000829E-2</v>
      </c>
      <c r="AY12" s="131">
        <v>2.9082238366576911E-2</v>
      </c>
      <c r="AZ12" s="131">
        <v>4.0645958271109853E-2</v>
      </c>
      <c r="BA12" s="131">
        <v>3.494536005729279E-2</v>
      </c>
      <c r="BB12" s="131">
        <v>3.8491913404922112E-2</v>
      </c>
      <c r="BC12" s="131">
        <v>4.5618174340270469E-2</v>
      </c>
      <c r="BD12" s="131">
        <v>2.8819771744536621E-2</v>
      </c>
      <c r="BF12" s="127" t="s">
        <v>107</v>
      </c>
      <c r="BG12" t="s">
        <v>212</v>
      </c>
      <c r="BH12" t="s">
        <v>214</v>
      </c>
      <c r="BI12" t="s">
        <v>215</v>
      </c>
      <c r="BJ12" t="s">
        <v>212</v>
      </c>
      <c r="BK12" t="s">
        <v>209</v>
      </c>
      <c r="BL12" t="s">
        <v>211</v>
      </c>
      <c r="BM12" t="s">
        <v>209</v>
      </c>
      <c r="BN12" t="s">
        <v>212</v>
      </c>
      <c r="BO12" t="s">
        <v>211</v>
      </c>
      <c r="BP12" t="s">
        <v>209</v>
      </c>
      <c r="BQ12" t="s">
        <v>212</v>
      </c>
      <c r="BR12" t="s">
        <v>214</v>
      </c>
      <c r="BS12" t="s">
        <v>215</v>
      </c>
      <c r="BT12" t="s">
        <v>210</v>
      </c>
      <c r="BU12" t="s">
        <v>210</v>
      </c>
      <c r="BV12" t="s">
        <v>209</v>
      </c>
      <c r="BW12" t="s">
        <v>212</v>
      </c>
      <c r="BX12" t="s">
        <v>209</v>
      </c>
      <c r="BY12" t="s">
        <v>210</v>
      </c>
      <c r="BZ12" t="s">
        <v>211</v>
      </c>
      <c r="CA12" t="s">
        <v>211</v>
      </c>
      <c r="CB12" t="s">
        <v>209</v>
      </c>
      <c r="CC12" t="s">
        <v>214</v>
      </c>
      <c r="CD12" t="s">
        <v>215</v>
      </c>
      <c r="CE12" t="s">
        <v>213</v>
      </c>
      <c r="CF12" t="s">
        <v>214</v>
      </c>
    </row>
    <row r="13" spans="2:84">
      <c r="B13" s="127" t="s">
        <v>108</v>
      </c>
      <c r="C13" s="129">
        <v>0.26840000000000003</v>
      </c>
      <c r="D13" s="129">
        <v>0.29530000000000001</v>
      </c>
      <c r="E13" s="129">
        <v>0.29120000000000001</v>
      </c>
      <c r="F13" s="129">
        <v>0.27880000000000005</v>
      </c>
      <c r="G13" s="129">
        <v>0.29520000000000002</v>
      </c>
      <c r="H13" s="129">
        <v>0.27780000000000005</v>
      </c>
      <c r="I13" s="129">
        <v>0.27530000000000004</v>
      </c>
      <c r="J13" s="129">
        <v>0.26400000000000001</v>
      </c>
      <c r="K13" s="129">
        <v>0.27700000000000002</v>
      </c>
      <c r="L13" s="129">
        <v>0.26840000000000003</v>
      </c>
      <c r="M13" s="129">
        <v>0.26950000000000002</v>
      </c>
      <c r="N13" s="129">
        <v>0.27210000000000001</v>
      </c>
      <c r="O13" s="129">
        <v>0.28720000000000001</v>
      </c>
      <c r="P13" s="129">
        <v>0.28890000000000005</v>
      </c>
      <c r="Q13" s="129">
        <v>0.29060000000000002</v>
      </c>
      <c r="R13" s="129">
        <v>0.29610000000000003</v>
      </c>
      <c r="S13" s="129">
        <v>0.26520000000000005</v>
      </c>
      <c r="T13" s="129">
        <v>0.29220000000000002</v>
      </c>
      <c r="U13" s="129">
        <v>0.2772</v>
      </c>
      <c r="V13" s="129">
        <v>0.29110000000000003</v>
      </c>
      <c r="W13" s="129">
        <v>0.27440000000000003</v>
      </c>
      <c r="X13" s="129">
        <v>0.2767</v>
      </c>
      <c r="Y13" s="129">
        <v>0.26640000000000003</v>
      </c>
      <c r="Z13" s="129">
        <v>0.28010000000000002</v>
      </c>
      <c r="AA13" s="129">
        <v>0.29560000000000003</v>
      </c>
      <c r="AB13" s="129">
        <v>0.29570000000000002</v>
      </c>
      <c r="AD13" s="127" t="s">
        <v>108</v>
      </c>
      <c r="AE13" s="131">
        <v>3.7612382010327357E-2</v>
      </c>
      <c r="AF13" s="131">
        <v>2.5431971592388518E-2</v>
      </c>
      <c r="AG13" s="131">
        <v>2.8402003642674492E-2</v>
      </c>
      <c r="AH13" s="131">
        <v>3.7271987286199321E-2</v>
      </c>
      <c r="AI13" s="131">
        <v>3.1689312219403298E-2</v>
      </c>
      <c r="AJ13" s="131">
        <v>2.4958564024720568E-2</v>
      </c>
      <c r="AK13" s="131">
        <v>4.0335645052277699E-2</v>
      </c>
      <c r="AL13" s="131">
        <v>2.1829365804200009E-2</v>
      </c>
      <c r="AM13" s="131">
        <v>3.5104660646152766E-2</v>
      </c>
      <c r="AN13" s="131">
        <v>5.0563791652412496E-2</v>
      </c>
      <c r="AO13" s="131">
        <v>8.0818559735015894E-2</v>
      </c>
      <c r="AP13" s="131">
        <v>3.2273638458866667E-2</v>
      </c>
      <c r="AQ13" s="131">
        <v>4.5956313895315529E-2</v>
      </c>
      <c r="AR13" s="131">
        <v>6.5575762474382474E-2</v>
      </c>
      <c r="AS13" s="131">
        <v>3.9925206824794827E-2</v>
      </c>
      <c r="AT13" s="131">
        <v>6.0077504074006895E-2</v>
      </c>
      <c r="AU13" s="131">
        <v>3.8916168998979699E-2</v>
      </c>
      <c r="AV13" s="131">
        <v>4.5863834776988736E-2</v>
      </c>
      <c r="AW13" s="131">
        <v>2.6698159012538674E-2</v>
      </c>
      <c r="AX13" s="131">
        <v>3.356466708700083E-2</v>
      </c>
      <c r="AY13" s="131">
        <v>3.7082238366576911E-2</v>
      </c>
      <c r="AZ13" s="131">
        <v>4.8645958271109853E-2</v>
      </c>
      <c r="BA13" s="131">
        <v>4.294536005729279E-2</v>
      </c>
      <c r="BB13" s="131">
        <v>4.6491913404922112E-2</v>
      </c>
      <c r="BC13" s="131">
        <v>5.3618174340270469E-2</v>
      </c>
      <c r="BD13" s="131">
        <v>3.6819771744536621E-2</v>
      </c>
      <c r="BF13" s="127" t="s">
        <v>108</v>
      </c>
      <c r="BG13" t="s">
        <v>214</v>
      </c>
      <c r="BH13" t="s">
        <v>214</v>
      </c>
      <c r="BI13" t="s">
        <v>215</v>
      </c>
      <c r="BJ13" t="s">
        <v>211</v>
      </c>
      <c r="BK13" t="s">
        <v>213</v>
      </c>
      <c r="BL13" t="s">
        <v>213</v>
      </c>
      <c r="BM13" t="s">
        <v>215</v>
      </c>
      <c r="BN13" t="s">
        <v>215</v>
      </c>
      <c r="BO13" t="s">
        <v>211</v>
      </c>
      <c r="BP13" t="s">
        <v>212</v>
      </c>
      <c r="BQ13" t="s">
        <v>211</v>
      </c>
      <c r="BR13" t="s">
        <v>214</v>
      </c>
      <c r="BS13" t="s">
        <v>211</v>
      </c>
      <c r="BT13" t="s">
        <v>212</v>
      </c>
      <c r="BU13" t="s">
        <v>213</v>
      </c>
      <c r="BV13" t="s">
        <v>215</v>
      </c>
      <c r="BW13" t="s">
        <v>212</v>
      </c>
      <c r="BX13" t="s">
        <v>214</v>
      </c>
      <c r="BY13" t="s">
        <v>214</v>
      </c>
      <c r="BZ13" t="s">
        <v>209</v>
      </c>
      <c r="CA13" t="s">
        <v>210</v>
      </c>
      <c r="CB13" t="s">
        <v>213</v>
      </c>
      <c r="CC13" t="s">
        <v>211</v>
      </c>
      <c r="CD13" t="s">
        <v>213</v>
      </c>
      <c r="CE13" t="s">
        <v>211</v>
      </c>
      <c r="CF13" t="s">
        <v>214</v>
      </c>
    </row>
    <row r="14" spans="2:84">
      <c r="B14" s="114" t="s">
        <v>74</v>
      </c>
      <c r="C14" s="129">
        <v>0.10069999999999998</v>
      </c>
      <c r="D14" s="129">
        <v>7.9600000000000004E-2</v>
      </c>
      <c r="E14" s="129">
        <v>0.10289999999999999</v>
      </c>
      <c r="F14" s="129">
        <v>0.1013</v>
      </c>
      <c r="G14" s="129">
        <v>9.1299999999999992E-2</v>
      </c>
      <c r="H14" s="129">
        <v>0.1026</v>
      </c>
      <c r="I14" s="129">
        <v>9.7900000000000001E-2</v>
      </c>
      <c r="J14" s="129">
        <v>8.4699999999999998E-2</v>
      </c>
      <c r="K14" s="129">
        <v>7.9000000000000001E-2</v>
      </c>
      <c r="L14" s="129">
        <v>9.1200000000000003E-2</v>
      </c>
      <c r="M14" s="129">
        <v>0.1021</v>
      </c>
      <c r="N14" s="129">
        <v>9.7599999999999992E-2</v>
      </c>
      <c r="O14" s="129">
        <v>9.6499999999999989E-2</v>
      </c>
      <c r="P14" s="129">
        <v>8.6199999999999999E-2</v>
      </c>
      <c r="Q14" s="129">
        <v>7.8399999999999997E-2</v>
      </c>
      <c r="R14" s="129">
        <v>7.9899999999999999E-2</v>
      </c>
      <c r="S14" s="129">
        <v>8.7899999999999992E-2</v>
      </c>
      <c r="T14" s="129">
        <v>8.3499999999999991E-2</v>
      </c>
      <c r="U14" s="129">
        <v>0.10179999999999999</v>
      </c>
      <c r="V14" s="129">
        <v>9.459999999999999E-2</v>
      </c>
      <c r="W14" s="129">
        <v>8.1900000000000001E-2</v>
      </c>
      <c r="X14" s="129">
        <v>0.10279999999999999</v>
      </c>
      <c r="Y14" s="129">
        <v>8.2199999999999995E-2</v>
      </c>
      <c r="Z14" s="129">
        <v>8.14E-2</v>
      </c>
      <c r="AA14" s="129">
        <v>9.5199999999999993E-2</v>
      </c>
      <c r="AB14" s="129">
        <v>0.10269999999999999</v>
      </c>
      <c r="AD14" s="114" t="s">
        <v>74</v>
      </c>
      <c r="AE14" s="130">
        <f>SUMPRODUCT(AE15:AE16,C15:C16)</f>
        <v>4.3048182010327347E-2</v>
      </c>
      <c r="AF14" s="130">
        <f t="shared" ref="AF14:BD14" si="7">SUMPRODUCT(AF15:AF16,D15:D16)</f>
        <v>3.0596071592388509E-2</v>
      </c>
      <c r="AG14" s="130">
        <f t="shared" si="7"/>
        <v>3.3803703642674481E-2</v>
      </c>
      <c r="AH14" s="130">
        <f t="shared" si="7"/>
        <v>4.2511987286199315E-2</v>
      </c>
      <c r="AI14" s="130">
        <f t="shared" si="7"/>
        <v>3.6860012219403285E-2</v>
      </c>
      <c r="AJ14" s="130">
        <f t="shared" si="7"/>
        <v>3.0299764024720559E-2</v>
      </c>
      <c r="AK14" s="130">
        <f t="shared" si="7"/>
        <v>4.5648245052277686E-2</v>
      </c>
      <c r="AL14" s="130">
        <f t="shared" si="7"/>
        <v>2.7129865804200001E-2</v>
      </c>
      <c r="AM14" s="130">
        <f t="shared" si="7"/>
        <v>4.0465660646152757E-2</v>
      </c>
      <c r="AN14" s="130">
        <f t="shared" si="7"/>
        <v>5.5951191652412496E-2</v>
      </c>
      <c r="AO14" s="130">
        <f t="shared" si="7"/>
        <v>8.6233459735015894E-2</v>
      </c>
      <c r="AP14" s="130">
        <f t="shared" si="7"/>
        <v>3.7559838458866658E-2</v>
      </c>
      <c r="AQ14" s="130">
        <f t="shared" si="7"/>
        <v>5.1212813895315526E-2</v>
      </c>
      <c r="AR14" s="130">
        <f t="shared" si="7"/>
        <v>7.1081962474382462E-2</v>
      </c>
      <c r="AS14" s="130">
        <f t="shared" si="7"/>
        <v>4.5132206824794817E-2</v>
      </c>
      <c r="AT14" s="130">
        <f t="shared" si="7"/>
        <v>6.5477004074006875E-2</v>
      </c>
      <c r="AU14" s="130">
        <f t="shared" si="7"/>
        <v>4.4395968998979692E-2</v>
      </c>
      <c r="AV14" s="130">
        <f t="shared" si="7"/>
        <v>5.1236934776988728E-2</v>
      </c>
      <c r="AW14" s="130">
        <f t="shared" si="7"/>
        <v>3.2008559012538663E-2</v>
      </c>
      <c r="AX14" s="130">
        <f t="shared" si="7"/>
        <v>3.8914667087000823E-2</v>
      </c>
      <c r="AY14" s="130">
        <f t="shared" si="7"/>
        <v>4.23244383665769E-2</v>
      </c>
      <c r="AZ14" s="130">
        <f t="shared" si="7"/>
        <v>5.3991558271109852E-2</v>
      </c>
      <c r="BA14" s="130">
        <f t="shared" si="7"/>
        <v>4.8252460057292779E-2</v>
      </c>
      <c r="BB14" s="130">
        <f t="shared" si="7"/>
        <v>5.20311134049221E-2</v>
      </c>
      <c r="BC14" s="130">
        <f t="shared" si="7"/>
        <v>5.887687434027046E-2</v>
      </c>
      <c r="BD14" s="130">
        <f t="shared" si="7"/>
        <v>4.219397174453661E-2</v>
      </c>
      <c r="BF14" s="114" t="s">
        <v>74</v>
      </c>
      <c r="BG14" t="s">
        <v>214</v>
      </c>
      <c r="BH14" t="s">
        <v>213</v>
      </c>
      <c r="BI14" t="s">
        <v>215</v>
      </c>
      <c r="BJ14" t="s">
        <v>214</v>
      </c>
      <c r="BK14" t="s">
        <v>212</v>
      </c>
      <c r="BL14" t="s">
        <v>209</v>
      </c>
      <c r="BM14" t="s">
        <v>213</v>
      </c>
      <c r="BN14" t="s">
        <v>211</v>
      </c>
      <c r="BO14" t="s">
        <v>209</v>
      </c>
      <c r="BP14" t="s">
        <v>209</v>
      </c>
      <c r="BQ14" t="s">
        <v>215</v>
      </c>
      <c r="BR14" t="s">
        <v>215</v>
      </c>
      <c r="BS14" t="s">
        <v>213</v>
      </c>
      <c r="BT14" t="s">
        <v>210</v>
      </c>
      <c r="BU14" t="s">
        <v>209</v>
      </c>
      <c r="BV14" t="s">
        <v>214</v>
      </c>
      <c r="BW14" t="s">
        <v>212</v>
      </c>
      <c r="BX14" t="s">
        <v>213</v>
      </c>
      <c r="BY14" t="s">
        <v>211</v>
      </c>
      <c r="BZ14" t="s">
        <v>215</v>
      </c>
      <c r="CA14" t="s">
        <v>213</v>
      </c>
      <c r="CB14" t="s">
        <v>212</v>
      </c>
      <c r="CC14" t="s">
        <v>212</v>
      </c>
      <c r="CD14" t="s">
        <v>213</v>
      </c>
      <c r="CE14" t="s">
        <v>212</v>
      </c>
      <c r="CF14" t="s">
        <v>214</v>
      </c>
    </row>
    <row r="15" spans="2:84">
      <c r="B15" s="127" t="s">
        <v>109</v>
      </c>
      <c r="C15" s="129">
        <f>1-C16</f>
        <v>0.61220000000000008</v>
      </c>
      <c r="D15" s="129">
        <f t="shared" ref="D15" si="8">1-D16</f>
        <v>0.63690000000000002</v>
      </c>
      <c r="E15" s="129">
        <f t="shared" ref="E15" si="9">1-E16</f>
        <v>0.61529999999999996</v>
      </c>
      <c r="F15" s="129">
        <f t="shared" ref="F15" si="10">1-F16</f>
        <v>0.63</v>
      </c>
      <c r="G15" s="129">
        <f t="shared" ref="G15" si="11">1-G16</f>
        <v>0.63629999999999998</v>
      </c>
      <c r="H15" s="129">
        <f t="shared" ref="H15" si="12">1-H16</f>
        <v>0.62080000000000002</v>
      </c>
      <c r="I15" s="129">
        <f t="shared" ref="I15" si="13">1-I16</f>
        <v>0.62339999999999995</v>
      </c>
      <c r="J15" s="129">
        <f t="shared" ref="J15" si="14">1-J16</f>
        <v>0.62450000000000006</v>
      </c>
      <c r="K15" s="129">
        <f t="shared" ref="K15" si="15">1-K16</f>
        <v>0.61899999999999999</v>
      </c>
      <c r="L15" s="129">
        <f t="shared" ref="L15" si="16">1-L16</f>
        <v>0.61660000000000004</v>
      </c>
      <c r="M15" s="129">
        <f t="shared" ref="M15" si="17">1-M16</f>
        <v>0.61409999999999998</v>
      </c>
      <c r="N15" s="129">
        <f t="shared" ref="N15" si="18">1-N16</f>
        <v>0.62580000000000002</v>
      </c>
      <c r="O15" s="129">
        <f t="shared" ref="O15" si="19">1-O16</f>
        <v>0.62850000000000006</v>
      </c>
      <c r="P15" s="129">
        <f t="shared" ref="P15" si="20">1-P16</f>
        <v>0.60580000000000001</v>
      </c>
      <c r="Q15" s="129">
        <f t="shared" ref="Q15" si="21">1-Q16</f>
        <v>0.63300000000000001</v>
      </c>
      <c r="R15" s="129">
        <f t="shared" ref="R15" si="22">1-R16</f>
        <v>0.61549999999999994</v>
      </c>
      <c r="S15" s="129">
        <f t="shared" ref="S15" si="23">1-S16</f>
        <v>0.60820000000000007</v>
      </c>
      <c r="T15" s="129">
        <f t="shared" ref="T15" si="24">1-T16</f>
        <v>0.6179</v>
      </c>
      <c r="U15" s="129">
        <f t="shared" ref="U15" si="25">1-U16</f>
        <v>0.62359999999999993</v>
      </c>
      <c r="V15" s="129">
        <f t="shared" ref="V15" si="26">1-V16</f>
        <v>0.62</v>
      </c>
      <c r="W15" s="129">
        <f t="shared" ref="W15" si="27">1-W16</f>
        <v>0.62979999999999992</v>
      </c>
      <c r="X15" s="129">
        <f t="shared" ref="X15" si="28">1-X16</f>
        <v>0.62040000000000006</v>
      </c>
      <c r="Y15" s="129">
        <f t="shared" ref="Y15" si="29">1-Y16</f>
        <v>0.62390000000000001</v>
      </c>
      <c r="Z15" s="129">
        <f t="shared" ref="Z15" si="30">1-Z16</f>
        <v>0.6028</v>
      </c>
      <c r="AA15" s="129">
        <f t="shared" ref="AA15" si="31">1-AA16</f>
        <v>0.62829999999999997</v>
      </c>
      <c r="AB15" s="129">
        <f t="shared" ref="AB15" si="32">1-AB16</f>
        <v>0.61780000000000002</v>
      </c>
      <c r="AD15" s="127" t="s">
        <v>109</v>
      </c>
      <c r="AE15" s="131">
        <v>3.8782382010327347E-2</v>
      </c>
      <c r="AF15" s="131">
        <v>2.6601971592388508E-2</v>
      </c>
      <c r="AG15" s="131">
        <v>2.9572003642674483E-2</v>
      </c>
      <c r="AH15" s="131">
        <v>3.8441987286199311E-2</v>
      </c>
      <c r="AI15" s="131">
        <v>3.2859312219403289E-2</v>
      </c>
      <c r="AJ15" s="131">
        <v>2.6128564024720559E-2</v>
      </c>
      <c r="AK15" s="131">
        <v>4.150564505227769E-2</v>
      </c>
      <c r="AL15" s="131">
        <v>2.2999365804199999E-2</v>
      </c>
      <c r="AM15" s="131">
        <v>3.6274660646152757E-2</v>
      </c>
      <c r="AN15" s="131">
        <v>5.1733791652412486E-2</v>
      </c>
      <c r="AO15" s="131">
        <v>8.1988559735015884E-2</v>
      </c>
      <c r="AP15" s="131">
        <v>3.3443638458866658E-2</v>
      </c>
      <c r="AQ15" s="131">
        <v>4.7126313895315519E-2</v>
      </c>
      <c r="AR15" s="131">
        <v>6.6745762474382464E-2</v>
      </c>
      <c r="AS15" s="131">
        <v>4.1095206824794818E-2</v>
      </c>
      <c r="AT15" s="131">
        <v>6.1247504074006885E-2</v>
      </c>
      <c r="AU15" s="131">
        <v>4.0086168998979689E-2</v>
      </c>
      <c r="AV15" s="131">
        <v>4.7033834776988727E-2</v>
      </c>
      <c r="AW15" s="131">
        <v>2.7868159012538665E-2</v>
      </c>
      <c r="AX15" s="131">
        <v>3.473466708700082E-2</v>
      </c>
      <c r="AY15" s="131">
        <v>3.8252238366576902E-2</v>
      </c>
      <c r="AZ15" s="131">
        <v>4.9815958271109843E-2</v>
      </c>
      <c r="BA15" s="131">
        <v>4.4115360057292781E-2</v>
      </c>
      <c r="BB15" s="131">
        <v>4.7661913404922103E-2</v>
      </c>
      <c r="BC15" s="131">
        <v>5.478817434027046E-2</v>
      </c>
      <c r="BD15" s="131">
        <v>3.7989771744536611E-2</v>
      </c>
      <c r="BF15" s="127" t="s">
        <v>109</v>
      </c>
      <c r="BG15" t="s">
        <v>212</v>
      </c>
      <c r="BH15" t="s">
        <v>211</v>
      </c>
      <c r="BI15" t="s">
        <v>210</v>
      </c>
      <c r="BJ15" t="s">
        <v>212</v>
      </c>
      <c r="BK15" t="s">
        <v>211</v>
      </c>
      <c r="BL15" t="s">
        <v>214</v>
      </c>
      <c r="BM15" t="s">
        <v>211</v>
      </c>
      <c r="BN15" t="s">
        <v>210</v>
      </c>
      <c r="BO15" t="s">
        <v>215</v>
      </c>
      <c r="BP15" t="s">
        <v>209</v>
      </c>
      <c r="BQ15" t="s">
        <v>211</v>
      </c>
      <c r="BR15" t="s">
        <v>215</v>
      </c>
      <c r="BS15" t="s">
        <v>212</v>
      </c>
      <c r="BT15" t="s">
        <v>210</v>
      </c>
      <c r="BU15" t="s">
        <v>209</v>
      </c>
      <c r="BV15" t="s">
        <v>213</v>
      </c>
      <c r="BW15" t="s">
        <v>215</v>
      </c>
      <c r="BX15" t="s">
        <v>211</v>
      </c>
      <c r="BY15" t="s">
        <v>209</v>
      </c>
      <c r="BZ15" t="s">
        <v>212</v>
      </c>
      <c r="CA15" t="s">
        <v>209</v>
      </c>
      <c r="CB15" t="s">
        <v>215</v>
      </c>
      <c r="CC15" t="s">
        <v>211</v>
      </c>
      <c r="CD15" t="s">
        <v>212</v>
      </c>
      <c r="CE15" t="s">
        <v>213</v>
      </c>
      <c r="CF15" t="s">
        <v>212</v>
      </c>
    </row>
    <row r="16" spans="2:84">
      <c r="B16" s="127" t="s">
        <v>110</v>
      </c>
      <c r="C16" s="129">
        <v>0.38779999999999998</v>
      </c>
      <c r="D16" s="129">
        <v>0.36309999999999998</v>
      </c>
      <c r="E16" s="129">
        <v>0.38469999999999999</v>
      </c>
      <c r="F16" s="129">
        <v>0.37</v>
      </c>
      <c r="G16" s="129">
        <v>0.36370000000000002</v>
      </c>
      <c r="H16" s="129">
        <v>0.37919999999999998</v>
      </c>
      <c r="I16" s="129">
        <v>0.37659999999999999</v>
      </c>
      <c r="J16" s="129">
        <v>0.3755</v>
      </c>
      <c r="K16" s="129">
        <v>0.38100000000000001</v>
      </c>
      <c r="L16" s="129">
        <v>0.38340000000000002</v>
      </c>
      <c r="M16" s="129">
        <v>0.38590000000000002</v>
      </c>
      <c r="N16" s="129">
        <v>0.37419999999999998</v>
      </c>
      <c r="O16" s="129">
        <v>0.3715</v>
      </c>
      <c r="P16" s="129">
        <v>0.39419999999999999</v>
      </c>
      <c r="Q16" s="129">
        <v>0.36699999999999999</v>
      </c>
      <c r="R16" s="129">
        <v>0.38450000000000001</v>
      </c>
      <c r="S16" s="129">
        <v>0.39179999999999998</v>
      </c>
      <c r="T16" s="129">
        <v>0.3821</v>
      </c>
      <c r="U16" s="129">
        <v>0.37640000000000001</v>
      </c>
      <c r="V16" s="129">
        <v>0.38</v>
      </c>
      <c r="W16" s="129">
        <v>0.37020000000000003</v>
      </c>
      <c r="X16" s="129">
        <v>0.37959999999999999</v>
      </c>
      <c r="Y16" s="129">
        <v>0.37609999999999999</v>
      </c>
      <c r="Z16" s="129">
        <v>0.3972</v>
      </c>
      <c r="AA16" s="129">
        <v>0.37170000000000003</v>
      </c>
      <c r="AB16" s="129">
        <v>0.38219999999999998</v>
      </c>
      <c r="AD16" s="127" t="s">
        <v>110</v>
      </c>
      <c r="AE16" s="131">
        <v>4.978238201032735E-2</v>
      </c>
      <c r="AF16" s="131">
        <v>3.7601971592388511E-2</v>
      </c>
      <c r="AG16" s="131">
        <v>4.0572003642674485E-2</v>
      </c>
      <c r="AH16" s="131">
        <v>4.9441987286199314E-2</v>
      </c>
      <c r="AI16" s="131">
        <v>4.3859312219403292E-2</v>
      </c>
      <c r="AJ16" s="131">
        <v>3.7128564024720562E-2</v>
      </c>
      <c r="AK16" s="131">
        <v>5.2505645052277693E-2</v>
      </c>
      <c r="AL16" s="131">
        <v>3.3999365804200002E-2</v>
      </c>
      <c r="AM16" s="131">
        <v>4.7274660646152759E-2</v>
      </c>
      <c r="AN16" s="131">
        <v>6.2733791652412496E-2</v>
      </c>
      <c r="AO16" s="131">
        <v>9.298855973501588E-2</v>
      </c>
      <c r="AP16" s="131">
        <v>4.4443638458866661E-2</v>
      </c>
      <c r="AQ16" s="131">
        <v>5.8126313895315522E-2</v>
      </c>
      <c r="AR16" s="131">
        <v>7.774576247438246E-2</v>
      </c>
      <c r="AS16" s="131">
        <v>5.2095206824794821E-2</v>
      </c>
      <c r="AT16" s="131">
        <v>7.2247504074006874E-2</v>
      </c>
      <c r="AU16" s="131">
        <v>5.1086168998979692E-2</v>
      </c>
      <c r="AV16" s="131">
        <v>5.803383477698873E-2</v>
      </c>
      <c r="AW16" s="131">
        <v>3.8868159012538664E-2</v>
      </c>
      <c r="AX16" s="131">
        <v>4.5734667087000823E-2</v>
      </c>
      <c r="AY16" s="131">
        <v>4.9252238366576905E-2</v>
      </c>
      <c r="AZ16" s="131">
        <v>6.0815958271109846E-2</v>
      </c>
      <c r="BA16" s="131">
        <v>5.5115360057292784E-2</v>
      </c>
      <c r="BB16" s="131">
        <v>5.8661913404922106E-2</v>
      </c>
      <c r="BC16" s="131">
        <v>6.5788174340270456E-2</v>
      </c>
      <c r="BD16" s="131">
        <v>4.8989771744536614E-2</v>
      </c>
      <c r="BF16" s="127" t="s">
        <v>110</v>
      </c>
      <c r="BG16" t="s">
        <v>213</v>
      </c>
      <c r="BH16" t="s">
        <v>209</v>
      </c>
      <c r="BI16" t="s">
        <v>212</v>
      </c>
      <c r="BJ16" t="s">
        <v>210</v>
      </c>
      <c r="BK16" t="s">
        <v>211</v>
      </c>
      <c r="BL16" t="s">
        <v>213</v>
      </c>
      <c r="BM16" t="s">
        <v>210</v>
      </c>
      <c r="BN16" t="s">
        <v>214</v>
      </c>
      <c r="BO16" t="s">
        <v>209</v>
      </c>
      <c r="BP16" t="s">
        <v>212</v>
      </c>
      <c r="BQ16" t="s">
        <v>215</v>
      </c>
      <c r="BR16" t="s">
        <v>210</v>
      </c>
      <c r="BS16" t="s">
        <v>212</v>
      </c>
      <c r="BT16" t="s">
        <v>213</v>
      </c>
      <c r="BU16" t="s">
        <v>211</v>
      </c>
      <c r="BV16" t="s">
        <v>213</v>
      </c>
      <c r="BW16" t="s">
        <v>214</v>
      </c>
      <c r="BX16" t="s">
        <v>210</v>
      </c>
      <c r="BY16" t="s">
        <v>212</v>
      </c>
      <c r="BZ16" t="s">
        <v>214</v>
      </c>
      <c r="CA16" t="s">
        <v>209</v>
      </c>
      <c r="CB16" t="s">
        <v>215</v>
      </c>
      <c r="CC16" t="s">
        <v>212</v>
      </c>
      <c r="CD16" t="s">
        <v>209</v>
      </c>
      <c r="CE16" t="s">
        <v>209</v>
      </c>
      <c r="CF16" t="s">
        <v>214</v>
      </c>
    </row>
    <row r="17" spans="2:84">
      <c r="B17" s="114" t="s">
        <v>75</v>
      </c>
      <c r="C17" s="129">
        <v>3.9199999999999999E-2</v>
      </c>
      <c r="D17" s="129">
        <v>4.7100000000000003E-2</v>
      </c>
      <c r="E17" s="129">
        <v>3.3600000000000005E-2</v>
      </c>
      <c r="F17" s="129">
        <v>3.7700000000000004E-2</v>
      </c>
      <c r="G17" s="129">
        <v>3.6999999999999998E-2</v>
      </c>
      <c r="H17" s="129">
        <v>3.5800000000000005E-2</v>
      </c>
      <c r="I17" s="129">
        <v>4.8999999999999988E-2</v>
      </c>
      <c r="J17" s="129">
        <v>3.4900000000000007E-2</v>
      </c>
      <c r="K17" s="129">
        <v>4.65E-2</v>
      </c>
      <c r="L17" s="129">
        <v>4.9799999999999997E-2</v>
      </c>
      <c r="M17" s="129">
        <v>3.6700000000000003E-2</v>
      </c>
      <c r="N17" s="129">
        <v>4.5299999999999993E-2</v>
      </c>
      <c r="O17" s="129">
        <v>4.9499999999999995E-2</v>
      </c>
      <c r="P17" s="129">
        <v>3.2500000000000001E-2</v>
      </c>
      <c r="Q17" s="129">
        <v>3.5300000000000005E-2</v>
      </c>
      <c r="R17" s="129">
        <v>4.9099999999999998E-2</v>
      </c>
      <c r="S17" s="129">
        <v>3.5799999999999998E-2</v>
      </c>
      <c r="T17" s="129">
        <v>3.5000000000000003E-2</v>
      </c>
      <c r="U17" s="129">
        <v>4.0900000000000013E-2</v>
      </c>
      <c r="V17" s="129">
        <v>4.7000000000000014E-2</v>
      </c>
      <c r="W17" s="129">
        <v>4.3999999999999997E-2</v>
      </c>
      <c r="X17" s="129">
        <v>3.61E-2</v>
      </c>
      <c r="Y17" s="129">
        <v>4.9099999999999998E-2</v>
      </c>
      <c r="Z17" s="129">
        <v>3.3100000000000004E-2</v>
      </c>
      <c r="AA17" s="129">
        <v>4.9200000000000001E-2</v>
      </c>
      <c r="AB17" s="129">
        <v>3.670000000000001E-2</v>
      </c>
      <c r="AD17" s="114" t="s">
        <v>75</v>
      </c>
      <c r="AE17" s="130">
        <f>SUMPRODUCT(AE18:AE20,C18:C20)</f>
        <v>2.7061726961012125E-2</v>
      </c>
      <c r="AF17" s="130">
        <f t="shared" ref="AF17:BD17" si="33">SUMPRODUCT(AF18:AF20,D18:D20)</f>
        <v>1.7033762167037992E-2</v>
      </c>
      <c r="AG17" s="130">
        <f t="shared" si="33"/>
        <v>1.8028425018292129E-2</v>
      </c>
      <c r="AH17" s="130">
        <f t="shared" si="33"/>
        <v>2.6875555560917194E-2</v>
      </c>
      <c r="AI17" s="130">
        <f t="shared" si="33"/>
        <v>2.1142187129693766E-2</v>
      </c>
      <c r="AJ17" s="130">
        <f t="shared" si="33"/>
        <v>1.686504491759833E-2</v>
      </c>
      <c r="AK17" s="130">
        <f t="shared" si="33"/>
        <v>2.9989816624581733E-2</v>
      </c>
      <c r="AL17" s="130">
        <f t="shared" si="33"/>
        <v>1.6806050683634749E-2</v>
      </c>
      <c r="AM17" s="130">
        <f t="shared" si="33"/>
        <v>2.482386342327661E-2</v>
      </c>
      <c r="AN17" s="130">
        <f t="shared" si="33"/>
        <v>4.0085510574717619E-2</v>
      </c>
      <c r="AO17" s="130">
        <f t="shared" si="33"/>
        <v>7.0501141234134035E-2</v>
      </c>
      <c r="AP17" s="130">
        <f t="shared" si="33"/>
        <v>2.1822382911367309E-2</v>
      </c>
      <c r="AQ17" s="130">
        <f t="shared" si="33"/>
        <v>3.5339836073992152E-2</v>
      </c>
      <c r="AR17" s="130">
        <f t="shared" si="33"/>
        <v>5.518974137229031E-2</v>
      </c>
      <c r="AS17" s="130">
        <f t="shared" si="33"/>
        <v>2.9539650415717995E-2</v>
      </c>
      <c r="AT17" s="130">
        <f t="shared" si="33"/>
        <v>4.9583715494702793E-2</v>
      </c>
      <c r="AU17" s="130">
        <f t="shared" si="33"/>
        <v>2.8615239858487532E-2</v>
      </c>
      <c r="AV17" s="130">
        <f t="shared" si="33"/>
        <v>3.552423912089793E-2</v>
      </c>
      <c r="AW17" s="130">
        <f t="shared" si="33"/>
        <v>1.8597303058030226E-2</v>
      </c>
      <c r="AX17" s="130">
        <f t="shared" si="33"/>
        <v>2.2978914328678404E-2</v>
      </c>
      <c r="AY17" s="130">
        <f t="shared" si="33"/>
        <v>2.672443757647552E-2</v>
      </c>
      <c r="AZ17" s="130">
        <f t="shared" si="33"/>
        <v>3.81849522646261E-2</v>
      </c>
      <c r="BA17" s="130">
        <f t="shared" si="33"/>
        <v>3.2414647310770227E-2</v>
      </c>
      <c r="BB17" s="130">
        <f t="shared" si="33"/>
        <v>3.6205916388433478E-2</v>
      </c>
      <c r="BC17" s="130">
        <f t="shared" si="33"/>
        <v>4.3333857516984819E-2</v>
      </c>
      <c r="BD17" s="130">
        <f t="shared" si="33"/>
        <v>2.6352230077234959E-2</v>
      </c>
      <c r="BF17" s="114" t="s">
        <v>75</v>
      </c>
      <c r="BG17" t="s">
        <v>210</v>
      </c>
      <c r="BH17" t="s">
        <v>209</v>
      </c>
      <c r="BI17" t="s">
        <v>211</v>
      </c>
      <c r="BJ17" t="s">
        <v>211</v>
      </c>
      <c r="BK17" t="s">
        <v>215</v>
      </c>
      <c r="BL17" t="s">
        <v>212</v>
      </c>
      <c r="BM17" t="s">
        <v>209</v>
      </c>
      <c r="BN17" t="s">
        <v>210</v>
      </c>
      <c r="BO17" t="s">
        <v>209</v>
      </c>
      <c r="BP17" t="s">
        <v>213</v>
      </c>
      <c r="BQ17" t="s">
        <v>210</v>
      </c>
      <c r="BR17" t="s">
        <v>214</v>
      </c>
      <c r="BS17" t="s">
        <v>213</v>
      </c>
      <c r="BT17" t="s">
        <v>211</v>
      </c>
      <c r="BU17" t="s">
        <v>213</v>
      </c>
      <c r="BV17" t="s">
        <v>210</v>
      </c>
      <c r="BW17" t="s">
        <v>212</v>
      </c>
      <c r="BX17" t="s">
        <v>211</v>
      </c>
      <c r="BY17" t="s">
        <v>214</v>
      </c>
      <c r="BZ17" t="s">
        <v>211</v>
      </c>
      <c r="CA17" t="s">
        <v>215</v>
      </c>
      <c r="CB17" t="s">
        <v>214</v>
      </c>
      <c r="CC17" t="s">
        <v>213</v>
      </c>
      <c r="CD17" t="s">
        <v>211</v>
      </c>
      <c r="CE17" t="s">
        <v>213</v>
      </c>
      <c r="CF17" t="s">
        <v>215</v>
      </c>
    </row>
    <row r="18" spans="2:84">
      <c r="B18" s="127" t="s">
        <v>111</v>
      </c>
      <c r="C18" s="129">
        <f>1-SUM(C19:C20)</f>
        <v>0.47760000000000002</v>
      </c>
      <c r="D18" s="129">
        <f t="shared" ref="D18:AB18" si="34">1-SUM(D19:D20)</f>
        <v>0.45189999999999997</v>
      </c>
      <c r="E18" s="129">
        <f t="shared" si="34"/>
        <v>0.47759999999999991</v>
      </c>
      <c r="F18" s="129">
        <f t="shared" si="34"/>
        <v>0.49679999999999991</v>
      </c>
      <c r="G18" s="129">
        <f t="shared" si="34"/>
        <v>0.48480000000000001</v>
      </c>
      <c r="H18" s="129">
        <f t="shared" si="34"/>
        <v>0.46479999999999999</v>
      </c>
      <c r="I18" s="129">
        <f t="shared" si="34"/>
        <v>0.46929999999999994</v>
      </c>
      <c r="J18" s="129">
        <f t="shared" si="34"/>
        <v>0.48229999999999995</v>
      </c>
      <c r="K18" s="129">
        <f t="shared" si="34"/>
        <v>0.48539999999999994</v>
      </c>
      <c r="L18" s="129">
        <f t="shared" si="34"/>
        <v>0.49319999999999997</v>
      </c>
      <c r="M18" s="129">
        <f t="shared" si="34"/>
        <v>0.48380000000000001</v>
      </c>
      <c r="N18" s="129">
        <f t="shared" si="34"/>
        <v>0.48249999999999993</v>
      </c>
      <c r="O18" s="129">
        <f t="shared" si="34"/>
        <v>0.47760000000000002</v>
      </c>
      <c r="P18" s="129">
        <f t="shared" si="34"/>
        <v>0.48129999999999995</v>
      </c>
      <c r="Q18" s="129">
        <f t="shared" si="34"/>
        <v>0.50219999999999998</v>
      </c>
      <c r="R18" s="129">
        <f t="shared" si="34"/>
        <v>0.48319999999999996</v>
      </c>
      <c r="S18" s="129">
        <f t="shared" si="34"/>
        <v>0.46689999999999998</v>
      </c>
      <c r="T18" s="129">
        <f t="shared" si="34"/>
        <v>0.47529999999999994</v>
      </c>
      <c r="U18" s="129">
        <f t="shared" si="34"/>
        <v>0.45940000000000003</v>
      </c>
      <c r="V18" s="129">
        <f t="shared" si="34"/>
        <v>0.4736999999999999</v>
      </c>
      <c r="W18" s="129">
        <f t="shared" si="34"/>
        <v>0.46389999999999998</v>
      </c>
      <c r="X18" s="129">
        <f t="shared" si="34"/>
        <v>0.50549999999999995</v>
      </c>
      <c r="Y18" s="129">
        <f t="shared" si="34"/>
        <v>0.46419999999999995</v>
      </c>
      <c r="Z18" s="129">
        <f t="shared" si="34"/>
        <v>0.46919999999999995</v>
      </c>
      <c r="AA18" s="129">
        <f t="shared" si="34"/>
        <v>0.47299999999999998</v>
      </c>
      <c r="AB18" s="129">
        <f t="shared" si="34"/>
        <v>0.48209999999999997</v>
      </c>
      <c r="AD18" s="127" t="s">
        <v>111</v>
      </c>
      <c r="AE18" s="131">
        <v>2.6523218010327344E-2</v>
      </c>
      <c r="AF18" s="131">
        <v>1.665155434760817E-2</v>
      </c>
      <c r="AG18" s="131">
        <v>1.731283964267448E-2</v>
      </c>
      <c r="AH18" s="131">
        <v>2.6182823286199308E-2</v>
      </c>
      <c r="AI18" s="131">
        <v>2.0600148219403286E-2</v>
      </c>
      <c r="AJ18" s="131">
        <v>1.6589318941485205E-2</v>
      </c>
      <c r="AK18" s="131">
        <v>2.9246481052277687E-2</v>
      </c>
      <c r="AL18" s="131">
        <v>1.5740201804200001E-2</v>
      </c>
      <c r="AM18" s="131">
        <v>2.4015496646152754E-2</v>
      </c>
      <c r="AN18" s="131">
        <v>3.9474627652412483E-2</v>
      </c>
      <c r="AO18" s="131">
        <v>6.9729395735015881E-2</v>
      </c>
      <c r="AP18" s="131">
        <v>2.1184474458866655E-2</v>
      </c>
      <c r="AQ18" s="131">
        <v>3.4867149895315516E-2</v>
      </c>
      <c r="AR18" s="131">
        <v>5.4486598474382461E-2</v>
      </c>
      <c r="AS18" s="131">
        <v>2.8836042824794815E-2</v>
      </c>
      <c r="AT18" s="131">
        <v>4.8988340074006882E-2</v>
      </c>
      <c r="AU18" s="131">
        <v>2.7827004998979686E-2</v>
      </c>
      <c r="AV18" s="131">
        <v>3.4774670776988724E-2</v>
      </c>
      <c r="AW18" s="131">
        <v>1.8608995012538664E-2</v>
      </c>
      <c r="AX18" s="131">
        <v>2.2475503087000817E-2</v>
      </c>
      <c r="AY18" s="131">
        <v>2.5993074366576899E-2</v>
      </c>
      <c r="AZ18" s="131">
        <v>3.755679427110984E-2</v>
      </c>
      <c r="BA18" s="131">
        <v>3.1856196057292778E-2</v>
      </c>
      <c r="BB18" s="131">
        <v>3.54027494049221E-2</v>
      </c>
      <c r="BC18" s="131">
        <v>4.2529010340270457E-2</v>
      </c>
      <c r="BD18" s="131">
        <v>2.5730607744536609E-2</v>
      </c>
      <c r="BF18" s="127" t="s">
        <v>111</v>
      </c>
      <c r="BG18" t="s">
        <v>211</v>
      </c>
      <c r="BH18" t="s">
        <v>212</v>
      </c>
      <c r="BI18" t="s">
        <v>212</v>
      </c>
      <c r="BJ18" t="s">
        <v>214</v>
      </c>
      <c r="BK18" t="s">
        <v>211</v>
      </c>
      <c r="BL18" t="s">
        <v>213</v>
      </c>
      <c r="BM18" t="s">
        <v>215</v>
      </c>
      <c r="BN18" t="s">
        <v>213</v>
      </c>
      <c r="BO18" t="s">
        <v>209</v>
      </c>
      <c r="BP18" t="s">
        <v>212</v>
      </c>
      <c r="BQ18" t="s">
        <v>213</v>
      </c>
      <c r="BR18" t="s">
        <v>212</v>
      </c>
      <c r="BS18" t="s">
        <v>215</v>
      </c>
      <c r="BT18" t="s">
        <v>209</v>
      </c>
      <c r="BU18" t="s">
        <v>215</v>
      </c>
      <c r="BV18" t="s">
        <v>212</v>
      </c>
      <c r="BW18" t="s">
        <v>215</v>
      </c>
      <c r="BX18" t="s">
        <v>211</v>
      </c>
      <c r="BY18" t="s">
        <v>212</v>
      </c>
      <c r="BZ18" t="s">
        <v>211</v>
      </c>
      <c r="CA18" t="s">
        <v>210</v>
      </c>
      <c r="CB18" t="s">
        <v>214</v>
      </c>
      <c r="CC18" t="s">
        <v>213</v>
      </c>
      <c r="CD18" t="s">
        <v>210</v>
      </c>
      <c r="CE18" t="s">
        <v>212</v>
      </c>
      <c r="CF18" t="s">
        <v>210</v>
      </c>
    </row>
    <row r="19" spans="2:84">
      <c r="B19" s="127" t="s">
        <v>112</v>
      </c>
      <c r="C19" s="129">
        <v>0.23230000000000001</v>
      </c>
      <c r="D19" s="129">
        <v>0.23730000000000001</v>
      </c>
      <c r="E19" s="129">
        <v>0.2382</v>
      </c>
      <c r="F19" s="129">
        <v>0.2079</v>
      </c>
      <c r="G19" s="129">
        <v>0.2281</v>
      </c>
      <c r="H19" s="129">
        <v>0.22109999999999999</v>
      </c>
      <c r="I19" s="129">
        <v>0.21809999999999999</v>
      </c>
      <c r="J19" s="129">
        <v>0.22209999999999999</v>
      </c>
      <c r="K19" s="129">
        <v>0.20350000000000001</v>
      </c>
      <c r="L19" s="129">
        <v>0.21729999999999999</v>
      </c>
      <c r="M19" s="129">
        <v>0.2077</v>
      </c>
      <c r="N19" s="129">
        <v>0.22059999999999999</v>
      </c>
      <c r="O19" s="129">
        <v>0.23830000000000001</v>
      </c>
      <c r="P19" s="129">
        <v>0.21529999999999999</v>
      </c>
      <c r="Q19" s="129">
        <v>0.20400000000000001</v>
      </c>
      <c r="R19" s="129">
        <v>0.22409999999999999</v>
      </c>
      <c r="S19" s="129">
        <v>0.21529999999999999</v>
      </c>
      <c r="T19" s="129">
        <v>0.21429999999999999</v>
      </c>
      <c r="U19" s="129">
        <v>0.2273</v>
      </c>
      <c r="V19" s="129">
        <v>0.23760000000000001</v>
      </c>
      <c r="W19" s="129">
        <v>0.22209999999999999</v>
      </c>
      <c r="X19" s="129">
        <v>0.20910000000000001</v>
      </c>
      <c r="Y19" s="129">
        <v>0.23769999999999999</v>
      </c>
      <c r="Z19" s="129">
        <v>0.2127</v>
      </c>
      <c r="AA19" s="129">
        <v>0.21049999999999999</v>
      </c>
      <c r="AB19" s="129">
        <v>0.2223</v>
      </c>
      <c r="AD19" s="127" t="s">
        <v>112</v>
      </c>
      <c r="AE19" s="131">
        <v>2.1461920008970382E-2</v>
      </c>
      <c r="AF19" s="131">
        <v>1.3546616040621622E-2</v>
      </c>
      <c r="AG19" s="131">
        <v>1.326666402058233E-2</v>
      </c>
      <c r="AH19" s="131">
        <v>2.1121525284842346E-2</v>
      </c>
      <c r="AI19" s="131">
        <v>1.5538850218046324E-2</v>
      </c>
      <c r="AJ19" s="131">
        <v>1.330566491827806E-2</v>
      </c>
      <c r="AK19" s="131">
        <v>2.4185183050920725E-2</v>
      </c>
      <c r="AL19" s="131">
        <v>1.4005397666580682E-2</v>
      </c>
      <c r="AM19" s="131">
        <v>1.8954198644795792E-2</v>
      </c>
      <c r="AN19" s="131">
        <v>3.4413329651055521E-2</v>
      </c>
      <c r="AO19" s="131">
        <v>6.4668097733658919E-2</v>
      </c>
      <c r="AP19" s="131">
        <v>1.6123176457509693E-2</v>
      </c>
      <c r="AQ19" s="131">
        <v>2.9805851893958554E-2</v>
      </c>
      <c r="AR19" s="131">
        <v>4.9425300473025499E-2</v>
      </c>
      <c r="AS19" s="131">
        <v>2.3774744823437853E-2</v>
      </c>
      <c r="AT19" s="131">
        <v>4.392704207264992E-2</v>
      </c>
      <c r="AU19" s="131">
        <v>2.2765706997622724E-2</v>
      </c>
      <c r="AV19" s="131">
        <v>2.9713372775631762E-2</v>
      </c>
      <c r="AW19" s="131">
        <v>1.4547697011181703E-2</v>
      </c>
      <c r="AX19" s="131">
        <v>1.7414205085643855E-2</v>
      </c>
      <c r="AY19" s="131">
        <v>2.0931776365219937E-2</v>
      </c>
      <c r="AZ19" s="131">
        <v>3.2495496269752878E-2</v>
      </c>
      <c r="BA19" s="131">
        <v>2.6794898055935816E-2</v>
      </c>
      <c r="BB19" s="131">
        <v>3.0341451403565138E-2</v>
      </c>
      <c r="BC19" s="131">
        <v>3.7467712338913495E-2</v>
      </c>
      <c r="BD19" s="131">
        <v>2.0669309743179647E-2</v>
      </c>
      <c r="BF19" s="127" t="s">
        <v>112</v>
      </c>
      <c r="BG19" t="s">
        <v>209</v>
      </c>
      <c r="BH19" t="s">
        <v>209</v>
      </c>
      <c r="BI19" t="s">
        <v>210</v>
      </c>
      <c r="BJ19" t="s">
        <v>215</v>
      </c>
      <c r="BK19" t="s">
        <v>213</v>
      </c>
      <c r="BL19" t="s">
        <v>210</v>
      </c>
      <c r="BM19" t="s">
        <v>215</v>
      </c>
      <c r="BN19" t="s">
        <v>215</v>
      </c>
      <c r="BO19" t="s">
        <v>215</v>
      </c>
      <c r="BP19" t="s">
        <v>214</v>
      </c>
      <c r="BQ19" t="s">
        <v>212</v>
      </c>
      <c r="BR19" t="s">
        <v>212</v>
      </c>
      <c r="BS19" t="s">
        <v>211</v>
      </c>
      <c r="BT19" t="s">
        <v>210</v>
      </c>
      <c r="BU19" t="s">
        <v>210</v>
      </c>
      <c r="BV19" t="s">
        <v>212</v>
      </c>
      <c r="BW19" t="s">
        <v>212</v>
      </c>
      <c r="BX19" t="s">
        <v>213</v>
      </c>
      <c r="BY19" t="s">
        <v>209</v>
      </c>
      <c r="BZ19" t="s">
        <v>214</v>
      </c>
      <c r="CA19" t="s">
        <v>213</v>
      </c>
      <c r="CB19" t="s">
        <v>213</v>
      </c>
      <c r="CC19" t="s">
        <v>209</v>
      </c>
      <c r="CD19" t="s">
        <v>213</v>
      </c>
      <c r="CE19" t="s">
        <v>215</v>
      </c>
      <c r="CF19" t="s">
        <v>213</v>
      </c>
    </row>
    <row r="20" spans="2:84">
      <c r="B20" s="127" t="s">
        <v>113</v>
      </c>
      <c r="C20" s="129">
        <v>0.29010000000000002</v>
      </c>
      <c r="D20" s="129">
        <v>0.31080000000000002</v>
      </c>
      <c r="E20" s="129">
        <v>0.28420000000000006</v>
      </c>
      <c r="F20" s="129">
        <v>0.29530000000000006</v>
      </c>
      <c r="G20" s="129">
        <v>0.28710000000000002</v>
      </c>
      <c r="H20" s="129">
        <v>0.31410000000000005</v>
      </c>
      <c r="I20" s="129">
        <v>0.31260000000000004</v>
      </c>
      <c r="J20" s="129">
        <v>0.29560000000000003</v>
      </c>
      <c r="K20" s="129">
        <v>0.31110000000000004</v>
      </c>
      <c r="L20" s="129">
        <v>0.28950000000000004</v>
      </c>
      <c r="M20" s="129">
        <v>0.30850000000000005</v>
      </c>
      <c r="N20" s="129">
        <v>0.29690000000000005</v>
      </c>
      <c r="O20" s="129">
        <v>0.28410000000000002</v>
      </c>
      <c r="P20" s="129">
        <v>0.30340000000000006</v>
      </c>
      <c r="Q20" s="129">
        <v>0.29380000000000006</v>
      </c>
      <c r="R20" s="129">
        <v>0.29270000000000007</v>
      </c>
      <c r="S20" s="129">
        <v>0.31780000000000003</v>
      </c>
      <c r="T20" s="129">
        <v>0.31040000000000006</v>
      </c>
      <c r="U20" s="129">
        <v>0.31330000000000002</v>
      </c>
      <c r="V20" s="129">
        <v>0.28870000000000007</v>
      </c>
      <c r="W20" s="129">
        <v>0.31400000000000006</v>
      </c>
      <c r="X20" s="129">
        <v>0.28540000000000004</v>
      </c>
      <c r="Y20" s="129">
        <v>0.29810000000000003</v>
      </c>
      <c r="Z20" s="129">
        <v>0.31810000000000005</v>
      </c>
      <c r="AA20" s="129">
        <v>0.31650000000000006</v>
      </c>
      <c r="AB20" s="129">
        <v>0.29560000000000003</v>
      </c>
      <c r="AD20" s="127" t="s">
        <v>113</v>
      </c>
      <c r="AE20" s="131">
        <v>3.2432382010327346E-2</v>
      </c>
      <c r="AF20" s="131">
        <v>2.0251971592388507E-2</v>
      </c>
      <c r="AG20" s="131">
        <v>2.3222003642674481E-2</v>
      </c>
      <c r="AH20" s="131">
        <v>3.209198728619931E-2</v>
      </c>
      <c r="AI20" s="131">
        <v>2.6509312219403287E-2</v>
      </c>
      <c r="AJ20" s="131">
        <v>1.9778564024720557E-2</v>
      </c>
      <c r="AK20" s="131">
        <v>3.5155645052277688E-2</v>
      </c>
      <c r="AL20" s="131">
        <v>2.0649365804200001E-2</v>
      </c>
      <c r="AM20" s="131">
        <v>2.9924660646152755E-2</v>
      </c>
      <c r="AN20" s="131">
        <v>4.5383791652412485E-2</v>
      </c>
      <c r="AO20" s="131">
        <v>7.5638559735015876E-2</v>
      </c>
      <c r="AP20" s="131">
        <v>2.7093638458866656E-2</v>
      </c>
      <c r="AQ20" s="131">
        <v>4.0776313895315518E-2</v>
      </c>
      <c r="AR20" s="131">
        <v>6.0395762474382463E-2</v>
      </c>
      <c r="AS20" s="131">
        <v>3.4745206824794816E-2</v>
      </c>
      <c r="AT20" s="131">
        <v>5.4897504074006884E-2</v>
      </c>
      <c r="AU20" s="131">
        <v>3.3736168998979688E-2</v>
      </c>
      <c r="AV20" s="131">
        <v>4.0683834776988725E-2</v>
      </c>
      <c r="AW20" s="131">
        <v>2.1518159012538663E-2</v>
      </c>
      <c r="AX20" s="131">
        <v>2.8384667087000819E-2</v>
      </c>
      <c r="AY20" s="131">
        <v>3.19022383665769E-2</v>
      </c>
      <c r="AZ20" s="131">
        <v>4.3465958271109842E-2</v>
      </c>
      <c r="BA20" s="131">
        <v>3.7765360057292779E-2</v>
      </c>
      <c r="BB20" s="131">
        <v>4.1311913404922102E-2</v>
      </c>
      <c r="BC20" s="131">
        <v>4.8438174340270458E-2</v>
      </c>
      <c r="BD20" s="131">
        <v>3.163977174453661E-2</v>
      </c>
      <c r="BF20" s="127" t="s">
        <v>113</v>
      </c>
      <c r="BG20" t="s">
        <v>214</v>
      </c>
      <c r="BH20" t="s">
        <v>213</v>
      </c>
      <c r="BI20" t="s">
        <v>212</v>
      </c>
      <c r="BJ20" t="s">
        <v>212</v>
      </c>
      <c r="BK20" t="s">
        <v>213</v>
      </c>
      <c r="BL20" t="s">
        <v>211</v>
      </c>
      <c r="BM20" t="s">
        <v>215</v>
      </c>
      <c r="BN20" t="s">
        <v>213</v>
      </c>
      <c r="BO20" t="s">
        <v>212</v>
      </c>
      <c r="BP20" t="s">
        <v>212</v>
      </c>
      <c r="BQ20" t="s">
        <v>209</v>
      </c>
      <c r="BR20" t="s">
        <v>212</v>
      </c>
      <c r="BS20" t="s">
        <v>212</v>
      </c>
      <c r="BT20" t="s">
        <v>213</v>
      </c>
      <c r="BU20" t="s">
        <v>210</v>
      </c>
      <c r="BV20" t="s">
        <v>214</v>
      </c>
      <c r="BW20" t="s">
        <v>211</v>
      </c>
      <c r="BX20" t="s">
        <v>215</v>
      </c>
      <c r="BY20" t="s">
        <v>211</v>
      </c>
      <c r="BZ20" t="s">
        <v>214</v>
      </c>
      <c r="CA20" t="s">
        <v>209</v>
      </c>
      <c r="CB20" t="s">
        <v>213</v>
      </c>
      <c r="CC20" t="s">
        <v>210</v>
      </c>
      <c r="CD20" t="s">
        <v>214</v>
      </c>
      <c r="CE20" t="s">
        <v>209</v>
      </c>
      <c r="CF20" t="s">
        <v>212</v>
      </c>
    </row>
    <row r="21" spans="2:84">
      <c r="B21" s="114" t="s">
        <v>76</v>
      </c>
      <c r="C21" s="129">
        <v>5.9299999999999999E-2</v>
      </c>
      <c r="D21" s="129">
        <v>5.3100000000000001E-2</v>
      </c>
      <c r="E21" s="129">
        <v>4.1300000000000003E-2</v>
      </c>
      <c r="F21" s="129">
        <v>4.1300000000000003E-2</v>
      </c>
      <c r="G21" s="129">
        <v>4.6400000000000004E-2</v>
      </c>
      <c r="H21" s="129">
        <v>4.1000000000000002E-2</v>
      </c>
      <c r="I21" s="129">
        <v>5.9399999999999994E-2</v>
      </c>
      <c r="J21" s="129">
        <v>4.5000000000000005E-2</v>
      </c>
      <c r="K21" s="129">
        <v>4.2500000000000003E-2</v>
      </c>
      <c r="L21" s="129">
        <v>4.9800000000000011E-2</v>
      </c>
      <c r="M21" s="129">
        <v>4.4000000000000004E-2</v>
      </c>
      <c r="N21" s="129">
        <v>0.06</v>
      </c>
      <c r="O21" s="129">
        <v>4.9899999999999986E-2</v>
      </c>
      <c r="P21" s="129">
        <v>5.5800000000000002E-2</v>
      </c>
      <c r="Q21" s="129">
        <v>5.7900000000000007E-2</v>
      </c>
      <c r="R21" s="129">
        <v>4.07E-2</v>
      </c>
      <c r="S21" s="129">
        <v>5.5899999999999991E-2</v>
      </c>
      <c r="T21" s="129">
        <v>4.9899999999999986E-2</v>
      </c>
      <c r="U21" s="129">
        <v>4.2599999999999999E-2</v>
      </c>
      <c r="V21" s="129">
        <v>5.1400000000000001E-2</v>
      </c>
      <c r="W21" s="129">
        <v>5.9299999999999992E-2</v>
      </c>
      <c r="X21" s="129">
        <v>5.7500000000000002E-2</v>
      </c>
      <c r="Y21" s="129">
        <v>5.2199999999999996E-2</v>
      </c>
      <c r="Z21" s="129">
        <v>5.7600000000000005E-2</v>
      </c>
      <c r="AA21" s="129">
        <v>4.24E-2</v>
      </c>
      <c r="AB21" s="129">
        <v>5.4399999999999997E-2</v>
      </c>
      <c r="AD21" s="114" t="s">
        <v>76</v>
      </c>
      <c r="AE21" s="130">
        <f>SUMPRODUCT(AE22:AE24,C22:C24)</f>
        <v>4.9209182010327347E-2</v>
      </c>
      <c r="AF21" s="130">
        <f t="shared" ref="AF21:BD21" si="35">SUMPRODUCT(AF22:AF24,D22:D24)</f>
        <v>3.7217271592388509E-2</v>
      </c>
      <c r="AG21" s="130">
        <f t="shared" si="35"/>
        <v>3.971530364267449E-2</v>
      </c>
      <c r="AH21" s="130">
        <f t="shared" si="35"/>
        <v>4.8685987286199314E-2</v>
      </c>
      <c r="AI21" s="130">
        <f t="shared" si="35"/>
        <v>4.3124612219403294E-2</v>
      </c>
      <c r="AJ21" s="130">
        <f t="shared" si="35"/>
        <v>3.6365764024720561E-2</v>
      </c>
      <c r="AK21" s="130">
        <f t="shared" si="35"/>
        <v>5.1501745052277698E-2</v>
      </c>
      <c r="AL21" s="130">
        <f t="shared" si="35"/>
        <v>3.3561665804200003E-2</v>
      </c>
      <c r="AM21" s="130">
        <f t="shared" si="35"/>
        <v>4.7144060646152758E-2</v>
      </c>
      <c r="AN21" s="130">
        <f t="shared" si="35"/>
        <v>6.1770091652412498E-2</v>
      </c>
      <c r="AO21" s="130">
        <f t="shared" si="35"/>
        <v>9.2831159735015878E-2</v>
      </c>
      <c r="AP21" s="130">
        <f t="shared" si="35"/>
        <v>4.3930138458866667E-2</v>
      </c>
      <c r="AQ21" s="130">
        <f t="shared" si="35"/>
        <v>5.7485913895315516E-2</v>
      </c>
      <c r="AR21" s="130">
        <f t="shared" si="35"/>
        <v>7.7483862474382464E-2</v>
      </c>
      <c r="AS21" s="130">
        <f t="shared" si="35"/>
        <v>5.1269706824794814E-2</v>
      </c>
      <c r="AT21" s="130">
        <f t="shared" si="35"/>
        <v>7.2018404074006878E-2</v>
      </c>
      <c r="AU21" s="130">
        <f t="shared" si="35"/>
        <v>5.0259968998979693E-2</v>
      </c>
      <c r="AV21" s="130">
        <f t="shared" si="35"/>
        <v>5.7445234776988735E-2</v>
      </c>
      <c r="AW21" s="130">
        <f t="shared" si="35"/>
        <v>3.8689359012538664E-2</v>
      </c>
      <c r="AX21" s="130">
        <f t="shared" si="35"/>
        <v>4.5046567087000819E-2</v>
      </c>
      <c r="AY21" s="130">
        <f t="shared" si="35"/>
        <v>4.8682338366576906E-2</v>
      </c>
      <c r="AZ21" s="130">
        <f t="shared" si="35"/>
        <v>6.0525858271109845E-2</v>
      </c>
      <c r="BA21" s="130">
        <f t="shared" si="35"/>
        <v>5.454756005729279E-2</v>
      </c>
      <c r="BB21" s="130">
        <f t="shared" si="35"/>
        <v>5.7698213404922108E-2</v>
      </c>
      <c r="BC21" s="130">
        <f t="shared" si="35"/>
        <v>6.5194474340270467E-2</v>
      </c>
      <c r="BD21" s="130">
        <f t="shared" si="35"/>
        <v>4.8616171744536613E-2</v>
      </c>
      <c r="BF21" s="114" t="s">
        <v>76</v>
      </c>
      <c r="BG21" t="s">
        <v>215</v>
      </c>
      <c r="BH21" t="s">
        <v>212</v>
      </c>
      <c r="BI21" t="s">
        <v>215</v>
      </c>
      <c r="BJ21" t="s">
        <v>213</v>
      </c>
      <c r="BK21" t="s">
        <v>215</v>
      </c>
      <c r="BL21" t="s">
        <v>215</v>
      </c>
      <c r="BM21" t="s">
        <v>210</v>
      </c>
      <c r="BN21" t="s">
        <v>211</v>
      </c>
      <c r="BO21" t="s">
        <v>215</v>
      </c>
      <c r="BP21" t="s">
        <v>213</v>
      </c>
      <c r="BQ21" t="s">
        <v>209</v>
      </c>
      <c r="BR21" t="s">
        <v>215</v>
      </c>
      <c r="BS21" t="s">
        <v>214</v>
      </c>
      <c r="BT21" t="s">
        <v>209</v>
      </c>
      <c r="BU21" t="s">
        <v>214</v>
      </c>
      <c r="BV21" t="s">
        <v>209</v>
      </c>
      <c r="BW21" t="s">
        <v>214</v>
      </c>
      <c r="BX21" t="s">
        <v>211</v>
      </c>
      <c r="BY21" t="s">
        <v>214</v>
      </c>
      <c r="BZ21" t="s">
        <v>210</v>
      </c>
      <c r="CA21" t="s">
        <v>211</v>
      </c>
      <c r="CB21" t="s">
        <v>211</v>
      </c>
      <c r="CC21" t="s">
        <v>215</v>
      </c>
      <c r="CD21" t="s">
        <v>212</v>
      </c>
      <c r="CE21" t="s">
        <v>213</v>
      </c>
      <c r="CF21" t="s">
        <v>211</v>
      </c>
    </row>
    <row r="22" spans="2:84">
      <c r="B22" s="127" t="s">
        <v>114</v>
      </c>
      <c r="C22" s="129">
        <v>0.31740000000000002</v>
      </c>
      <c r="D22" s="129">
        <v>0.30469999999999997</v>
      </c>
      <c r="E22" s="129">
        <v>0.29969999999999997</v>
      </c>
      <c r="F22" s="129">
        <v>0.28639999999999999</v>
      </c>
      <c r="G22" s="129">
        <v>0.30409999999999998</v>
      </c>
      <c r="H22" s="129">
        <v>0.318</v>
      </c>
      <c r="I22" s="129">
        <v>0.31259999999999999</v>
      </c>
      <c r="J22" s="129">
        <v>0.29930000000000001</v>
      </c>
      <c r="K22" s="129">
        <v>0.2878</v>
      </c>
      <c r="L22" s="129">
        <v>0.30829999999999996</v>
      </c>
      <c r="M22" s="129">
        <v>0.28939999999999999</v>
      </c>
      <c r="N22" s="129">
        <v>0.28439999999999999</v>
      </c>
      <c r="O22" s="129">
        <v>0.29259999999999997</v>
      </c>
      <c r="P22" s="129">
        <v>0.2913</v>
      </c>
      <c r="Q22" s="129">
        <v>0.29330000000000001</v>
      </c>
      <c r="R22" s="129">
        <v>0.29109999999999997</v>
      </c>
      <c r="S22" s="129">
        <v>0.2989</v>
      </c>
      <c r="T22" s="129">
        <v>0.30759999999999998</v>
      </c>
      <c r="U22" s="129">
        <v>0.29149999999999998</v>
      </c>
      <c r="V22" s="129">
        <v>0.30559999999999998</v>
      </c>
      <c r="W22" s="129">
        <v>0.30619999999999997</v>
      </c>
      <c r="X22" s="129">
        <v>0.28699999999999998</v>
      </c>
      <c r="Y22" s="129">
        <v>0.28749999999999998</v>
      </c>
      <c r="Z22" s="129">
        <v>0.30640000000000001</v>
      </c>
      <c r="AA22" s="129">
        <v>0.30659999999999998</v>
      </c>
      <c r="AB22" s="129">
        <v>0.30330000000000001</v>
      </c>
      <c r="AD22" s="127" t="s">
        <v>114</v>
      </c>
      <c r="AE22" s="131">
        <v>4.7432382010327352E-2</v>
      </c>
      <c r="AF22" s="131">
        <v>3.5251971592388513E-2</v>
      </c>
      <c r="AG22" s="131">
        <v>3.8222003642674487E-2</v>
      </c>
      <c r="AH22" s="131">
        <v>4.7091987286199316E-2</v>
      </c>
      <c r="AI22" s="131">
        <v>4.1509312219403294E-2</v>
      </c>
      <c r="AJ22" s="131">
        <v>3.4778564024720571E-2</v>
      </c>
      <c r="AK22" s="131">
        <v>5.0155645052277695E-2</v>
      </c>
      <c r="AL22" s="131">
        <v>3.1649365804199997E-2</v>
      </c>
      <c r="AM22" s="131">
        <v>4.4924660646152761E-2</v>
      </c>
      <c r="AN22" s="131">
        <v>6.0383791652412491E-2</v>
      </c>
      <c r="AO22" s="131">
        <v>9.0638559735015889E-2</v>
      </c>
      <c r="AP22" s="131">
        <v>4.2093638458866663E-2</v>
      </c>
      <c r="AQ22" s="131">
        <v>5.5776313895315524E-2</v>
      </c>
      <c r="AR22" s="131">
        <v>7.5395762474382469E-2</v>
      </c>
      <c r="AS22" s="131">
        <v>4.9745206824794823E-2</v>
      </c>
      <c r="AT22" s="131">
        <v>6.9897504074006883E-2</v>
      </c>
      <c r="AU22" s="131">
        <v>4.8736168998979694E-2</v>
      </c>
      <c r="AV22" s="131">
        <v>5.5683834776988732E-2</v>
      </c>
      <c r="AW22" s="131">
        <v>3.6518159012538673E-2</v>
      </c>
      <c r="AX22" s="131">
        <v>4.3384667087000825E-2</v>
      </c>
      <c r="AY22" s="131">
        <v>4.6902238366576907E-2</v>
      </c>
      <c r="AZ22" s="131">
        <v>5.8465958271109848E-2</v>
      </c>
      <c r="BA22" s="131">
        <v>5.2765360057292786E-2</v>
      </c>
      <c r="BB22" s="131">
        <v>5.6311913404922108E-2</v>
      </c>
      <c r="BC22" s="131">
        <v>6.3438174340270465E-2</v>
      </c>
      <c r="BD22" s="131">
        <v>4.6639771744536616E-2</v>
      </c>
      <c r="BF22" s="127" t="s">
        <v>114</v>
      </c>
      <c r="BG22" t="s">
        <v>211</v>
      </c>
      <c r="BH22" t="s">
        <v>211</v>
      </c>
      <c r="BI22" t="s">
        <v>212</v>
      </c>
      <c r="BJ22" t="s">
        <v>215</v>
      </c>
      <c r="BK22" t="s">
        <v>213</v>
      </c>
      <c r="BL22" t="s">
        <v>215</v>
      </c>
      <c r="BM22" t="s">
        <v>212</v>
      </c>
      <c r="BN22" t="s">
        <v>209</v>
      </c>
      <c r="BO22" t="s">
        <v>212</v>
      </c>
      <c r="BP22" t="s">
        <v>211</v>
      </c>
      <c r="BQ22" t="s">
        <v>213</v>
      </c>
      <c r="BR22" t="s">
        <v>215</v>
      </c>
      <c r="BS22" t="s">
        <v>213</v>
      </c>
      <c r="BT22" t="s">
        <v>214</v>
      </c>
      <c r="BU22" t="s">
        <v>212</v>
      </c>
      <c r="BV22" t="s">
        <v>214</v>
      </c>
      <c r="BW22" t="s">
        <v>211</v>
      </c>
      <c r="BX22" t="s">
        <v>213</v>
      </c>
      <c r="BY22" t="s">
        <v>213</v>
      </c>
      <c r="BZ22" t="s">
        <v>209</v>
      </c>
      <c r="CA22" t="s">
        <v>211</v>
      </c>
      <c r="CB22" t="s">
        <v>215</v>
      </c>
      <c r="CC22" t="s">
        <v>214</v>
      </c>
      <c r="CD22" t="s">
        <v>214</v>
      </c>
      <c r="CE22" t="s">
        <v>210</v>
      </c>
      <c r="CF22" t="s">
        <v>211</v>
      </c>
    </row>
    <row r="23" spans="2:84">
      <c r="B23" s="127" t="s">
        <v>115</v>
      </c>
      <c r="C23" s="129">
        <v>0.33759999999999996</v>
      </c>
      <c r="D23" s="129">
        <v>0.3357</v>
      </c>
      <c r="E23" s="129">
        <v>0.36369999999999997</v>
      </c>
      <c r="F23" s="129">
        <v>0.36679999999999996</v>
      </c>
      <c r="G23" s="129">
        <v>0.35449999999999998</v>
      </c>
      <c r="H23" s="129">
        <v>0.34719999999999995</v>
      </c>
      <c r="I23" s="129">
        <v>0.36329999999999996</v>
      </c>
      <c r="J23" s="129">
        <v>0.34189999999999998</v>
      </c>
      <c r="K23" s="129">
        <v>0.33299999999999996</v>
      </c>
      <c r="L23" s="129">
        <v>0.3639</v>
      </c>
      <c r="M23" s="129">
        <v>0.33339999999999997</v>
      </c>
      <c r="N23" s="129">
        <v>0.3553</v>
      </c>
      <c r="O23" s="129">
        <v>0.35679999999999995</v>
      </c>
      <c r="P23" s="129">
        <v>0.3377</v>
      </c>
      <c r="Q23" s="129">
        <v>0.36609999999999998</v>
      </c>
      <c r="R23" s="129">
        <v>0.33609999999999995</v>
      </c>
      <c r="S23" s="129">
        <v>0.36259999999999998</v>
      </c>
      <c r="T23" s="129">
        <v>0.34459999999999996</v>
      </c>
      <c r="U23" s="129">
        <v>0.3332</v>
      </c>
      <c r="V23" s="129">
        <v>0.35109999999999997</v>
      </c>
      <c r="W23" s="129">
        <v>0.34449999999999997</v>
      </c>
      <c r="X23" s="129">
        <v>0.34189999999999998</v>
      </c>
      <c r="Y23" s="129">
        <v>0.35619999999999996</v>
      </c>
      <c r="Z23" s="129">
        <v>0.36509999999999998</v>
      </c>
      <c r="AA23" s="129">
        <v>0.34549999999999997</v>
      </c>
      <c r="AB23" s="129">
        <v>0.33599999999999997</v>
      </c>
      <c r="AD23" s="127" t="s">
        <v>115</v>
      </c>
      <c r="AE23" s="131">
        <v>4.0432382010327346E-2</v>
      </c>
      <c r="AF23" s="131">
        <v>2.8251971592388507E-2</v>
      </c>
      <c r="AG23" s="131">
        <v>3.1222003642674481E-2</v>
      </c>
      <c r="AH23" s="131">
        <v>4.009198728619931E-2</v>
      </c>
      <c r="AI23" s="131">
        <v>3.4509312219403288E-2</v>
      </c>
      <c r="AJ23" s="131">
        <v>2.7778564024720558E-2</v>
      </c>
      <c r="AK23" s="131">
        <v>4.3155645052277689E-2</v>
      </c>
      <c r="AL23" s="131">
        <v>2.4649365804199998E-2</v>
      </c>
      <c r="AM23" s="131">
        <v>3.7924660646152755E-2</v>
      </c>
      <c r="AN23" s="131">
        <v>5.3383791652412485E-2</v>
      </c>
      <c r="AO23" s="131">
        <v>8.3638559735015883E-2</v>
      </c>
      <c r="AP23" s="131">
        <v>3.5093638458866656E-2</v>
      </c>
      <c r="AQ23" s="131">
        <v>4.8776313895315518E-2</v>
      </c>
      <c r="AR23" s="131">
        <v>6.8395762474382463E-2</v>
      </c>
      <c r="AS23" s="131">
        <v>4.2745206824794817E-2</v>
      </c>
      <c r="AT23" s="131">
        <v>6.2897504074006877E-2</v>
      </c>
      <c r="AU23" s="131">
        <v>4.1736168998979688E-2</v>
      </c>
      <c r="AV23" s="131">
        <v>4.8683834776988726E-2</v>
      </c>
      <c r="AW23" s="131">
        <v>2.9518159012538663E-2</v>
      </c>
      <c r="AX23" s="131">
        <v>3.6384667087000819E-2</v>
      </c>
      <c r="AY23" s="131">
        <v>3.99022383665769E-2</v>
      </c>
      <c r="AZ23" s="131">
        <v>5.1465958271109842E-2</v>
      </c>
      <c r="BA23" s="131">
        <v>4.576536005729278E-2</v>
      </c>
      <c r="BB23" s="131">
        <v>4.9311913404922102E-2</v>
      </c>
      <c r="BC23" s="131">
        <v>5.6438174340270458E-2</v>
      </c>
      <c r="BD23" s="131">
        <v>3.963977174453661E-2</v>
      </c>
      <c r="BF23" s="127" t="s">
        <v>115</v>
      </c>
      <c r="BG23" t="s">
        <v>210</v>
      </c>
      <c r="BH23" t="s">
        <v>214</v>
      </c>
      <c r="BI23" t="s">
        <v>212</v>
      </c>
      <c r="BJ23" t="s">
        <v>213</v>
      </c>
      <c r="BK23" t="s">
        <v>215</v>
      </c>
      <c r="BL23" t="s">
        <v>209</v>
      </c>
      <c r="BM23" t="s">
        <v>209</v>
      </c>
      <c r="BN23" t="s">
        <v>215</v>
      </c>
      <c r="BO23" t="s">
        <v>213</v>
      </c>
      <c r="BP23" t="s">
        <v>211</v>
      </c>
      <c r="BQ23" t="s">
        <v>209</v>
      </c>
      <c r="BR23" t="s">
        <v>214</v>
      </c>
      <c r="BS23" t="s">
        <v>215</v>
      </c>
      <c r="BT23" t="s">
        <v>211</v>
      </c>
      <c r="BU23" t="s">
        <v>212</v>
      </c>
      <c r="BV23" t="s">
        <v>209</v>
      </c>
      <c r="BW23" t="s">
        <v>213</v>
      </c>
      <c r="BX23" t="s">
        <v>211</v>
      </c>
      <c r="BY23" t="s">
        <v>214</v>
      </c>
      <c r="BZ23" t="s">
        <v>209</v>
      </c>
      <c r="CA23" t="s">
        <v>215</v>
      </c>
      <c r="CB23" t="s">
        <v>214</v>
      </c>
      <c r="CC23" t="s">
        <v>210</v>
      </c>
      <c r="CD23" t="s">
        <v>212</v>
      </c>
      <c r="CE23" t="s">
        <v>214</v>
      </c>
      <c r="CF23" t="s">
        <v>214</v>
      </c>
    </row>
    <row r="24" spans="2:84">
      <c r="B24" s="127" t="s">
        <v>116</v>
      </c>
      <c r="C24" s="129">
        <f>1-SUM(C22:C23)</f>
        <v>0.34499999999999997</v>
      </c>
      <c r="D24" s="129">
        <f t="shared" ref="D24:AB24" si="36">1-SUM(D22:D23)</f>
        <v>0.35960000000000003</v>
      </c>
      <c r="E24" s="129">
        <f t="shared" si="36"/>
        <v>0.33660000000000001</v>
      </c>
      <c r="F24" s="129">
        <f t="shared" si="36"/>
        <v>0.3468</v>
      </c>
      <c r="G24" s="129">
        <f t="shared" si="36"/>
        <v>0.34140000000000004</v>
      </c>
      <c r="H24" s="129">
        <f t="shared" si="36"/>
        <v>0.33479999999999999</v>
      </c>
      <c r="I24" s="129">
        <f t="shared" si="36"/>
        <v>0.32410000000000005</v>
      </c>
      <c r="J24" s="129">
        <f t="shared" si="36"/>
        <v>0.35880000000000001</v>
      </c>
      <c r="K24" s="129">
        <f t="shared" si="36"/>
        <v>0.37919999999999998</v>
      </c>
      <c r="L24" s="129">
        <f t="shared" si="36"/>
        <v>0.32780000000000009</v>
      </c>
      <c r="M24" s="129">
        <f t="shared" si="36"/>
        <v>0.37719999999999998</v>
      </c>
      <c r="N24" s="129">
        <f t="shared" si="36"/>
        <v>0.36030000000000006</v>
      </c>
      <c r="O24" s="129">
        <f t="shared" si="36"/>
        <v>0.35060000000000002</v>
      </c>
      <c r="P24" s="129">
        <f t="shared" si="36"/>
        <v>0.371</v>
      </c>
      <c r="Q24" s="129">
        <f t="shared" si="36"/>
        <v>0.34060000000000001</v>
      </c>
      <c r="R24" s="129">
        <f t="shared" si="36"/>
        <v>0.37280000000000002</v>
      </c>
      <c r="S24" s="129">
        <f t="shared" si="36"/>
        <v>0.33850000000000002</v>
      </c>
      <c r="T24" s="129">
        <f t="shared" si="36"/>
        <v>0.34780000000000011</v>
      </c>
      <c r="U24" s="129">
        <f t="shared" si="36"/>
        <v>0.37529999999999997</v>
      </c>
      <c r="V24" s="129">
        <f t="shared" si="36"/>
        <v>0.34330000000000005</v>
      </c>
      <c r="W24" s="129">
        <f t="shared" si="36"/>
        <v>0.34930000000000005</v>
      </c>
      <c r="X24" s="129">
        <f t="shared" si="36"/>
        <v>0.37109999999999999</v>
      </c>
      <c r="Y24" s="129">
        <f t="shared" si="36"/>
        <v>0.35630000000000006</v>
      </c>
      <c r="Z24" s="129">
        <f t="shared" si="36"/>
        <v>0.32850000000000001</v>
      </c>
      <c r="AA24" s="129">
        <f t="shared" si="36"/>
        <v>0.3479000000000001</v>
      </c>
      <c r="AB24" s="129">
        <f t="shared" si="36"/>
        <v>0.36070000000000002</v>
      </c>
      <c r="AD24" s="127" t="s">
        <v>116</v>
      </c>
      <c r="AE24" s="131">
        <v>5.9432382010327356E-2</v>
      </c>
      <c r="AF24" s="131">
        <v>4.7251971592388517E-2</v>
      </c>
      <c r="AG24" s="131">
        <v>5.0222003642674491E-2</v>
      </c>
      <c r="AH24" s="131">
        <v>5.909198728619932E-2</v>
      </c>
      <c r="AI24" s="131">
        <v>5.3509312219403297E-2</v>
      </c>
      <c r="AJ24" s="131">
        <v>4.6778564024720568E-2</v>
      </c>
      <c r="AK24" s="131">
        <v>6.2155645052277692E-2</v>
      </c>
      <c r="AL24" s="131">
        <v>4.3649365804200008E-2</v>
      </c>
      <c r="AM24" s="131">
        <v>5.6924660646152765E-2</v>
      </c>
      <c r="AN24" s="131">
        <v>7.2383791652412488E-2</v>
      </c>
      <c r="AO24" s="131">
        <v>0.1026385597350159</v>
      </c>
      <c r="AP24" s="131">
        <v>5.4093638458866666E-2</v>
      </c>
      <c r="AQ24" s="131">
        <v>6.7776313895315521E-2</v>
      </c>
      <c r="AR24" s="131">
        <v>8.739576247438248E-2</v>
      </c>
      <c r="AS24" s="131">
        <v>6.1745206824794827E-2</v>
      </c>
      <c r="AT24" s="131">
        <v>8.1897504074006894E-2</v>
      </c>
      <c r="AU24" s="131">
        <v>6.0736168998979698E-2</v>
      </c>
      <c r="AV24" s="131">
        <v>6.7683834776988736E-2</v>
      </c>
      <c r="AW24" s="131">
        <v>4.851815901253867E-2</v>
      </c>
      <c r="AX24" s="131">
        <v>5.5384667087000829E-2</v>
      </c>
      <c r="AY24" s="131">
        <v>5.890223836657691E-2</v>
      </c>
      <c r="AZ24" s="131">
        <v>7.0465958271109852E-2</v>
      </c>
      <c r="BA24" s="131">
        <v>6.476536005729279E-2</v>
      </c>
      <c r="BB24" s="131">
        <v>6.8311913404922112E-2</v>
      </c>
      <c r="BC24" s="131">
        <v>7.5438174340270475E-2</v>
      </c>
      <c r="BD24" s="131">
        <v>5.863977174453662E-2</v>
      </c>
      <c r="BF24" s="127" t="s">
        <v>116</v>
      </c>
      <c r="BG24" t="s">
        <v>212</v>
      </c>
      <c r="BH24" t="s">
        <v>214</v>
      </c>
      <c r="BI24" t="s">
        <v>213</v>
      </c>
      <c r="BJ24" t="s">
        <v>214</v>
      </c>
      <c r="BK24" t="s">
        <v>213</v>
      </c>
      <c r="BL24" t="s">
        <v>214</v>
      </c>
      <c r="BM24" t="s">
        <v>213</v>
      </c>
      <c r="BN24" t="s">
        <v>213</v>
      </c>
      <c r="BO24" t="s">
        <v>211</v>
      </c>
      <c r="BP24" t="s">
        <v>212</v>
      </c>
      <c r="BQ24" t="s">
        <v>210</v>
      </c>
      <c r="BR24" t="s">
        <v>211</v>
      </c>
      <c r="BS24" t="s">
        <v>213</v>
      </c>
      <c r="BT24" t="s">
        <v>209</v>
      </c>
      <c r="BU24" t="s">
        <v>210</v>
      </c>
      <c r="BV24" t="s">
        <v>209</v>
      </c>
      <c r="BW24" t="s">
        <v>209</v>
      </c>
      <c r="BX24" t="s">
        <v>213</v>
      </c>
      <c r="BY24" t="s">
        <v>210</v>
      </c>
      <c r="BZ24" t="s">
        <v>209</v>
      </c>
      <c r="CA24" t="s">
        <v>212</v>
      </c>
      <c r="CB24" t="s">
        <v>215</v>
      </c>
      <c r="CC24" t="s">
        <v>211</v>
      </c>
      <c r="CD24" t="s">
        <v>214</v>
      </c>
      <c r="CE24" t="s">
        <v>214</v>
      </c>
      <c r="CF24" t="s">
        <v>211</v>
      </c>
    </row>
    <row r="25" spans="2:84">
      <c r="B25" s="114" t="s">
        <v>77</v>
      </c>
      <c r="C25" s="129">
        <v>2.1999999999999999E-2</v>
      </c>
      <c r="D25" s="129">
        <v>1.9299999999999991E-2</v>
      </c>
      <c r="E25" s="129">
        <v>2.12E-2</v>
      </c>
      <c r="F25" s="129">
        <v>2.0399999999999995E-2</v>
      </c>
      <c r="G25" s="129">
        <v>1.6800000000000006E-2</v>
      </c>
      <c r="H25" s="129">
        <v>2.2799999999999994E-2</v>
      </c>
      <c r="I25" s="129">
        <v>1.8699999999999994E-2</v>
      </c>
      <c r="J25" s="129">
        <v>1.9099999999999999E-2</v>
      </c>
      <c r="K25" s="129">
        <v>2.1899999999999989E-2</v>
      </c>
      <c r="L25" s="129">
        <v>1.5099999999999988E-2</v>
      </c>
      <c r="M25" s="129">
        <v>2.1599999999999994E-2</v>
      </c>
      <c r="N25" s="129">
        <v>1.9799999999999998E-2</v>
      </c>
      <c r="O25" s="129">
        <v>1.6500000000000001E-2</v>
      </c>
      <c r="P25" s="129">
        <v>2.23E-2</v>
      </c>
      <c r="Q25" s="129">
        <v>1.2700000000000003E-2</v>
      </c>
      <c r="R25" s="129">
        <v>2.1899999999999989E-2</v>
      </c>
      <c r="S25" s="129">
        <v>1.9799999999999991E-2</v>
      </c>
      <c r="T25" s="129">
        <v>1.72E-2</v>
      </c>
      <c r="U25" s="129">
        <v>1.84E-2</v>
      </c>
      <c r="V25" s="129">
        <v>2.1299999999999993E-2</v>
      </c>
      <c r="W25" s="129">
        <v>1.24E-2</v>
      </c>
      <c r="X25" s="129">
        <v>2.0199999999999999E-2</v>
      </c>
      <c r="Y25" s="129">
        <v>1.89E-2</v>
      </c>
      <c r="Z25" s="129">
        <v>1.61E-2</v>
      </c>
      <c r="AA25" s="129">
        <v>2.1600000000000001E-2</v>
      </c>
      <c r="AB25" s="129">
        <v>1.61E-2</v>
      </c>
      <c r="AD25" s="114" t="s">
        <v>77</v>
      </c>
      <c r="AE25" s="130">
        <v>3.5178354440327346E-2</v>
      </c>
      <c r="AF25" s="130">
        <v>2.2997944022388507E-2</v>
      </c>
      <c r="AG25" s="130">
        <v>2.5967976072674481E-2</v>
      </c>
      <c r="AH25" s="130">
        <v>3.483795971619931E-2</v>
      </c>
      <c r="AI25" s="130">
        <v>2.9255284649403288E-2</v>
      </c>
      <c r="AJ25" s="130">
        <v>2.2524536454720558E-2</v>
      </c>
      <c r="AK25" s="130">
        <v>3.7901617482277689E-2</v>
      </c>
      <c r="AL25" s="130">
        <v>1.9395338234199998E-2</v>
      </c>
      <c r="AM25" s="130">
        <v>3.2670633076152755E-2</v>
      </c>
      <c r="AN25" s="130">
        <v>4.8129764082412485E-2</v>
      </c>
      <c r="AO25" s="130">
        <v>7.8384532165015883E-2</v>
      </c>
      <c r="AP25" s="130">
        <v>2.9839610888866656E-2</v>
      </c>
      <c r="AQ25" s="130">
        <v>4.3522286325315518E-2</v>
      </c>
      <c r="AR25" s="130">
        <v>6.3141734904382463E-2</v>
      </c>
      <c r="AS25" s="130">
        <v>3.7491179254794817E-2</v>
      </c>
      <c r="AT25" s="130">
        <v>5.7643476504006884E-2</v>
      </c>
      <c r="AU25" s="130">
        <v>3.6482141428979688E-2</v>
      </c>
      <c r="AV25" s="130">
        <v>4.3429807206988726E-2</v>
      </c>
      <c r="AW25" s="130">
        <v>2.4264131442538663E-2</v>
      </c>
      <c r="AX25" s="130">
        <v>3.1130639517000819E-2</v>
      </c>
      <c r="AY25" s="130">
        <v>3.46482107965769E-2</v>
      </c>
      <c r="AZ25" s="130">
        <v>4.6211930701109842E-2</v>
      </c>
      <c r="BA25" s="130">
        <v>4.051133248729278E-2</v>
      </c>
      <c r="BB25" s="130">
        <v>4.4057885834922102E-2</v>
      </c>
      <c r="BC25" s="130">
        <v>5.1184146770270458E-2</v>
      </c>
      <c r="BD25" s="130">
        <v>3.438574417453661E-2</v>
      </c>
      <c r="BF25" s="114" t="s">
        <v>77</v>
      </c>
      <c r="BG25" t="s">
        <v>214</v>
      </c>
      <c r="BH25" t="s">
        <v>213</v>
      </c>
      <c r="BI25" t="s">
        <v>212</v>
      </c>
      <c r="BJ25" t="s">
        <v>211</v>
      </c>
      <c r="BK25" t="s">
        <v>209</v>
      </c>
      <c r="BL25" t="s">
        <v>214</v>
      </c>
      <c r="BM25" t="s">
        <v>212</v>
      </c>
      <c r="BN25" t="s">
        <v>214</v>
      </c>
      <c r="BO25" t="s">
        <v>209</v>
      </c>
      <c r="BP25" t="s">
        <v>209</v>
      </c>
      <c r="BQ25" t="s">
        <v>215</v>
      </c>
      <c r="BR25" t="s">
        <v>211</v>
      </c>
      <c r="BS25" t="s">
        <v>214</v>
      </c>
      <c r="BT25" t="s">
        <v>214</v>
      </c>
      <c r="BU25" t="s">
        <v>209</v>
      </c>
      <c r="BV25" t="s">
        <v>209</v>
      </c>
      <c r="BW25" t="s">
        <v>211</v>
      </c>
      <c r="BX25" t="s">
        <v>209</v>
      </c>
      <c r="BY25" t="s">
        <v>209</v>
      </c>
      <c r="BZ25" t="s">
        <v>209</v>
      </c>
      <c r="CA25" t="s">
        <v>215</v>
      </c>
      <c r="CB25" t="s">
        <v>209</v>
      </c>
      <c r="CC25" t="s">
        <v>210</v>
      </c>
      <c r="CD25" t="s">
        <v>213</v>
      </c>
      <c r="CE25" t="s">
        <v>211</v>
      </c>
      <c r="CF25" t="s">
        <v>214</v>
      </c>
    </row>
    <row r="26" spans="2:84">
      <c r="B26" s="114" t="s">
        <v>78</v>
      </c>
      <c r="C26" s="129">
        <v>6.88E-2</v>
      </c>
      <c r="D26" s="129">
        <v>5.8199999999999995E-2</v>
      </c>
      <c r="E26" s="129">
        <v>5.1500000000000004E-2</v>
      </c>
      <c r="F26" s="129">
        <v>6.1399999999999996E-2</v>
      </c>
      <c r="G26" s="129">
        <v>5.1199999999999996E-2</v>
      </c>
      <c r="H26" s="129">
        <v>5.91E-2</v>
      </c>
      <c r="I26" s="129">
        <v>6.8400000000000002E-2</v>
      </c>
      <c r="J26" s="129">
        <v>6.8099999999999994E-2</v>
      </c>
      <c r="K26" s="129">
        <v>5.1700000000000003E-2</v>
      </c>
      <c r="L26" s="129">
        <v>5.6499999999999995E-2</v>
      </c>
      <c r="M26" s="129">
        <v>6.4000000000000001E-2</v>
      </c>
      <c r="N26" s="129">
        <v>6.5299999999999997E-2</v>
      </c>
      <c r="O26" s="129">
        <v>6.7599999999999993E-2</v>
      </c>
      <c r="P26" s="129">
        <v>5.8999999999999997E-2</v>
      </c>
      <c r="Q26" s="129">
        <v>5.099999999999999E-2</v>
      </c>
      <c r="R26" s="129">
        <v>5.4699999999999999E-2</v>
      </c>
      <c r="S26" s="129">
        <v>6.8499999999999991E-2</v>
      </c>
      <c r="T26" s="129">
        <v>6.3299999999999995E-2</v>
      </c>
      <c r="U26" s="129">
        <v>5.33E-2</v>
      </c>
      <c r="V26" s="129">
        <v>6.9800000000000001E-2</v>
      </c>
      <c r="W26" s="129">
        <v>5.9799999999999999E-2</v>
      </c>
      <c r="X26" s="129">
        <v>5.7599999999999998E-2</v>
      </c>
      <c r="Y26" s="129">
        <v>6.3E-2</v>
      </c>
      <c r="Z26" s="129">
        <v>5.630000000000001E-2</v>
      </c>
      <c r="AA26" s="129">
        <v>5.1400000000000001E-2</v>
      </c>
      <c r="AB26" s="129">
        <v>6.7399999999999988E-2</v>
      </c>
      <c r="AD26" s="114" t="s">
        <v>78</v>
      </c>
      <c r="AE26" s="130">
        <v>5.7102382010327357E-2</v>
      </c>
      <c r="AF26" s="130">
        <v>4.4921971592388518E-2</v>
      </c>
      <c r="AG26" s="130">
        <v>4.7892003642674492E-2</v>
      </c>
      <c r="AH26" s="130">
        <v>5.6761987286199321E-2</v>
      </c>
      <c r="AI26" s="130">
        <v>5.1179312219403299E-2</v>
      </c>
      <c r="AJ26" s="130">
        <v>4.4448564024720569E-2</v>
      </c>
      <c r="AK26" s="130">
        <v>5.98256450522777E-2</v>
      </c>
      <c r="AL26" s="130">
        <v>4.1319365804200009E-2</v>
      </c>
      <c r="AM26" s="130">
        <v>5.4594660646152766E-2</v>
      </c>
      <c r="AN26" s="130">
        <v>7.0053791652412489E-2</v>
      </c>
      <c r="AO26" s="130">
        <v>0.1003085597350159</v>
      </c>
      <c r="AP26" s="130">
        <v>5.1763638458866668E-2</v>
      </c>
      <c r="AQ26" s="130">
        <v>6.5446313895315522E-2</v>
      </c>
      <c r="AR26" s="130">
        <v>8.5065762474382481E-2</v>
      </c>
      <c r="AS26" s="130">
        <v>5.9415206824794828E-2</v>
      </c>
      <c r="AT26" s="130">
        <v>7.9567504074006895E-2</v>
      </c>
      <c r="AU26" s="130">
        <v>5.8406168998979699E-2</v>
      </c>
      <c r="AV26" s="130">
        <v>6.5353834776988737E-2</v>
      </c>
      <c r="AW26" s="130">
        <v>4.6188159012538671E-2</v>
      </c>
      <c r="AX26" s="130">
        <v>5.305466708700083E-2</v>
      </c>
      <c r="AY26" s="130">
        <v>5.6572238366576912E-2</v>
      </c>
      <c r="AZ26" s="130">
        <v>6.8135958271109853E-2</v>
      </c>
      <c r="BA26" s="130">
        <v>6.2435360057292791E-2</v>
      </c>
      <c r="BB26" s="130">
        <v>6.5981913404922113E-2</v>
      </c>
      <c r="BC26" s="130">
        <v>7.3108174340270476E-2</v>
      </c>
      <c r="BD26" s="130">
        <v>5.6309771744536621E-2</v>
      </c>
      <c r="BF26" s="114" t="s">
        <v>78</v>
      </c>
      <c r="BG26" t="s">
        <v>212</v>
      </c>
      <c r="BH26" t="s">
        <v>209</v>
      </c>
      <c r="BI26" t="s">
        <v>215</v>
      </c>
      <c r="BJ26" t="s">
        <v>209</v>
      </c>
      <c r="BK26" t="s">
        <v>213</v>
      </c>
      <c r="BL26" t="s">
        <v>210</v>
      </c>
      <c r="BM26" t="s">
        <v>212</v>
      </c>
      <c r="BN26" t="s">
        <v>213</v>
      </c>
      <c r="BO26" t="s">
        <v>215</v>
      </c>
      <c r="BP26" t="s">
        <v>214</v>
      </c>
      <c r="BQ26" t="s">
        <v>209</v>
      </c>
      <c r="BR26" t="s">
        <v>215</v>
      </c>
      <c r="BS26" t="s">
        <v>215</v>
      </c>
      <c r="BT26" t="s">
        <v>209</v>
      </c>
      <c r="BU26" t="s">
        <v>210</v>
      </c>
      <c r="BV26" t="s">
        <v>212</v>
      </c>
      <c r="BW26" t="s">
        <v>214</v>
      </c>
      <c r="BX26" t="s">
        <v>211</v>
      </c>
      <c r="BY26" t="s">
        <v>212</v>
      </c>
      <c r="BZ26" t="s">
        <v>212</v>
      </c>
      <c r="CA26" t="s">
        <v>212</v>
      </c>
      <c r="CB26" t="s">
        <v>213</v>
      </c>
      <c r="CC26" t="s">
        <v>212</v>
      </c>
      <c r="CD26" t="s">
        <v>212</v>
      </c>
      <c r="CE26" t="s">
        <v>213</v>
      </c>
      <c r="CF26" t="s">
        <v>211</v>
      </c>
    </row>
    <row r="27" spans="2:84">
      <c r="B27" s="114" t="s">
        <v>79</v>
      </c>
      <c r="C27" s="129">
        <v>5.3799999999999924E-2</v>
      </c>
      <c r="D27" s="129">
        <v>4.3899999999999932E-2</v>
      </c>
      <c r="E27" s="129">
        <v>3.9499999999999931E-2</v>
      </c>
      <c r="F27" s="129">
        <v>5.3099999999999925E-2</v>
      </c>
      <c r="G27" s="129">
        <v>3.9899999999999936E-2</v>
      </c>
      <c r="H27" s="129">
        <v>5.4699999999999929E-2</v>
      </c>
      <c r="I27" s="129">
        <v>5.449999999999993E-2</v>
      </c>
      <c r="J27" s="129">
        <v>5.1199999999999926E-2</v>
      </c>
      <c r="K27" s="129">
        <v>4.9099999999999928E-2</v>
      </c>
      <c r="L27" s="129">
        <v>5.3499999999999923E-2</v>
      </c>
      <c r="M27" s="129">
        <v>4.8899999999999916E-2</v>
      </c>
      <c r="N27" s="129">
        <v>5.3799999999999917E-2</v>
      </c>
      <c r="O27" s="129">
        <v>3.9599999999999927E-2</v>
      </c>
      <c r="P27" s="129">
        <v>3.7499999999999929E-2</v>
      </c>
      <c r="Q27" s="129">
        <v>3.8799999999999932E-2</v>
      </c>
      <c r="R27" s="129">
        <v>4.019999999999993E-2</v>
      </c>
      <c r="S27" s="129">
        <v>4.8599999999999928E-2</v>
      </c>
      <c r="T27" s="129">
        <v>5.3499999999999923E-2</v>
      </c>
      <c r="U27" s="129">
        <v>4.879999999999992E-2</v>
      </c>
      <c r="V27" s="129">
        <v>5.229999999999993E-2</v>
      </c>
      <c r="W27" s="129">
        <v>5.4599999999999926E-2</v>
      </c>
      <c r="X27" s="129">
        <v>4.7999999999999932E-2</v>
      </c>
      <c r="Y27" s="129">
        <v>3.9999999999999938E-2</v>
      </c>
      <c r="Z27" s="129">
        <v>4.9999999999999926E-2</v>
      </c>
      <c r="AA27" s="129">
        <v>5.3199999999999914E-2</v>
      </c>
      <c r="AB27" s="129">
        <v>5.279999999999993E-2</v>
      </c>
      <c r="AD27" s="114" t="s">
        <v>79</v>
      </c>
      <c r="AE27" s="130">
        <v>6.9432382010327337E-2</v>
      </c>
      <c r="AF27" s="130">
        <v>5.7251971592388512E-2</v>
      </c>
      <c r="AG27" s="130">
        <v>6.0222003642674486E-2</v>
      </c>
      <c r="AH27" s="130">
        <v>6.9091987286199308E-2</v>
      </c>
      <c r="AI27" s="130">
        <v>6.3509312219403286E-2</v>
      </c>
      <c r="AJ27" s="130">
        <v>5.6778564024720563E-2</v>
      </c>
      <c r="AK27" s="130">
        <v>7.21556450522777E-2</v>
      </c>
      <c r="AL27" s="130">
        <v>5.3649365804200003E-2</v>
      </c>
      <c r="AM27" s="130">
        <v>6.6924660646152767E-2</v>
      </c>
      <c r="AN27" s="130">
        <v>8.2383791652412497E-2</v>
      </c>
      <c r="AO27" s="130">
        <v>0.11263855973501588</v>
      </c>
      <c r="AP27" s="130">
        <v>6.4093638458866661E-2</v>
      </c>
      <c r="AQ27" s="130">
        <v>7.777631389531553E-2</v>
      </c>
      <c r="AR27" s="130">
        <v>9.7395762474382461E-2</v>
      </c>
      <c r="AS27" s="130">
        <v>7.1745206824794822E-2</v>
      </c>
      <c r="AT27" s="130">
        <v>9.1897504074006875E-2</v>
      </c>
      <c r="AU27" s="130">
        <v>7.0736168998979693E-2</v>
      </c>
      <c r="AV27" s="130">
        <v>7.7683834776988731E-2</v>
      </c>
      <c r="AW27" s="130">
        <v>5.8518159012538665E-2</v>
      </c>
      <c r="AX27" s="130">
        <v>6.5384667087000831E-2</v>
      </c>
      <c r="AY27" s="130">
        <v>6.8902238366576912E-2</v>
      </c>
      <c r="AZ27" s="130">
        <v>8.0465958271109847E-2</v>
      </c>
      <c r="BA27" s="130">
        <v>7.4765360057292785E-2</v>
      </c>
      <c r="BB27" s="130">
        <v>7.8311913404922107E-2</v>
      </c>
      <c r="BC27" s="130">
        <v>8.5438174340270456E-2</v>
      </c>
      <c r="BD27" s="130">
        <v>6.8639771744536615E-2</v>
      </c>
      <c r="BF27" s="114" t="s">
        <v>79</v>
      </c>
      <c r="BG27" t="s">
        <v>210</v>
      </c>
      <c r="BH27" t="s">
        <v>213</v>
      </c>
      <c r="BI27" t="s">
        <v>212</v>
      </c>
      <c r="BJ27" t="s">
        <v>215</v>
      </c>
      <c r="BK27" t="s">
        <v>210</v>
      </c>
      <c r="BL27" t="s">
        <v>215</v>
      </c>
      <c r="BM27" t="s">
        <v>210</v>
      </c>
      <c r="BN27" t="s">
        <v>210</v>
      </c>
      <c r="BO27" t="s">
        <v>212</v>
      </c>
      <c r="BP27" t="s">
        <v>210</v>
      </c>
      <c r="BQ27" t="s">
        <v>212</v>
      </c>
      <c r="BR27" t="s">
        <v>213</v>
      </c>
      <c r="BS27" t="s">
        <v>210</v>
      </c>
      <c r="BT27" t="s">
        <v>213</v>
      </c>
      <c r="BU27" t="s">
        <v>215</v>
      </c>
      <c r="BV27" t="s">
        <v>212</v>
      </c>
      <c r="BW27" t="s">
        <v>209</v>
      </c>
      <c r="BX27" t="s">
        <v>209</v>
      </c>
      <c r="BY27" t="s">
        <v>212</v>
      </c>
      <c r="BZ27" t="s">
        <v>212</v>
      </c>
      <c r="CA27" t="s">
        <v>209</v>
      </c>
      <c r="CB27" t="s">
        <v>213</v>
      </c>
      <c r="CC27" t="s">
        <v>212</v>
      </c>
      <c r="CD27" t="s">
        <v>211</v>
      </c>
      <c r="CE27" t="s">
        <v>215</v>
      </c>
      <c r="CF27" t="s">
        <v>209</v>
      </c>
    </row>
    <row r="28" spans="2:84">
      <c r="B28" s="114"/>
      <c r="AD28" s="114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F28" s="114"/>
    </row>
    <row r="29" spans="2:84">
      <c r="B29" s="124" t="s">
        <v>226</v>
      </c>
      <c r="AD29" s="124" t="s">
        <v>226</v>
      </c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F29" s="124" t="s">
        <v>226</v>
      </c>
    </row>
    <row r="30" spans="2:84">
      <c r="B30" s="114" t="s">
        <v>88</v>
      </c>
      <c r="C30" s="122">
        <f>1-SUM(C31:C34)</f>
        <v>0.14969999999999983</v>
      </c>
      <c r="D30" s="122">
        <f t="shared" ref="D30:AB30" si="37">1-SUM(D31:D34)</f>
        <v>0.16559999999999997</v>
      </c>
      <c r="E30" s="122">
        <f t="shared" si="37"/>
        <v>0.14269999999999994</v>
      </c>
      <c r="F30" s="122">
        <f t="shared" si="37"/>
        <v>9.849999999999981E-2</v>
      </c>
      <c r="G30" s="122">
        <f t="shared" si="37"/>
        <v>0.11059999999999992</v>
      </c>
      <c r="H30" s="122">
        <f t="shared" si="37"/>
        <v>0.15779999999999994</v>
      </c>
      <c r="I30" s="122">
        <f t="shared" si="37"/>
        <v>0.1429999999999999</v>
      </c>
      <c r="J30" s="122">
        <f t="shared" si="37"/>
        <v>0.14200000000000002</v>
      </c>
      <c r="K30" s="122">
        <f t="shared" si="37"/>
        <v>0.15879999999999994</v>
      </c>
      <c r="L30" s="122">
        <f t="shared" si="37"/>
        <v>0.12069999999999992</v>
      </c>
      <c r="M30" s="122">
        <f t="shared" si="37"/>
        <v>0.13189999999999991</v>
      </c>
      <c r="N30" s="122">
        <f t="shared" si="37"/>
        <v>0.15280000000000005</v>
      </c>
      <c r="O30" s="122">
        <f t="shared" si="37"/>
        <v>0.13869999999999993</v>
      </c>
      <c r="P30" s="122">
        <f t="shared" si="37"/>
        <v>0.15839999999999999</v>
      </c>
      <c r="Q30" s="122">
        <f t="shared" si="37"/>
        <v>0.15559999999999996</v>
      </c>
      <c r="R30" s="122">
        <f t="shared" si="37"/>
        <v>0.14789999999999992</v>
      </c>
      <c r="S30" s="122">
        <f t="shared" si="37"/>
        <v>0.14369999999999994</v>
      </c>
      <c r="T30" s="122">
        <f t="shared" si="37"/>
        <v>0.15069999999999983</v>
      </c>
      <c r="U30" s="122">
        <f t="shared" si="37"/>
        <v>0.16429999999999989</v>
      </c>
      <c r="V30" s="122">
        <f t="shared" si="37"/>
        <v>0.1621999999999999</v>
      </c>
      <c r="W30" s="122">
        <f t="shared" si="37"/>
        <v>0.10379999999999989</v>
      </c>
      <c r="X30" s="122">
        <f t="shared" si="37"/>
        <v>0.1522</v>
      </c>
      <c r="Y30" s="122">
        <f t="shared" si="37"/>
        <v>9.9399999999999933E-2</v>
      </c>
      <c r="Z30" s="122">
        <f t="shared" si="37"/>
        <v>0.14499999999999991</v>
      </c>
      <c r="AA30" s="122">
        <f t="shared" si="37"/>
        <v>0.16939999999999988</v>
      </c>
      <c r="AB30" s="122">
        <f t="shared" si="37"/>
        <v>0.1359999999999999</v>
      </c>
      <c r="AD30" s="114" t="s">
        <v>88</v>
      </c>
      <c r="AE30" s="130">
        <v>3.2138564720970694E-2</v>
      </c>
      <c r="AF30" s="130">
        <v>1.9919678770306419E-2</v>
      </c>
      <c r="AG30" s="130">
        <v>2.2885417266461636E-2</v>
      </c>
      <c r="AH30" s="130">
        <v>3.1316901008474902E-2</v>
      </c>
      <c r="AI30" s="130">
        <v>2.5470446274363449E-2</v>
      </c>
      <c r="AJ30" s="130">
        <v>1.9555765791133856E-2</v>
      </c>
      <c r="AK30" s="130">
        <v>3.5320548399669527E-2</v>
      </c>
      <c r="AL30" s="130">
        <v>1.6707287275030836E-2</v>
      </c>
      <c r="AM30" s="130">
        <v>2.9441938143567221E-2</v>
      </c>
      <c r="AN30" s="130">
        <v>4.4723291071460364E-2</v>
      </c>
      <c r="AO30" s="130">
        <v>7.5868025192568633E-2</v>
      </c>
      <c r="AP30" s="130">
        <v>2.6795143785910892E-2</v>
      </c>
      <c r="AQ30" s="130">
        <v>3.9797343785910898E-2</v>
      </c>
      <c r="AR30" s="130">
        <v>6.0313003401207786E-2</v>
      </c>
      <c r="AS30" s="130">
        <v>3.4366082926539115E-2</v>
      </c>
      <c r="AT30" s="130">
        <v>5.3570043785910897E-2</v>
      </c>
      <c r="AU30" s="130">
        <v>3.3492595263804881E-2</v>
      </c>
      <c r="AV30" s="130">
        <v>4.0638695263804883E-2</v>
      </c>
      <c r="AW30" s="130">
        <v>2.0842719573804881E-2</v>
      </c>
      <c r="AX30" s="130">
        <v>2.8441755659844484E-2</v>
      </c>
      <c r="AY30" s="130">
        <v>3.1068855113709305E-2</v>
      </c>
      <c r="AZ30" s="130">
        <v>4.3372055113709292E-2</v>
      </c>
      <c r="BA30" s="130">
        <v>3.6652955113709307E-2</v>
      </c>
      <c r="BB30" s="130">
        <v>4.1417947471830564E-2</v>
      </c>
      <c r="BC30" s="130">
        <v>4.8426608627059532E-2</v>
      </c>
      <c r="BD30" s="130">
        <v>3.2028908627059524E-2</v>
      </c>
      <c r="BF30" s="114" t="s">
        <v>88</v>
      </c>
      <c r="BG30" t="s">
        <v>215</v>
      </c>
      <c r="BH30" t="s">
        <v>214</v>
      </c>
      <c r="BI30" t="s">
        <v>209</v>
      </c>
      <c r="BJ30" t="s">
        <v>213</v>
      </c>
      <c r="BK30" t="s">
        <v>212</v>
      </c>
      <c r="BL30" t="s">
        <v>214</v>
      </c>
      <c r="BM30" t="s">
        <v>209</v>
      </c>
      <c r="BN30" t="s">
        <v>210</v>
      </c>
      <c r="BO30" t="s">
        <v>212</v>
      </c>
      <c r="BP30" t="s">
        <v>215</v>
      </c>
      <c r="BQ30" t="s">
        <v>214</v>
      </c>
      <c r="BR30" t="s">
        <v>213</v>
      </c>
      <c r="BS30" t="s">
        <v>212</v>
      </c>
      <c r="BT30" t="s">
        <v>209</v>
      </c>
      <c r="BU30" t="s">
        <v>209</v>
      </c>
      <c r="BV30" t="s">
        <v>213</v>
      </c>
      <c r="BW30" t="s">
        <v>215</v>
      </c>
      <c r="BX30" t="s">
        <v>213</v>
      </c>
      <c r="BY30" t="s">
        <v>214</v>
      </c>
      <c r="BZ30" t="s">
        <v>213</v>
      </c>
      <c r="CA30" t="s">
        <v>210</v>
      </c>
      <c r="CB30" t="s">
        <v>213</v>
      </c>
      <c r="CC30" t="s">
        <v>215</v>
      </c>
      <c r="CD30" t="s">
        <v>212</v>
      </c>
      <c r="CE30" t="s">
        <v>211</v>
      </c>
      <c r="CF30" t="s">
        <v>215</v>
      </c>
    </row>
    <row r="31" spans="2:84">
      <c r="B31" s="114" t="s">
        <v>89</v>
      </c>
      <c r="C31" s="129">
        <v>0.26680000000000004</v>
      </c>
      <c r="D31" s="129">
        <v>0.27690000000000003</v>
      </c>
      <c r="E31" s="129">
        <v>0.29360000000000003</v>
      </c>
      <c r="F31" s="129">
        <v>0.29680000000000001</v>
      </c>
      <c r="G31" s="129">
        <v>0.29160000000000003</v>
      </c>
      <c r="H31" s="129">
        <v>0.26680000000000004</v>
      </c>
      <c r="I31" s="129">
        <v>0.27800000000000002</v>
      </c>
      <c r="J31" s="129">
        <v>0.28070000000000001</v>
      </c>
      <c r="K31" s="129">
        <v>0.2777</v>
      </c>
      <c r="L31" s="129">
        <v>0.29140000000000005</v>
      </c>
      <c r="M31" s="129">
        <v>0.29630000000000001</v>
      </c>
      <c r="N31" s="129">
        <v>0.26430000000000003</v>
      </c>
      <c r="O31" s="129">
        <v>0.27110000000000001</v>
      </c>
      <c r="P31" s="129">
        <v>0.2742</v>
      </c>
      <c r="Q31" s="129">
        <v>0.2646</v>
      </c>
      <c r="R31" s="129">
        <v>0.26300000000000001</v>
      </c>
      <c r="S31" s="129">
        <v>0.27410000000000001</v>
      </c>
      <c r="T31" s="129">
        <v>0.28340000000000004</v>
      </c>
      <c r="U31" s="129">
        <v>0.2641</v>
      </c>
      <c r="V31" s="129">
        <v>0.27450000000000002</v>
      </c>
      <c r="W31" s="129">
        <v>0.28420000000000001</v>
      </c>
      <c r="X31" s="129">
        <v>0.28200000000000003</v>
      </c>
      <c r="Y31" s="129">
        <v>0.29630000000000001</v>
      </c>
      <c r="Z31" s="129">
        <v>0.28000000000000003</v>
      </c>
      <c r="AA31" s="129">
        <v>0.2878</v>
      </c>
      <c r="AB31" s="129">
        <v>0.29190000000000005</v>
      </c>
      <c r="AD31" s="114" t="s">
        <v>89</v>
      </c>
      <c r="AE31" s="130">
        <v>3.5138564720970697E-2</v>
      </c>
      <c r="AF31" s="130">
        <v>2.2919678770306422E-2</v>
      </c>
      <c r="AG31" s="130">
        <v>2.5885417266461638E-2</v>
      </c>
      <c r="AH31" s="130">
        <v>3.4316901008474905E-2</v>
      </c>
      <c r="AI31" s="130">
        <v>2.8470446274363452E-2</v>
      </c>
      <c r="AJ31" s="130">
        <v>2.2555765791133858E-2</v>
      </c>
      <c r="AK31" s="130">
        <v>3.832054839966953E-2</v>
      </c>
      <c r="AL31" s="130">
        <v>1.9707287275030839E-2</v>
      </c>
      <c r="AM31" s="130">
        <v>3.2441938143567224E-2</v>
      </c>
      <c r="AN31" s="130">
        <v>4.7723291071460366E-2</v>
      </c>
      <c r="AO31" s="130">
        <v>7.8868025192568636E-2</v>
      </c>
      <c r="AP31" s="130">
        <v>2.9795143785910895E-2</v>
      </c>
      <c r="AQ31" s="130">
        <v>4.27973437859109E-2</v>
      </c>
      <c r="AR31" s="130">
        <v>6.3313003401207782E-2</v>
      </c>
      <c r="AS31" s="130">
        <v>3.7366082926539118E-2</v>
      </c>
      <c r="AT31" s="130">
        <v>5.6570043785910899E-2</v>
      </c>
      <c r="AU31" s="130">
        <v>3.6492595263804883E-2</v>
      </c>
      <c r="AV31" s="130">
        <v>4.3638695263804886E-2</v>
      </c>
      <c r="AW31" s="130">
        <v>2.3842719573804884E-2</v>
      </c>
      <c r="AX31" s="130">
        <v>3.1441755659844486E-2</v>
      </c>
      <c r="AY31" s="130">
        <v>3.4068855113709308E-2</v>
      </c>
      <c r="AZ31" s="130">
        <v>4.6372055113709294E-2</v>
      </c>
      <c r="BA31" s="130">
        <v>3.9652955113709309E-2</v>
      </c>
      <c r="BB31" s="130">
        <v>4.4417947471830567E-2</v>
      </c>
      <c r="BC31" s="130">
        <v>5.1426608627059535E-2</v>
      </c>
      <c r="BD31" s="130">
        <v>3.5028908627059527E-2</v>
      </c>
      <c r="BF31" s="114" t="s">
        <v>89</v>
      </c>
      <c r="BG31" t="s">
        <v>215</v>
      </c>
      <c r="BH31" t="s">
        <v>209</v>
      </c>
      <c r="BI31" t="s">
        <v>212</v>
      </c>
      <c r="BJ31" t="s">
        <v>210</v>
      </c>
      <c r="BK31" t="s">
        <v>213</v>
      </c>
      <c r="BL31" t="s">
        <v>211</v>
      </c>
      <c r="BM31" t="s">
        <v>211</v>
      </c>
      <c r="BN31" t="s">
        <v>214</v>
      </c>
      <c r="BO31" t="s">
        <v>209</v>
      </c>
      <c r="BP31" t="s">
        <v>210</v>
      </c>
      <c r="BQ31" t="s">
        <v>209</v>
      </c>
      <c r="BR31" t="s">
        <v>211</v>
      </c>
      <c r="BS31" t="s">
        <v>209</v>
      </c>
      <c r="BT31" t="s">
        <v>212</v>
      </c>
      <c r="BU31" t="s">
        <v>211</v>
      </c>
      <c r="BV31" t="s">
        <v>211</v>
      </c>
      <c r="BW31" t="s">
        <v>212</v>
      </c>
      <c r="BX31" t="s">
        <v>212</v>
      </c>
      <c r="BY31" t="s">
        <v>214</v>
      </c>
      <c r="BZ31" t="s">
        <v>209</v>
      </c>
      <c r="CA31" t="s">
        <v>212</v>
      </c>
      <c r="CB31" t="s">
        <v>210</v>
      </c>
      <c r="CC31" t="s">
        <v>215</v>
      </c>
      <c r="CD31" t="s">
        <v>209</v>
      </c>
      <c r="CE31" t="s">
        <v>210</v>
      </c>
      <c r="CF31" t="s">
        <v>209</v>
      </c>
    </row>
    <row r="32" spans="2:84">
      <c r="B32" s="114" t="s">
        <v>90</v>
      </c>
      <c r="C32" s="129">
        <v>0.32480000000000003</v>
      </c>
      <c r="D32" s="129">
        <v>0.32619999999999999</v>
      </c>
      <c r="E32" s="129">
        <v>0.33200000000000002</v>
      </c>
      <c r="F32" s="129">
        <v>0.33530000000000004</v>
      </c>
      <c r="G32" s="129">
        <v>0.32850000000000001</v>
      </c>
      <c r="H32" s="129">
        <v>0.31720000000000004</v>
      </c>
      <c r="I32" s="129">
        <v>0.3221</v>
      </c>
      <c r="J32" s="129">
        <v>0.32869999999999999</v>
      </c>
      <c r="K32" s="129">
        <v>0.31330000000000002</v>
      </c>
      <c r="L32" s="129">
        <v>0.34079999999999999</v>
      </c>
      <c r="M32" s="129">
        <v>0.34010000000000001</v>
      </c>
      <c r="N32" s="129">
        <v>0.32519999999999999</v>
      </c>
      <c r="O32" s="129">
        <v>0.33380000000000004</v>
      </c>
      <c r="P32" s="129">
        <v>0.3337</v>
      </c>
      <c r="Q32" s="129">
        <v>0.34060000000000001</v>
      </c>
      <c r="R32" s="129">
        <v>0.31370000000000003</v>
      </c>
      <c r="S32" s="129">
        <v>0.3427</v>
      </c>
      <c r="T32" s="129">
        <v>0.32240000000000002</v>
      </c>
      <c r="U32" s="129">
        <v>0.31420000000000003</v>
      </c>
      <c r="V32" s="129">
        <v>0.32480000000000003</v>
      </c>
      <c r="W32" s="129">
        <v>0.33579999999999999</v>
      </c>
      <c r="X32" s="129">
        <v>0.3135</v>
      </c>
      <c r="Y32" s="129">
        <v>0.33550000000000002</v>
      </c>
      <c r="Z32" s="129">
        <v>0.32550000000000001</v>
      </c>
      <c r="AA32" s="129">
        <v>0.31320000000000003</v>
      </c>
      <c r="AB32" s="129">
        <v>0.3306</v>
      </c>
      <c r="AD32" s="114" t="s">
        <v>90</v>
      </c>
      <c r="AE32" s="130">
        <v>4.0138564720970694E-2</v>
      </c>
      <c r="AF32" s="130">
        <v>2.7919678770306419E-2</v>
      </c>
      <c r="AG32" s="130">
        <v>3.0885417266461636E-2</v>
      </c>
      <c r="AH32" s="130">
        <v>3.9316901008474903E-2</v>
      </c>
      <c r="AI32" s="130">
        <v>3.347044627436345E-2</v>
      </c>
      <c r="AJ32" s="130">
        <v>2.7555765791133856E-2</v>
      </c>
      <c r="AK32" s="130">
        <v>4.3320548399669527E-2</v>
      </c>
      <c r="AL32" s="130">
        <v>2.4707287275030836E-2</v>
      </c>
      <c r="AM32" s="130">
        <v>3.7441938143567222E-2</v>
      </c>
      <c r="AN32" s="130">
        <v>5.2723291071460364E-2</v>
      </c>
      <c r="AO32" s="130">
        <v>8.3868025192568627E-2</v>
      </c>
      <c r="AP32" s="130">
        <v>3.4795143785910893E-2</v>
      </c>
      <c r="AQ32" s="130">
        <v>4.7797343785910898E-2</v>
      </c>
      <c r="AR32" s="130">
        <v>6.8313003401207786E-2</v>
      </c>
      <c r="AS32" s="130">
        <v>4.2366082926539116E-2</v>
      </c>
      <c r="AT32" s="130">
        <v>6.1570043785910897E-2</v>
      </c>
      <c r="AU32" s="130">
        <v>4.1492595263804881E-2</v>
      </c>
      <c r="AV32" s="130">
        <v>4.8638695263804883E-2</v>
      </c>
      <c r="AW32" s="130">
        <v>2.8842719573804881E-2</v>
      </c>
      <c r="AX32" s="130">
        <v>3.6441755659844484E-2</v>
      </c>
      <c r="AY32" s="130">
        <v>3.9068855113709305E-2</v>
      </c>
      <c r="AZ32" s="130">
        <v>5.1372055113709292E-2</v>
      </c>
      <c r="BA32" s="130">
        <v>4.4652955113709307E-2</v>
      </c>
      <c r="BB32" s="130">
        <v>4.9417947471830564E-2</v>
      </c>
      <c r="BC32" s="130">
        <v>5.6426608627059532E-2</v>
      </c>
      <c r="BD32" s="130">
        <v>4.0028908627059524E-2</v>
      </c>
      <c r="BF32" s="114" t="s">
        <v>90</v>
      </c>
      <c r="BG32" t="s">
        <v>212</v>
      </c>
      <c r="BH32" t="s">
        <v>214</v>
      </c>
      <c r="BI32" t="s">
        <v>212</v>
      </c>
      <c r="BJ32" t="s">
        <v>213</v>
      </c>
      <c r="BK32" t="s">
        <v>215</v>
      </c>
      <c r="BL32" t="s">
        <v>210</v>
      </c>
      <c r="BM32" t="s">
        <v>210</v>
      </c>
      <c r="BN32" t="s">
        <v>211</v>
      </c>
      <c r="BO32" t="s">
        <v>213</v>
      </c>
      <c r="BP32" t="s">
        <v>210</v>
      </c>
      <c r="BQ32" t="s">
        <v>214</v>
      </c>
      <c r="BR32" t="s">
        <v>210</v>
      </c>
      <c r="BS32" t="s">
        <v>215</v>
      </c>
      <c r="BT32" t="s">
        <v>213</v>
      </c>
      <c r="BU32" t="s">
        <v>214</v>
      </c>
      <c r="BV32" t="s">
        <v>209</v>
      </c>
      <c r="BW32" t="s">
        <v>211</v>
      </c>
      <c r="BX32" t="s">
        <v>215</v>
      </c>
      <c r="BY32" t="s">
        <v>209</v>
      </c>
      <c r="BZ32" t="s">
        <v>211</v>
      </c>
      <c r="CA32" t="s">
        <v>209</v>
      </c>
      <c r="CB32" t="s">
        <v>211</v>
      </c>
      <c r="CC32" t="s">
        <v>210</v>
      </c>
      <c r="CD32" t="s">
        <v>214</v>
      </c>
      <c r="CE32" t="s">
        <v>209</v>
      </c>
      <c r="CF32" t="s">
        <v>215</v>
      </c>
    </row>
    <row r="33" spans="2:84">
      <c r="B33" s="114" t="s">
        <v>91</v>
      </c>
      <c r="C33" s="129">
        <v>0.18029999999999999</v>
      </c>
      <c r="D33" s="129">
        <v>0.16919999999999999</v>
      </c>
      <c r="E33" s="129">
        <v>0.16439999999999999</v>
      </c>
      <c r="F33" s="129">
        <v>0.19739999999999999</v>
      </c>
      <c r="G33" s="129">
        <v>0.19219999999999998</v>
      </c>
      <c r="H33" s="129">
        <v>0.1799</v>
      </c>
      <c r="I33" s="129">
        <v>0.19469999999999998</v>
      </c>
      <c r="J33" s="129">
        <v>0.16980000000000001</v>
      </c>
      <c r="K33" s="129">
        <v>0.18909999999999999</v>
      </c>
      <c r="L33" s="129">
        <v>0.17979999999999999</v>
      </c>
      <c r="M33" s="129">
        <v>0.17049999999999998</v>
      </c>
      <c r="N33" s="129">
        <v>0.17899999999999999</v>
      </c>
      <c r="O33" s="129">
        <v>0.1862</v>
      </c>
      <c r="P33" s="129">
        <v>0.16689999999999999</v>
      </c>
      <c r="Q33" s="129">
        <v>0.17529999999999998</v>
      </c>
      <c r="R33" s="129">
        <v>0.19639999999999999</v>
      </c>
      <c r="S33" s="129">
        <v>0.16469999999999999</v>
      </c>
      <c r="T33" s="129">
        <v>0.16469999999999999</v>
      </c>
      <c r="U33" s="129">
        <v>0.18759999999999999</v>
      </c>
      <c r="V33" s="129">
        <v>0.1724</v>
      </c>
      <c r="W33" s="129">
        <v>0.1966</v>
      </c>
      <c r="X33" s="129">
        <v>0.19119999999999998</v>
      </c>
      <c r="Y33" s="129">
        <v>0.1898</v>
      </c>
      <c r="Z33" s="129">
        <v>0.1792</v>
      </c>
      <c r="AA33" s="129">
        <v>0.16889999999999999</v>
      </c>
      <c r="AB33" s="129">
        <v>0.17679999999999998</v>
      </c>
      <c r="AD33" s="114" t="s">
        <v>91</v>
      </c>
      <c r="AE33" s="130">
        <v>5.0138564720970696E-2</v>
      </c>
      <c r="AF33" s="130">
        <v>3.7919678770306421E-2</v>
      </c>
      <c r="AG33" s="130">
        <v>4.0885417266461638E-2</v>
      </c>
      <c r="AH33" s="130">
        <v>4.9316901008474905E-2</v>
      </c>
      <c r="AI33" s="130">
        <v>4.3470446274363451E-2</v>
      </c>
      <c r="AJ33" s="130">
        <v>3.7555765791133858E-2</v>
      </c>
      <c r="AK33" s="130">
        <v>5.3320548399669529E-2</v>
      </c>
      <c r="AL33" s="130">
        <v>3.4707287275030842E-2</v>
      </c>
      <c r="AM33" s="130">
        <v>4.7441938143567224E-2</v>
      </c>
      <c r="AN33" s="130">
        <v>6.2723291071460366E-2</v>
      </c>
      <c r="AO33" s="130">
        <v>9.3868025192568635E-2</v>
      </c>
      <c r="AP33" s="130">
        <v>4.4795143785910894E-2</v>
      </c>
      <c r="AQ33" s="130">
        <v>5.77973437859109E-2</v>
      </c>
      <c r="AR33" s="130">
        <v>7.8313003401207795E-2</v>
      </c>
      <c r="AS33" s="130">
        <v>5.2366082926539118E-2</v>
      </c>
      <c r="AT33" s="130">
        <v>7.1570043785910892E-2</v>
      </c>
      <c r="AU33" s="130">
        <v>5.1492595263804883E-2</v>
      </c>
      <c r="AV33" s="130">
        <v>5.8638695263804885E-2</v>
      </c>
      <c r="AW33" s="130">
        <v>3.8842719573804883E-2</v>
      </c>
      <c r="AX33" s="130">
        <v>4.6441755659844486E-2</v>
      </c>
      <c r="AY33" s="130">
        <v>4.9068855113709307E-2</v>
      </c>
      <c r="AZ33" s="130">
        <v>6.1372055113709294E-2</v>
      </c>
      <c r="BA33" s="130">
        <v>5.4652955113709309E-2</v>
      </c>
      <c r="BB33" s="130">
        <v>5.9417947471830566E-2</v>
      </c>
      <c r="BC33" s="130">
        <v>6.6426608627059541E-2</v>
      </c>
      <c r="BD33" s="130">
        <v>5.0028908627059526E-2</v>
      </c>
      <c r="BF33" s="114" t="s">
        <v>91</v>
      </c>
      <c r="BG33" t="s">
        <v>214</v>
      </c>
      <c r="BH33" t="s">
        <v>214</v>
      </c>
      <c r="BI33" t="s">
        <v>215</v>
      </c>
      <c r="BJ33" t="s">
        <v>213</v>
      </c>
      <c r="BK33" t="s">
        <v>212</v>
      </c>
      <c r="BL33" t="s">
        <v>214</v>
      </c>
      <c r="BM33" t="s">
        <v>212</v>
      </c>
      <c r="BN33" t="s">
        <v>212</v>
      </c>
      <c r="BO33" t="s">
        <v>214</v>
      </c>
      <c r="BP33" t="s">
        <v>209</v>
      </c>
      <c r="BQ33" t="s">
        <v>213</v>
      </c>
      <c r="BR33" t="s">
        <v>209</v>
      </c>
      <c r="BS33" t="s">
        <v>210</v>
      </c>
      <c r="BT33" t="s">
        <v>210</v>
      </c>
      <c r="BU33" t="s">
        <v>211</v>
      </c>
      <c r="BV33" t="s">
        <v>209</v>
      </c>
      <c r="BW33" t="s">
        <v>214</v>
      </c>
      <c r="BX33" t="s">
        <v>211</v>
      </c>
      <c r="BY33" t="s">
        <v>211</v>
      </c>
      <c r="BZ33" t="s">
        <v>210</v>
      </c>
      <c r="CA33" t="s">
        <v>215</v>
      </c>
      <c r="CB33" t="s">
        <v>211</v>
      </c>
      <c r="CC33" t="s">
        <v>214</v>
      </c>
      <c r="CD33" t="s">
        <v>211</v>
      </c>
      <c r="CE33" t="s">
        <v>209</v>
      </c>
      <c r="CF33" t="s">
        <v>214</v>
      </c>
    </row>
    <row r="34" spans="2:84">
      <c r="B34" s="114" t="s">
        <v>92</v>
      </c>
      <c r="C34" s="129">
        <v>7.8400000000000053E-2</v>
      </c>
      <c r="D34" s="129">
        <v>6.2100000000000058E-2</v>
      </c>
      <c r="E34" s="129">
        <v>6.7300000000000068E-2</v>
      </c>
      <c r="F34" s="129">
        <v>7.200000000000005E-2</v>
      </c>
      <c r="G34" s="129">
        <v>7.7100000000000057E-2</v>
      </c>
      <c r="H34" s="129">
        <v>7.8300000000000064E-2</v>
      </c>
      <c r="I34" s="129">
        <v>6.2200000000000068E-2</v>
      </c>
      <c r="J34" s="129">
        <v>7.8800000000000064E-2</v>
      </c>
      <c r="K34" s="129">
        <v>6.1100000000000064E-2</v>
      </c>
      <c r="L34" s="129">
        <v>6.7300000000000068E-2</v>
      </c>
      <c r="M34" s="129">
        <v>6.1200000000000067E-2</v>
      </c>
      <c r="N34" s="129">
        <v>7.8700000000000048E-2</v>
      </c>
      <c r="O34" s="129">
        <v>7.0200000000000068E-2</v>
      </c>
      <c r="P34" s="129">
        <v>6.6800000000000054E-2</v>
      </c>
      <c r="Q34" s="129">
        <v>6.3900000000000068E-2</v>
      </c>
      <c r="R34" s="129">
        <v>7.9000000000000056E-2</v>
      </c>
      <c r="S34" s="129">
        <v>7.4800000000000061E-2</v>
      </c>
      <c r="T34" s="129">
        <v>7.8800000000000064E-2</v>
      </c>
      <c r="U34" s="129">
        <v>6.9800000000000056E-2</v>
      </c>
      <c r="V34" s="129">
        <v>6.6100000000000061E-2</v>
      </c>
      <c r="W34" s="129">
        <v>7.960000000000006E-2</v>
      </c>
      <c r="X34" s="129">
        <v>6.1100000000000071E-2</v>
      </c>
      <c r="Y34" s="129">
        <v>7.9000000000000056E-2</v>
      </c>
      <c r="Z34" s="129">
        <v>7.0300000000000071E-2</v>
      </c>
      <c r="AA34" s="129">
        <v>6.0700000000000066E-2</v>
      </c>
      <c r="AB34" s="129">
        <v>6.4700000000000063E-2</v>
      </c>
      <c r="AD34" s="114" t="s">
        <v>92</v>
      </c>
      <c r="AE34" s="130">
        <v>5.813856472097069E-2</v>
      </c>
      <c r="AF34" s="130">
        <v>4.5919678770306414E-2</v>
      </c>
      <c r="AG34" s="130">
        <v>4.8885417266461631E-2</v>
      </c>
      <c r="AH34" s="130">
        <v>5.7316901008474898E-2</v>
      </c>
      <c r="AI34" s="130">
        <v>5.1470446274363445E-2</v>
      </c>
      <c r="AJ34" s="130">
        <v>4.5555765791133851E-2</v>
      </c>
      <c r="AK34" s="130">
        <v>6.1320548399669529E-2</v>
      </c>
      <c r="AL34" s="130">
        <v>4.2707287275030835E-2</v>
      </c>
      <c r="AM34" s="130">
        <v>5.5441938143567217E-2</v>
      </c>
      <c r="AN34" s="130">
        <v>7.0723291071460359E-2</v>
      </c>
      <c r="AO34" s="130">
        <v>0.10186802519256863</v>
      </c>
      <c r="AP34" s="130">
        <v>5.2795143785910888E-2</v>
      </c>
      <c r="AQ34" s="130">
        <v>6.5797343785910886E-2</v>
      </c>
      <c r="AR34" s="130">
        <v>8.6313003401207775E-2</v>
      </c>
      <c r="AS34" s="130">
        <v>6.0366082926539111E-2</v>
      </c>
      <c r="AT34" s="130">
        <v>7.9570043785910899E-2</v>
      </c>
      <c r="AU34" s="130">
        <v>5.9492595263804876E-2</v>
      </c>
      <c r="AV34" s="130">
        <v>6.6638695263804879E-2</v>
      </c>
      <c r="AW34" s="130">
        <v>4.6842719573804877E-2</v>
      </c>
      <c r="AX34" s="130">
        <v>5.4441755659844479E-2</v>
      </c>
      <c r="AY34" s="130">
        <v>5.7068855113709301E-2</v>
      </c>
      <c r="AZ34" s="130">
        <v>6.937205511370928E-2</v>
      </c>
      <c r="BA34" s="130">
        <v>6.2652955113709302E-2</v>
      </c>
      <c r="BB34" s="130">
        <v>6.7417947471830553E-2</v>
      </c>
      <c r="BC34" s="130">
        <v>7.4426608627059521E-2</v>
      </c>
      <c r="BD34" s="130">
        <v>5.8028908627059519E-2</v>
      </c>
      <c r="BF34" s="114" t="s">
        <v>92</v>
      </c>
      <c r="BG34" t="s">
        <v>209</v>
      </c>
      <c r="BH34" t="s">
        <v>209</v>
      </c>
      <c r="BI34" t="s">
        <v>210</v>
      </c>
      <c r="BJ34" t="s">
        <v>215</v>
      </c>
      <c r="BK34" t="s">
        <v>211</v>
      </c>
      <c r="BL34" t="s">
        <v>214</v>
      </c>
      <c r="BM34" t="s">
        <v>211</v>
      </c>
      <c r="BN34" t="s">
        <v>212</v>
      </c>
      <c r="BO34" t="s">
        <v>210</v>
      </c>
      <c r="BP34" t="s">
        <v>210</v>
      </c>
      <c r="BQ34" t="s">
        <v>214</v>
      </c>
      <c r="BR34" t="s">
        <v>211</v>
      </c>
      <c r="BS34" t="s">
        <v>215</v>
      </c>
      <c r="BT34" t="s">
        <v>214</v>
      </c>
      <c r="BU34" t="s">
        <v>212</v>
      </c>
      <c r="BV34" t="s">
        <v>214</v>
      </c>
      <c r="BW34" t="s">
        <v>215</v>
      </c>
      <c r="BX34" t="s">
        <v>210</v>
      </c>
      <c r="BY34" t="s">
        <v>215</v>
      </c>
      <c r="BZ34" t="s">
        <v>215</v>
      </c>
      <c r="CA34" t="s">
        <v>211</v>
      </c>
      <c r="CB34" t="s">
        <v>213</v>
      </c>
      <c r="CC34" t="s">
        <v>214</v>
      </c>
      <c r="CD34" t="s">
        <v>214</v>
      </c>
      <c r="CE34" t="s">
        <v>213</v>
      </c>
      <c r="CF34" t="s">
        <v>215</v>
      </c>
    </row>
    <row r="35" spans="2:84">
      <c r="B35" s="114"/>
      <c r="AD35" s="114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F35" s="114"/>
    </row>
    <row r="36" spans="2:84">
      <c r="B36" s="124" t="s">
        <v>227</v>
      </c>
      <c r="AD36" s="124" t="s">
        <v>227</v>
      </c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F36" s="124" t="s">
        <v>227</v>
      </c>
    </row>
    <row r="37" spans="2:84">
      <c r="B37" s="114" t="s">
        <v>93</v>
      </c>
      <c r="C37" s="122">
        <f>1-SUM(C38:C41)</f>
        <v>0.35179999999999989</v>
      </c>
      <c r="D37" s="122">
        <f t="shared" ref="D37" si="38">1-SUM(D38:D41)</f>
        <v>0.3577999999999999</v>
      </c>
      <c r="E37" s="122">
        <f t="shared" ref="E37" si="39">1-SUM(E38:E41)</f>
        <v>0.36269999999999991</v>
      </c>
      <c r="F37" s="122">
        <f t="shared" ref="F37" si="40">1-SUM(F38:F41)</f>
        <v>0.33369999999999989</v>
      </c>
      <c r="G37" s="122">
        <f t="shared" ref="G37" si="41">1-SUM(G38:G41)</f>
        <v>0.34339999999999993</v>
      </c>
      <c r="H37" s="122">
        <f t="shared" ref="H37" si="42">1-SUM(H38:H41)</f>
        <v>0.3304999999999999</v>
      </c>
      <c r="I37" s="122">
        <f t="shared" ref="I37" si="43">1-SUM(I38:I41)</f>
        <v>0.35749999999999993</v>
      </c>
      <c r="J37" s="122">
        <f t="shared" ref="J37" si="44">1-SUM(J38:J41)</f>
        <v>0.36809999999999998</v>
      </c>
      <c r="K37" s="122">
        <f t="shared" ref="K37" si="45">1-SUM(K38:K41)</f>
        <v>0.32519999999999993</v>
      </c>
      <c r="L37" s="122">
        <f t="shared" ref="L37" si="46">1-SUM(L38:L41)</f>
        <v>0.31640000000000001</v>
      </c>
      <c r="M37" s="122">
        <f t="shared" ref="M37" si="47">1-SUM(M38:M41)</f>
        <v>0.33799999999999986</v>
      </c>
      <c r="N37" s="122">
        <f t="shared" ref="N37" si="48">1-SUM(N38:N41)</f>
        <v>0.3518</v>
      </c>
      <c r="O37" s="122">
        <f t="shared" ref="O37" si="49">1-SUM(O38:O41)</f>
        <v>0.35329999999999995</v>
      </c>
      <c r="P37" s="122">
        <f t="shared" ref="P37" si="50">1-SUM(P38:P41)</f>
        <v>0.36369999999999991</v>
      </c>
      <c r="Q37" s="122">
        <f t="shared" ref="Q37" si="51">1-SUM(Q38:Q41)</f>
        <v>0.36919999999999997</v>
      </c>
      <c r="R37" s="122">
        <f t="shared" ref="R37" si="52">1-SUM(R38:R41)</f>
        <v>0.35459999999999992</v>
      </c>
      <c r="S37" s="122">
        <f t="shared" ref="S37" si="53">1-SUM(S38:S41)</f>
        <v>0.35029999999999994</v>
      </c>
      <c r="T37" s="122">
        <f t="shared" ref="T37" si="54">1-SUM(T38:T41)</f>
        <v>0.32289999999999996</v>
      </c>
      <c r="U37" s="122">
        <f t="shared" ref="U37" si="55">1-SUM(U38:U41)</f>
        <v>0.36809999999999987</v>
      </c>
      <c r="V37" s="122">
        <f t="shared" ref="V37" si="56">1-SUM(V38:V41)</f>
        <v>0.35449999999999993</v>
      </c>
      <c r="W37" s="122">
        <f t="shared" ref="W37" si="57">1-SUM(W38:W41)</f>
        <v>0.32999999999999985</v>
      </c>
      <c r="X37" s="122">
        <f t="shared" ref="X37" si="58">1-SUM(X38:X41)</f>
        <v>0.36089999999999978</v>
      </c>
      <c r="Y37" s="122">
        <f t="shared" ref="Y37" si="59">1-SUM(Y38:Y41)</f>
        <v>0.34049999999999991</v>
      </c>
      <c r="Z37" s="122">
        <f t="shared" ref="Z37" si="60">1-SUM(Z38:Z41)</f>
        <v>0.34789999999999988</v>
      </c>
      <c r="AA37" s="122">
        <f t="shared" ref="AA37" si="61">1-SUM(AA38:AA41)</f>
        <v>0.35429999999999995</v>
      </c>
      <c r="AB37" s="122">
        <f t="shared" ref="AB37" si="62">1-SUM(AB38:AB41)</f>
        <v>0.36169999999999991</v>
      </c>
      <c r="AD37" s="114" t="s">
        <v>93</v>
      </c>
      <c r="AE37" s="130">
        <v>4.08708647209707E-2</v>
      </c>
      <c r="AF37" s="130">
        <v>2.857797877030642E-2</v>
      </c>
      <c r="AG37" s="130">
        <v>3.1408017266461641E-2</v>
      </c>
      <c r="AH37" s="130">
        <v>4.0568001008474901E-2</v>
      </c>
      <c r="AI37" s="130">
        <v>3.4764246274363447E-2</v>
      </c>
      <c r="AJ37" s="130">
        <v>2.812516579113386E-2</v>
      </c>
      <c r="AK37" s="130">
        <v>4.3978648399669529E-2</v>
      </c>
      <c r="AL37" s="130">
        <v>2.528088727503084E-2</v>
      </c>
      <c r="AM37" s="130">
        <v>3.8259538143567223E-2</v>
      </c>
      <c r="AN37" s="130">
        <v>5.3391891071460362E-2</v>
      </c>
      <c r="AO37" s="130">
        <v>8.4844625192568607E-2</v>
      </c>
      <c r="AP37" s="130">
        <v>3.5557743785910902E-2</v>
      </c>
      <c r="AQ37" s="130">
        <v>4.8597543785910899E-2</v>
      </c>
      <c r="AR37" s="130">
        <v>6.8940703401207795E-2</v>
      </c>
      <c r="AS37" s="130">
        <v>4.2635782926539113E-2</v>
      </c>
      <c r="AT37" s="130">
        <v>6.2924743785910897E-2</v>
      </c>
      <c r="AU37" s="130">
        <v>4.2156795263804878E-2</v>
      </c>
      <c r="AV37" s="130">
        <v>4.9280595263804884E-2</v>
      </c>
      <c r="AW37" s="130">
        <v>2.9668719573804889E-2</v>
      </c>
      <c r="AX37" s="130">
        <v>3.6510055659844491E-2</v>
      </c>
      <c r="AY37" s="130">
        <v>4.0222755113709305E-2</v>
      </c>
      <c r="AZ37" s="130">
        <v>5.2327955113709308E-2</v>
      </c>
      <c r="BA37" s="130">
        <v>4.5561255113709308E-2</v>
      </c>
      <c r="BB37" s="130">
        <v>5.0205847471830573E-2</v>
      </c>
      <c r="BC37" s="130">
        <v>5.6502108627059532E-2</v>
      </c>
      <c r="BD37" s="130">
        <v>4.0330008627059537E-2</v>
      </c>
      <c r="BF37" s="114" t="s">
        <v>93</v>
      </c>
      <c r="BG37" t="s">
        <v>209</v>
      </c>
      <c r="BH37" t="s">
        <v>210</v>
      </c>
      <c r="BI37" t="s">
        <v>211</v>
      </c>
      <c r="BJ37" t="s">
        <v>212</v>
      </c>
      <c r="BK37" t="s">
        <v>210</v>
      </c>
      <c r="BL37" t="s">
        <v>211</v>
      </c>
      <c r="BM37" t="s">
        <v>215</v>
      </c>
      <c r="BN37" t="s">
        <v>213</v>
      </c>
      <c r="BO37" t="s">
        <v>213</v>
      </c>
      <c r="BP37" t="s">
        <v>213</v>
      </c>
      <c r="BQ37" t="s">
        <v>210</v>
      </c>
      <c r="BR37" t="s">
        <v>212</v>
      </c>
      <c r="BS37" t="s">
        <v>209</v>
      </c>
      <c r="BT37" t="s">
        <v>213</v>
      </c>
      <c r="BU37" t="s">
        <v>211</v>
      </c>
      <c r="BV37" t="s">
        <v>213</v>
      </c>
      <c r="BW37" t="s">
        <v>210</v>
      </c>
      <c r="BX37" t="s">
        <v>209</v>
      </c>
      <c r="BY37" t="s">
        <v>210</v>
      </c>
      <c r="BZ37" t="s">
        <v>210</v>
      </c>
      <c r="CA37" t="s">
        <v>210</v>
      </c>
      <c r="CB37" t="s">
        <v>209</v>
      </c>
      <c r="CC37" t="s">
        <v>214</v>
      </c>
      <c r="CD37" t="s">
        <v>214</v>
      </c>
      <c r="CE37" t="s">
        <v>215</v>
      </c>
      <c r="CF37" t="s">
        <v>209</v>
      </c>
    </row>
    <row r="38" spans="2:84">
      <c r="B38" s="114" t="s">
        <v>94</v>
      </c>
      <c r="C38" s="129">
        <v>9.5000000000000001E-2</v>
      </c>
      <c r="D38" s="129">
        <v>0.10110000000000001</v>
      </c>
      <c r="E38" s="129">
        <v>0.10769999999999999</v>
      </c>
      <c r="F38" s="129">
        <v>0.11080000000000001</v>
      </c>
      <c r="G38" s="129">
        <v>0.1071</v>
      </c>
      <c r="H38" s="129">
        <v>0.1096</v>
      </c>
      <c r="I38" s="129">
        <v>8.8500000000000009E-2</v>
      </c>
      <c r="J38" s="129">
        <v>9.290000000000001E-2</v>
      </c>
      <c r="K38" s="129">
        <v>0.1028</v>
      </c>
      <c r="L38" s="129">
        <v>0.10850000000000001</v>
      </c>
      <c r="M38" s="129">
        <v>0.11</v>
      </c>
      <c r="N38" s="129">
        <v>0.10269999999999999</v>
      </c>
      <c r="O38" s="129">
        <v>9.0200000000000002E-2</v>
      </c>
      <c r="P38" s="129">
        <v>9.6900000000000014E-2</v>
      </c>
      <c r="Q38" s="129">
        <v>9.1300000000000006E-2</v>
      </c>
      <c r="R38" s="129">
        <v>0.11170000000000001</v>
      </c>
      <c r="S38" s="129">
        <v>0.1014</v>
      </c>
      <c r="T38" s="129">
        <v>0.1072</v>
      </c>
      <c r="U38" s="129">
        <v>0.11030000000000001</v>
      </c>
      <c r="V38" s="129">
        <v>8.9400000000000007E-2</v>
      </c>
      <c r="W38" s="129">
        <v>9.3300000000000008E-2</v>
      </c>
      <c r="X38" s="129">
        <v>0.11070000000000001</v>
      </c>
      <c r="Y38" s="129">
        <v>9.4400000000000012E-2</v>
      </c>
      <c r="Z38" s="129">
        <v>8.8500000000000009E-2</v>
      </c>
      <c r="AA38" s="129">
        <v>8.9100000000000013E-2</v>
      </c>
      <c r="AB38" s="129">
        <v>9.0400000000000008E-2</v>
      </c>
      <c r="AD38" s="114" t="s">
        <v>94</v>
      </c>
      <c r="AE38" s="130">
        <v>3.38708647209707E-2</v>
      </c>
      <c r="AF38" s="130">
        <v>2.157797877030642E-2</v>
      </c>
      <c r="AG38" s="130">
        <v>2.4408017266461642E-2</v>
      </c>
      <c r="AH38" s="130">
        <v>3.3568001008474901E-2</v>
      </c>
      <c r="AI38" s="130">
        <v>2.7764246274363448E-2</v>
      </c>
      <c r="AJ38" s="130">
        <v>2.1125165791133861E-2</v>
      </c>
      <c r="AK38" s="130">
        <v>3.6978648399669529E-2</v>
      </c>
      <c r="AL38" s="130">
        <v>1.8280887275030841E-2</v>
      </c>
      <c r="AM38" s="130">
        <v>3.1259538143567224E-2</v>
      </c>
      <c r="AN38" s="130">
        <v>4.6391891071460363E-2</v>
      </c>
      <c r="AO38" s="130">
        <v>7.7844625192568614E-2</v>
      </c>
      <c r="AP38" s="130">
        <v>2.8557743785910902E-2</v>
      </c>
      <c r="AQ38" s="130">
        <v>4.15975437859109E-2</v>
      </c>
      <c r="AR38" s="130">
        <v>6.1940703401207789E-2</v>
      </c>
      <c r="AS38" s="130">
        <v>3.5635782926539114E-2</v>
      </c>
      <c r="AT38" s="130">
        <v>5.5924743785910905E-2</v>
      </c>
      <c r="AU38" s="130">
        <v>3.5156795263804878E-2</v>
      </c>
      <c r="AV38" s="130">
        <v>4.2280595263804885E-2</v>
      </c>
      <c r="AW38" s="130">
        <v>2.2668719573804889E-2</v>
      </c>
      <c r="AX38" s="130">
        <v>2.9510055659844492E-2</v>
      </c>
      <c r="AY38" s="130">
        <v>3.3222755113709306E-2</v>
      </c>
      <c r="AZ38" s="130">
        <v>4.5327955113709309E-2</v>
      </c>
      <c r="BA38" s="130">
        <v>3.8561255113709308E-2</v>
      </c>
      <c r="BB38" s="130">
        <v>4.3205847471830573E-2</v>
      </c>
      <c r="BC38" s="130">
        <v>4.9502108627059532E-2</v>
      </c>
      <c r="BD38" s="130">
        <v>3.3330008627059537E-2</v>
      </c>
      <c r="BF38" s="114" t="s">
        <v>94</v>
      </c>
      <c r="BG38" t="s">
        <v>211</v>
      </c>
      <c r="BH38" t="s">
        <v>215</v>
      </c>
      <c r="BI38" t="s">
        <v>212</v>
      </c>
      <c r="BJ38" t="s">
        <v>214</v>
      </c>
      <c r="BK38" t="s">
        <v>213</v>
      </c>
      <c r="BL38" t="s">
        <v>215</v>
      </c>
      <c r="BM38" t="s">
        <v>215</v>
      </c>
      <c r="BN38" t="s">
        <v>212</v>
      </c>
      <c r="BO38" t="s">
        <v>213</v>
      </c>
      <c r="BP38" t="s">
        <v>211</v>
      </c>
      <c r="BQ38" t="s">
        <v>210</v>
      </c>
      <c r="BR38" t="s">
        <v>211</v>
      </c>
      <c r="BS38" t="s">
        <v>215</v>
      </c>
      <c r="BT38" t="s">
        <v>209</v>
      </c>
      <c r="BU38" t="s">
        <v>212</v>
      </c>
      <c r="BV38" t="s">
        <v>211</v>
      </c>
      <c r="BW38" t="s">
        <v>210</v>
      </c>
      <c r="BX38" t="s">
        <v>213</v>
      </c>
      <c r="BY38" t="s">
        <v>211</v>
      </c>
      <c r="BZ38" t="s">
        <v>211</v>
      </c>
      <c r="CA38" t="s">
        <v>214</v>
      </c>
      <c r="CB38" t="s">
        <v>214</v>
      </c>
      <c r="CC38" t="s">
        <v>210</v>
      </c>
      <c r="CD38" t="s">
        <v>215</v>
      </c>
      <c r="CE38" t="s">
        <v>209</v>
      </c>
      <c r="CF38" t="s">
        <v>211</v>
      </c>
    </row>
    <row r="39" spans="2:84">
      <c r="B39" s="114" t="s">
        <v>95</v>
      </c>
      <c r="C39" s="129">
        <v>0.2361</v>
      </c>
      <c r="D39" s="129">
        <v>0.24809999999999999</v>
      </c>
      <c r="E39" s="129">
        <v>0.2291</v>
      </c>
      <c r="F39" s="129">
        <v>0.24029999999999999</v>
      </c>
      <c r="G39" s="129">
        <v>0.23629999999999998</v>
      </c>
      <c r="H39" s="129">
        <v>0.22789999999999999</v>
      </c>
      <c r="I39" s="129">
        <v>0.23979999999999999</v>
      </c>
      <c r="J39" s="129">
        <v>0.22899999999999998</v>
      </c>
      <c r="K39" s="129">
        <v>0.25629999999999997</v>
      </c>
      <c r="L39" s="129">
        <v>0.24079999999999999</v>
      </c>
      <c r="M39" s="129">
        <v>0.25640000000000002</v>
      </c>
      <c r="N39" s="129">
        <v>0.2334</v>
      </c>
      <c r="O39" s="129">
        <v>0.2414</v>
      </c>
      <c r="P39" s="129">
        <v>0.24209999999999998</v>
      </c>
      <c r="Q39" s="129">
        <v>0.22569999999999998</v>
      </c>
      <c r="R39" s="129">
        <v>0.2356</v>
      </c>
      <c r="S39" s="129">
        <v>0.2369</v>
      </c>
      <c r="T39" s="129">
        <v>0.24559999999999998</v>
      </c>
      <c r="U39" s="129">
        <v>0.22399999999999998</v>
      </c>
      <c r="V39" s="129">
        <v>0.2238</v>
      </c>
      <c r="W39" s="129">
        <v>0.2432</v>
      </c>
      <c r="X39" s="129">
        <v>0.2389</v>
      </c>
      <c r="Y39" s="129">
        <v>0.2301</v>
      </c>
      <c r="Z39" s="129">
        <v>0.25319999999999998</v>
      </c>
      <c r="AA39" s="129">
        <v>0.24179999999999999</v>
      </c>
      <c r="AB39" s="129">
        <v>0.22369999999999998</v>
      </c>
      <c r="AD39" s="114" t="s">
        <v>95</v>
      </c>
      <c r="AE39" s="130">
        <v>2.9870864720970697E-2</v>
      </c>
      <c r="AF39" s="130">
        <v>1.7577978770306417E-2</v>
      </c>
      <c r="AG39" s="130">
        <v>2.0408017266461638E-2</v>
      </c>
      <c r="AH39" s="130">
        <v>2.9568001008474898E-2</v>
      </c>
      <c r="AI39" s="130">
        <v>2.3764246274363444E-2</v>
      </c>
      <c r="AJ39" s="130">
        <v>1.7125165791133858E-2</v>
      </c>
      <c r="AK39" s="130">
        <v>3.2978648399669526E-2</v>
      </c>
      <c r="AL39" s="130">
        <v>1.4280887275030837E-2</v>
      </c>
      <c r="AM39" s="130">
        <v>2.725953814356722E-2</v>
      </c>
      <c r="AN39" s="130">
        <v>4.2391891071460359E-2</v>
      </c>
      <c r="AO39" s="130">
        <v>7.3844625192568611E-2</v>
      </c>
      <c r="AP39" s="130">
        <v>2.4557743785910899E-2</v>
      </c>
      <c r="AQ39" s="130">
        <v>3.7597543785910896E-2</v>
      </c>
      <c r="AR39" s="130">
        <v>5.7940703401207785E-2</v>
      </c>
      <c r="AS39" s="130">
        <v>3.1635782926539111E-2</v>
      </c>
      <c r="AT39" s="130">
        <v>5.1924743785910901E-2</v>
      </c>
      <c r="AU39" s="130">
        <v>3.1156795263804875E-2</v>
      </c>
      <c r="AV39" s="130">
        <v>3.8280595263804881E-2</v>
      </c>
      <c r="AW39" s="130">
        <v>1.8668719573804886E-2</v>
      </c>
      <c r="AX39" s="130">
        <v>2.5510055659844488E-2</v>
      </c>
      <c r="AY39" s="130">
        <v>2.9222755113709302E-2</v>
      </c>
      <c r="AZ39" s="130">
        <v>4.1327955113709305E-2</v>
      </c>
      <c r="BA39" s="130">
        <v>3.4561255113709305E-2</v>
      </c>
      <c r="BB39" s="130">
        <v>3.920584747183057E-2</v>
      </c>
      <c r="BC39" s="130">
        <v>4.5502108627059529E-2</v>
      </c>
      <c r="BD39" s="130">
        <v>2.9330008627059534E-2</v>
      </c>
      <c r="BF39" s="114" t="s">
        <v>95</v>
      </c>
      <c r="BG39" t="s">
        <v>215</v>
      </c>
      <c r="BH39" t="s">
        <v>215</v>
      </c>
      <c r="BI39" t="s">
        <v>210</v>
      </c>
      <c r="BJ39" t="s">
        <v>212</v>
      </c>
      <c r="BK39" t="s">
        <v>214</v>
      </c>
      <c r="BL39" t="s">
        <v>213</v>
      </c>
      <c r="BM39" t="s">
        <v>215</v>
      </c>
      <c r="BN39" t="s">
        <v>215</v>
      </c>
      <c r="BO39" t="s">
        <v>215</v>
      </c>
      <c r="BP39" t="s">
        <v>213</v>
      </c>
      <c r="BQ39" t="s">
        <v>211</v>
      </c>
      <c r="BR39" t="s">
        <v>214</v>
      </c>
      <c r="BS39" t="s">
        <v>215</v>
      </c>
      <c r="BT39" t="s">
        <v>215</v>
      </c>
      <c r="BU39" t="s">
        <v>209</v>
      </c>
      <c r="BV39" t="s">
        <v>211</v>
      </c>
      <c r="BW39" t="s">
        <v>212</v>
      </c>
      <c r="BX39" t="s">
        <v>210</v>
      </c>
      <c r="BY39" t="s">
        <v>213</v>
      </c>
      <c r="BZ39" t="s">
        <v>215</v>
      </c>
      <c r="CA39" t="s">
        <v>214</v>
      </c>
      <c r="CB39" t="s">
        <v>215</v>
      </c>
      <c r="CC39" t="s">
        <v>215</v>
      </c>
      <c r="CD39" t="s">
        <v>212</v>
      </c>
      <c r="CE39" t="s">
        <v>212</v>
      </c>
      <c r="CF39" t="s">
        <v>210</v>
      </c>
    </row>
    <row r="40" spans="2:84">
      <c r="B40" s="114" t="s">
        <v>96</v>
      </c>
      <c r="C40" s="129">
        <v>0.20679999999999998</v>
      </c>
      <c r="D40" s="129">
        <v>0.20099999999999998</v>
      </c>
      <c r="E40" s="129">
        <v>0.20119999999999999</v>
      </c>
      <c r="F40" s="129">
        <v>0.20859999999999998</v>
      </c>
      <c r="G40" s="129">
        <v>0.221</v>
      </c>
      <c r="H40" s="129">
        <v>0.22169999999999998</v>
      </c>
      <c r="I40" s="129">
        <v>0.21059999999999998</v>
      </c>
      <c r="J40" s="129">
        <v>0.1986</v>
      </c>
      <c r="K40" s="129">
        <v>0.222</v>
      </c>
      <c r="L40" s="129">
        <v>0.22469999999999998</v>
      </c>
      <c r="M40" s="129">
        <v>0.2051</v>
      </c>
      <c r="N40" s="129">
        <v>0.20079999999999998</v>
      </c>
      <c r="O40" s="129">
        <v>0.21049999999999999</v>
      </c>
      <c r="P40" s="129">
        <v>0.2011</v>
      </c>
      <c r="Q40" s="129">
        <v>0.20369999999999999</v>
      </c>
      <c r="R40" s="129">
        <v>0.20699999999999999</v>
      </c>
      <c r="S40" s="129">
        <v>0.2064</v>
      </c>
      <c r="T40" s="129">
        <v>0.21509999999999999</v>
      </c>
      <c r="U40" s="129">
        <v>0.20599999999999999</v>
      </c>
      <c r="V40" s="129">
        <v>0.22819999999999999</v>
      </c>
      <c r="W40" s="129">
        <v>0.2238</v>
      </c>
      <c r="X40" s="129">
        <v>0.2001</v>
      </c>
      <c r="Y40" s="129">
        <v>0.22589999999999999</v>
      </c>
      <c r="Z40" s="129">
        <v>0.20579999999999998</v>
      </c>
      <c r="AA40" s="129">
        <v>0.2046</v>
      </c>
      <c r="AB40" s="129">
        <v>0.2233</v>
      </c>
      <c r="AD40" s="114" t="s">
        <v>96</v>
      </c>
      <c r="AE40" s="130">
        <v>4.7870864720970699E-2</v>
      </c>
      <c r="AF40" s="130">
        <v>3.5577978770306419E-2</v>
      </c>
      <c r="AG40" s="130">
        <v>3.840801726646164E-2</v>
      </c>
      <c r="AH40" s="130">
        <v>4.75680010084749E-2</v>
      </c>
      <c r="AI40" s="130">
        <v>4.1764246274363447E-2</v>
      </c>
      <c r="AJ40" s="130">
        <v>3.5125165791133867E-2</v>
      </c>
      <c r="AK40" s="130">
        <v>5.0978648399669528E-2</v>
      </c>
      <c r="AL40" s="130">
        <v>3.228088727503084E-2</v>
      </c>
      <c r="AM40" s="130">
        <v>4.5259538143567223E-2</v>
      </c>
      <c r="AN40" s="130">
        <v>6.0391891071460362E-2</v>
      </c>
      <c r="AO40" s="130">
        <v>9.1844625192568613E-2</v>
      </c>
      <c r="AP40" s="130">
        <v>4.2557743785910901E-2</v>
      </c>
      <c r="AQ40" s="130">
        <v>5.5597543785910898E-2</v>
      </c>
      <c r="AR40" s="130">
        <v>7.5940703401207788E-2</v>
      </c>
      <c r="AS40" s="130">
        <v>4.9635782926539113E-2</v>
      </c>
      <c r="AT40" s="130">
        <v>6.9924743785910903E-2</v>
      </c>
      <c r="AU40" s="130">
        <v>4.9156795263804877E-2</v>
      </c>
      <c r="AV40" s="130">
        <v>5.6280595263804883E-2</v>
      </c>
      <c r="AW40" s="130">
        <v>3.6668719573804888E-2</v>
      </c>
      <c r="AX40" s="130">
        <v>4.351005565984449E-2</v>
      </c>
      <c r="AY40" s="130">
        <v>4.7222755113709304E-2</v>
      </c>
      <c r="AZ40" s="130">
        <v>5.9327955113709308E-2</v>
      </c>
      <c r="BA40" s="130">
        <v>5.2561255113709307E-2</v>
      </c>
      <c r="BB40" s="130">
        <v>5.7205847471830572E-2</v>
      </c>
      <c r="BC40" s="130">
        <v>6.3502108627059531E-2</v>
      </c>
      <c r="BD40" s="130">
        <v>4.7330008627059536E-2</v>
      </c>
      <c r="BF40" s="114" t="s">
        <v>96</v>
      </c>
      <c r="BG40" t="s">
        <v>215</v>
      </c>
      <c r="BH40" t="s">
        <v>215</v>
      </c>
      <c r="BI40" t="s">
        <v>209</v>
      </c>
      <c r="BJ40" t="s">
        <v>211</v>
      </c>
      <c r="BK40" t="s">
        <v>210</v>
      </c>
      <c r="BL40" t="s">
        <v>209</v>
      </c>
      <c r="BM40" t="s">
        <v>213</v>
      </c>
      <c r="BN40" t="s">
        <v>209</v>
      </c>
      <c r="BO40" t="s">
        <v>215</v>
      </c>
      <c r="BP40" t="s">
        <v>209</v>
      </c>
      <c r="BQ40" t="s">
        <v>209</v>
      </c>
      <c r="BR40" t="s">
        <v>213</v>
      </c>
      <c r="BS40" t="s">
        <v>213</v>
      </c>
      <c r="BT40" t="s">
        <v>214</v>
      </c>
      <c r="BU40" t="s">
        <v>214</v>
      </c>
      <c r="BV40" t="s">
        <v>212</v>
      </c>
      <c r="BW40" t="s">
        <v>215</v>
      </c>
      <c r="BX40" t="s">
        <v>210</v>
      </c>
      <c r="BY40" t="s">
        <v>210</v>
      </c>
      <c r="BZ40" t="s">
        <v>214</v>
      </c>
      <c r="CA40" t="s">
        <v>215</v>
      </c>
      <c r="CB40" t="s">
        <v>209</v>
      </c>
      <c r="CC40" t="s">
        <v>212</v>
      </c>
      <c r="CD40" t="s">
        <v>214</v>
      </c>
      <c r="CE40" t="s">
        <v>210</v>
      </c>
      <c r="CF40" t="s">
        <v>215</v>
      </c>
    </row>
    <row r="41" spans="2:84">
      <c r="B41" s="114" t="s">
        <v>97</v>
      </c>
      <c r="C41" s="129">
        <v>0.11030000000000009</v>
      </c>
      <c r="D41" s="129">
        <v>9.2000000000000082E-2</v>
      </c>
      <c r="E41" s="129">
        <v>9.9300000000000083E-2</v>
      </c>
      <c r="F41" s="129">
        <v>0.10660000000000008</v>
      </c>
      <c r="G41" s="129">
        <v>9.2200000000000087E-2</v>
      </c>
      <c r="H41" s="129">
        <v>0.11030000000000008</v>
      </c>
      <c r="I41" s="129">
        <v>0.10360000000000008</v>
      </c>
      <c r="J41" s="129">
        <v>0.11140000000000008</v>
      </c>
      <c r="K41" s="129">
        <v>9.3700000000000089E-2</v>
      </c>
      <c r="L41" s="129">
        <v>0.10960000000000009</v>
      </c>
      <c r="M41" s="129">
        <v>9.0500000000000094E-2</v>
      </c>
      <c r="N41" s="129">
        <v>0.11130000000000009</v>
      </c>
      <c r="O41" s="129">
        <v>0.10460000000000008</v>
      </c>
      <c r="P41" s="129">
        <v>9.6200000000000091E-2</v>
      </c>
      <c r="Q41" s="129">
        <v>0.11010000000000009</v>
      </c>
      <c r="R41" s="129">
        <v>9.1100000000000098E-2</v>
      </c>
      <c r="S41" s="129">
        <v>0.10500000000000009</v>
      </c>
      <c r="T41" s="129">
        <v>0.10920000000000009</v>
      </c>
      <c r="U41" s="129">
        <v>9.1600000000000084E-2</v>
      </c>
      <c r="V41" s="129">
        <v>0.10410000000000008</v>
      </c>
      <c r="W41" s="129">
        <v>0.10970000000000009</v>
      </c>
      <c r="X41" s="129">
        <v>8.9400000000000091E-2</v>
      </c>
      <c r="Y41" s="129">
        <v>0.10910000000000009</v>
      </c>
      <c r="Z41" s="129">
        <v>0.10460000000000008</v>
      </c>
      <c r="AA41" s="129">
        <v>0.11020000000000008</v>
      </c>
      <c r="AB41" s="129">
        <v>0.10090000000000007</v>
      </c>
      <c r="AD41" s="114" t="s">
        <v>97</v>
      </c>
      <c r="AE41" s="130">
        <v>5.68708647209707E-2</v>
      </c>
      <c r="AF41" s="130">
        <v>4.457797877030642E-2</v>
      </c>
      <c r="AG41" s="130">
        <v>4.7408017266461641E-2</v>
      </c>
      <c r="AH41" s="130">
        <v>5.6568001008474901E-2</v>
      </c>
      <c r="AI41" s="130">
        <v>5.0764246274363448E-2</v>
      </c>
      <c r="AJ41" s="130">
        <v>4.4125165791133861E-2</v>
      </c>
      <c r="AK41" s="130">
        <v>5.9978648399669529E-2</v>
      </c>
      <c r="AL41" s="130">
        <v>4.1280887275030848E-2</v>
      </c>
      <c r="AM41" s="130">
        <v>5.4259538143567224E-2</v>
      </c>
      <c r="AN41" s="130">
        <v>6.9391891071460363E-2</v>
      </c>
      <c r="AO41" s="130">
        <v>0.10084462519256862</v>
      </c>
      <c r="AP41" s="130">
        <v>5.1557743785910902E-2</v>
      </c>
      <c r="AQ41" s="130">
        <v>6.4597543785910899E-2</v>
      </c>
      <c r="AR41" s="130">
        <v>8.4940703401207782E-2</v>
      </c>
      <c r="AS41" s="130">
        <v>5.8635782926539114E-2</v>
      </c>
      <c r="AT41" s="130">
        <v>7.8924743785910911E-2</v>
      </c>
      <c r="AU41" s="130">
        <v>5.8156795263804878E-2</v>
      </c>
      <c r="AV41" s="130">
        <v>6.5280595263804891E-2</v>
      </c>
      <c r="AW41" s="130">
        <v>4.5668719573804889E-2</v>
      </c>
      <c r="AX41" s="130">
        <v>5.2510055659844491E-2</v>
      </c>
      <c r="AY41" s="130">
        <v>5.6222755113709305E-2</v>
      </c>
      <c r="AZ41" s="130">
        <v>6.8327955113709316E-2</v>
      </c>
      <c r="BA41" s="130">
        <v>6.1561255113709308E-2</v>
      </c>
      <c r="BB41" s="130">
        <v>6.6205847471830573E-2</v>
      </c>
      <c r="BC41" s="130">
        <v>7.2502108627059525E-2</v>
      </c>
      <c r="BD41" s="130">
        <v>5.6330008627059537E-2</v>
      </c>
      <c r="BF41" s="114" t="s">
        <v>97</v>
      </c>
      <c r="BG41" t="s">
        <v>210</v>
      </c>
      <c r="BH41" t="s">
        <v>210</v>
      </c>
      <c r="BI41" t="s">
        <v>215</v>
      </c>
      <c r="BJ41" t="s">
        <v>209</v>
      </c>
      <c r="BK41" t="s">
        <v>209</v>
      </c>
      <c r="BL41" t="s">
        <v>211</v>
      </c>
      <c r="BM41" t="s">
        <v>210</v>
      </c>
      <c r="BN41" t="s">
        <v>214</v>
      </c>
      <c r="BO41" t="s">
        <v>209</v>
      </c>
      <c r="BP41" t="s">
        <v>211</v>
      </c>
      <c r="BQ41" t="s">
        <v>214</v>
      </c>
      <c r="BR41" t="s">
        <v>211</v>
      </c>
      <c r="BS41" t="s">
        <v>213</v>
      </c>
      <c r="BT41" t="s">
        <v>215</v>
      </c>
      <c r="BU41" t="s">
        <v>210</v>
      </c>
      <c r="BV41" t="s">
        <v>209</v>
      </c>
      <c r="BW41" t="s">
        <v>211</v>
      </c>
      <c r="BX41" t="s">
        <v>213</v>
      </c>
      <c r="BY41" t="s">
        <v>211</v>
      </c>
      <c r="BZ41" t="s">
        <v>215</v>
      </c>
      <c r="CA41" t="s">
        <v>211</v>
      </c>
      <c r="CB41" t="s">
        <v>209</v>
      </c>
      <c r="CC41" t="s">
        <v>213</v>
      </c>
      <c r="CD41" t="s">
        <v>215</v>
      </c>
      <c r="CE41" t="s">
        <v>213</v>
      </c>
      <c r="CF41" t="s">
        <v>210</v>
      </c>
    </row>
    <row r="42" spans="2:84">
      <c r="B42" s="114"/>
      <c r="AD42" s="114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F42" s="114"/>
    </row>
    <row r="43" spans="2:84">
      <c r="B43" s="94" t="s">
        <v>82</v>
      </c>
      <c r="AD43" s="94" t="s">
        <v>82</v>
      </c>
      <c r="AE43" s="122">
        <f>AE44*C44+AE49*C49+AE54*C54+AE59*C59+AE64*C64+AE68*C68</f>
        <v>4.0821164720970707E-2</v>
      </c>
      <c r="AF43" s="122">
        <f t="shared" ref="AF43" si="63">AF44*D44+AF49*D49+AF54*D54+AF59*D59+AF64*D64+AF68*D68</f>
        <v>2.8738173820306429E-2</v>
      </c>
      <c r="AG43" s="122">
        <f t="shared" ref="AG43" si="64">AG44*E44+AG49*E49+AG54*E54+AG59*E59+AG64*E64+AG68*E68</f>
        <v>3.144603130646164E-2</v>
      </c>
      <c r="AH43" s="122">
        <f t="shared" ref="AH43" si="65">AH44*F44+AH49*F49+AH54*F54+AH59*F59+AH64*F64+AH68*F68</f>
        <v>4.0314901008474902E-2</v>
      </c>
      <c r="AI43" s="122">
        <f t="shared" ref="AI43" si="66">AI44*G44+AI49*G49+AI54*G54+AI59*G59+AI64*G64+AI68*G68</f>
        <v>3.4437446274363452E-2</v>
      </c>
      <c r="AJ43" s="122">
        <f t="shared" ref="AJ43" si="67">AJ44*H44+AJ49*H49+AJ54*H54+AJ59*H59+AJ64*H64+AJ68*H68</f>
        <v>2.8926577091133856E-2</v>
      </c>
      <c r="AK43" s="122">
        <f t="shared" ref="AK43" si="68">AK44*I44+AK49*I49+AK54*I54+AK59*I59+AK64*I64+AK68*I68</f>
        <v>4.3853148399669528E-2</v>
      </c>
      <c r="AL43" s="122">
        <f t="shared" ref="AL43" si="69">AL44*J44+AL49*J49+AL54*J54+AL59*J59+AL64*J64+AL68*J68</f>
        <v>2.6394665715030841E-2</v>
      </c>
      <c r="AM43" s="122">
        <f t="shared" ref="AM43" si="70">AM44*K44+AM49*K49+AM54*K54+AM59*K59+AM64*K64+AM68*K68</f>
        <v>3.7773838143567225E-2</v>
      </c>
      <c r="AN43" s="122">
        <f t="shared" ref="AN43" si="71">AN44*L44+AN49*L49+AN54*L54+AN59*L59+AN64*L64+AN68*L68</f>
        <v>5.3310091071460355E-2</v>
      </c>
      <c r="AO43" s="122">
        <f t="shared" ref="AO43" si="72">AO44*M44+AO49*M49+AO54*M54+AO59*M59+AO64*M64+AO68*M68</f>
        <v>8.413792519256863E-2</v>
      </c>
      <c r="AP43" s="122">
        <f t="shared" ref="AP43" si="73">AP44*N44+AP49*N49+AP54*N54+AP59*N59+AP64*N64+AP68*N68</f>
        <v>3.5457843785910909E-2</v>
      </c>
      <c r="AQ43" s="122">
        <f t="shared" ref="AQ43" si="74">AQ44*O44+AQ49*O49+AQ54*O54+AQ59*O59+AQ64*O64+AQ68*O68</f>
        <v>4.8457843785910906E-2</v>
      </c>
      <c r="AR43" s="122">
        <f t="shared" ref="AR43" si="75">AR44*P44+AR49*P49+AR54*P54+AR59*P59+AR64*P64+AR68*P68</f>
        <v>6.8546203401207789E-2</v>
      </c>
      <c r="AS43" s="122">
        <f t="shared" ref="AS43" si="76">AS44*Q44+AS49*Q49+AS54*Q54+AS59*Q59+AS64*Q64+AS68*Q68</f>
        <v>4.2701482926539122E-2</v>
      </c>
      <c r="AT43" s="122">
        <f t="shared" ref="AT43" si="77">AT44*R44+AT49*R49+AT54*R54+AT59*R59+AT64*R64+AT68*R68</f>
        <v>6.2457843785910905E-2</v>
      </c>
      <c r="AU43" s="122">
        <f t="shared" ref="AU43" si="78">AU44*S44+AU49*S49+AU54*S54+AU59*S59+AU64*S64+AU68*S68</f>
        <v>4.1965895263804884E-2</v>
      </c>
      <c r="AV43" s="122">
        <f t="shared" ref="AV43" si="79">AV44*T44+AV49*T49+AV54*T54+AV59*T59+AV64*T64+AV68*T68</f>
        <v>4.9081495263804883E-2</v>
      </c>
      <c r="AW43" s="122">
        <f t="shared" ref="AW43" si="80">AW44*U44+AW49*U49+AW54*U54+AW59*U59+AW64*U64+AW68*U68</f>
        <v>2.9987044493804887E-2</v>
      </c>
      <c r="AX43" s="122">
        <f t="shared" ref="AX43" si="81">AX44*V44+AX49*V49+AX54*V54+AX59*V59+AX64*V64+AX68*V68</f>
        <v>3.668545565984449E-2</v>
      </c>
      <c r="AY43" s="122">
        <f t="shared" ref="AY43" si="82">AY44*W44+AY49*W49+AY54*W54+AY59*W59+AY64*W64+AY68*W68</f>
        <v>4.0216255113709312E-2</v>
      </c>
      <c r="AZ43" s="122">
        <f t="shared" ref="AZ43" si="83">AZ44*X44+AZ49*X49+AZ54*X54+AZ59*X59+AZ64*X64+AZ68*X68</f>
        <v>5.1756255113709293E-2</v>
      </c>
      <c r="BA43" s="122">
        <f t="shared" ref="BA43" si="84">BA44*Y44+BA49*Y49+BA54*Y54+BA59*Y59+BA64*Y64+BA68*Y68</f>
        <v>4.5696255113709311E-2</v>
      </c>
      <c r="BB43" s="122">
        <f t="shared" ref="BB43" si="85">BB44*Z44+BB49*Z49+BB54*Z54+BB59*Z59+BB64*Z64+BB68*Z68</f>
        <v>4.9915347471830566E-2</v>
      </c>
      <c r="BC43" s="122">
        <f t="shared" ref="BC43" si="86">BC44*AA44+BC49*AA49+BC54*AA54+BC59*AA59+BC64*AA64+BC68*AA68</f>
        <v>5.6414008627059531E-2</v>
      </c>
      <c r="BD43" s="122">
        <f t="shared" ref="BD43" si="87">BD44*AB44+BD49*AB49+BD54*AB54+BD59*AB59+BD64*AB64+BD68*AB68</f>
        <v>4.0414008627059531E-2</v>
      </c>
      <c r="BF43" s="94" t="s">
        <v>82</v>
      </c>
    </row>
    <row r="44" spans="2:84">
      <c r="B44" s="86" t="s">
        <v>230</v>
      </c>
      <c r="C44" s="129">
        <f>1-SUM(C49,C54,C59,C64,C68)</f>
        <v>0.31220000000000003</v>
      </c>
      <c r="D44" s="129">
        <f t="shared" ref="D44:AB44" si="88">1-SUM(D49,D54,D59,D64,D68)</f>
        <v>0.28406495242293073</v>
      </c>
      <c r="E44" s="129">
        <f t="shared" si="88"/>
        <v>0.27859999999999996</v>
      </c>
      <c r="F44" s="129">
        <f t="shared" si="88"/>
        <v>0.29970000000000008</v>
      </c>
      <c r="G44" s="129">
        <f t="shared" si="88"/>
        <v>0.31859999999999999</v>
      </c>
      <c r="H44" s="129">
        <f t="shared" si="88"/>
        <v>0.32260000000000011</v>
      </c>
      <c r="I44" s="129">
        <f t="shared" si="88"/>
        <v>0.29849999999999999</v>
      </c>
      <c r="J44" s="129">
        <f t="shared" si="88"/>
        <v>0.25560000000000016</v>
      </c>
      <c r="K44" s="129">
        <f t="shared" si="88"/>
        <v>0.34470000000000001</v>
      </c>
      <c r="L44" s="129">
        <f t="shared" si="88"/>
        <v>0.31090000000000007</v>
      </c>
      <c r="M44" s="129">
        <f t="shared" si="88"/>
        <v>0.29000000000000004</v>
      </c>
      <c r="N44" s="129">
        <f t="shared" si="88"/>
        <v>0.29489999999999994</v>
      </c>
      <c r="O44" s="129">
        <f t="shared" si="88"/>
        <v>0.29940000000000011</v>
      </c>
      <c r="P44" s="129">
        <f t="shared" si="88"/>
        <v>0.31840000000000002</v>
      </c>
      <c r="Q44" s="129">
        <f t="shared" si="88"/>
        <v>0.3548</v>
      </c>
      <c r="R44" s="129">
        <f t="shared" si="88"/>
        <v>0.32100000000000006</v>
      </c>
      <c r="S44" s="129">
        <f t="shared" si="88"/>
        <v>0.29320000000000002</v>
      </c>
      <c r="T44" s="129">
        <f t="shared" si="88"/>
        <v>0.34220000000000006</v>
      </c>
      <c r="U44" s="129">
        <f t="shared" si="88"/>
        <v>0.26350000000000007</v>
      </c>
      <c r="V44" s="129">
        <f t="shared" si="88"/>
        <v>0.28660000000000019</v>
      </c>
      <c r="W44" s="129">
        <f t="shared" si="88"/>
        <v>0.32220000000000004</v>
      </c>
      <c r="X44" s="129">
        <f t="shared" si="88"/>
        <v>0.32850000000000001</v>
      </c>
      <c r="Y44" s="129">
        <f t="shared" si="88"/>
        <v>0.28500000000000014</v>
      </c>
      <c r="Z44" s="129">
        <f t="shared" si="88"/>
        <v>0.31069999999999998</v>
      </c>
      <c r="AA44" s="129">
        <f t="shared" si="88"/>
        <v>0.29560000000000008</v>
      </c>
      <c r="AB44" s="129">
        <f t="shared" si="88"/>
        <v>0.31209999999999993</v>
      </c>
      <c r="AD44" s="86" t="s">
        <v>230</v>
      </c>
      <c r="AE44" s="90">
        <f>SUMPRODUCT(AE45:AE48,C45:C48)</f>
        <v>3.7977355280348353E-2</v>
      </c>
      <c r="AF44" s="90">
        <f t="shared" ref="AF44" si="89">SUMPRODUCT(AF45:AF48,D45:D48)</f>
        <v>2.4183328735242787E-2</v>
      </c>
      <c r="AG44" s="90">
        <f t="shared" ref="AG44" si="90">SUMPRODUCT(AG45:AG48,E45:E48)</f>
        <v>2.7578336219511855E-2</v>
      </c>
      <c r="AH44" s="90">
        <f t="shared" ref="AH44" si="91">SUMPRODUCT(AH45:AH48,F45:F48)</f>
        <v>3.6671544601744668E-2</v>
      </c>
      <c r="AI44" s="90">
        <f t="shared" ref="AI44" si="92">SUMPRODUCT(AI45:AI48,G45:G48)</f>
        <v>3.0737317257531115E-2</v>
      </c>
      <c r="AJ44" s="90">
        <f t="shared" ref="AJ44" si="93">SUMPRODUCT(AJ45:AJ48,H45:H48)</f>
        <v>2.4981599242424379E-2</v>
      </c>
      <c r="AK44" s="90">
        <f t="shared" ref="AK44" si="94">SUMPRODUCT(AK45:AK48,I45:I48)</f>
        <v>3.9627145756487729E-2</v>
      </c>
      <c r="AL44" s="90">
        <f t="shared" ref="AL44" si="95">SUMPRODUCT(AL45:AL48,J45:J48)</f>
        <v>2.1640885888354187E-2</v>
      </c>
      <c r="AM44" s="90">
        <f t="shared" ref="AM44" si="96">SUMPRODUCT(AM45:AM48,K45:K48)</f>
        <v>3.4254625448263604E-2</v>
      </c>
      <c r="AN44" s="90">
        <f t="shared" ref="AN44" si="97">SUMPRODUCT(AN45:AN48,L45:L48)</f>
        <v>4.9663642440889832E-2</v>
      </c>
      <c r="AO44" s="90">
        <f t="shared" ref="AO44" si="98">SUMPRODUCT(AO45:AO48,M45:M48)</f>
        <v>8.0187018217972653E-2</v>
      </c>
      <c r="AP44" s="90">
        <f t="shared" ref="AP44" si="99">SUMPRODUCT(AP45:AP48,N45:N48)</f>
        <v>3.1440236133072209E-2</v>
      </c>
      <c r="AQ44" s="90">
        <f t="shared" ref="AQ44" si="100">SUMPRODUCT(AQ45:AQ48,O45:O48)</f>
        <v>4.4424952273104362E-2</v>
      </c>
      <c r="AR44" s="90">
        <f t="shared" ref="AR44" si="101">SUMPRODUCT(AR45:AR48,P45:P48)</f>
        <v>6.4982701340630833E-2</v>
      </c>
      <c r="AS44" s="90">
        <f t="shared" ref="AS44" si="102">SUMPRODUCT(AS45:AS48,Q45:Q48)</f>
        <v>3.9326120605089172E-2</v>
      </c>
      <c r="AT44" s="90">
        <f t="shared" ref="AT44" si="103">SUMPRODUCT(AT45:AT48,R45:R48)</f>
        <v>5.8793818385970378E-2</v>
      </c>
      <c r="AU44" s="90">
        <f t="shared" ref="AU44" si="104">SUMPRODUCT(AU45:AU48,S45:S48)</f>
        <v>3.8542399045882178E-2</v>
      </c>
      <c r="AV44" s="90">
        <f t="shared" ref="AV44" si="105">SUMPRODUCT(AV45:AV48,T45:T48)</f>
        <v>4.5550742428767492E-2</v>
      </c>
      <c r="AW44" s="90">
        <f t="shared" ref="AW44" si="106">SUMPRODUCT(AW45:AW48,U45:U48)</f>
        <v>2.5428128891764479E-2</v>
      </c>
      <c r="AX44" s="90">
        <f t="shared" ref="AX44" si="107">SUMPRODUCT(AX45:AX48,V45:V48)</f>
        <v>3.2892877307808356E-2</v>
      </c>
      <c r="AY44" s="90">
        <f t="shared" ref="AY44" si="108">SUMPRODUCT(AY45:AY48,W45:W48)</f>
        <v>3.7002574636823431E-2</v>
      </c>
      <c r="AZ44" s="90">
        <f t="shared" ref="AZ44" si="109">SUMPRODUCT(AZ45:AZ48,X45:X48)</f>
        <v>4.8077521209810029E-2</v>
      </c>
      <c r="BA44" s="90">
        <f t="shared" ref="BA44" si="110">SUMPRODUCT(BA45:BA48,Y45:Y48)</f>
        <v>4.2105342054552311E-2</v>
      </c>
      <c r="BB44" s="90">
        <f t="shared" ref="BB44" si="111">SUMPRODUCT(BB45:BB48,Z45:Z48)</f>
        <v>4.6422677694596272E-2</v>
      </c>
      <c r="BC44" s="90">
        <f t="shared" ref="BC44" si="112">SUMPRODUCT(BC45:BC48,AA45:AA48)</f>
        <v>5.239660766693581E-2</v>
      </c>
      <c r="BD44" s="90">
        <f t="shared" ref="BD44" si="113">SUMPRODUCT(BD45:BD48,AB45:AB48)</f>
        <v>3.7066266102980666E-2</v>
      </c>
      <c r="BF44" s="86" t="s">
        <v>230</v>
      </c>
      <c r="BG44" t="s">
        <v>213</v>
      </c>
      <c r="BH44" t="s">
        <v>215</v>
      </c>
      <c r="BI44" t="s">
        <v>210</v>
      </c>
      <c r="BJ44" t="s">
        <v>211</v>
      </c>
      <c r="BK44" t="s">
        <v>209</v>
      </c>
      <c r="BL44" t="s">
        <v>209</v>
      </c>
      <c r="BM44" t="s">
        <v>209</v>
      </c>
      <c r="BN44" t="s">
        <v>215</v>
      </c>
      <c r="BO44" t="s">
        <v>212</v>
      </c>
      <c r="BP44" t="s">
        <v>214</v>
      </c>
      <c r="BQ44" t="s">
        <v>213</v>
      </c>
      <c r="BR44" t="s">
        <v>215</v>
      </c>
      <c r="BS44" t="s">
        <v>211</v>
      </c>
      <c r="BT44" t="s">
        <v>215</v>
      </c>
      <c r="BU44" t="s">
        <v>209</v>
      </c>
      <c r="BV44" t="s">
        <v>213</v>
      </c>
      <c r="BW44" t="s">
        <v>213</v>
      </c>
      <c r="BX44" t="s">
        <v>215</v>
      </c>
      <c r="BY44" t="s">
        <v>214</v>
      </c>
      <c r="BZ44" t="s">
        <v>211</v>
      </c>
      <c r="CA44" t="s">
        <v>212</v>
      </c>
      <c r="CB44" t="s">
        <v>210</v>
      </c>
      <c r="CC44" t="s">
        <v>214</v>
      </c>
      <c r="CD44" t="s">
        <v>209</v>
      </c>
      <c r="CE44" t="s">
        <v>215</v>
      </c>
      <c r="CF44" t="s">
        <v>213</v>
      </c>
    </row>
    <row r="45" spans="2:84">
      <c r="B45" s="87" t="s">
        <v>117</v>
      </c>
      <c r="C45" s="129">
        <f>1-SUM(C46:C48)</f>
        <v>0.46069999999999989</v>
      </c>
      <c r="D45" s="129">
        <f t="shared" ref="D45" si="114">1-SUM(D46:D48)</f>
        <v>0.49979999999999991</v>
      </c>
      <c r="E45" s="129">
        <f t="shared" ref="E45" si="115">1-SUM(E46:E48)</f>
        <v>0.47609999999999986</v>
      </c>
      <c r="F45" s="129">
        <f t="shared" ref="F45" si="116">1-SUM(F46:F48)</f>
        <v>0.47589999999999988</v>
      </c>
      <c r="G45" s="129">
        <f t="shared" ref="G45" si="117">1-SUM(G46:G48)</f>
        <v>0.48309999999999986</v>
      </c>
      <c r="H45" s="129">
        <f t="shared" ref="H45" si="118">1-SUM(H46:H48)</f>
        <v>0.44829999999999992</v>
      </c>
      <c r="I45" s="129">
        <f t="shared" ref="I45" si="119">1-SUM(I46:I48)</f>
        <v>0.50279999999999991</v>
      </c>
      <c r="J45" s="129">
        <f t="shared" ref="J45" si="120">1-SUM(J46:J48)</f>
        <v>0.47599999999999987</v>
      </c>
      <c r="K45" s="129">
        <f t="shared" ref="K45" si="121">1-SUM(K46:K48)</f>
        <v>0.48239999999999994</v>
      </c>
      <c r="L45" s="129">
        <f t="shared" ref="L45" si="122">1-SUM(L46:L48)</f>
        <v>0.49869999999999992</v>
      </c>
      <c r="M45" s="129">
        <f t="shared" ref="M45" si="123">1-SUM(M46:M48)</f>
        <v>0.48759999999999992</v>
      </c>
      <c r="N45" s="129">
        <f t="shared" ref="N45" si="124">1-SUM(N46:N48)</f>
        <v>0.49719999999999986</v>
      </c>
      <c r="O45" s="129">
        <f t="shared" ref="O45" si="125">1-SUM(O46:O48)</f>
        <v>0.47439999999999993</v>
      </c>
      <c r="P45" s="129">
        <f t="shared" ref="P45" si="126">1-SUM(P46:P48)</f>
        <v>0.47379999999999989</v>
      </c>
      <c r="Q45" s="129">
        <f t="shared" ref="Q45" si="127">1-SUM(Q46:Q48)</f>
        <v>0.48229999999999984</v>
      </c>
      <c r="R45" s="129">
        <f t="shared" ref="R45" si="128">1-SUM(R46:R48)</f>
        <v>0.45989999999999986</v>
      </c>
      <c r="S45" s="129">
        <f t="shared" ref="S45" si="129">1-SUM(S46:S48)</f>
        <v>0.45119999999999993</v>
      </c>
      <c r="T45" s="129">
        <f t="shared" ref="T45" si="130">1-SUM(T46:T48)</f>
        <v>0.48959999999999992</v>
      </c>
      <c r="U45" s="129">
        <f t="shared" ref="U45" si="131">1-SUM(U46:U48)</f>
        <v>0.47479999999999989</v>
      </c>
      <c r="V45" s="129">
        <f t="shared" ref="V45" si="132">1-SUM(V46:V48)</f>
        <v>0.49609999999999999</v>
      </c>
      <c r="W45" s="129">
        <f t="shared" ref="W45" si="133">1-SUM(W46:W48)</f>
        <v>0.48059999999999992</v>
      </c>
      <c r="X45" s="129">
        <f t="shared" ref="X45" si="134">1-SUM(X46:X48)</f>
        <v>0.50529999999999986</v>
      </c>
      <c r="Y45" s="129">
        <f t="shared" ref="Y45" si="135">1-SUM(Y46:Y48)</f>
        <v>0.4575999999999999</v>
      </c>
      <c r="Z45" s="129">
        <f t="shared" ref="Z45" si="136">1-SUM(Z46:Z48)</f>
        <v>0.47819999999999985</v>
      </c>
      <c r="AA45" s="129">
        <f t="shared" ref="AA45" si="137">1-SUM(AA46:AA48)</f>
        <v>0.48469999999999991</v>
      </c>
      <c r="AB45" s="129">
        <f t="shared" ref="AB45" si="138">1-SUM(AB46:AB48)</f>
        <v>0.48059999999999992</v>
      </c>
      <c r="AD45" s="87" t="s">
        <v>117</v>
      </c>
      <c r="AE45" s="91">
        <v>3.235748555172472E-2</v>
      </c>
      <c r="AF45" s="91">
        <v>1.9073311182253805E-2</v>
      </c>
      <c r="AG45" s="91">
        <v>2.2118656616592181E-2</v>
      </c>
      <c r="AH45" s="91">
        <v>3.1290242229932562E-2</v>
      </c>
      <c r="AI45" s="91">
        <v>2.5521136731713683E-2</v>
      </c>
      <c r="AJ45" s="91">
        <v>1.9203456967720651E-2</v>
      </c>
      <c r="AK45" s="91">
        <v>3.4527598016952356E-2</v>
      </c>
      <c r="AL45" s="91">
        <v>1.6363452654359251E-2</v>
      </c>
      <c r="AM45" s="91">
        <v>2.9084503502679222E-2</v>
      </c>
      <c r="AN45" s="91">
        <v>4.4445516564044017E-2</v>
      </c>
      <c r="AO45" s="91">
        <v>7.5057780750033137E-2</v>
      </c>
      <c r="AP45" s="91">
        <v>2.6213299020746525E-2</v>
      </c>
      <c r="AQ45" s="91">
        <v>3.8982408864958108E-2</v>
      </c>
      <c r="AR45" s="91">
        <v>5.9607211213496228E-2</v>
      </c>
      <c r="AS45" s="91">
        <v>3.4028679698289134E-2</v>
      </c>
      <c r="AT45" s="91">
        <v>5.3354044076867016E-2</v>
      </c>
      <c r="AU45" s="91">
        <v>3.2808784519221194E-2</v>
      </c>
      <c r="AV45" s="91">
        <v>4.0415946247429092E-2</v>
      </c>
      <c r="AW45" s="91">
        <v>2.0158947210979952E-2</v>
      </c>
      <c r="AX45" s="91">
        <v>2.7688404901646695E-2</v>
      </c>
      <c r="AY45" s="91">
        <v>3.1561748246333066E-2</v>
      </c>
      <c r="AZ45" s="91">
        <v>4.3049434987705616E-2</v>
      </c>
      <c r="BA45" s="91">
        <v>3.6491773067938868E-2</v>
      </c>
      <c r="BB45" s="91">
        <v>4.1189014242231224E-2</v>
      </c>
      <c r="BC45" s="91">
        <v>4.7197665026042022E-2</v>
      </c>
      <c r="BD45" s="91">
        <v>3.1713632800875184E-2</v>
      </c>
      <c r="BF45" s="87" t="s">
        <v>117</v>
      </c>
      <c r="BG45" t="s">
        <v>211</v>
      </c>
      <c r="BH45" t="s">
        <v>211</v>
      </c>
      <c r="BI45" t="s">
        <v>214</v>
      </c>
      <c r="BJ45" t="s">
        <v>210</v>
      </c>
      <c r="BK45" t="s">
        <v>215</v>
      </c>
      <c r="BL45" t="s">
        <v>210</v>
      </c>
      <c r="BM45" t="s">
        <v>213</v>
      </c>
      <c r="BN45" t="s">
        <v>213</v>
      </c>
      <c r="BO45" t="s">
        <v>215</v>
      </c>
      <c r="BP45" t="s">
        <v>210</v>
      </c>
      <c r="BQ45" t="s">
        <v>214</v>
      </c>
      <c r="BR45" t="s">
        <v>213</v>
      </c>
      <c r="BS45" t="s">
        <v>212</v>
      </c>
      <c r="BT45" t="s">
        <v>211</v>
      </c>
      <c r="BU45" t="s">
        <v>209</v>
      </c>
      <c r="BV45" t="s">
        <v>210</v>
      </c>
      <c r="BW45" t="s">
        <v>215</v>
      </c>
      <c r="BX45" t="s">
        <v>214</v>
      </c>
      <c r="BY45" t="s">
        <v>209</v>
      </c>
      <c r="BZ45" t="s">
        <v>210</v>
      </c>
      <c r="CA45" t="s">
        <v>215</v>
      </c>
      <c r="CB45" t="s">
        <v>213</v>
      </c>
      <c r="CC45" t="s">
        <v>213</v>
      </c>
      <c r="CD45" t="s">
        <v>209</v>
      </c>
      <c r="CE45" t="s">
        <v>213</v>
      </c>
      <c r="CF45" t="s">
        <v>210</v>
      </c>
    </row>
    <row r="46" spans="2:84">
      <c r="B46" s="87" t="s">
        <v>118</v>
      </c>
      <c r="C46" s="129">
        <v>0.21759999999999999</v>
      </c>
      <c r="D46" s="129">
        <v>0.2077</v>
      </c>
      <c r="E46" s="129">
        <v>0.21410000000000001</v>
      </c>
      <c r="F46" s="129">
        <v>0.2155</v>
      </c>
      <c r="G46" s="129">
        <v>0.2296</v>
      </c>
      <c r="H46" s="129">
        <v>0.22</v>
      </c>
      <c r="I46" s="129">
        <v>0.2089</v>
      </c>
      <c r="J46" s="129">
        <v>0.22900000000000001</v>
      </c>
      <c r="K46" s="129">
        <v>0.23080000000000001</v>
      </c>
      <c r="L46" s="129">
        <v>0.20610000000000001</v>
      </c>
      <c r="M46" s="129">
        <v>0.22920000000000001</v>
      </c>
      <c r="N46" s="129">
        <v>0.20450000000000002</v>
      </c>
      <c r="O46" s="129">
        <v>0.21759999999999999</v>
      </c>
      <c r="P46" s="129">
        <v>0.22240000000000001</v>
      </c>
      <c r="Q46" s="129">
        <v>0.22240000000000001</v>
      </c>
      <c r="R46" s="129">
        <v>0.23219999999999999</v>
      </c>
      <c r="S46" s="129">
        <v>0.22009999999999999</v>
      </c>
      <c r="T46" s="129">
        <v>0.22109999999999999</v>
      </c>
      <c r="U46" s="129">
        <v>0.23499999999999999</v>
      </c>
      <c r="V46" s="129">
        <v>0.21199999999999999</v>
      </c>
      <c r="W46" s="129">
        <v>0.2074</v>
      </c>
      <c r="X46" s="129">
        <v>0.21129999999999999</v>
      </c>
      <c r="Y46" s="129">
        <v>0.2205</v>
      </c>
      <c r="Z46" s="129">
        <v>0.23330000000000001</v>
      </c>
      <c r="AA46" s="129">
        <v>0.2218</v>
      </c>
      <c r="AB46" s="129">
        <v>0.2137</v>
      </c>
      <c r="AD46" s="87" t="s">
        <v>118</v>
      </c>
      <c r="AE46" s="91">
        <v>3.7859945440559969E-2</v>
      </c>
      <c r="AF46" s="91">
        <v>2.4575771071089055E-2</v>
      </c>
      <c r="AG46" s="91">
        <v>2.762111650542743E-2</v>
      </c>
      <c r="AH46" s="91">
        <v>3.6792702118767812E-2</v>
      </c>
      <c r="AI46" s="91">
        <v>3.1023596620548932E-2</v>
      </c>
      <c r="AJ46" s="91">
        <v>2.4705916856555901E-2</v>
      </c>
      <c r="AK46" s="91">
        <v>4.0030057905787605E-2</v>
      </c>
      <c r="AL46" s="91">
        <v>2.1865912543194501E-2</v>
      </c>
      <c r="AM46" s="91">
        <v>3.4586963391514472E-2</v>
      </c>
      <c r="AN46" s="91">
        <v>4.9947976452879267E-2</v>
      </c>
      <c r="AO46" s="91">
        <v>8.056024063886838E-2</v>
      </c>
      <c r="AP46" s="91">
        <v>3.1715758909581775E-2</v>
      </c>
      <c r="AQ46" s="91">
        <v>4.4484868753793358E-2</v>
      </c>
      <c r="AR46" s="91">
        <v>6.5109671102331484E-2</v>
      </c>
      <c r="AS46" s="91">
        <v>3.9531139587124384E-2</v>
      </c>
      <c r="AT46" s="91">
        <v>5.8856503965702266E-2</v>
      </c>
      <c r="AU46" s="91">
        <v>3.8311244408056444E-2</v>
      </c>
      <c r="AV46" s="91">
        <v>4.5918406136264342E-2</v>
      </c>
      <c r="AW46" s="91">
        <v>2.5661407099815202E-2</v>
      </c>
      <c r="AX46" s="91">
        <v>3.3190864790481944E-2</v>
      </c>
      <c r="AY46" s="91">
        <v>3.7064208135168315E-2</v>
      </c>
      <c r="AZ46" s="91">
        <v>4.8551894876540866E-2</v>
      </c>
      <c r="BA46" s="91">
        <v>4.1994232956774118E-2</v>
      </c>
      <c r="BB46" s="91">
        <v>4.6691474131066474E-2</v>
      </c>
      <c r="BC46" s="91">
        <v>5.2700124914877272E-2</v>
      </c>
      <c r="BD46" s="91">
        <v>3.7216092689710434E-2</v>
      </c>
      <c r="BF46" s="87" t="s">
        <v>118</v>
      </c>
      <c r="BG46" t="s">
        <v>211</v>
      </c>
      <c r="BH46" t="s">
        <v>212</v>
      </c>
      <c r="BI46" t="s">
        <v>212</v>
      </c>
      <c r="BJ46" t="s">
        <v>212</v>
      </c>
      <c r="BK46" t="s">
        <v>213</v>
      </c>
      <c r="BL46" t="s">
        <v>210</v>
      </c>
      <c r="BM46" t="s">
        <v>210</v>
      </c>
      <c r="BN46" t="s">
        <v>214</v>
      </c>
      <c r="BO46" t="s">
        <v>214</v>
      </c>
      <c r="BP46" t="s">
        <v>214</v>
      </c>
      <c r="BQ46" t="s">
        <v>212</v>
      </c>
      <c r="BR46" t="s">
        <v>210</v>
      </c>
      <c r="BS46" t="s">
        <v>214</v>
      </c>
      <c r="BT46" t="s">
        <v>215</v>
      </c>
      <c r="BU46" t="s">
        <v>209</v>
      </c>
      <c r="BV46" t="s">
        <v>213</v>
      </c>
      <c r="BW46" t="s">
        <v>210</v>
      </c>
      <c r="BX46" t="s">
        <v>213</v>
      </c>
      <c r="BY46" t="s">
        <v>215</v>
      </c>
      <c r="BZ46" t="s">
        <v>210</v>
      </c>
      <c r="CA46" t="s">
        <v>212</v>
      </c>
      <c r="CB46" t="s">
        <v>211</v>
      </c>
      <c r="CC46" t="s">
        <v>209</v>
      </c>
      <c r="CD46" t="s">
        <v>210</v>
      </c>
      <c r="CE46" t="s">
        <v>212</v>
      </c>
      <c r="CF46" t="s">
        <v>213</v>
      </c>
    </row>
    <row r="47" spans="2:84">
      <c r="B47" s="87" t="s">
        <v>119</v>
      </c>
      <c r="C47" s="129">
        <v>0.19980000000000001</v>
      </c>
      <c r="D47" s="129">
        <v>0.19240000000000002</v>
      </c>
      <c r="E47" s="129">
        <v>0.18790000000000001</v>
      </c>
      <c r="F47" s="129">
        <v>0.20100000000000001</v>
      </c>
      <c r="G47" s="129">
        <v>0.17780000000000001</v>
      </c>
      <c r="H47" s="129">
        <v>0.20450000000000002</v>
      </c>
      <c r="I47" s="129">
        <v>0.1817</v>
      </c>
      <c r="J47" s="129">
        <v>0.1908</v>
      </c>
      <c r="K47" s="129">
        <v>0.18660000000000002</v>
      </c>
      <c r="L47" s="129">
        <v>0.1782</v>
      </c>
      <c r="M47" s="129">
        <v>0.18090000000000001</v>
      </c>
      <c r="N47" s="129">
        <v>0.18510000000000001</v>
      </c>
      <c r="O47" s="129">
        <v>0.18909999999999999</v>
      </c>
      <c r="P47" s="129">
        <v>0.19359999999999999</v>
      </c>
      <c r="Q47" s="129">
        <v>0.18060000000000001</v>
      </c>
      <c r="R47" s="129">
        <v>0.20530000000000001</v>
      </c>
      <c r="S47" s="129">
        <v>0.2034</v>
      </c>
      <c r="T47" s="129">
        <v>0.19140000000000001</v>
      </c>
      <c r="U47" s="129">
        <v>0.18290000000000001</v>
      </c>
      <c r="V47" s="129">
        <v>0.17630000000000001</v>
      </c>
      <c r="W47" s="129">
        <v>0.19170000000000001</v>
      </c>
      <c r="X47" s="129">
        <v>0.18210000000000001</v>
      </c>
      <c r="Y47" s="129">
        <v>0.2049</v>
      </c>
      <c r="Z47" s="129">
        <v>0.18240000000000001</v>
      </c>
      <c r="AA47" s="129">
        <v>0.19350000000000001</v>
      </c>
      <c r="AB47" s="129">
        <v>0.19500000000000001</v>
      </c>
      <c r="AD47" s="87" t="s">
        <v>119</v>
      </c>
      <c r="AE47" s="91">
        <v>4.4200470097357676E-2</v>
      </c>
      <c r="AF47" s="91">
        <v>3.0916295727886761E-2</v>
      </c>
      <c r="AG47" s="91">
        <v>3.3961641162225137E-2</v>
      </c>
      <c r="AH47" s="91">
        <v>4.3133226775565518E-2</v>
      </c>
      <c r="AI47" s="91">
        <v>3.7364121277346639E-2</v>
      </c>
      <c r="AJ47" s="91">
        <v>3.1046441513353607E-2</v>
      </c>
      <c r="AK47" s="91">
        <v>4.6370582562585312E-2</v>
      </c>
      <c r="AL47" s="91">
        <v>2.8206437199992208E-2</v>
      </c>
      <c r="AM47" s="91">
        <v>4.0927488048312179E-2</v>
      </c>
      <c r="AN47" s="91">
        <v>5.6288501109676974E-2</v>
      </c>
      <c r="AO47" s="91">
        <v>8.6900765295666094E-2</v>
      </c>
      <c r="AP47" s="91">
        <v>3.8056283566379481E-2</v>
      </c>
      <c r="AQ47" s="91">
        <v>5.0825393410591065E-2</v>
      </c>
      <c r="AR47" s="91">
        <v>7.1450195759129184E-2</v>
      </c>
      <c r="AS47" s="91">
        <v>4.587166424392209E-2</v>
      </c>
      <c r="AT47" s="91">
        <v>6.5197028622499972E-2</v>
      </c>
      <c r="AU47" s="91">
        <v>4.4651769064854151E-2</v>
      </c>
      <c r="AV47" s="91">
        <v>5.2258930793062049E-2</v>
      </c>
      <c r="AW47" s="91">
        <v>3.2001931756612909E-2</v>
      </c>
      <c r="AX47" s="91">
        <v>3.9531389447279651E-2</v>
      </c>
      <c r="AY47" s="91">
        <v>4.3404732791966022E-2</v>
      </c>
      <c r="AZ47" s="91">
        <v>5.4892419533338573E-2</v>
      </c>
      <c r="BA47" s="91">
        <v>4.8334757613571824E-2</v>
      </c>
      <c r="BB47" s="91">
        <v>5.303199878786418E-2</v>
      </c>
      <c r="BC47" s="91">
        <v>5.9040649571674979E-2</v>
      </c>
      <c r="BD47" s="91">
        <v>4.355661734650814E-2</v>
      </c>
      <c r="BF47" s="87" t="s">
        <v>119</v>
      </c>
      <c r="BG47" t="s">
        <v>212</v>
      </c>
      <c r="BH47" t="s">
        <v>215</v>
      </c>
      <c r="BI47" t="s">
        <v>210</v>
      </c>
      <c r="BJ47" t="s">
        <v>211</v>
      </c>
      <c r="BK47" t="s">
        <v>215</v>
      </c>
      <c r="BL47" t="s">
        <v>210</v>
      </c>
      <c r="BM47" t="s">
        <v>210</v>
      </c>
      <c r="BN47" t="s">
        <v>213</v>
      </c>
      <c r="BO47" t="s">
        <v>215</v>
      </c>
      <c r="BP47" t="s">
        <v>214</v>
      </c>
      <c r="BQ47" t="s">
        <v>210</v>
      </c>
      <c r="BR47" t="s">
        <v>213</v>
      </c>
      <c r="BS47" t="s">
        <v>213</v>
      </c>
      <c r="BT47" t="s">
        <v>211</v>
      </c>
      <c r="BU47" t="s">
        <v>212</v>
      </c>
      <c r="BV47" t="s">
        <v>209</v>
      </c>
      <c r="BW47" t="s">
        <v>213</v>
      </c>
      <c r="BX47" t="s">
        <v>215</v>
      </c>
      <c r="BY47" t="s">
        <v>209</v>
      </c>
      <c r="BZ47" t="s">
        <v>210</v>
      </c>
      <c r="CA47" t="s">
        <v>214</v>
      </c>
      <c r="CB47" t="s">
        <v>211</v>
      </c>
      <c r="CC47" t="s">
        <v>212</v>
      </c>
      <c r="CD47" t="s">
        <v>214</v>
      </c>
      <c r="CE47" t="s">
        <v>215</v>
      </c>
      <c r="CF47" t="s">
        <v>209</v>
      </c>
    </row>
    <row r="48" spans="2:84">
      <c r="B48" s="87" t="s">
        <v>231</v>
      </c>
      <c r="C48" s="129">
        <v>0.12190000000000009</v>
      </c>
      <c r="D48" s="129">
        <v>0.10010000000000009</v>
      </c>
      <c r="E48" s="129">
        <v>0.12190000000000009</v>
      </c>
      <c r="F48" s="129">
        <v>0.1076000000000001</v>
      </c>
      <c r="G48" s="129">
        <v>0.1095000000000001</v>
      </c>
      <c r="H48" s="129">
        <v>0.12720000000000009</v>
      </c>
      <c r="I48" s="129">
        <v>0.1066000000000001</v>
      </c>
      <c r="J48" s="129">
        <v>0.1042000000000001</v>
      </c>
      <c r="K48" s="129">
        <v>0.10020000000000009</v>
      </c>
      <c r="L48" s="129">
        <v>0.1170000000000001</v>
      </c>
      <c r="M48" s="129">
        <v>0.1023000000000001</v>
      </c>
      <c r="N48" s="129">
        <v>0.11320000000000009</v>
      </c>
      <c r="O48" s="129">
        <v>0.1189000000000001</v>
      </c>
      <c r="P48" s="129">
        <v>0.1102000000000001</v>
      </c>
      <c r="Q48" s="129">
        <v>0.11470000000000009</v>
      </c>
      <c r="R48" s="129">
        <v>0.10260000000000009</v>
      </c>
      <c r="S48" s="129">
        <v>0.12530000000000011</v>
      </c>
      <c r="T48" s="129">
        <v>9.7900000000000098E-2</v>
      </c>
      <c r="U48" s="129">
        <v>0.1073000000000001</v>
      </c>
      <c r="V48" s="129">
        <v>0.11560000000000009</v>
      </c>
      <c r="W48" s="129">
        <v>0.1203000000000001</v>
      </c>
      <c r="X48" s="129">
        <v>0.1013000000000001</v>
      </c>
      <c r="Y48" s="129">
        <v>0.1170000000000001</v>
      </c>
      <c r="Z48" s="129">
        <v>0.1061000000000001</v>
      </c>
      <c r="AA48" s="129">
        <v>0.1000000000000001</v>
      </c>
      <c r="AB48" s="129">
        <v>0.1107000000000001</v>
      </c>
      <c r="AD48" s="87" t="s">
        <v>231</v>
      </c>
      <c r="AE48" s="91">
        <v>4.9226280831426231E-2</v>
      </c>
      <c r="AF48" s="91">
        <v>3.5942106461955316E-2</v>
      </c>
      <c r="AG48" s="91">
        <v>3.8987451896293691E-2</v>
      </c>
      <c r="AH48" s="91">
        <v>4.8159037509634073E-2</v>
      </c>
      <c r="AI48" s="91">
        <v>4.2389932011415193E-2</v>
      </c>
      <c r="AJ48" s="91">
        <v>3.6072252247422165E-2</v>
      </c>
      <c r="AK48" s="91">
        <v>5.1396393296653867E-2</v>
      </c>
      <c r="AL48" s="91">
        <v>3.3232247934060766E-2</v>
      </c>
      <c r="AM48" s="91">
        <v>4.5953298782380733E-2</v>
      </c>
      <c r="AN48" s="91">
        <v>6.1314311843745528E-2</v>
      </c>
      <c r="AO48" s="91">
        <v>9.1926576029734641E-2</v>
      </c>
      <c r="AP48" s="91">
        <v>4.3082094300448036E-2</v>
      </c>
      <c r="AQ48" s="91">
        <v>5.5851204144659619E-2</v>
      </c>
      <c r="AR48" s="91">
        <v>7.6476006493197746E-2</v>
      </c>
      <c r="AS48" s="91">
        <v>5.0897474977990645E-2</v>
      </c>
      <c r="AT48" s="91">
        <v>7.0222839356568534E-2</v>
      </c>
      <c r="AU48" s="91">
        <v>4.9677579798922705E-2</v>
      </c>
      <c r="AV48" s="91">
        <v>5.7284741527130603E-2</v>
      </c>
      <c r="AW48" s="91">
        <v>3.7027742490681463E-2</v>
      </c>
      <c r="AX48" s="91">
        <v>4.4557200181348205E-2</v>
      </c>
      <c r="AY48" s="91">
        <v>4.8430543526034577E-2</v>
      </c>
      <c r="AZ48" s="91">
        <v>5.9918230267407127E-2</v>
      </c>
      <c r="BA48" s="91">
        <v>5.3360568347640379E-2</v>
      </c>
      <c r="BB48" s="91">
        <v>5.8057809521932735E-2</v>
      </c>
      <c r="BC48" s="91">
        <v>6.4066460305743533E-2</v>
      </c>
      <c r="BD48" s="91">
        <v>4.8582428080576695E-2</v>
      </c>
      <c r="BF48" s="87" t="s">
        <v>231</v>
      </c>
      <c r="BG48" t="s">
        <v>213</v>
      </c>
      <c r="BH48" t="s">
        <v>210</v>
      </c>
      <c r="BI48" t="s">
        <v>211</v>
      </c>
      <c r="BJ48" t="s">
        <v>211</v>
      </c>
      <c r="BK48" t="s">
        <v>215</v>
      </c>
      <c r="BL48" t="s">
        <v>210</v>
      </c>
      <c r="BM48" t="s">
        <v>209</v>
      </c>
      <c r="BN48" t="s">
        <v>214</v>
      </c>
      <c r="BO48" t="s">
        <v>212</v>
      </c>
      <c r="BP48" t="s">
        <v>213</v>
      </c>
      <c r="BQ48" t="s">
        <v>209</v>
      </c>
      <c r="BR48" t="s">
        <v>214</v>
      </c>
      <c r="BS48" t="s">
        <v>213</v>
      </c>
      <c r="BT48" t="s">
        <v>212</v>
      </c>
      <c r="BU48" t="s">
        <v>211</v>
      </c>
      <c r="BV48" t="s">
        <v>211</v>
      </c>
      <c r="BW48" t="s">
        <v>212</v>
      </c>
      <c r="BX48" t="s">
        <v>214</v>
      </c>
      <c r="BY48" t="s">
        <v>213</v>
      </c>
      <c r="BZ48" t="s">
        <v>210</v>
      </c>
      <c r="CA48" t="s">
        <v>210</v>
      </c>
      <c r="CB48" t="s">
        <v>211</v>
      </c>
      <c r="CC48" t="s">
        <v>210</v>
      </c>
      <c r="CD48" t="s">
        <v>214</v>
      </c>
      <c r="CE48" t="s">
        <v>210</v>
      </c>
      <c r="CF48" t="s">
        <v>215</v>
      </c>
    </row>
    <row r="49" spans="2:84">
      <c r="B49" s="86" t="s">
        <v>84</v>
      </c>
      <c r="C49" s="129">
        <v>0.1956</v>
      </c>
      <c r="D49" s="129">
        <v>0.21829999999999999</v>
      </c>
      <c r="E49" s="129">
        <v>0.21920000000000001</v>
      </c>
      <c r="F49" s="129">
        <v>0.19919999999999999</v>
      </c>
      <c r="G49" s="129">
        <v>0.21099999999999999</v>
      </c>
      <c r="H49" s="129">
        <v>0.2135</v>
      </c>
      <c r="I49" s="129">
        <v>0.21049999999999999</v>
      </c>
      <c r="J49" s="129">
        <v>0.217</v>
      </c>
      <c r="K49" s="129">
        <v>0.20069999999999999</v>
      </c>
      <c r="L49" s="129">
        <v>0.19789999999999999</v>
      </c>
      <c r="M49" s="129">
        <v>0.21509999999999999</v>
      </c>
      <c r="N49" s="129">
        <v>0.21959999999999999</v>
      </c>
      <c r="O49" s="129">
        <v>0.218</v>
      </c>
      <c r="P49" s="129">
        <v>0.1973</v>
      </c>
      <c r="Q49" s="129">
        <v>0.19989999999999999</v>
      </c>
      <c r="R49" s="129">
        <v>0.19419999999999998</v>
      </c>
      <c r="S49" s="129">
        <v>0.219</v>
      </c>
      <c r="T49" s="129">
        <v>0.21249999999999999</v>
      </c>
      <c r="U49" s="129">
        <v>0.21959999999999999</v>
      </c>
      <c r="V49" s="129">
        <v>0.218</v>
      </c>
      <c r="W49" s="129">
        <v>0.19749999999999998</v>
      </c>
      <c r="X49" s="129">
        <v>0.20119999999999999</v>
      </c>
      <c r="Y49" s="129">
        <v>0.21539999999999998</v>
      </c>
      <c r="Z49" s="129">
        <v>0.2152</v>
      </c>
      <c r="AA49" s="129">
        <v>0.2233</v>
      </c>
      <c r="AB49" s="129">
        <v>0.20049999999999998</v>
      </c>
      <c r="AD49" s="86" t="s">
        <v>84</v>
      </c>
      <c r="AE49" s="90">
        <f>SUMPRODUCT(AE50:AE53,C50:C53)</f>
        <v>4.9920620856736646E-2</v>
      </c>
      <c r="AF49" s="90">
        <f t="shared" ref="AF49" si="139">SUMPRODUCT(AF50:AF53,D50:D53)</f>
        <v>3.6886398098653454E-2</v>
      </c>
      <c r="AG49" s="90">
        <f t="shared" ref="AG49" si="140">SUMPRODUCT(AG50:AG53,E50:E53)</f>
        <v>4.0054936248430449E-2</v>
      </c>
      <c r="AH49" s="90">
        <f t="shared" ref="AH49" si="141">SUMPRODUCT(AH50:AH53,F50:F53)</f>
        <v>4.888268967283927E-2</v>
      </c>
      <c r="AI49" s="90">
        <f t="shared" ref="AI49" si="142">SUMPRODUCT(AI50:AI53,G50:G53)</f>
        <v>4.3156105709449215E-2</v>
      </c>
      <c r="AJ49" s="90">
        <f t="shared" ref="AJ49" si="143">SUMPRODUCT(AJ50:AJ53,H50:H53)</f>
        <v>3.7035095503518432E-2</v>
      </c>
      <c r="AK49" s="90">
        <f t="shared" ref="AK49" si="144">SUMPRODUCT(AK50:AK53,I50:I53)</f>
        <v>5.2186078377932425E-2</v>
      </c>
      <c r="AL49" s="90">
        <f t="shared" ref="AL49" si="145">SUMPRODUCT(AL50:AL53,J50:J53)</f>
        <v>3.3825089143363886E-2</v>
      </c>
      <c r="AM49" s="90">
        <f t="shared" ref="AM49" si="146">SUMPRODUCT(AM50:AM53,K50:K53)</f>
        <v>4.6913710625737966E-2</v>
      </c>
      <c r="AN49" s="90">
        <f t="shared" ref="AN49" si="147">SUMPRODUCT(AN50:AN53,L50:L53)</f>
        <v>6.2123084952056901E-2</v>
      </c>
      <c r="AO49" s="90">
        <f t="shared" ref="AO49" si="148">SUMPRODUCT(AO50:AO53,M50:M53)</f>
        <v>9.2824034050503823E-2</v>
      </c>
      <c r="AP49" s="90">
        <f t="shared" ref="AP49" si="149">SUMPRODUCT(AP50:AP53,N50:N53)</f>
        <v>4.4001036919543102E-2</v>
      </c>
      <c r="AQ49" s="90">
        <f t="shared" ref="AQ49" si="150">SUMPRODUCT(AQ50:AQ53,O50:O53)</f>
        <v>5.6361270233644831E-2</v>
      </c>
      <c r="AR49" s="90">
        <f t="shared" ref="AR49" si="151">SUMPRODUCT(AR50:AR53,P50:P53)</f>
        <v>7.74254127629984E-2</v>
      </c>
      <c r="AS49" s="90">
        <f t="shared" ref="AS49" si="152">SUMPRODUCT(AS50:AS53,Q50:Q53)</f>
        <v>5.1502433445584576E-2</v>
      </c>
      <c r="AT49" s="90">
        <f t="shared" ref="AT49" si="153">SUMPRODUCT(AT50:AT53,R50:R53)</f>
        <v>7.0688033200739894E-2</v>
      </c>
      <c r="AU49" s="90">
        <f t="shared" ref="AU49" si="154">SUMPRODUCT(AU50:AU53,S50:S53)</f>
        <v>5.0272860164334701E-2</v>
      </c>
      <c r="AV49" s="90">
        <f t="shared" ref="AV49" si="155">SUMPRODUCT(AV50:AV53,T50:T53)</f>
        <v>5.8309838900841404E-2</v>
      </c>
      <c r="AW49" s="90">
        <f t="shared" ref="AW49" si="156">SUMPRODUCT(AW50:AW53,U50:U53)</f>
        <v>3.8228044431093615E-2</v>
      </c>
      <c r="AX49" s="90">
        <f t="shared" ref="AX49" si="157">SUMPRODUCT(AX50:AX53,V50:V53)</f>
        <v>4.5306036842464106E-2</v>
      </c>
      <c r="AY49" s="90">
        <f t="shared" ref="AY49" si="158">SUMPRODUCT(AY50:AY53,W50:W53)</f>
        <v>4.9147032842524266E-2</v>
      </c>
      <c r="AZ49" s="90">
        <f t="shared" ref="AZ49" si="159">SUMPRODUCT(AZ50:AZ53,X50:X53)</f>
        <v>6.0520320803375216E-2</v>
      </c>
      <c r="BA49" s="90">
        <f t="shared" ref="BA49" si="160">SUMPRODUCT(BA50:BA53,Y50:Y53)</f>
        <v>5.4136732889426734E-2</v>
      </c>
      <c r="BB49" s="90">
        <f t="shared" ref="BB49" si="161">SUMPRODUCT(BB50:BB53,Z50:Z53)</f>
        <v>5.8792703093120409E-2</v>
      </c>
      <c r="BC49" s="90">
        <f t="shared" ref="BC49" si="162">SUMPRODUCT(BC50:BC53,AA50:AA53)</f>
        <v>6.5329083954786496E-2</v>
      </c>
      <c r="BD49" s="90">
        <f t="shared" ref="BD49" si="163">SUMPRODUCT(BD50:BD53,AB50:AB53)</f>
        <v>4.9307745908361601E-2</v>
      </c>
      <c r="BF49" s="86" t="s">
        <v>84</v>
      </c>
      <c r="BG49" t="s">
        <v>213</v>
      </c>
      <c r="BH49" t="s">
        <v>209</v>
      </c>
      <c r="BI49" t="s">
        <v>211</v>
      </c>
      <c r="BJ49" t="s">
        <v>211</v>
      </c>
      <c r="BK49" t="s">
        <v>213</v>
      </c>
      <c r="BL49" t="s">
        <v>210</v>
      </c>
      <c r="BM49" t="s">
        <v>214</v>
      </c>
      <c r="BN49" t="s">
        <v>212</v>
      </c>
      <c r="BO49" t="s">
        <v>212</v>
      </c>
      <c r="BP49" t="s">
        <v>211</v>
      </c>
      <c r="BQ49" t="s">
        <v>214</v>
      </c>
      <c r="BR49" t="s">
        <v>214</v>
      </c>
      <c r="BS49" t="s">
        <v>210</v>
      </c>
      <c r="BT49" t="s">
        <v>209</v>
      </c>
      <c r="BU49" t="s">
        <v>214</v>
      </c>
      <c r="BV49" t="s">
        <v>212</v>
      </c>
      <c r="BW49" t="s">
        <v>215</v>
      </c>
      <c r="BX49" t="s">
        <v>213</v>
      </c>
      <c r="BY49" t="s">
        <v>209</v>
      </c>
      <c r="BZ49" t="s">
        <v>210</v>
      </c>
      <c r="CA49" t="s">
        <v>213</v>
      </c>
      <c r="CB49" t="s">
        <v>211</v>
      </c>
      <c r="CC49" t="s">
        <v>213</v>
      </c>
      <c r="CD49" t="s">
        <v>209</v>
      </c>
      <c r="CE49" t="s">
        <v>212</v>
      </c>
      <c r="CF49" t="s">
        <v>215</v>
      </c>
    </row>
    <row r="50" spans="2:84">
      <c r="B50" s="87" t="s">
        <v>120</v>
      </c>
      <c r="C50" s="129">
        <f>1-SUM(C51:C53)</f>
        <v>0.58130000000000015</v>
      </c>
      <c r="D50" s="129">
        <f t="shared" ref="D50" si="164">1-SUM(D51:D53)</f>
        <v>0.55580000000000007</v>
      </c>
      <c r="E50" s="129">
        <f t="shared" ref="E50" si="165">1-SUM(E51:E53)</f>
        <v>0.54170000000000007</v>
      </c>
      <c r="F50" s="129">
        <f t="shared" ref="F50" si="166">1-SUM(F51:F53)</f>
        <v>0.57130000000000014</v>
      </c>
      <c r="G50" s="129">
        <f t="shared" ref="G50" si="167">1-SUM(G51:G53)</f>
        <v>0.55660000000000009</v>
      </c>
      <c r="H50" s="129">
        <f t="shared" ref="H50" si="168">1-SUM(H51:H53)</f>
        <v>0.54130000000000011</v>
      </c>
      <c r="I50" s="129">
        <f t="shared" ref="I50" si="169">1-SUM(I51:I53)</f>
        <v>0.56050000000000022</v>
      </c>
      <c r="J50" s="129">
        <f t="shared" ref="J50" si="170">1-SUM(J51:J53)</f>
        <v>0.5888000000000001</v>
      </c>
      <c r="K50" s="129">
        <f t="shared" ref="K50" si="171">1-SUM(K51:K53)</f>
        <v>0.54590000000000005</v>
      </c>
      <c r="L50" s="129">
        <f t="shared" ref="L50" si="172">1-SUM(L51:L53)</f>
        <v>0.55440000000000011</v>
      </c>
      <c r="M50" s="129">
        <f t="shared" ref="M50" si="173">1-SUM(M51:M53)</f>
        <v>0.5485000000000001</v>
      </c>
      <c r="N50" s="129">
        <f t="shared" ref="N50" si="174">1-SUM(N51:N53)</f>
        <v>0.55730000000000013</v>
      </c>
      <c r="O50" s="129">
        <f t="shared" ref="O50" si="175">1-SUM(O51:O53)</f>
        <v>0.57120000000000015</v>
      </c>
      <c r="P50" s="129">
        <f t="shared" ref="P50" si="176">1-SUM(P51:P53)</f>
        <v>0.55940000000000012</v>
      </c>
      <c r="Q50" s="129">
        <f t="shared" ref="Q50" si="177">1-SUM(Q51:Q53)</f>
        <v>0.5767000000000001</v>
      </c>
      <c r="R50" s="129">
        <f t="shared" ref="R50" si="178">1-SUM(R51:R53)</f>
        <v>0.58240000000000014</v>
      </c>
      <c r="S50" s="129">
        <f t="shared" ref="S50" si="179">1-SUM(S51:S53)</f>
        <v>0.5787000000000001</v>
      </c>
      <c r="T50" s="129">
        <f t="shared" ref="T50" si="180">1-SUM(T51:T53)</f>
        <v>0.54780000000000006</v>
      </c>
      <c r="U50" s="129">
        <f t="shared" ref="U50" si="181">1-SUM(U51:U53)</f>
        <v>0.53520000000000012</v>
      </c>
      <c r="V50" s="129">
        <f t="shared" ref="V50" si="182">1-SUM(V51:V53)</f>
        <v>0.55930000000000013</v>
      </c>
      <c r="W50" s="129">
        <f t="shared" ref="W50" si="183">1-SUM(W51:W53)</f>
        <v>0.55370000000000008</v>
      </c>
      <c r="X50" s="129">
        <f t="shared" ref="X50" si="184">1-SUM(X51:X53)</f>
        <v>0.57540000000000013</v>
      </c>
      <c r="Y50" s="129">
        <f t="shared" ref="Y50" si="185">1-SUM(Y51:Y53)</f>
        <v>0.56190000000000007</v>
      </c>
      <c r="Z50" s="129">
        <f t="shared" ref="Z50" si="186">1-SUM(Z51:Z53)</f>
        <v>0.57630000000000003</v>
      </c>
      <c r="AA50" s="129">
        <f t="shared" ref="AA50" si="187">1-SUM(AA51:AA53)</f>
        <v>0.52220000000000011</v>
      </c>
      <c r="AB50" s="129">
        <f t="shared" ref="AB50" si="188">1-SUM(AB51:AB53)</f>
        <v>0.57940000000000014</v>
      </c>
      <c r="AD50" s="87" t="s">
        <v>120</v>
      </c>
      <c r="AE50" s="91">
        <v>4.4981159724883632E-2</v>
      </c>
      <c r="AF50" s="91">
        <v>3.1696985355412717E-2</v>
      </c>
      <c r="AG50" s="91">
        <v>3.4742330789751093E-2</v>
      </c>
      <c r="AH50" s="91">
        <v>4.3913916403091474E-2</v>
      </c>
      <c r="AI50" s="91">
        <v>3.8144810904872595E-2</v>
      </c>
      <c r="AJ50" s="91">
        <v>3.1827131140879567E-2</v>
      </c>
      <c r="AK50" s="91">
        <v>4.7151272190111268E-2</v>
      </c>
      <c r="AL50" s="91">
        <v>2.8987126827518164E-2</v>
      </c>
      <c r="AM50" s="91">
        <v>4.1708177675838135E-2</v>
      </c>
      <c r="AN50" s="91">
        <v>5.7069190737202929E-2</v>
      </c>
      <c r="AO50" s="91">
        <v>8.7681454923192043E-2</v>
      </c>
      <c r="AP50" s="91">
        <v>3.8836973193905437E-2</v>
      </c>
      <c r="AQ50" s="91">
        <v>5.160608303811702E-2</v>
      </c>
      <c r="AR50" s="91">
        <v>7.2230885386655147E-2</v>
      </c>
      <c r="AS50" s="91">
        <v>4.6652353871448046E-2</v>
      </c>
      <c r="AT50" s="91">
        <v>6.5977718250025935E-2</v>
      </c>
      <c r="AU50" s="91">
        <v>4.5432458692380107E-2</v>
      </c>
      <c r="AV50" s="91">
        <v>5.3039620420588005E-2</v>
      </c>
      <c r="AW50" s="91">
        <v>3.2782621384138864E-2</v>
      </c>
      <c r="AX50" s="91">
        <v>4.0312079074805607E-2</v>
      </c>
      <c r="AY50" s="91">
        <v>4.4185422419491978E-2</v>
      </c>
      <c r="AZ50" s="91">
        <v>5.5673109160864528E-2</v>
      </c>
      <c r="BA50" s="91">
        <v>4.911544724109778E-2</v>
      </c>
      <c r="BB50" s="91">
        <v>5.3812688415390136E-2</v>
      </c>
      <c r="BC50" s="91">
        <v>5.9821339199200935E-2</v>
      </c>
      <c r="BD50" s="91">
        <v>4.4337306974034096E-2</v>
      </c>
      <c r="BF50" s="87" t="s">
        <v>120</v>
      </c>
      <c r="BG50" t="s">
        <v>211</v>
      </c>
      <c r="BH50" t="s">
        <v>213</v>
      </c>
      <c r="BI50" t="s">
        <v>210</v>
      </c>
      <c r="BJ50" t="s">
        <v>215</v>
      </c>
      <c r="BK50" t="s">
        <v>211</v>
      </c>
      <c r="BL50" t="s">
        <v>210</v>
      </c>
      <c r="BM50" t="s">
        <v>215</v>
      </c>
      <c r="BN50" t="s">
        <v>214</v>
      </c>
      <c r="BO50" t="s">
        <v>214</v>
      </c>
      <c r="BP50" t="s">
        <v>214</v>
      </c>
      <c r="BQ50" t="s">
        <v>210</v>
      </c>
      <c r="BR50" t="s">
        <v>215</v>
      </c>
      <c r="BS50" t="s">
        <v>214</v>
      </c>
      <c r="BT50" t="s">
        <v>213</v>
      </c>
      <c r="BU50" t="s">
        <v>211</v>
      </c>
      <c r="BV50" t="s">
        <v>210</v>
      </c>
      <c r="BW50" t="s">
        <v>209</v>
      </c>
      <c r="BX50" t="s">
        <v>212</v>
      </c>
      <c r="BY50" t="s">
        <v>213</v>
      </c>
      <c r="BZ50" t="s">
        <v>212</v>
      </c>
      <c r="CA50" t="s">
        <v>212</v>
      </c>
      <c r="CB50" t="s">
        <v>215</v>
      </c>
      <c r="CC50" t="s">
        <v>213</v>
      </c>
      <c r="CD50" t="s">
        <v>214</v>
      </c>
      <c r="CE50" t="s">
        <v>212</v>
      </c>
      <c r="CF50" t="s">
        <v>209</v>
      </c>
    </row>
    <row r="51" spans="2:84">
      <c r="B51" s="87" t="s">
        <v>121</v>
      </c>
      <c r="C51" s="129">
        <v>0.14860000000000001</v>
      </c>
      <c r="D51" s="129">
        <v>0.1588</v>
      </c>
      <c r="E51" s="129">
        <v>0.161</v>
      </c>
      <c r="F51" s="129">
        <v>0.15859999999999999</v>
      </c>
      <c r="G51" s="129">
        <v>0.1734</v>
      </c>
      <c r="H51" s="129">
        <v>0.1759</v>
      </c>
      <c r="I51" s="129">
        <v>0.16289999999999999</v>
      </c>
      <c r="J51" s="129">
        <v>0.14380000000000001</v>
      </c>
      <c r="K51" s="129">
        <v>0.16140000000000002</v>
      </c>
      <c r="L51" s="129">
        <v>0.17430000000000001</v>
      </c>
      <c r="M51" s="129">
        <v>0.1721</v>
      </c>
      <c r="N51" s="129">
        <v>0.16120000000000001</v>
      </c>
      <c r="O51" s="129">
        <v>0.1762</v>
      </c>
      <c r="P51" s="129">
        <v>0.15360000000000001</v>
      </c>
      <c r="Q51" s="129">
        <v>0.1479</v>
      </c>
      <c r="R51" s="129">
        <v>0.16539999999999999</v>
      </c>
      <c r="S51" s="129">
        <v>0.15859999999999999</v>
      </c>
      <c r="T51" s="129">
        <v>0.15809999999999999</v>
      </c>
      <c r="U51" s="129">
        <v>0.16020000000000001</v>
      </c>
      <c r="V51" s="129">
        <v>0.1691</v>
      </c>
      <c r="W51" s="129">
        <v>0.1762</v>
      </c>
      <c r="X51" s="129">
        <v>0.15210000000000001</v>
      </c>
      <c r="Y51" s="129">
        <v>0.16789999999999999</v>
      </c>
      <c r="Z51" s="129">
        <v>0.1522</v>
      </c>
      <c r="AA51" s="129">
        <v>0.1744</v>
      </c>
      <c r="AB51" s="129">
        <v>0.14419999999999999</v>
      </c>
      <c r="AD51" s="87" t="s">
        <v>121</v>
      </c>
      <c r="AE51" s="91">
        <v>5.0285918096050305E-2</v>
      </c>
      <c r="AF51" s="91">
        <v>3.7001743726579391E-2</v>
      </c>
      <c r="AG51" s="91">
        <v>4.0047089160917766E-2</v>
      </c>
      <c r="AH51" s="91">
        <v>4.9218674774258148E-2</v>
      </c>
      <c r="AI51" s="91">
        <v>4.3449569276039268E-2</v>
      </c>
      <c r="AJ51" s="91">
        <v>3.713188951204624E-2</v>
      </c>
      <c r="AK51" s="91">
        <v>5.2456030561277942E-2</v>
      </c>
      <c r="AL51" s="91">
        <v>3.4291885198684841E-2</v>
      </c>
      <c r="AM51" s="91">
        <v>4.7012936047004808E-2</v>
      </c>
      <c r="AN51" s="91">
        <v>6.2373949108369603E-2</v>
      </c>
      <c r="AO51" s="91">
        <v>9.2986213294358716E-2</v>
      </c>
      <c r="AP51" s="91">
        <v>4.4141731565072111E-2</v>
      </c>
      <c r="AQ51" s="91">
        <v>5.6910841409283694E-2</v>
      </c>
      <c r="AR51" s="91">
        <v>7.753564375782182E-2</v>
      </c>
      <c r="AS51" s="91">
        <v>5.195711224261472E-2</v>
      </c>
      <c r="AT51" s="91">
        <v>7.1282476621192609E-2</v>
      </c>
      <c r="AU51" s="91">
        <v>5.073721706354678E-2</v>
      </c>
      <c r="AV51" s="91">
        <v>5.8344378791754678E-2</v>
      </c>
      <c r="AW51" s="91">
        <v>3.8087379755305538E-2</v>
      </c>
      <c r="AX51" s="91">
        <v>4.561683744597228E-2</v>
      </c>
      <c r="AY51" s="91">
        <v>4.9490180790658651E-2</v>
      </c>
      <c r="AZ51" s="91">
        <v>6.0977867532031202E-2</v>
      </c>
      <c r="BA51" s="91">
        <v>5.4420205612264454E-2</v>
      </c>
      <c r="BB51" s="91">
        <v>5.911744678655681E-2</v>
      </c>
      <c r="BC51" s="91">
        <v>6.5126097570367608E-2</v>
      </c>
      <c r="BD51" s="91">
        <v>4.964206534520077E-2</v>
      </c>
      <c r="BF51" s="87" t="s">
        <v>121</v>
      </c>
      <c r="BG51" t="s">
        <v>213</v>
      </c>
      <c r="BH51" t="s">
        <v>212</v>
      </c>
      <c r="BI51" t="s">
        <v>209</v>
      </c>
      <c r="BJ51" t="s">
        <v>214</v>
      </c>
      <c r="BK51" t="s">
        <v>215</v>
      </c>
      <c r="BL51" t="s">
        <v>211</v>
      </c>
      <c r="BM51" t="s">
        <v>212</v>
      </c>
      <c r="BN51" t="s">
        <v>211</v>
      </c>
      <c r="BO51" t="s">
        <v>209</v>
      </c>
      <c r="BP51" t="s">
        <v>214</v>
      </c>
      <c r="BQ51" t="s">
        <v>211</v>
      </c>
      <c r="BR51" t="s">
        <v>211</v>
      </c>
      <c r="BS51" t="s">
        <v>211</v>
      </c>
      <c r="BT51" t="s">
        <v>211</v>
      </c>
      <c r="BU51" t="s">
        <v>213</v>
      </c>
      <c r="BV51" t="s">
        <v>212</v>
      </c>
      <c r="BW51" t="s">
        <v>214</v>
      </c>
      <c r="BX51" t="s">
        <v>213</v>
      </c>
      <c r="BY51" t="s">
        <v>215</v>
      </c>
      <c r="BZ51" t="s">
        <v>215</v>
      </c>
      <c r="CA51" t="s">
        <v>211</v>
      </c>
      <c r="CB51" t="s">
        <v>210</v>
      </c>
      <c r="CC51" t="s">
        <v>214</v>
      </c>
      <c r="CD51" t="s">
        <v>214</v>
      </c>
      <c r="CE51" t="s">
        <v>212</v>
      </c>
      <c r="CF51" t="s">
        <v>215</v>
      </c>
    </row>
    <row r="52" spans="2:84">
      <c r="B52" s="87" t="s">
        <v>122</v>
      </c>
      <c r="C52" s="129">
        <v>0.17530000000000001</v>
      </c>
      <c r="D52" s="129">
        <v>0.17960000000000001</v>
      </c>
      <c r="E52" s="129">
        <v>0.17710000000000001</v>
      </c>
      <c r="F52" s="129">
        <v>0.17190000000000003</v>
      </c>
      <c r="G52" s="129">
        <v>0.16690000000000002</v>
      </c>
      <c r="H52" s="129">
        <v>0.17330000000000001</v>
      </c>
      <c r="I52" s="129">
        <v>0.16800000000000001</v>
      </c>
      <c r="J52" s="129">
        <v>0.1686</v>
      </c>
      <c r="K52" s="129">
        <v>0.1686</v>
      </c>
      <c r="L52" s="129">
        <v>0.17030000000000001</v>
      </c>
      <c r="M52" s="129">
        <v>0.1721</v>
      </c>
      <c r="N52" s="129">
        <v>0.18020000000000003</v>
      </c>
      <c r="O52" s="129">
        <v>0.15510000000000002</v>
      </c>
      <c r="P52" s="129">
        <v>0.18180000000000002</v>
      </c>
      <c r="Q52" s="129">
        <v>0.15480000000000002</v>
      </c>
      <c r="R52" s="129">
        <v>0.1575</v>
      </c>
      <c r="S52" s="129">
        <v>0.16500000000000001</v>
      </c>
      <c r="T52" s="129">
        <v>0.17820000000000003</v>
      </c>
      <c r="U52" s="129">
        <v>0.18540000000000001</v>
      </c>
      <c r="V52" s="129">
        <v>0.16520000000000001</v>
      </c>
      <c r="W52" s="129">
        <v>0.1575</v>
      </c>
      <c r="X52" s="129">
        <v>0.15570000000000001</v>
      </c>
      <c r="Y52" s="129">
        <v>0.17220000000000002</v>
      </c>
      <c r="Z52" s="129">
        <v>0.17620000000000002</v>
      </c>
      <c r="AA52" s="129">
        <v>0.18540000000000001</v>
      </c>
      <c r="AB52" s="129">
        <v>0.17330000000000001</v>
      </c>
      <c r="AD52" s="87" t="s">
        <v>122</v>
      </c>
      <c r="AE52" s="91">
        <v>6.2800390066907075E-2</v>
      </c>
      <c r="AF52" s="91">
        <v>4.9516215697436167E-2</v>
      </c>
      <c r="AG52" s="91">
        <v>5.2561561131774542E-2</v>
      </c>
      <c r="AH52" s="91">
        <v>6.1733146745114924E-2</v>
      </c>
      <c r="AI52" s="91">
        <v>5.5964041246896044E-2</v>
      </c>
      <c r="AJ52" s="91">
        <v>4.9646361482903009E-2</v>
      </c>
      <c r="AK52" s="91">
        <v>6.4970502532134711E-2</v>
      </c>
      <c r="AL52" s="91">
        <v>4.680635716954161E-2</v>
      </c>
      <c r="AM52" s="91">
        <v>5.9527408017861584E-2</v>
      </c>
      <c r="AN52" s="91">
        <v>7.4888421079226386E-2</v>
      </c>
      <c r="AO52" s="91">
        <v>0.1055006852652155</v>
      </c>
      <c r="AP52" s="91">
        <v>5.6656203535928887E-2</v>
      </c>
      <c r="AQ52" s="91">
        <v>6.9425313380140463E-2</v>
      </c>
      <c r="AR52" s="91">
        <v>9.005011572867859E-2</v>
      </c>
      <c r="AS52" s="91">
        <v>6.4471584213471489E-2</v>
      </c>
      <c r="AT52" s="91">
        <v>8.3796948592049378E-2</v>
      </c>
      <c r="AU52" s="91">
        <v>6.3251689034403563E-2</v>
      </c>
      <c r="AV52" s="91">
        <v>7.0858850762611447E-2</v>
      </c>
      <c r="AW52" s="91">
        <v>5.0601851726162314E-2</v>
      </c>
      <c r="AX52" s="91">
        <v>5.8131309416829056E-2</v>
      </c>
      <c r="AY52" s="91">
        <v>6.2004652761515427E-2</v>
      </c>
      <c r="AZ52" s="91">
        <v>7.3492339502887971E-2</v>
      </c>
      <c r="BA52" s="91">
        <v>6.693467758312123E-2</v>
      </c>
      <c r="BB52" s="91">
        <v>7.1631918757413593E-2</v>
      </c>
      <c r="BC52" s="91">
        <v>7.7640569541224391E-2</v>
      </c>
      <c r="BD52" s="91">
        <v>6.2156537316057546E-2</v>
      </c>
      <c r="BF52" s="87" t="s">
        <v>122</v>
      </c>
      <c r="BG52" t="s">
        <v>211</v>
      </c>
      <c r="BH52" t="s">
        <v>213</v>
      </c>
      <c r="BI52" t="s">
        <v>212</v>
      </c>
      <c r="BJ52" t="s">
        <v>214</v>
      </c>
      <c r="BK52" t="s">
        <v>212</v>
      </c>
      <c r="BL52" t="s">
        <v>215</v>
      </c>
      <c r="BM52" t="s">
        <v>214</v>
      </c>
      <c r="BN52" t="s">
        <v>215</v>
      </c>
      <c r="BO52" t="s">
        <v>212</v>
      </c>
      <c r="BP52" t="s">
        <v>210</v>
      </c>
      <c r="BQ52" t="s">
        <v>211</v>
      </c>
      <c r="BR52" t="s">
        <v>214</v>
      </c>
      <c r="BS52" t="s">
        <v>209</v>
      </c>
      <c r="BT52" t="s">
        <v>214</v>
      </c>
      <c r="BU52" t="s">
        <v>215</v>
      </c>
      <c r="BV52" t="s">
        <v>213</v>
      </c>
      <c r="BW52" t="s">
        <v>209</v>
      </c>
      <c r="BX52" t="s">
        <v>214</v>
      </c>
      <c r="BY52" t="s">
        <v>215</v>
      </c>
      <c r="BZ52" t="s">
        <v>209</v>
      </c>
      <c r="CA52" t="s">
        <v>213</v>
      </c>
      <c r="CB52" t="s">
        <v>214</v>
      </c>
      <c r="CC52" t="s">
        <v>210</v>
      </c>
      <c r="CD52" t="s">
        <v>214</v>
      </c>
      <c r="CE52" t="s">
        <v>209</v>
      </c>
      <c r="CF52" t="s">
        <v>209</v>
      </c>
    </row>
    <row r="53" spans="2:84">
      <c r="B53" s="87" t="s">
        <v>232</v>
      </c>
      <c r="C53" s="129">
        <v>9.479999999999987E-2</v>
      </c>
      <c r="D53" s="129">
        <v>0.10579999999999988</v>
      </c>
      <c r="E53" s="129">
        <v>0.12019999999999988</v>
      </c>
      <c r="F53" s="129">
        <v>9.8199999999999871E-2</v>
      </c>
      <c r="G53" s="129">
        <v>0.10309999999999987</v>
      </c>
      <c r="H53" s="129">
        <v>0.10949999999999988</v>
      </c>
      <c r="I53" s="129">
        <v>0.10859999999999988</v>
      </c>
      <c r="J53" s="129">
        <v>9.8799999999999874E-2</v>
      </c>
      <c r="K53" s="129">
        <v>0.12409999999999988</v>
      </c>
      <c r="L53" s="129">
        <v>0.10099999999999988</v>
      </c>
      <c r="M53" s="129">
        <v>0.10729999999999988</v>
      </c>
      <c r="N53" s="129">
        <v>0.10129999999999988</v>
      </c>
      <c r="O53" s="129">
        <v>9.7499999999999878E-2</v>
      </c>
      <c r="P53" s="129">
        <v>0.10519999999999988</v>
      </c>
      <c r="Q53" s="129">
        <v>0.12059999999999987</v>
      </c>
      <c r="R53" s="129">
        <v>9.4699999999999881E-2</v>
      </c>
      <c r="S53" s="129">
        <v>9.769999999999987E-2</v>
      </c>
      <c r="T53" s="129">
        <v>0.11589999999999988</v>
      </c>
      <c r="U53" s="129">
        <v>0.11919999999999988</v>
      </c>
      <c r="V53" s="129">
        <v>0.10639999999999987</v>
      </c>
      <c r="W53" s="129">
        <v>0.11259999999999988</v>
      </c>
      <c r="X53" s="129">
        <v>0.11679999999999988</v>
      </c>
      <c r="Y53" s="129">
        <v>9.7999999999999879E-2</v>
      </c>
      <c r="Z53" s="129">
        <v>9.5299999999999871E-2</v>
      </c>
      <c r="AA53" s="129">
        <v>0.11799999999999988</v>
      </c>
      <c r="AB53" s="129">
        <v>0.10309999999999987</v>
      </c>
      <c r="AD53" s="87" t="s">
        <v>232</v>
      </c>
      <c r="AE53" s="91">
        <v>5.5819376591349272E-2</v>
      </c>
      <c r="AF53" s="91">
        <v>4.2535202221878357E-2</v>
      </c>
      <c r="AG53" s="91">
        <v>4.5580547656216733E-2</v>
      </c>
      <c r="AH53" s="91">
        <v>5.4752133269557114E-2</v>
      </c>
      <c r="AI53" s="91">
        <v>4.8983027771338235E-2</v>
      </c>
      <c r="AJ53" s="91">
        <v>4.26653480073452E-2</v>
      </c>
      <c r="AK53" s="91">
        <v>5.7989489056576908E-2</v>
      </c>
      <c r="AL53" s="91">
        <v>3.98253436939838E-2</v>
      </c>
      <c r="AM53" s="91">
        <v>5.2546394542303775E-2</v>
      </c>
      <c r="AN53" s="91">
        <v>6.7907407603668563E-2</v>
      </c>
      <c r="AO53" s="91">
        <v>9.851967178965769E-2</v>
      </c>
      <c r="AP53" s="91">
        <v>4.9675190060371077E-2</v>
      </c>
      <c r="AQ53" s="91">
        <v>6.244429990458266E-2</v>
      </c>
      <c r="AR53" s="91">
        <v>8.306910225312078E-2</v>
      </c>
      <c r="AS53" s="91">
        <v>5.7490570737913686E-2</v>
      </c>
      <c r="AT53" s="91">
        <v>7.6815935116491568E-2</v>
      </c>
      <c r="AU53" s="91">
        <v>5.6270675558845747E-2</v>
      </c>
      <c r="AV53" s="91">
        <v>6.3877837287053651E-2</v>
      </c>
      <c r="AW53" s="91">
        <v>4.3620838250604504E-2</v>
      </c>
      <c r="AX53" s="91">
        <v>5.1150295941271247E-2</v>
      </c>
      <c r="AY53" s="91">
        <v>5.5023639285957618E-2</v>
      </c>
      <c r="AZ53" s="91">
        <v>6.6511326027330175E-2</v>
      </c>
      <c r="BA53" s="91">
        <v>5.995366410756342E-2</v>
      </c>
      <c r="BB53" s="91">
        <v>6.4650905281855769E-2</v>
      </c>
      <c r="BC53" s="91">
        <v>7.0659556065666568E-2</v>
      </c>
      <c r="BD53" s="91">
        <v>5.5175523840499736E-2</v>
      </c>
      <c r="BF53" s="87" t="s">
        <v>232</v>
      </c>
      <c r="BG53" t="s">
        <v>211</v>
      </c>
      <c r="BH53" t="s">
        <v>212</v>
      </c>
      <c r="BI53" t="s">
        <v>209</v>
      </c>
      <c r="BJ53" t="s">
        <v>209</v>
      </c>
      <c r="BK53" t="s">
        <v>210</v>
      </c>
      <c r="BL53" t="s">
        <v>211</v>
      </c>
      <c r="BM53" t="s">
        <v>210</v>
      </c>
      <c r="BN53" t="s">
        <v>214</v>
      </c>
      <c r="BO53" t="s">
        <v>211</v>
      </c>
      <c r="BP53" t="s">
        <v>211</v>
      </c>
      <c r="BQ53" t="s">
        <v>215</v>
      </c>
      <c r="BR53" t="s">
        <v>212</v>
      </c>
      <c r="BS53" t="s">
        <v>213</v>
      </c>
      <c r="BT53" t="s">
        <v>209</v>
      </c>
      <c r="BU53" t="s">
        <v>212</v>
      </c>
      <c r="BV53" t="s">
        <v>209</v>
      </c>
      <c r="BW53" t="s">
        <v>213</v>
      </c>
      <c r="BX53" t="s">
        <v>212</v>
      </c>
      <c r="BY53" t="s">
        <v>209</v>
      </c>
      <c r="BZ53" t="s">
        <v>209</v>
      </c>
      <c r="CA53" t="s">
        <v>215</v>
      </c>
      <c r="CB53" t="s">
        <v>212</v>
      </c>
      <c r="CC53" t="s">
        <v>213</v>
      </c>
      <c r="CD53" t="s">
        <v>209</v>
      </c>
      <c r="CE53" t="s">
        <v>211</v>
      </c>
      <c r="CF53" t="s">
        <v>212</v>
      </c>
    </row>
    <row r="54" spans="2:84">
      <c r="B54" s="86" t="s">
        <v>98</v>
      </c>
      <c r="C54" s="129">
        <v>0.1719</v>
      </c>
      <c r="D54" s="129">
        <v>0.17350000000000002</v>
      </c>
      <c r="E54" s="129">
        <v>0.1774</v>
      </c>
      <c r="F54" s="129">
        <v>0.15510000000000002</v>
      </c>
      <c r="G54" s="129">
        <v>0.15690000000000001</v>
      </c>
      <c r="H54" s="129">
        <v>0.1545</v>
      </c>
      <c r="I54" s="129">
        <v>0.1605</v>
      </c>
      <c r="J54" s="129">
        <v>0.17630000000000001</v>
      </c>
      <c r="K54" s="129">
        <v>0.1452</v>
      </c>
      <c r="L54" s="129">
        <v>0.15579999999999999</v>
      </c>
      <c r="M54" s="129">
        <v>0.16720000000000002</v>
      </c>
      <c r="N54" s="129">
        <v>0.16200000000000001</v>
      </c>
      <c r="O54" s="129">
        <v>0.14400000000000002</v>
      </c>
      <c r="P54" s="129">
        <v>0.153</v>
      </c>
      <c r="Q54" s="129">
        <v>0.14450000000000002</v>
      </c>
      <c r="R54" s="129">
        <v>0.1527</v>
      </c>
      <c r="S54" s="129">
        <v>0.17119999999999999</v>
      </c>
      <c r="T54" s="129">
        <v>0.156</v>
      </c>
      <c r="U54" s="129">
        <v>0.17330000000000001</v>
      </c>
      <c r="V54" s="129">
        <v>0.17549999999999999</v>
      </c>
      <c r="W54" s="129">
        <v>0.1656</v>
      </c>
      <c r="X54" s="129">
        <v>0.15679999999999999</v>
      </c>
      <c r="Y54" s="129">
        <v>0.16500000000000001</v>
      </c>
      <c r="Z54" s="129">
        <v>0.1575</v>
      </c>
      <c r="AA54" s="129">
        <v>0.1628</v>
      </c>
      <c r="AB54" s="129">
        <v>0.16600000000000001</v>
      </c>
      <c r="AD54" s="86" t="s">
        <v>98</v>
      </c>
      <c r="AE54" s="90">
        <f>SUMPRODUCT(AE55:AE58,C55:C58)</f>
        <v>2.6186626437153082E-2</v>
      </c>
      <c r="AF54" s="90">
        <f t="shared" ref="AF54" si="189">SUMPRODUCT(AF55:AF58,D55:D58)</f>
        <v>1.7548142560819071E-2</v>
      </c>
      <c r="AG54" s="90">
        <f t="shared" ref="AG54" si="190">SUMPRODUCT(AG55:AG58,E55:E58)</f>
        <v>1.777683233587932E-2</v>
      </c>
      <c r="AH54" s="90">
        <f t="shared" ref="AH54" si="191">SUMPRODUCT(AH55:AH58,F55:F58)</f>
        <v>2.5200378232829723E-2</v>
      </c>
      <c r="AI54" s="90">
        <f t="shared" ref="AI54" si="192">SUMPRODUCT(AI55:AI58,G55:G58)</f>
        <v>1.9135004531845846E-2</v>
      </c>
      <c r="AJ54" s="90">
        <f t="shared" ref="AJ54" si="193">SUMPRODUCT(AJ55:AJ58,H55:H58)</f>
        <v>1.8051598489358899E-2</v>
      </c>
      <c r="AK54" s="90">
        <f t="shared" ref="AK54" si="194">SUMPRODUCT(AK55:AK58,I55:I58)</f>
        <v>2.8837953711833581E-2</v>
      </c>
      <c r="AL54" s="90">
        <f t="shared" ref="AL54" si="195">SUMPRODUCT(AL55:AL58,J55:J58)</f>
        <v>1.6556045016807432E-2</v>
      </c>
      <c r="AM54" s="90">
        <f t="shared" ref="AM54" si="196">SUMPRODUCT(AM55:AM58,K55:K58)</f>
        <v>2.2772727689796234E-2</v>
      </c>
      <c r="AN54" s="90">
        <f t="shared" ref="AN54" si="197">SUMPRODUCT(AN55:AN58,L55:L58)</f>
        <v>3.8437924649954845E-2</v>
      </c>
      <c r="AO54" s="90">
        <f t="shared" ref="AO54" si="198">SUMPRODUCT(AO55:AO58,M55:M58)</f>
        <v>6.9122526430578909E-2</v>
      </c>
      <c r="AP54" s="90">
        <f t="shared" ref="AP54" si="199">SUMPRODUCT(AP55:AP58,N55:N58)</f>
        <v>2.0081522487482246E-2</v>
      </c>
      <c r="AQ54" s="90">
        <f t="shared" ref="AQ54" si="200">SUMPRODUCT(AQ55:AQ58,O55:O58)</f>
        <v>3.3165987835933941E-2</v>
      </c>
      <c r="AR54" s="90">
        <f t="shared" ref="AR54" si="201">SUMPRODUCT(AR55:AR58,P55:P58)</f>
        <v>5.3542922203138582E-2</v>
      </c>
      <c r="AS54" s="90">
        <f t="shared" ref="AS54" si="202">SUMPRODUCT(AS55:AS58,Q55:Q58)</f>
        <v>2.7945083901681631E-2</v>
      </c>
      <c r="AT54" s="90">
        <f t="shared" ref="AT54" si="203">SUMPRODUCT(AT55:AT58,R55:R58)</f>
        <v>4.7133830613096617E-2</v>
      </c>
      <c r="AU54" s="90">
        <f t="shared" ref="AU54" si="204">SUMPRODUCT(AU55:AU58,S55:S58)</f>
        <v>2.705423218393686E-2</v>
      </c>
      <c r="AV54" s="90">
        <f t="shared" ref="AV54" si="205">SUMPRODUCT(AV55:AV58,T55:T58)</f>
        <v>3.4684097461835116E-2</v>
      </c>
      <c r="AW54" s="90">
        <f t="shared" ref="AW54" si="206">SUMPRODUCT(AW55:AW58,U55:U58)</f>
        <v>1.7913213833884355E-2</v>
      </c>
      <c r="AX54" s="90">
        <f t="shared" ref="AX54" si="207">SUMPRODUCT(AX55:AX58,V55:V58)</f>
        <v>2.172985807890971E-2</v>
      </c>
      <c r="AY54" s="90">
        <f t="shared" ref="AY54" si="208">SUMPRODUCT(AY55:AY58,W55:W58)</f>
        <v>2.5611054201888736E-2</v>
      </c>
      <c r="AZ54" s="90">
        <f t="shared" ref="AZ54" si="209">SUMPRODUCT(AZ55:AZ58,X55:X58)</f>
        <v>3.7336975383345558E-2</v>
      </c>
      <c r="BA54" s="90">
        <f t="shared" ref="BA54" si="210">SUMPRODUCT(BA55:BA58,Y55:Y58)</f>
        <v>3.0432871824428352E-2</v>
      </c>
      <c r="BB54" s="90">
        <f t="shared" ref="BB54" si="211">SUMPRODUCT(BB55:BB58,Z55:Z58)</f>
        <v>3.4840284872889211E-2</v>
      </c>
      <c r="BC54" s="90">
        <f t="shared" ref="BC54" si="212">SUMPRODUCT(BC55:BC58,AA55:AA58)</f>
        <v>4.0831454360181187E-2</v>
      </c>
      <c r="BD54" s="90">
        <f t="shared" ref="BD54" si="213">SUMPRODUCT(BD55:BD58,AB55:AB58)</f>
        <v>2.5521454205365834E-2</v>
      </c>
      <c r="BF54" s="86" t="s">
        <v>98</v>
      </c>
      <c r="BG54" t="s">
        <v>213</v>
      </c>
      <c r="BH54" t="s">
        <v>211</v>
      </c>
      <c r="BI54" t="s">
        <v>213</v>
      </c>
      <c r="BJ54" t="s">
        <v>213</v>
      </c>
      <c r="BK54" t="s">
        <v>213</v>
      </c>
      <c r="BL54" t="s">
        <v>212</v>
      </c>
      <c r="BM54" t="s">
        <v>214</v>
      </c>
      <c r="BN54" t="s">
        <v>214</v>
      </c>
      <c r="BO54" t="s">
        <v>210</v>
      </c>
      <c r="BP54" t="s">
        <v>211</v>
      </c>
      <c r="BQ54" t="s">
        <v>215</v>
      </c>
      <c r="BR54" t="s">
        <v>214</v>
      </c>
      <c r="BS54" t="s">
        <v>215</v>
      </c>
      <c r="BT54" t="s">
        <v>214</v>
      </c>
      <c r="BU54" t="s">
        <v>211</v>
      </c>
      <c r="BV54" t="s">
        <v>214</v>
      </c>
      <c r="BW54" t="s">
        <v>210</v>
      </c>
      <c r="BX54" t="s">
        <v>210</v>
      </c>
      <c r="BY54" t="s">
        <v>215</v>
      </c>
      <c r="BZ54" t="s">
        <v>209</v>
      </c>
      <c r="CA54" t="s">
        <v>213</v>
      </c>
      <c r="CB54" t="s">
        <v>211</v>
      </c>
      <c r="CC54" t="s">
        <v>211</v>
      </c>
      <c r="CD54" t="s">
        <v>212</v>
      </c>
      <c r="CE54" t="s">
        <v>211</v>
      </c>
      <c r="CF54" t="s">
        <v>212</v>
      </c>
    </row>
    <row r="55" spans="2:84">
      <c r="B55" s="87" t="s">
        <v>123</v>
      </c>
      <c r="C55" s="129">
        <f>1-SUM(C56:C58)</f>
        <v>0.40680000000000005</v>
      </c>
      <c r="D55" s="129">
        <f t="shared" ref="D55" si="214">1-SUM(D56:D58)</f>
        <v>0.38059999999999994</v>
      </c>
      <c r="E55" s="129">
        <f t="shared" ref="E55" si="215">1-SUM(E56:E58)</f>
        <v>0.40139999999999998</v>
      </c>
      <c r="F55" s="129">
        <f t="shared" ref="F55" si="216">1-SUM(F56:F58)</f>
        <v>0.41449999999999998</v>
      </c>
      <c r="G55" s="129">
        <f t="shared" ref="G55" si="217">1-SUM(G56:G58)</f>
        <v>0.43259999999999998</v>
      </c>
      <c r="H55" s="129">
        <f t="shared" ref="H55" si="218">1-SUM(H56:H58)</f>
        <v>0.40480000000000005</v>
      </c>
      <c r="I55" s="129">
        <f t="shared" ref="I55" si="219">1-SUM(I56:I58)</f>
        <v>0.38100000000000001</v>
      </c>
      <c r="J55" s="129">
        <f t="shared" ref="J55" si="220">1-SUM(J56:J58)</f>
        <v>0.41239999999999999</v>
      </c>
      <c r="K55" s="129">
        <f t="shared" ref="K55" si="221">1-SUM(K56:K58)</f>
        <v>0.43540000000000001</v>
      </c>
      <c r="L55" s="129">
        <f t="shared" ref="L55" si="222">1-SUM(L56:L58)</f>
        <v>0.40260000000000007</v>
      </c>
      <c r="M55" s="129">
        <f t="shared" ref="M55" si="223">1-SUM(M56:M58)</f>
        <v>0.39329999999999998</v>
      </c>
      <c r="N55" s="129">
        <f t="shared" ref="N55" si="224">1-SUM(N56:N58)</f>
        <v>0.41920000000000002</v>
      </c>
      <c r="O55" s="129">
        <f t="shared" ref="O55" si="225">1-SUM(O56:O58)</f>
        <v>0.40170000000000006</v>
      </c>
      <c r="P55" s="129">
        <f t="shared" ref="P55" si="226">1-SUM(P56:P58)</f>
        <v>0.39949999999999997</v>
      </c>
      <c r="Q55" s="129">
        <f t="shared" ref="Q55" si="227">1-SUM(Q56:Q58)</f>
        <v>0.41859999999999997</v>
      </c>
      <c r="R55" s="129">
        <f t="shared" ref="R55" si="228">1-SUM(R56:R58)</f>
        <v>0.4204</v>
      </c>
      <c r="S55" s="129">
        <f t="shared" ref="S55" si="229">1-SUM(S56:S58)</f>
        <v>0.3841</v>
      </c>
      <c r="T55" s="129">
        <f t="shared" ref="T55" si="230">1-SUM(T56:T58)</f>
        <v>0.37490000000000001</v>
      </c>
      <c r="U55" s="129">
        <f t="shared" ref="U55" si="231">1-SUM(U56:U58)</f>
        <v>0.39500000000000002</v>
      </c>
      <c r="V55" s="129">
        <f t="shared" ref="V55" si="232">1-SUM(V56:V58)</f>
        <v>0.41020000000000001</v>
      </c>
      <c r="W55" s="129">
        <f t="shared" ref="W55" si="233">1-SUM(W56:W58)</f>
        <v>0.40670000000000006</v>
      </c>
      <c r="X55" s="129">
        <f t="shared" ref="X55" si="234">1-SUM(X56:X58)</f>
        <v>0.37890000000000013</v>
      </c>
      <c r="Y55" s="129">
        <f t="shared" ref="Y55" si="235">1-SUM(Y56:Y58)</f>
        <v>0.40069999999999995</v>
      </c>
      <c r="Z55" s="129">
        <f t="shared" ref="Z55" si="236">1-SUM(Z56:Z58)</f>
        <v>0.4323999999999999</v>
      </c>
      <c r="AA55" s="129">
        <f t="shared" ref="AA55" si="237">1-SUM(AA56:AA58)</f>
        <v>0.42670000000000008</v>
      </c>
      <c r="AB55" s="129">
        <f t="shared" ref="AB55" si="238">1-SUM(AB56:AB58)</f>
        <v>0.40910000000000002</v>
      </c>
      <c r="AD55" s="87" t="s">
        <v>123</v>
      </c>
      <c r="AE55" s="91">
        <v>2.0338610056101769E-2</v>
      </c>
      <c r="AF55" s="91">
        <v>1.405443568663086E-2</v>
      </c>
      <c r="AG55" s="91">
        <v>1.3099781120969232E-2</v>
      </c>
      <c r="AH55" s="91">
        <v>1.9271366734309611E-2</v>
      </c>
      <c r="AI55" s="91">
        <v>1.3502261236090732E-2</v>
      </c>
      <c r="AJ55" s="91">
        <v>1.4184581472097706E-2</v>
      </c>
      <c r="AK55" s="91">
        <v>2.2508722521329405E-2</v>
      </c>
      <c r="AL55" s="91">
        <v>1.3344577158736305E-2</v>
      </c>
      <c r="AM55" s="91">
        <v>1.7065628007056272E-2</v>
      </c>
      <c r="AN55" s="91">
        <v>3.2426641068421067E-2</v>
      </c>
      <c r="AO55" s="91">
        <v>6.3038905254410194E-2</v>
      </c>
      <c r="AP55" s="91">
        <v>1.4194423525123574E-2</v>
      </c>
      <c r="AQ55" s="91">
        <v>2.6963533369335158E-2</v>
      </c>
      <c r="AR55" s="91">
        <v>4.7588335717873277E-2</v>
      </c>
      <c r="AS55" s="91">
        <v>2.2009804202666183E-2</v>
      </c>
      <c r="AT55" s="91">
        <v>4.1335168581244065E-2</v>
      </c>
      <c r="AU55" s="91">
        <v>2.0789909023598244E-2</v>
      </c>
      <c r="AV55" s="91">
        <v>2.8397070751806142E-2</v>
      </c>
      <c r="AW55" s="91">
        <v>1.4140071715357007E-2</v>
      </c>
      <c r="AX55" s="91">
        <v>1.5669529406023744E-2</v>
      </c>
      <c r="AY55" s="91">
        <v>1.9542872750710115E-2</v>
      </c>
      <c r="AZ55" s="91">
        <v>3.1030559492082666E-2</v>
      </c>
      <c r="BA55" s="91">
        <v>2.4472897572315917E-2</v>
      </c>
      <c r="BB55" s="91">
        <v>2.9170138746608273E-2</v>
      </c>
      <c r="BC55" s="91">
        <v>3.5178789530419072E-2</v>
      </c>
      <c r="BD55" s="91">
        <v>1.9694757305252233E-2</v>
      </c>
      <c r="BF55" s="87" t="s">
        <v>123</v>
      </c>
      <c r="BG55" t="s">
        <v>213</v>
      </c>
      <c r="BH55" t="s">
        <v>213</v>
      </c>
      <c r="BI55" t="s">
        <v>211</v>
      </c>
      <c r="BJ55" t="s">
        <v>215</v>
      </c>
      <c r="BK55" t="s">
        <v>213</v>
      </c>
      <c r="BL55" t="s">
        <v>215</v>
      </c>
      <c r="BM55" t="s">
        <v>214</v>
      </c>
      <c r="BN55" t="s">
        <v>212</v>
      </c>
      <c r="BO55" t="s">
        <v>211</v>
      </c>
      <c r="BP55" t="s">
        <v>213</v>
      </c>
      <c r="BQ55" t="s">
        <v>210</v>
      </c>
      <c r="BR55" t="s">
        <v>211</v>
      </c>
      <c r="BS55" t="s">
        <v>209</v>
      </c>
      <c r="BT55" t="s">
        <v>213</v>
      </c>
      <c r="BU55" t="s">
        <v>209</v>
      </c>
      <c r="BV55" t="s">
        <v>214</v>
      </c>
      <c r="BW55" t="s">
        <v>215</v>
      </c>
      <c r="BX55" t="s">
        <v>212</v>
      </c>
      <c r="BY55" t="s">
        <v>215</v>
      </c>
      <c r="BZ55" t="s">
        <v>215</v>
      </c>
      <c r="CA55" t="s">
        <v>213</v>
      </c>
      <c r="CB55" t="s">
        <v>215</v>
      </c>
      <c r="CC55" t="s">
        <v>213</v>
      </c>
      <c r="CD55" t="s">
        <v>211</v>
      </c>
      <c r="CE55" t="s">
        <v>211</v>
      </c>
      <c r="CF55" t="s">
        <v>211</v>
      </c>
    </row>
    <row r="56" spans="2:84">
      <c r="B56" s="87" t="s">
        <v>124</v>
      </c>
      <c r="C56" s="129">
        <v>0.2006</v>
      </c>
      <c r="D56" s="129">
        <v>0.22450000000000001</v>
      </c>
      <c r="E56" s="129">
        <v>0.19689999999999999</v>
      </c>
      <c r="F56" s="129">
        <v>0.21229999999999999</v>
      </c>
      <c r="G56" s="129">
        <v>0.1973</v>
      </c>
      <c r="H56" s="129">
        <v>0.1986</v>
      </c>
      <c r="I56" s="129">
        <v>0.22569999999999998</v>
      </c>
      <c r="J56" s="129">
        <v>0.21279999999999999</v>
      </c>
      <c r="K56" s="129">
        <v>0.19699999999999998</v>
      </c>
      <c r="L56" s="129">
        <v>0.21829999999999999</v>
      </c>
      <c r="M56" s="129">
        <v>0.20499999999999999</v>
      </c>
      <c r="N56" s="129">
        <v>0.20959999999999998</v>
      </c>
      <c r="O56" s="129">
        <v>0.22599999999999998</v>
      </c>
      <c r="P56" s="129">
        <v>0.1951</v>
      </c>
      <c r="Q56" s="129">
        <v>0.20979999999999999</v>
      </c>
      <c r="R56" s="129">
        <v>0.1946</v>
      </c>
      <c r="S56" s="129">
        <v>0.2208</v>
      </c>
      <c r="T56" s="129">
        <v>0.21409999999999998</v>
      </c>
      <c r="U56" s="129">
        <v>0.2019</v>
      </c>
      <c r="V56" s="129">
        <v>0.21679999999999999</v>
      </c>
      <c r="W56" s="129">
        <v>0.22109999999999999</v>
      </c>
      <c r="X56" s="129">
        <v>0.22639999999999999</v>
      </c>
      <c r="Y56" s="129">
        <v>0.20829999999999999</v>
      </c>
      <c r="Z56" s="129">
        <v>0.1983</v>
      </c>
      <c r="AA56" s="129">
        <v>0.1956</v>
      </c>
      <c r="AB56" s="129">
        <v>0.19450000000000001</v>
      </c>
      <c r="AD56" s="87" t="s">
        <v>124</v>
      </c>
      <c r="AE56" s="91">
        <v>3.6114592394942059E-2</v>
      </c>
      <c r="AF56" s="91">
        <v>2.2830418025471144E-2</v>
      </c>
      <c r="AG56" s="91">
        <v>2.587576345980952E-2</v>
      </c>
      <c r="AH56" s="91">
        <v>3.5047349073149901E-2</v>
      </c>
      <c r="AI56" s="91">
        <v>2.9278243574931022E-2</v>
      </c>
      <c r="AJ56" s="91">
        <v>2.3960563810937991E-2</v>
      </c>
      <c r="AK56" s="91">
        <v>3.8284704860169695E-2</v>
      </c>
      <c r="AL56" s="91">
        <v>2.3120559497576593E-2</v>
      </c>
      <c r="AM56" s="91">
        <v>3.2841610345896562E-2</v>
      </c>
      <c r="AN56" s="91">
        <v>4.8202623407261357E-2</v>
      </c>
      <c r="AO56" s="91">
        <v>7.8814887593250477E-2</v>
      </c>
      <c r="AP56" s="91">
        <v>2.9970405863963864E-2</v>
      </c>
      <c r="AQ56" s="91">
        <v>4.2739515708175448E-2</v>
      </c>
      <c r="AR56" s="91">
        <v>6.3364318056713567E-2</v>
      </c>
      <c r="AS56" s="91">
        <v>3.7785786541506473E-2</v>
      </c>
      <c r="AT56" s="91">
        <v>5.7111150920084355E-2</v>
      </c>
      <c r="AU56" s="91">
        <v>3.6565891362438534E-2</v>
      </c>
      <c r="AV56" s="91">
        <v>4.4173053090646432E-2</v>
      </c>
      <c r="AW56" s="91">
        <v>2.3916054054197292E-2</v>
      </c>
      <c r="AX56" s="91">
        <v>3.1445511744864034E-2</v>
      </c>
      <c r="AY56" s="91">
        <v>3.5318855089550405E-2</v>
      </c>
      <c r="AZ56" s="91">
        <v>4.6806541830922956E-2</v>
      </c>
      <c r="BA56" s="91">
        <v>4.0248879911156207E-2</v>
      </c>
      <c r="BB56" s="91">
        <v>4.4946121085448563E-2</v>
      </c>
      <c r="BC56" s="91">
        <v>5.0954771869259362E-2</v>
      </c>
      <c r="BD56" s="91">
        <v>3.5470739644092524E-2</v>
      </c>
      <c r="BF56" s="87" t="s">
        <v>124</v>
      </c>
      <c r="BG56" t="s">
        <v>209</v>
      </c>
      <c r="BH56" t="s">
        <v>214</v>
      </c>
      <c r="BI56" t="s">
        <v>209</v>
      </c>
      <c r="BJ56" t="s">
        <v>213</v>
      </c>
      <c r="BK56" t="s">
        <v>209</v>
      </c>
      <c r="BL56" t="s">
        <v>210</v>
      </c>
      <c r="BM56" t="s">
        <v>209</v>
      </c>
      <c r="BN56" t="s">
        <v>212</v>
      </c>
      <c r="BO56" t="s">
        <v>212</v>
      </c>
      <c r="BP56" t="s">
        <v>212</v>
      </c>
      <c r="BQ56" t="s">
        <v>211</v>
      </c>
      <c r="BR56" t="s">
        <v>209</v>
      </c>
      <c r="BS56" t="s">
        <v>212</v>
      </c>
      <c r="BT56" t="s">
        <v>215</v>
      </c>
      <c r="BU56" t="s">
        <v>209</v>
      </c>
      <c r="BV56" t="s">
        <v>211</v>
      </c>
      <c r="BW56" t="s">
        <v>210</v>
      </c>
      <c r="BX56" t="s">
        <v>214</v>
      </c>
      <c r="BY56" t="s">
        <v>214</v>
      </c>
      <c r="BZ56" t="s">
        <v>211</v>
      </c>
      <c r="CA56" t="s">
        <v>212</v>
      </c>
      <c r="CB56" t="s">
        <v>210</v>
      </c>
      <c r="CC56" t="s">
        <v>214</v>
      </c>
      <c r="CD56" t="s">
        <v>214</v>
      </c>
      <c r="CE56" t="s">
        <v>212</v>
      </c>
      <c r="CF56" t="s">
        <v>210</v>
      </c>
    </row>
    <row r="57" spans="2:84">
      <c r="B57" s="87" t="s">
        <v>125</v>
      </c>
      <c r="C57" s="129">
        <v>0.2868</v>
      </c>
      <c r="D57" s="129">
        <v>0.26980000000000004</v>
      </c>
      <c r="E57" s="129">
        <v>0.28520000000000001</v>
      </c>
      <c r="F57" s="129">
        <v>0.26790000000000003</v>
      </c>
      <c r="G57" s="129">
        <v>0.27190000000000003</v>
      </c>
      <c r="H57" s="129">
        <v>0.27150000000000002</v>
      </c>
      <c r="I57" s="129">
        <v>0.2742</v>
      </c>
      <c r="J57" s="129">
        <v>0.27480000000000004</v>
      </c>
      <c r="K57" s="129">
        <v>0.25440000000000002</v>
      </c>
      <c r="L57" s="129">
        <v>0.28079999999999999</v>
      </c>
      <c r="M57" s="129">
        <v>0.27650000000000002</v>
      </c>
      <c r="N57" s="129">
        <v>0.2641</v>
      </c>
      <c r="O57" s="129">
        <v>0.25690000000000002</v>
      </c>
      <c r="P57" s="129">
        <v>0.27890000000000004</v>
      </c>
      <c r="Q57" s="129">
        <v>0.25750000000000001</v>
      </c>
      <c r="R57" s="129">
        <v>0.26540000000000002</v>
      </c>
      <c r="S57" s="129">
        <v>0.27550000000000002</v>
      </c>
      <c r="T57" s="129">
        <v>0.28390000000000004</v>
      </c>
      <c r="U57" s="129">
        <v>0.27810000000000001</v>
      </c>
      <c r="V57" s="129">
        <v>0.25770000000000004</v>
      </c>
      <c r="W57" s="129">
        <v>0.26600000000000001</v>
      </c>
      <c r="X57" s="129">
        <v>0.2823</v>
      </c>
      <c r="Y57" s="129">
        <v>0.28540000000000004</v>
      </c>
      <c r="Z57" s="129">
        <v>0.26690000000000003</v>
      </c>
      <c r="AA57" s="129">
        <v>0.27829999999999999</v>
      </c>
      <c r="AB57" s="129">
        <v>0.28160000000000002</v>
      </c>
      <c r="AD57" s="87" t="s">
        <v>125</v>
      </c>
      <c r="AE57" s="91">
        <v>2.5519836908424361E-2</v>
      </c>
      <c r="AF57" s="91">
        <v>1.723566253895345E-2</v>
      </c>
      <c r="AG57" s="91">
        <v>1.7281007973291823E-2</v>
      </c>
      <c r="AH57" s="91">
        <v>2.4452593586632203E-2</v>
      </c>
      <c r="AI57" s="91">
        <v>1.8683488088413323E-2</v>
      </c>
      <c r="AJ57" s="91">
        <v>1.8365808324420297E-2</v>
      </c>
      <c r="AK57" s="91">
        <v>2.7689949373651997E-2</v>
      </c>
      <c r="AL57" s="91">
        <v>1.5525804011058898E-2</v>
      </c>
      <c r="AM57" s="91">
        <v>2.2246854859378863E-2</v>
      </c>
      <c r="AN57" s="91">
        <v>3.7607867920743658E-2</v>
      </c>
      <c r="AO57" s="91">
        <v>6.8220132106732778E-2</v>
      </c>
      <c r="AP57" s="91">
        <v>1.9375650377446166E-2</v>
      </c>
      <c r="AQ57" s="91">
        <v>3.2144760221657749E-2</v>
      </c>
      <c r="AR57" s="91">
        <v>5.2769562570195869E-2</v>
      </c>
      <c r="AS57" s="91">
        <v>2.7191031054988775E-2</v>
      </c>
      <c r="AT57" s="91">
        <v>4.6516395433566657E-2</v>
      </c>
      <c r="AU57" s="91">
        <v>2.5971135875920835E-2</v>
      </c>
      <c r="AV57" s="91">
        <v>3.3578297604128733E-2</v>
      </c>
      <c r="AW57" s="91">
        <v>1.7321298567679597E-2</v>
      </c>
      <c r="AX57" s="91">
        <v>2.0850756258346335E-2</v>
      </c>
      <c r="AY57" s="91">
        <v>2.4724099603032706E-2</v>
      </c>
      <c r="AZ57" s="91">
        <v>3.6211786344405257E-2</v>
      </c>
      <c r="BA57" s="91">
        <v>2.9654124424638509E-2</v>
      </c>
      <c r="BB57" s="91">
        <v>3.4351365598930865E-2</v>
      </c>
      <c r="BC57" s="91">
        <v>4.0360016382741663E-2</v>
      </c>
      <c r="BD57" s="91">
        <v>2.4875984157574825E-2</v>
      </c>
      <c r="BF57" s="87" t="s">
        <v>125</v>
      </c>
      <c r="BG57" t="s">
        <v>209</v>
      </c>
      <c r="BH57" t="s">
        <v>214</v>
      </c>
      <c r="BI57" t="s">
        <v>213</v>
      </c>
      <c r="BJ57" t="s">
        <v>214</v>
      </c>
      <c r="BK57" t="s">
        <v>215</v>
      </c>
      <c r="BL57" t="s">
        <v>209</v>
      </c>
      <c r="BM57" t="s">
        <v>212</v>
      </c>
      <c r="BN57" t="s">
        <v>211</v>
      </c>
      <c r="BO57" t="s">
        <v>210</v>
      </c>
      <c r="BP57" t="s">
        <v>209</v>
      </c>
      <c r="BQ57" t="s">
        <v>211</v>
      </c>
      <c r="BR57" t="s">
        <v>212</v>
      </c>
      <c r="BS57" t="s">
        <v>210</v>
      </c>
      <c r="BT57" t="s">
        <v>213</v>
      </c>
      <c r="BU57" t="s">
        <v>209</v>
      </c>
      <c r="BV57" t="s">
        <v>212</v>
      </c>
      <c r="BW57" t="s">
        <v>215</v>
      </c>
      <c r="BX57" t="s">
        <v>215</v>
      </c>
      <c r="BY57" t="s">
        <v>211</v>
      </c>
      <c r="BZ57" t="s">
        <v>212</v>
      </c>
      <c r="CA57" t="s">
        <v>211</v>
      </c>
      <c r="CB57" t="s">
        <v>210</v>
      </c>
      <c r="CC57" t="s">
        <v>210</v>
      </c>
      <c r="CD57" t="s">
        <v>213</v>
      </c>
      <c r="CE57" t="s">
        <v>212</v>
      </c>
      <c r="CF57" t="s">
        <v>210</v>
      </c>
    </row>
    <row r="58" spans="2:84">
      <c r="B58" s="87" t="s">
        <v>233</v>
      </c>
      <c r="C58" s="129">
        <v>0.10579999999999999</v>
      </c>
      <c r="D58" s="129">
        <v>0.12509999999999999</v>
      </c>
      <c r="E58" s="129">
        <v>0.11649999999999999</v>
      </c>
      <c r="F58" s="129">
        <v>0.10529999999999999</v>
      </c>
      <c r="G58" s="129">
        <v>9.8199999999999982E-2</v>
      </c>
      <c r="H58" s="129">
        <v>0.12509999999999999</v>
      </c>
      <c r="I58" s="129">
        <v>0.11909999999999998</v>
      </c>
      <c r="J58" s="129">
        <v>9.9999999999999992E-2</v>
      </c>
      <c r="K58" s="129">
        <v>0.11319999999999998</v>
      </c>
      <c r="L58" s="129">
        <v>9.8299999999999985E-2</v>
      </c>
      <c r="M58" s="129">
        <v>0.12519999999999998</v>
      </c>
      <c r="N58" s="129">
        <v>0.10709999999999999</v>
      </c>
      <c r="O58" s="129">
        <v>0.11539999999999999</v>
      </c>
      <c r="P58" s="129">
        <v>0.1265</v>
      </c>
      <c r="Q58" s="129">
        <v>0.11409999999999999</v>
      </c>
      <c r="R58" s="129">
        <v>0.11959999999999998</v>
      </c>
      <c r="S58" s="129">
        <v>0.11959999999999998</v>
      </c>
      <c r="T58" s="129">
        <v>0.12709999999999999</v>
      </c>
      <c r="U58" s="129">
        <v>0.12499999999999999</v>
      </c>
      <c r="V58" s="129">
        <v>0.11529999999999999</v>
      </c>
      <c r="W58" s="129">
        <v>0.10619999999999999</v>
      </c>
      <c r="X58" s="129">
        <v>0.11239999999999999</v>
      </c>
      <c r="Y58" s="129">
        <v>0.10559999999999999</v>
      </c>
      <c r="Z58" s="129">
        <v>0.10239999999999999</v>
      </c>
      <c r="AA58" s="129">
        <v>9.9399999999999988E-2</v>
      </c>
      <c r="AB58" s="129">
        <v>0.11479999999999999</v>
      </c>
      <c r="AD58" s="87" t="s">
        <v>233</v>
      </c>
      <c r="AE58" s="91">
        <v>3.1655986829578438E-2</v>
      </c>
      <c r="AF58" s="91">
        <v>1.9371812460107524E-2</v>
      </c>
      <c r="AG58" s="91">
        <v>2.1417157894445898E-2</v>
      </c>
      <c r="AH58" s="91">
        <v>3.058874350778628E-2</v>
      </c>
      <c r="AI58" s="91">
        <v>2.48196380095674E-2</v>
      </c>
      <c r="AJ58" s="91">
        <v>2.0501958245574371E-2</v>
      </c>
      <c r="AK58" s="91">
        <v>3.3826099294806074E-2</v>
      </c>
      <c r="AL58" s="91">
        <v>1.8661953932212972E-2</v>
      </c>
      <c r="AM58" s="91">
        <v>2.838300478053294E-2</v>
      </c>
      <c r="AN58" s="91">
        <v>4.3744017841897735E-2</v>
      </c>
      <c r="AO58" s="91">
        <v>7.4356282027886855E-2</v>
      </c>
      <c r="AP58" s="91">
        <v>2.5511800298600243E-2</v>
      </c>
      <c r="AQ58" s="91">
        <v>3.8280910142811826E-2</v>
      </c>
      <c r="AR58" s="91">
        <v>5.8905712491349946E-2</v>
      </c>
      <c r="AS58" s="91">
        <v>3.3327180976142852E-2</v>
      </c>
      <c r="AT58" s="91">
        <v>5.2652545354720734E-2</v>
      </c>
      <c r="AU58" s="91">
        <v>3.2107285797074912E-2</v>
      </c>
      <c r="AV58" s="91">
        <v>3.971444752528281E-2</v>
      </c>
      <c r="AW58" s="91">
        <v>2.1457448488833672E-2</v>
      </c>
      <c r="AX58" s="91">
        <v>2.6986906179500413E-2</v>
      </c>
      <c r="AY58" s="91">
        <v>3.0860249524186784E-2</v>
      </c>
      <c r="AZ58" s="91">
        <v>4.2347936265559334E-2</v>
      </c>
      <c r="BA58" s="91">
        <v>3.5790274345792586E-2</v>
      </c>
      <c r="BB58" s="91">
        <v>4.0487515520084942E-2</v>
      </c>
      <c r="BC58" s="91">
        <v>4.649616630389574E-2</v>
      </c>
      <c r="BD58" s="91">
        <v>3.1012134078728902E-2</v>
      </c>
      <c r="BF58" s="87" t="s">
        <v>233</v>
      </c>
      <c r="BG58" t="s">
        <v>209</v>
      </c>
      <c r="BH58" t="s">
        <v>214</v>
      </c>
      <c r="BI58" t="s">
        <v>210</v>
      </c>
      <c r="BJ58" t="s">
        <v>209</v>
      </c>
      <c r="BK58" t="s">
        <v>214</v>
      </c>
      <c r="BL58" t="s">
        <v>209</v>
      </c>
      <c r="BM58" t="s">
        <v>215</v>
      </c>
      <c r="BN58" t="s">
        <v>215</v>
      </c>
      <c r="BO58" t="s">
        <v>213</v>
      </c>
      <c r="BP58" t="s">
        <v>212</v>
      </c>
      <c r="BQ58" t="s">
        <v>210</v>
      </c>
      <c r="BR58" t="s">
        <v>215</v>
      </c>
      <c r="BS58" t="s">
        <v>211</v>
      </c>
      <c r="BT58" t="s">
        <v>213</v>
      </c>
      <c r="BU58" t="s">
        <v>214</v>
      </c>
      <c r="BV58" t="s">
        <v>215</v>
      </c>
      <c r="BW58" t="s">
        <v>213</v>
      </c>
      <c r="BX58" t="s">
        <v>211</v>
      </c>
      <c r="BY58" t="s">
        <v>215</v>
      </c>
      <c r="BZ58" t="s">
        <v>213</v>
      </c>
      <c r="CA58" t="s">
        <v>213</v>
      </c>
      <c r="CB58" t="s">
        <v>214</v>
      </c>
      <c r="CC58" t="s">
        <v>211</v>
      </c>
      <c r="CD58" t="s">
        <v>209</v>
      </c>
      <c r="CE58" t="s">
        <v>212</v>
      </c>
      <c r="CF58" t="s">
        <v>213</v>
      </c>
    </row>
    <row r="59" spans="2:84">
      <c r="B59" s="86" t="s">
        <v>234</v>
      </c>
      <c r="C59" s="129">
        <v>0.12040000000000001</v>
      </c>
      <c r="D59" s="129">
        <v>0.1232</v>
      </c>
      <c r="E59" s="129">
        <v>0.13339999999999999</v>
      </c>
      <c r="F59" s="129">
        <v>0.14269999999999999</v>
      </c>
      <c r="G59" s="129">
        <v>0.13820000000000002</v>
      </c>
      <c r="H59" s="129">
        <v>0.127</v>
      </c>
      <c r="I59" s="129">
        <v>0.1459</v>
      </c>
      <c r="J59" s="129">
        <v>0.14019999999999999</v>
      </c>
      <c r="K59" s="129">
        <v>0.11890000000000001</v>
      </c>
      <c r="L59" s="129">
        <v>0.13570000000000002</v>
      </c>
      <c r="M59" s="129">
        <v>0.13670000000000002</v>
      </c>
      <c r="N59" s="129">
        <v>0.1401</v>
      </c>
      <c r="O59" s="129">
        <v>0.14369999999999999</v>
      </c>
      <c r="P59" s="129">
        <v>0.1368</v>
      </c>
      <c r="Q59" s="129">
        <v>0.12230000000000001</v>
      </c>
      <c r="R59" s="129">
        <v>0.1394</v>
      </c>
      <c r="S59" s="129">
        <v>0.13739999999999999</v>
      </c>
      <c r="T59" s="129">
        <v>0.1158</v>
      </c>
      <c r="U59" s="129">
        <v>0.14119999999999999</v>
      </c>
      <c r="V59" s="129">
        <v>0.13919999999999999</v>
      </c>
      <c r="W59" s="129">
        <v>0.1197</v>
      </c>
      <c r="X59" s="129">
        <v>0.12709999999999999</v>
      </c>
      <c r="Y59" s="129">
        <v>0.1444</v>
      </c>
      <c r="Z59" s="129">
        <v>0.1202</v>
      </c>
      <c r="AA59" s="129">
        <v>0.1326</v>
      </c>
      <c r="AB59" s="129">
        <v>0.13500000000000001</v>
      </c>
      <c r="AD59" s="86" t="s">
        <v>234</v>
      </c>
      <c r="AE59" s="90">
        <f>SUMPRODUCT(AE60:AE63,C60:C63)</f>
        <v>5.660047805218571E-2</v>
      </c>
      <c r="AF59" s="90">
        <f t="shared" ref="AF59" si="239">SUMPRODUCT(AF60:AF63,D60:D63)</f>
        <v>4.3485842673388217E-2</v>
      </c>
      <c r="AG59" s="90">
        <f t="shared" ref="AG59" si="240">SUMPRODUCT(AG60:AG63,E60:E63)</f>
        <v>4.6589501019367777E-2</v>
      </c>
      <c r="AH59" s="90">
        <f t="shared" ref="AH59" si="241">SUMPRODUCT(AH60:AH63,F60:F63)</f>
        <v>5.5281404025300067E-2</v>
      </c>
      <c r="AI59" s="90">
        <f t="shared" ref="AI59" si="242">SUMPRODUCT(AI60:AI63,G60:G63)</f>
        <v>4.9826042555071177E-2</v>
      </c>
      <c r="AJ59" s="90">
        <f t="shared" ref="AJ59" si="243">SUMPRODUCT(AJ60:AJ63,H60:H63)</f>
        <v>4.3423595658552902E-2</v>
      </c>
      <c r="AK59" s="90">
        <f t="shared" ref="AK59" si="244">SUMPRODUCT(AK60:AK63,I60:I63)</f>
        <v>5.9033137693786174E-2</v>
      </c>
      <c r="AL59" s="90">
        <f t="shared" ref="AL59" si="245">SUMPRODUCT(AL60:AL63,J60:J63)</f>
        <v>4.0335173482772421E-2</v>
      </c>
      <c r="AM59" s="90">
        <f t="shared" ref="AM59" si="246">SUMPRODUCT(AM60:AM63,K60:K63)</f>
        <v>5.3397984103877583E-2</v>
      </c>
      <c r="AN59" s="90">
        <f t="shared" ref="AN59" si="247">SUMPRODUCT(AN60:AN63,L60:L63)</f>
        <v>6.8857267308104153E-2</v>
      </c>
      <c r="AO59" s="90">
        <f t="shared" ref="AO59" si="248">SUMPRODUCT(AO60:AO63,M60:M63)</f>
        <v>9.9310266489124263E-2</v>
      </c>
      <c r="AP59" s="90">
        <f t="shared" ref="AP59" si="249">SUMPRODUCT(AP60:AP63,N60:N63)</f>
        <v>5.0435258066861097E-2</v>
      </c>
      <c r="AQ59" s="90">
        <f t="shared" ref="AQ59" si="250">SUMPRODUCT(AQ60:AQ63,O60:O63)</f>
        <v>6.3047702904113517E-2</v>
      </c>
      <c r="AR59" s="90">
        <f t="shared" ref="AR59" si="251">SUMPRODUCT(AR60:AR63,P60:P63)</f>
        <v>8.3826667487021347E-2</v>
      </c>
      <c r="AS59" s="90">
        <f t="shared" ref="AS59" si="252">SUMPRODUCT(AS60:AS63,Q60:Q63)</f>
        <v>5.838986995616114E-2</v>
      </c>
      <c r="AT59" s="90">
        <f t="shared" ref="AT59" si="253">SUMPRODUCT(AT60:AT63,R60:R63)</f>
        <v>7.777173299187462E-2</v>
      </c>
      <c r="AU59" s="90">
        <f t="shared" ref="AU59" si="254">SUMPRODUCT(AU60:AU63,S60:S63)</f>
        <v>5.6946927554315421E-2</v>
      </c>
      <c r="AV59" s="90">
        <f t="shared" ref="AV59" si="255">SUMPRODUCT(AV60:AV63,T60:T63)</f>
        <v>6.4452759161356885E-2</v>
      </c>
      <c r="AW59" s="90">
        <f t="shared" ref="AW59" si="256">SUMPRODUCT(AW60:AW63,U60:U63)</f>
        <v>4.4610790086504787E-2</v>
      </c>
      <c r="AX59" s="90">
        <f t="shared" ref="AX59" si="257">SUMPRODUCT(AX60:AX63,V60:V63)</f>
        <v>5.2077951520079539E-2</v>
      </c>
      <c r="AY59" s="90">
        <f t="shared" ref="AY59" si="258">SUMPRODUCT(AY60:AY63,W60:W63)</f>
        <v>5.5708953793726729E-2</v>
      </c>
      <c r="AZ59" s="90">
        <f t="shared" ref="AZ59" si="259">SUMPRODUCT(AZ60:AZ63,X60:X63)</f>
        <v>6.7401015954870844E-2</v>
      </c>
      <c r="BA59" s="90">
        <f t="shared" ref="BA59" si="260">SUMPRODUCT(BA60:BA63,Y60:Y63)</f>
        <v>6.0567865921277539E-2</v>
      </c>
      <c r="BB59" s="90">
        <f t="shared" ref="BB59" si="261">SUMPRODUCT(BB60:BB63,Z60:Z63)</f>
        <v>6.5715997503456233E-2</v>
      </c>
      <c r="BC59" s="90">
        <f t="shared" ref="BC59" si="262">SUMPRODUCT(BC60:BC63,AA60:AA63)</f>
        <v>7.1653421702778275E-2</v>
      </c>
      <c r="BD59" s="90">
        <f t="shared" ref="BD59" si="263">SUMPRODUCT(BD60:BD63,AB60:AB63)</f>
        <v>5.5972880098891453E-2</v>
      </c>
      <c r="BF59" s="86" t="s">
        <v>234</v>
      </c>
      <c r="BG59" t="s">
        <v>214</v>
      </c>
      <c r="BH59" t="s">
        <v>210</v>
      </c>
      <c r="BI59" t="s">
        <v>213</v>
      </c>
      <c r="BJ59" t="s">
        <v>215</v>
      </c>
      <c r="BK59" t="s">
        <v>211</v>
      </c>
      <c r="BL59" t="s">
        <v>212</v>
      </c>
      <c r="BM59" t="s">
        <v>210</v>
      </c>
      <c r="BN59" t="s">
        <v>210</v>
      </c>
      <c r="BO59" t="s">
        <v>215</v>
      </c>
      <c r="BP59" t="s">
        <v>215</v>
      </c>
      <c r="BQ59" t="s">
        <v>215</v>
      </c>
      <c r="BR59" t="s">
        <v>213</v>
      </c>
      <c r="BS59" t="s">
        <v>212</v>
      </c>
      <c r="BT59" t="s">
        <v>210</v>
      </c>
      <c r="BU59" t="s">
        <v>211</v>
      </c>
      <c r="BV59" t="s">
        <v>210</v>
      </c>
      <c r="BW59" t="s">
        <v>215</v>
      </c>
      <c r="BX59" t="s">
        <v>212</v>
      </c>
      <c r="BY59" t="s">
        <v>211</v>
      </c>
      <c r="BZ59" t="s">
        <v>209</v>
      </c>
      <c r="CA59" t="s">
        <v>213</v>
      </c>
      <c r="CB59" t="s">
        <v>212</v>
      </c>
      <c r="CC59" t="s">
        <v>210</v>
      </c>
      <c r="CD59" t="s">
        <v>212</v>
      </c>
      <c r="CE59" t="s">
        <v>209</v>
      </c>
      <c r="CF59" t="s">
        <v>210</v>
      </c>
    </row>
    <row r="60" spans="2:84">
      <c r="B60" s="87" t="s">
        <v>128</v>
      </c>
      <c r="C60" s="129">
        <f>1-SUM(C61:C63)</f>
        <v>0.46379999999999988</v>
      </c>
      <c r="D60" s="129">
        <f t="shared" ref="D60" si="264">1-SUM(D61:D63)</f>
        <v>0.46109999999999984</v>
      </c>
      <c r="E60" s="129">
        <f t="shared" ref="E60" si="265">1-SUM(E61:E63)</f>
        <v>0.44789999999999985</v>
      </c>
      <c r="F60" s="129">
        <f t="shared" ref="F60" si="266">1-SUM(F61:F63)</f>
        <v>0.4776999999999999</v>
      </c>
      <c r="G60" s="129">
        <f t="shared" ref="G60" si="267">1-SUM(G61:G63)</f>
        <v>0.48949999999999982</v>
      </c>
      <c r="H60" s="129">
        <f t="shared" ref="H60" si="268">1-SUM(H61:H63)</f>
        <v>0.46189999999999987</v>
      </c>
      <c r="I60" s="129">
        <f t="shared" ref="I60" si="269">1-SUM(I61:I63)</f>
        <v>0.46029999999999993</v>
      </c>
      <c r="J60" s="129">
        <f t="shared" ref="J60" si="270">1-SUM(J61:J63)</f>
        <v>0.46809999999999985</v>
      </c>
      <c r="K60" s="129">
        <f t="shared" ref="K60" si="271">1-SUM(K61:K63)</f>
        <v>0.49409999999999987</v>
      </c>
      <c r="L60" s="129">
        <f t="shared" ref="L60" si="272">1-SUM(L61:L63)</f>
        <v>0.44029999999999991</v>
      </c>
      <c r="M60" s="129">
        <f t="shared" ref="M60" si="273">1-SUM(M61:M63)</f>
        <v>0.44939999999999991</v>
      </c>
      <c r="N60" s="129">
        <f t="shared" ref="N60" si="274">1-SUM(N61:N63)</f>
        <v>0.47509999999999986</v>
      </c>
      <c r="O60" s="129">
        <f t="shared" ref="O60" si="275">1-SUM(O61:O63)</f>
        <v>0.48549999999999993</v>
      </c>
      <c r="P60" s="129">
        <f t="shared" ref="P60" si="276">1-SUM(P61:P63)</f>
        <v>0.46289999999999987</v>
      </c>
      <c r="Q60" s="129">
        <f t="shared" ref="Q60" si="277">1-SUM(Q61:Q63)</f>
        <v>0.46819999999999984</v>
      </c>
      <c r="R60" s="129">
        <f t="shared" ref="R60" si="278">1-SUM(R61:R63)</f>
        <v>0.4454999999999999</v>
      </c>
      <c r="S60" s="129">
        <f t="shared" ref="S60" si="279">1-SUM(S61:S63)</f>
        <v>0.46179999999999999</v>
      </c>
      <c r="T60" s="129">
        <f t="shared" ref="T60" si="280">1-SUM(T61:T63)</f>
        <v>0.49649999999999994</v>
      </c>
      <c r="U60" s="129">
        <f t="shared" ref="U60" si="281">1-SUM(U61:U63)</f>
        <v>0.47309999999999985</v>
      </c>
      <c r="V60" s="129">
        <f t="shared" ref="V60" si="282">1-SUM(V61:V63)</f>
        <v>0.48699999999999988</v>
      </c>
      <c r="W60" s="129">
        <f t="shared" ref="W60" si="283">1-SUM(W61:W63)</f>
        <v>0.49299999999999988</v>
      </c>
      <c r="X60" s="129">
        <f t="shared" ref="X60" si="284">1-SUM(X61:X63)</f>
        <v>0.45399999999999985</v>
      </c>
      <c r="Y60" s="129">
        <f t="shared" ref="Y60" si="285">1-SUM(Y61:Y63)</f>
        <v>0.45969999999999989</v>
      </c>
      <c r="Z60" s="129">
        <f t="shared" ref="Z60" si="286">1-SUM(Z61:Z63)</f>
        <v>0.4444999999999999</v>
      </c>
      <c r="AA60" s="129">
        <f t="shared" ref="AA60" si="287">1-SUM(AA61:AA63)</f>
        <v>0.4867999999999999</v>
      </c>
      <c r="AB60" s="129">
        <f t="shared" ref="AB60" si="288">1-SUM(AB61:AB63)</f>
        <v>0.48539999999999983</v>
      </c>
      <c r="AD60" s="87" t="s">
        <v>128</v>
      </c>
      <c r="AE60" s="91">
        <v>5.2661139400870069E-2</v>
      </c>
      <c r="AF60" s="91">
        <v>3.9376965031399154E-2</v>
      </c>
      <c r="AG60" s="91">
        <v>4.242231046573753E-2</v>
      </c>
      <c r="AH60" s="91">
        <v>5.1593896079077911E-2</v>
      </c>
      <c r="AI60" s="91">
        <v>4.5824790580859032E-2</v>
      </c>
      <c r="AJ60" s="91">
        <v>3.9507110816866003E-2</v>
      </c>
      <c r="AK60" s="91">
        <v>5.4831251866097705E-2</v>
      </c>
      <c r="AL60" s="91">
        <v>3.6667106503504604E-2</v>
      </c>
      <c r="AM60" s="91">
        <v>4.9388157351824571E-2</v>
      </c>
      <c r="AN60" s="91">
        <v>6.4749170413189366E-2</v>
      </c>
      <c r="AO60" s="91">
        <v>9.536143459917848E-2</v>
      </c>
      <c r="AP60" s="91">
        <v>4.6516952869891874E-2</v>
      </c>
      <c r="AQ60" s="91">
        <v>5.9286062714103457E-2</v>
      </c>
      <c r="AR60" s="91">
        <v>7.9910865062641584E-2</v>
      </c>
      <c r="AS60" s="91">
        <v>5.4332333547434483E-2</v>
      </c>
      <c r="AT60" s="91">
        <v>7.3657697926012372E-2</v>
      </c>
      <c r="AU60" s="91">
        <v>5.3112438368366544E-2</v>
      </c>
      <c r="AV60" s="91">
        <v>6.0719600096574441E-2</v>
      </c>
      <c r="AW60" s="91">
        <v>4.0462601060125301E-2</v>
      </c>
      <c r="AX60" s="91">
        <v>4.7992058750792044E-2</v>
      </c>
      <c r="AY60" s="91">
        <v>5.1865402095478415E-2</v>
      </c>
      <c r="AZ60" s="91">
        <v>6.3353088836850965E-2</v>
      </c>
      <c r="BA60" s="91">
        <v>5.6795426917084217E-2</v>
      </c>
      <c r="BB60" s="91">
        <v>6.1492668091376573E-2</v>
      </c>
      <c r="BC60" s="91">
        <v>6.7501318875187372E-2</v>
      </c>
      <c r="BD60" s="91">
        <v>5.2017286650020533E-2</v>
      </c>
      <c r="BF60" s="87" t="s">
        <v>128</v>
      </c>
      <c r="BG60" t="s">
        <v>214</v>
      </c>
      <c r="BH60" t="s">
        <v>212</v>
      </c>
      <c r="BI60" t="s">
        <v>211</v>
      </c>
      <c r="BJ60" t="s">
        <v>211</v>
      </c>
      <c r="BK60" t="s">
        <v>214</v>
      </c>
      <c r="BL60" t="s">
        <v>214</v>
      </c>
      <c r="BM60" t="s">
        <v>214</v>
      </c>
      <c r="BN60" t="s">
        <v>211</v>
      </c>
      <c r="BO60" t="s">
        <v>209</v>
      </c>
      <c r="BP60" t="s">
        <v>213</v>
      </c>
      <c r="BQ60" t="s">
        <v>209</v>
      </c>
      <c r="BR60" t="s">
        <v>210</v>
      </c>
      <c r="BS60" t="s">
        <v>215</v>
      </c>
      <c r="BT60" t="s">
        <v>215</v>
      </c>
      <c r="BU60" t="s">
        <v>209</v>
      </c>
      <c r="BV60" t="s">
        <v>209</v>
      </c>
      <c r="BW60" t="s">
        <v>212</v>
      </c>
      <c r="BX60" t="s">
        <v>214</v>
      </c>
      <c r="BY60" t="s">
        <v>212</v>
      </c>
      <c r="BZ60" t="s">
        <v>212</v>
      </c>
      <c r="CA60" t="s">
        <v>214</v>
      </c>
      <c r="CB60" t="s">
        <v>209</v>
      </c>
      <c r="CC60" t="s">
        <v>209</v>
      </c>
      <c r="CD60" t="s">
        <v>214</v>
      </c>
      <c r="CE60" t="s">
        <v>211</v>
      </c>
      <c r="CF60" t="s">
        <v>215</v>
      </c>
    </row>
    <row r="61" spans="2:84">
      <c r="B61" s="87" t="s">
        <v>129</v>
      </c>
      <c r="C61" s="129">
        <v>0.23800000000000002</v>
      </c>
      <c r="D61" s="129">
        <v>0.23430000000000001</v>
      </c>
      <c r="E61" s="129">
        <v>0.23850000000000002</v>
      </c>
      <c r="F61" s="129">
        <v>0.22420000000000001</v>
      </c>
      <c r="G61" s="129">
        <v>0.23270000000000002</v>
      </c>
      <c r="H61" s="129">
        <v>0.23810000000000001</v>
      </c>
      <c r="I61" s="129">
        <v>0.23700000000000002</v>
      </c>
      <c r="J61" s="129">
        <v>0.21400000000000002</v>
      </c>
      <c r="K61" s="129">
        <v>0.2361</v>
      </c>
      <c r="L61" s="129">
        <v>0.2412</v>
      </c>
      <c r="M61" s="129">
        <v>0.24250000000000002</v>
      </c>
      <c r="N61" s="129">
        <v>0.23150000000000001</v>
      </c>
      <c r="O61" s="129">
        <v>0.21640000000000001</v>
      </c>
      <c r="P61" s="129">
        <v>0.24050000000000002</v>
      </c>
      <c r="Q61" s="129">
        <v>0.23650000000000002</v>
      </c>
      <c r="R61" s="129">
        <v>0.245</v>
      </c>
      <c r="S61" s="129">
        <v>0.22600000000000001</v>
      </c>
      <c r="T61" s="129">
        <v>0.22020000000000001</v>
      </c>
      <c r="U61" s="129">
        <v>0.23170000000000002</v>
      </c>
      <c r="V61" s="129">
        <v>0.2369</v>
      </c>
      <c r="W61" s="129">
        <v>0.2235</v>
      </c>
      <c r="X61" s="129">
        <v>0.2407</v>
      </c>
      <c r="Y61" s="129">
        <v>0.21590000000000001</v>
      </c>
      <c r="Z61" s="129">
        <v>0.24510000000000001</v>
      </c>
      <c r="AA61" s="129">
        <v>0.2452</v>
      </c>
      <c r="AB61" s="129">
        <v>0.22450000000000001</v>
      </c>
      <c r="AD61" s="87" t="s">
        <v>129</v>
      </c>
      <c r="AE61" s="91">
        <v>6.6869552757888279E-2</v>
      </c>
      <c r="AF61" s="91">
        <v>5.3585378388417371E-2</v>
      </c>
      <c r="AG61" s="91">
        <v>5.6630723822755746E-2</v>
      </c>
      <c r="AH61" s="91">
        <v>6.5802309436096135E-2</v>
      </c>
      <c r="AI61" s="91">
        <v>6.0033203937877248E-2</v>
      </c>
      <c r="AJ61" s="91">
        <v>5.3715524173884213E-2</v>
      </c>
      <c r="AK61" s="91">
        <v>6.9039665223115915E-2</v>
      </c>
      <c r="AL61" s="91">
        <v>5.0875519860522814E-2</v>
      </c>
      <c r="AM61" s="91">
        <v>6.3596570708842781E-2</v>
      </c>
      <c r="AN61" s="91">
        <v>7.895758377020759E-2</v>
      </c>
      <c r="AO61" s="91">
        <v>0.1095698479561967</v>
      </c>
      <c r="AP61" s="91">
        <v>6.0725366226910091E-2</v>
      </c>
      <c r="AQ61" s="91">
        <v>7.3494476071121667E-2</v>
      </c>
      <c r="AR61" s="91">
        <v>9.4119278419659794E-2</v>
      </c>
      <c r="AS61" s="91">
        <v>6.8540746904452693E-2</v>
      </c>
      <c r="AT61" s="91">
        <v>8.7866111283030582E-2</v>
      </c>
      <c r="AU61" s="91">
        <v>6.7320851725384767E-2</v>
      </c>
      <c r="AV61" s="91">
        <v>7.4928013453592651E-2</v>
      </c>
      <c r="AW61" s="91">
        <v>5.4671014417143518E-2</v>
      </c>
      <c r="AX61" s="91">
        <v>6.220047210781026E-2</v>
      </c>
      <c r="AY61" s="91">
        <v>6.6073815452496631E-2</v>
      </c>
      <c r="AZ61" s="91">
        <v>7.7561502193869175E-2</v>
      </c>
      <c r="BA61" s="91">
        <v>7.1003840274102434E-2</v>
      </c>
      <c r="BB61" s="91">
        <v>7.5701081448394797E-2</v>
      </c>
      <c r="BC61" s="91">
        <v>8.1709732232205595E-2</v>
      </c>
      <c r="BD61" s="91">
        <v>6.6225700007038757E-2</v>
      </c>
      <c r="BF61" s="87" t="s">
        <v>129</v>
      </c>
      <c r="BG61" t="s">
        <v>209</v>
      </c>
      <c r="BH61" t="s">
        <v>212</v>
      </c>
      <c r="BI61" t="s">
        <v>212</v>
      </c>
      <c r="BJ61" t="s">
        <v>210</v>
      </c>
      <c r="BK61" t="s">
        <v>215</v>
      </c>
      <c r="BL61" t="s">
        <v>209</v>
      </c>
      <c r="BM61" t="s">
        <v>215</v>
      </c>
      <c r="BN61" t="s">
        <v>214</v>
      </c>
      <c r="BO61" t="s">
        <v>214</v>
      </c>
      <c r="BP61" t="s">
        <v>212</v>
      </c>
      <c r="BQ61" t="s">
        <v>215</v>
      </c>
      <c r="BR61" t="s">
        <v>215</v>
      </c>
      <c r="BS61" t="s">
        <v>212</v>
      </c>
      <c r="BT61" t="s">
        <v>212</v>
      </c>
      <c r="BU61" t="s">
        <v>211</v>
      </c>
      <c r="BV61" t="s">
        <v>211</v>
      </c>
      <c r="BW61" t="s">
        <v>211</v>
      </c>
      <c r="BX61" t="s">
        <v>212</v>
      </c>
      <c r="BY61" t="s">
        <v>211</v>
      </c>
      <c r="BZ61" t="s">
        <v>213</v>
      </c>
      <c r="CA61" t="s">
        <v>210</v>
      </c>
      <c r="CB61" t="s">
        <v>213</v>
      </c>
      <c r="CC61" t="s">
        <v>215</v>
      </c>
      <c r="CD61" t="s">
        <v>211</v>
      </c>
      <c r="CE61" t="s">
        <v>212</v>
      </c>
      <c r="CF61" t="s">
        <v>209</v>
      </c>
    </row>
    <row r="62" spans="2:84">
      <c r="B62" s="87" t="s">
        <v>130</v>
      </c>
      <c r="C62" s="129">
        <v>0.1918</v>
      </c>
      <c r="D62" s="129">
        <v>0.21080000000000002</v>
      </c>
      <c r="E62" s="129">
        <v>0.21530000000000002</v>
      </c>
      <c r="F62" s="129">
        <v>0.18780000000000002</v>
      </c>
      <c r="G62" s="129">
        <v>0.19110000000000002</v>
      </c>
      <c r="H62" s="129">
        <v>0.191</v>
      </c>
      <c r="I62" s="129">
        <v>0.2137</v>
      </c>
      <c r="J62" s="129">
        <v>0.20680000000000001</v>
      </c>
      <c r="K62" s="129">
        <v>0.1842</v>
      </c>
      <c r="L62" s="129">
        <v>0.2109</v>
      </c>
      <c r="M62" s="129">
        <v>0.193</v>
      </c>
      <c r="N62" s="129">
        <v>0.19440000000000002</v>
      </c>
      <c r="O62" s="129">
        <v>0.20090000000000002</v>
      </c>
      <c r="P62" s="129">
        <v>0.18680000000000002</v>
      </c>
      <c r="Q62" s="129">
        <v>0.20020000000000002</v>
      </c>
      <c r="R62" s="129">
        <v>0.20290000000000002</v>
      </c>
      <c r="S62" s="129">
        <v>0.2036</v>
      </c>
      <c r="T62" s="129">
        <v>0.1875</v>
      </c>
      <c r="U62" s="129">
        <v>0.2114</v>
      </c>
      <c r="V62" s="129">
        <v>0.192</v>
      </c>
      <c r="W62" s="129">
        <v>0.19210000000000002</v>
      </c>
      <c r="X62" s="129">
        <v>0.20040000000000002</v>
      </c>
      <c r="Y62" s="129">
        <v>0.21560000000000001</v>
      </c>
      <c r="Z62" s="129">
        <v>0.21100000000000002</v>
      </c>
      <c r="AA62" s="129">
        <v>0.1842</v>
      </c>
      <c r="AB62" s="129">
        <v>0.20240000000000002</v>
      </c>
      <c r="AD62" s="87" t="s">
        <v>130</v>
      </c>
      <c r="AE62" s="91">
        <v>5.9569219515147216E-2</v>
      </c>
      <c r="AF62" s="91">
        <v>4.6285045145676301E-2</v>
      </c>
      <c r="AG62" s="91">
        <v>4.9330390580014677E-2</v>
      </c>
      <c r="AH62" s="91">
        <v>5.8501976193355058E-2</v>
      </c>
      <c r="AI62" s="91">
        <v>5.2732870695136179E-2</v>
      </c>
      <c r="AJ62" s="91">
        <v>4.6415190931143144E-2</v>
      </c>
      <c r="AK62" s="91">
        <v>6.1739331980374852E-2</v>
      </c>
      <c r="AL62" s="91">
        <v>4.3575186617781744E-2</v>
      </c>
      <c r="AM62" s="91">
        <v>5.6296237466101719E-2</v>
      </c>
      <c r="AN62" s="91">
        <v>7.1657250527466521E-2</v>
      </c>
      <c r="AO62" s="91">
        <v>0.10226951471345563</v>
      </c>
      <c r="AP62" s="91">
        <v>5.3425032984169021E-2</v>
      </c>
      <c r="AQ62" s="91">
        <v>6.6194142828380598E-2</v>
      </c>
      <c r="AR62" s="91">
        <v>8.6818945176918724E-2</v>
      </c>
      <c r="AS62" s="91">
        <v>6.124041366171163E-2</v>
      </c>
      <c r="AT62" s="91">
        <v>8.0565778040289512E-2</v>
      </c>
      <c r="AU62" s="91">
        <v>6.0020518482643691E-2</v>
      </c>
      <c r="AV62" s="91">
        <v>6.7627680210851582E-2</v>
      </c>
      <c r="AW62" s="91">
        <v>4.7370681174402449E-2</v>
      </c>
      <c r="AX62" s="91">
        <v>5.4900138865069191E-2</v>
      </c>
      <c r="AY62" s="91">
        <v>5.8773482209755562E-2</v>
      </c>
      <c r="AZ62" s="91">
        <v>7.0261168951128106E-2</v>
      </c>
      <c r="BA62" s="91">
        <v>6.3703507031361364E-2</v>
      </c>
      <c r="BB62" s="91">
        <v>6.8400748205653727E-2</v>
      </c>
      <c r="BC62" s="91">
        <v>7.4409398989464526E-2</v>
      </c>
      <c r="BD62" s="91">
        <v>5.8925366764297681E-2</v>
      </c>
      <c r="BF62" s="87" t="s">
        <v>130</v>
      </c>
      <c r="BG62" t="s">
        <v>213</v>
      </c>
      <c r="BH62" t="s">
        <v>213</v>
      </c>
      <c r="BI62" t="s">
        <v>214</v>
      </c>
      <c r="BJ62" t="s">
        <v>212</v>
      </c>
      <c r="BK62" t="s">
        <v>213</v>
      </c>
      <c r="BL62" t="s">
        <v>213</v>
      </c>
      <c r="BM62" t="s">
        <v>211</v>
      </c>
      <c r="BN62" t="s">
        <v>211</v>
      </c>
      <c r="BO62" t="s">
        <v>210</v>
      </c>
      <c r="BP62" t="s">
        <v>215</v>
      </c>
      <c r="BQ62" t="s">
        <v>212</v>
      </c>
      <c r="BR62" t="s">
        <v>210</v>
      </c>
      <c r="BS62" t="s">
        <v>209</v>
      </c>
      <c r="BT62" t="s">
        <v>213</v>
      </c>
      <c r="BU62" t="s">
        <v>214</v>
      </c>
      <c r="BV62" t="s">
        <v>210</v>
      </c>
      <c r="BW62" t="s">
        <v>211</v>
      </c>
      <c r="BX62" t="s">
        <v>210</v>
      </c>
      <c r="BY62" t="s">
        <v>209</v>
      </c>
      <c r="BZ62" t="s">
        <v>212</v>
      </c>
      <c r="CA62" t="s">
        <v>211</v>
      </c>
      <c r="CB62" t="s">
        <v>214</v>
      </c>
      <c r="CC62" t="s">
        <v>213</v>
      </c>
      <c r="CD62" t="s">
        <v>215</v>
      </c>
      <c r="CE62" t="s">
        <v>210</v>
      </c>
      <c r="CF62" t="s">
        <v>212</v>
      </c>
    </row>
    <row r="63" spans="2:84">
      <c r="B63" s="87" t="s">
        <v>235</v>
      </c>
      <c r="C63" s="129">
        <v>0.10640000000000009</v>
      </c>
      <c r="D63" s="129">
        <v>9.3800000000000092E-2</v>
      </c>
      <c r="E63" s="129">
        <v>9.8300000000000096E-2</v>
      </c>
      <c r="F63" s="129">
        <v>0.11030000000000009</v>
      </c>
      <c r="G63" s="129">
        <v>8.6700000000000083E-2</v>
      </c>
      <c r="H63" s="129">
        <v>0.10900000000000008</v>
      </c>
      <c r="I63" s="129">
        <v>8.9000000000000093E-2</v>
      </c>
      <c r="J63" s="129">
        <v>0.11110000000000009</v>
      </c>
      <c r="K63" s="129">
        <v>8.5600000000000093E-2</v>
      </c>
      <c r="L63" s="129">
        <v>0.10760000000000008</v>
      </c>
      <c r="M63" s="129">
        <v>0.11510000000000009</v>
      </c>
      <c r="N63" s="129">
        <v>9.9000000000000088E-2</v>
      </c>
      <c r="O63" s="129">
        <v>9.7200000000000092E-2</v>
      </c>
      <c r="P63" s="129">
        <v>0.10980000000000009</v>
      </c>
      <c r="Q63" s="129">
        <v>9.5100000000000087E-2</v>
      </c>
      <c r="R63" s="129">
        <v>0.10660000000000008</v>
      </c>
      <c r="S63" s="129">
        <v>0.10860000000000009</v>
      </c>
      <c r="T63" s="129">
        <v>9.5800000000000093E-2</v>
      </c>
      <c r="U63" s="129">
        <v>8.3800000000000097E-2</v>
      </c>
      <c r="V63" s="129">
        <v>8.4100000000000091E-2</v>
      </c>
      <c r="W63" s="129">
        <v>9.1400000000000092E-2</v>
      </c>
      <c r="X63" s="129">
        <v>0.10490000000000009</v>
      </c>
      <c r="Y63" s="129">
        <v>0.10880000000000009</v>
      </c>
      <c r="Z63" s="129">
        <v>9.9400000000000086E-2</v>
      </c>
      <c r="AA63" s="129">
        <v>8.3800000000000097E-2</v>
      </c>
      <c r="AB63" s="129">
        <v>8.7700000000000083E-2</v>
      </c>
      <c r="AD63" s="87" t="s">
        <v>235</v>
      </c>
      <c r="AE63" s="91">
        <v>4.5450298295860232E-2</v>
      </c>
      <c r="AF63" s="91">
        <v>3.2166123926389317E-2</v>
      </c>
      <c r="AG63" s="91">
        <v>3.5211469360727693E-2</v>
      </c>
      <c r="AH63" s="91">
        <v>4.4383054974068074E-2</v>
      </c>
      <c r="AI63" s="91">
        <v>3.8613949475849195E-2</v>
      </c>
      <c r="AJ63" s="91">
        <v>3.229626971185616E-2</v>
      </c>
      <c r="AK63" s="91">
        <v>4.7620410761087868E-2</v>
      </c>
      <c r="AL63" s="91">
        <v>2.9456265398494764E-2</v>
      </c>
      <c r="AM63" s="91">
        <v>4.2177316246814735E-2</v>
      </c>
      <c r="AN63" s="91">
        <v>5.753832930817953E-2</v>
      </c>
      <c r="AO63" s="91">
        <v>8.815059349416865E-2</v>
      </c>
      <c r="AP63" s="91">
        <v>3.9306111764882037E-2</v>
      </c>
      <c r="AQ63" s="91">
        <v>5.2075221609093621E-2</v>
      </c>
      <c r="AR63" s="91">
        <v>7.270002395763174E-2</v>
      </c>
      <c r="AS63" s="91">
        <v>4.7121492442424646E-2</v>
      </c>
      <c r="AT63" s="91">
        <v>6.6446856821002528E-2</v>
      </c>
      <c r="AU63" s="91">
        <v>4.5901597263356707E-2</v>
      </c>
      <c r="AV63" s="91">
        <v>5.3508758991564605E-2</v>
      </c>
      <c r="AW63" s="91">
        <v>3.3251759955115465E-2</v>
      </c>
      <c r="AX63" s="91">
        <v>4.0781217645782207E-2</v>
      </c>
      <c r="AY63" s="91">
        <v>4.4654560990468578E-2</v>
      </c>
      <c r="AZ63" s="91">
        <v>5.6142247731841129E-2</v>
      </c>
      <c r="BA63" s="91">
        <v>4.958458581207438E-2</v>
      </c>
      <c r="BB63" s="91">
        <v>5.4281826986366737E-2</v>
      </c>
      <c r="BC63" s="91">
        <v>6.0290477770177535E-2</v>
      </c>
      <c r="BD63" s="91">
        <v>4.4806445545010697E-2</v>
      </c>
      <c r="BF63" s="87" t="s">
        <v>235</v>
      </c>
      <c r="BG63" t="s">
        <v>213</v>
      </c>
      <c r="BH63" t="s">
        <v>212</v>
      </c>
      <c r="BI63" t="s">
        <v>214</v>
      </c>
      <c r="BJ63" t="s">
        <v>210</v>
      </c>
      <c r="BK63" t="s">
        <v>209</v>
      </c>
      <c r="BL63" t="s">
        <v>213</v>
      </c>
      <c r="BM63" t="s">
        <v>214</v>
      </c>
      <c r="BN63" t="s">
        <v>210</v>
      </c>
      <c r="BO63" t="s">
        <v>213</v>
      </c>
      <c r="BP63" t="s">
        <v>213</v>
      </c>
      <c r="BQ63" t="s">
        <v>210</v>
      </c>
      <c r="BR63" t="s">
        <v>215</v>
      </c>
      <c r="BS63" t="s">
        <v>211</v>
      </c>
      <c r="BT63" t="s">
        <v>213</v>
      </c>
      <c r="BU63" t="s">
        <v>213</v>
      </c>
      <c r="BV63" t="s">
        <v>210</v>
      </c>
      <c r="BW63" t="s">
        <v>213</v>
      </c>
      <c r="BX63" t="s">
        <v>210</v>
      </c>
      <c r="BY63" t="s">
        <v>209</v>
      </c>
      <c r="BZ63" t="s">
        <v>209</v>
      </c>
      <c r="CA63" t="s">
        <v>213</v>
      </c>
      <c r="CB63" t="s">
        <v>210</v>
      </c>
      <c r="CC63" t="s">
        <v>212</v>
      </c>
      <c r="CD63" t="s">
        <v>215</v>
      </c>
      <c r="CE63" t="s">
        <v>214</v>
      </c>
      <c r="CF63" t="s">
        <v>212</v>
      </c>
    </row>
    <row r="64" spans="2:84">
      <c r="B64" s="86" t="s">
        <v>236</v>
      </c>
      <c r="C64" s="129">
        <v>0.11510000000000001</v>
      </c>
      <c r="D64" s="129">
        <v>0.12609999999999999</v>
      </c>
      <c r="E64" s="129">
        <v>0.10979999999999999</v>
      </c>
      <c r="F64" s="129">
        <v>0.1171</v>
      </c>
      <c r="G64" s="129">
        <v>9.4700000000000006E-2</v>
      </c>
      <c r="H64" s="129">
        <v>9.4299999999999995E-2</v>
      </c>
      <c r="I64" s="129">
        <v>0.1152</v>
      </c>
      <c r="J64" s="129">
        <v>0.1205</v>
      </c>
      <c r="K64" s="129">
        <v>0.1074</v>
      </c>
      <c r="L64" s="129">
        <v>0.1094</v>
      </c>
      <c r="M64" s="129">
        <v>0.1149</v>
      </c>
      <c r="N64" s="129">
        <v>0.1115</v>
      </c>
      <c r="O64" s="129">
        <v>0.1162</v>
      </c>
      <c r="P64" s="129">
        <v>0.1048</v>
      </c>
      <c r="Q64" s="129">
        <v>9.4600000000000004E-2</v>
      </c>
      <c r="R64" s="129">
        <v>0.1237</v>
      </c>
      <c r="S64" s="129">
        <v>0.1065</v>
      </c>
      <c r="T64" s="129">
        <v>9.9699999999999997E-2</v>
      </c>
      <c r="U64" s="129">
        <v>0.1118</v>
      </c>
      <c r="V64" s="129">
        <v>0.10539999999999999</v>
      </c>
      <c r="W64" s="129">
        <v>0.125</v>
      </c>
      <c r="X64" s="129">
        <v>0.1089</v>
      </c>
      <c r="Y64" s="129">
        <v>0.1071</v>
      </c>
      <c r="Z64" s="129">
        <v>0.1094</v>
      </c>
      <c r="AA64" s="129">
        <v>0.11310000000000001</v>
      </c>
      <c r="AB64" s="129">
        <v>0.1014</v>
      </c>
      <c r="AD64" s="86" t="s">
        <v>236</v>
      </c>
      <c r="AE64" s="90">
        <f>SUMPRODUCT(AE65:AE67,C65:C67)</f>
        <v>4.4402062119158092E-2</v>
      </c>
      <c r="AF64" s="90">
        <f t="shared" ref="AF64" si="289">SUMPRODUCT(AF65:AF67,D65:D67)</f>
        <v>3.1410703959777152E-2</v>
      </c>
      <c r="AG64" s="90">
        <f t="shared" ref="AG64" si="290">SUMPRODUCT(AG65:AG67,E65:E67)</f>
        <v>3.4433987300866657E-2</v>
      </c>
      <c r="AH64" s="90">
        <f t="shared" ref="AH64" si="291">SUMPRODUCT(AH65:AH67,F65:F67)</f>
        <v>4.3233800156453027E-2</v>
      </c>
      <c r="AI64" s="90">
        <f t="shared" ref="AI64" si="292">SUMPRODUCT(AI65:AI67,G65:G67)</f>
        <v>3.7649622270922355E-2</v>
      </c>
      <c r="AJ64" s="90">
        <f t="shared" ref="AJ64" si="293">SUMPRODUCT(AJ65:AJ67,H65:H67)</f>
        <v>3.111763725382545E-2</v>
      </c>
      <c r="AK64" s="90">
        <f t="shared" ref="AK64" si="294">SUMPRODUCT(AK65:AK67,I65:I67)</f>
        <v>4.6680394136647194E-2</v>
      </c>
      <c r="AL64" s="90">
        <f t="shared" ref="AL64" si="295">SUMPRODUCT(AL65:AL67,J65:J67)</f>
        <v>2.8537773452360495E-2</v>
      </c>
      <c r="AM64" s="90">
        <f t="shared" ref="AM64" si="296">SUMPRODUCT(AM65:AM67,K65:K67)</f>
        <v>4.1427778505574227E-2</v>
      </c>
      <c r="AN64" s="90">
        <f t="shared" ref="AN64" si="297">SUMPRODUCT(AN65:AN67,L65:L67)</f>
        <v>5.6656487612191525E-2</v>
      </c>
      <c r="AO64" s="90">
        <f t="shared" ref="AO64" si="298">SUMPRODUCT(AO65:AO67,M65:M67)</f>
        <v>8.7432274093877466E-2</v>
      </c>
      <c r="AP64" s="90">
        <f t="shared" ref="AP64" si="299">SUMPRODUCT(AP65:AP67,N65:N67)</f>
        <v>3.8517028368959136E-2</v>
      </c>
      <c r="AQ64" s="90">
        <f t="shared" ref="AQ64" si="300">SUMPRODUCT(AQ65:AQ67,O65:O67)</f>
        <v>5.1111939657175656E-2</v>
      </c>
      <c r="AR64" s="90">
        <f t="shared" ref="AR64" si="301">SUMPRODUCT(AR65:AR67,P65:P67)</f>
        <v>7.1968195139894678E-2</v>
      </c>
      <c r="AS64" s="90">
        <f t="shared" ref="AS64" si="302">SUMPRODUCT(AS65:AS67,Q65:Q67)</f>
        <v>4.6406011332743032E-2</v>
      </c>
      <c r="AT64" s="90">
        <f t="shared" ref="AT64" si="303">SUMPRODUCT(AT65:AT67,R65:R67)</f>
        <v>6.5588951405239682E-2</v>
      </c>
      <c r="AU64" s="90">
        <f t="shared" ref="AU64" si="304">SUMPRODUCT(AU65:AU67,S65:S67)</f>
        <v>4.4966384124836195E-2</v>
      </c>
      <c r="AV64" s="90">
        <f t="shared" ref="AV64" si="305">SUMPRODUCT(AV65:AV67,T65:T67)</f>
        <v>5.2362759294291218E-2</v>
      </c>
      <c r="AW64" s="90">
        <f t="shared" ref="AW64" si="306">SUMPRODUCT(AW65:AW67,U65:U67)</f>
        <v>3.2474503257324358E-2</v>
      </c>
      <c r="AX64" s="90">
        <f t="shared" ref="AX64" si="307">SUMPRODUCT(AX65:AX67,V65:V67)</f>
        <v>3.992187377476232E-2</v>
      </c>
      <c r="AY64" s="90">
        <f t="shared" ref="AY64" si="308">SUMPRODUCT(AY65:AY67,W65:W67)</f>
        <v>4.3554808656223076E-2</v>
      </c>
      <c r="AZ64" s="90">
        <f t="shared" ref="AZ64" si="309">SUMPRODUCT(AZ65:AZ67,X65:X67)</f>
        <v>5.5112971783768956E-2</v>
      </c>
      <c r="BA64" s="90">
        <f t="shared" ref="BA64" si="310">SUMPRODUCT(BA65:BA67,Y65:Y67)</f>
        <v>4.8613345713222469E-2</v>
      </c>
      <c r="BB64" s="90">
        <f t="shared" ref="BB64" si="311">SUMPRODUCT(BB65:BB67,Z65:Z67)</f>
        <v>5.3378675707218458E-2</v>
      </c>
      <c r="BC64" s="90">
        <f t="shared" ref="BC64" si="312">SUMPRODUCT(BC65:BC67,AA65:AA67)</f>
        <v>5.9569143196070096E-2</v>
      </c>
      <c r="BD64" s="90">
        <f t="shared" ref="BD64" si="313">SUMPRODUCT(BD65:BD67,AB65:AB67)</f>
        <v>4.3800842303154362E-2</v>
      </c>
      <c r="BF64" s="86" t="s">
        <v>236</v>
      </c>
      <c r="BG64" t="s">
        <v>210</v>
      </c>
      <c r="BH64" t="s">
        <v>215</v>
      </c>
      <c r="BI64" t="s">
        <v>209</v>
      </c>
      <c r="BJ64" t="s">
        <v>209</v>
      </c>
      <c r="BK64" t="s">
        <v>210</v>
      </c>
      <c r="BL64" t="s">
        <v>215</v>
      </c>
      <c r="BM64" t="s">
        <v>210</v>
      </c>
      <c r="BN64" t="s">
        <v>215</v>
      </c>
      <c r="BO64" t="s">
        <v>211</v>
      </c>
      <c r="BP64" t="s">
        <v>209</v>
      </c>
      <c r="BQ64" t="s">
        <v>214</v>
      </c>
      <c r="BR64" t="s">
        <v>212</v>
      </c>
      <c r="BS64" t="s">
        <v>215</v>
      </c>
      <c r="BT64" t="s">
        <v>212</v>
      </c>
      <c r="BU64" t="s">
        <v>214</v>
      </c>
      <c r="BV64" t="s">
        <v>211</v>
      </c>
      <c r="BW64" t="s">
        <v>213</v>
      </c>
      <c r="BX64" t="s">
        <v>209</v>
      </c>
      <c r="BY64" t="s">
        <v>214</v>
      </c>
      <c r="BZ64" t="s">
        <v>215</v>
      </c>
      <c r="CA64" t="s">
        <v>213</v>
      </c>
      <c r="CB64" t="s">
        <v>211</v>
      </c>
      <c r="CC64" t="s">
        <v>213</v>
      </c>
      <c r="CD64" t="s">
        <v>211</v>
      </c>
      <c r="CE64" t="s">
        <v>215</v>
      </c>
      <c r="CF64" t="s">
        <v>211</v>
      </c>
    </row>
    <row r="65" spans="2:84">
      <c r="B65" s="87" t="s">
        <v>237</v>
      </c>
      <c r="C65" s="129">
        <f>1-SUM(C66:C67)</f>
        <v>0.52450000000000008</v>
      </c>
      <c r="D65" s="129">
        <f t="shared" ref="D65" si="314">1-SUM(D66:D67)</f>
        <v>0.55040000000000011</v>
      </c>
      <c r="E65" s="129">
        <f t="shared" ref="E65" si="315">1-SUM(E66:E67)</f>
        <v>0.54130000000000011</v>
      </c>
      <c r="F65" s="129">
        <f t="shared" ref="F65" si="316">1-SUM(F66:F67)</f>
        <v>0.5182000000000001</v>
      </c>
      <c r="G65" s="129">
        <f t="shared" ref="G65" si="317">1-SUM(G66:G67)</f>
        <v>0.53070000000000017</v>
      </c>
      <c r="H65" s="129">
        <f t="shared" ref="H65" si="318">1-SUM(H66:H67)</f>
        <v>0.51070000000000015</v>
      </c>
      <c r="I65" s="129">
        <f t="shared" ref="I65" si="319">1-SUM(I66:I67)</f>
        <v>0.54390000000000005</v>
      </c>
      <c r="J65" s="129">
        <f t="shared" ref="J65" si="320">1-SUM(J66:J67)</f>
        <v>0.53580000000000005</v>
      </c>
      <c r="K65" s="129">
        <f t="shared" ref="K65" si="321">1-SUM(K66:K67)</f>
        <v>0.55140000000000011</v>
      </c>
      <c r="L65" s="129">
        <f t="shared" ref="L65" si="322">1-SUM(L66:L67)</f>
        <v>0.54900000000000015</v>
      </c>
      <c r="M65" s="129">
        <f t="shared" ref="M65" si="323">1-SUM(M66:M67)</f>
        <v>0.5525000000000001</v>
      </c>
      <c r="N65" s="129">
        <f t="shared" ref="N65" si="324">1-SUM(N66:N67)</f>
        <v>0.54350000000000009</v>
      </c>
      <c r="O65" s="129">
        <f t="shared" ref="O65" si="325">1-SUM(O66:O67)</f>
        <v>0.53660000000000008</v>
      </c>
      <c r="P65" s="129">
        <f t="shared" ref="P65" si="326">1-SUM(P66:P67)</f>
        <v>0.55180000000000007</v>
      </c>
      <c r="Q65" s="129">
        <f t="shared" ref="Q65" si="327">1-SUM(Q66:Q67)</f>
        <v>0.56170000000000009</v>
      </c>
      <c r="R65" s="129">
        <f t="shared" ref="R65" si="328">1-SUM(R66:R67)</f>
        <v>0.54920000000000013</v>
      </c>
      <c r="S65" s="129">
        <f t="shared" ref="S65" si="329">1-SUM(S66:S67)</f>
        <v>0.54150000000000009</v>
      </c>
      <c r="T65" s="129">
        <f t="shared" ref="T65" si="330">1-SUM(T66:T67)</f>
        <v>0.51880000000000015</v>
      </c>
      <c r="U65" s="129">
        <f t="shared" ref="U65" si="331">1-SUM(U66:U67)</f>
        <v>0.54290000000000016</v>
      </c>
      <c r="V65" s="129">
        <f t="shared" ref="V65" si="332">1-SUM(V66:V67)</f>
        <v>0.53990000000000005</v>
      </c>
      <c r="W65" s="129">
        <f t="shared" ref="W65" si="333">1-SUM(W66:W67)</f>
        <v>0.51770000000000005</v>
      </c>
      <c r="X65" s="129">
        <f t="shared" ref="X65" si="334">1-SUM(X66:X67)</f>
        <v>0.52770000000000006</v>
      </c>
      <c r="Y65" s="129">
        <f t="shared" ref="Y65" si="335">1-SUM(Y66:Y67)</f>
        <v>0.53090000000000004</v>
      </c>
      <c r="Z65" s="129">
        <f t="shared" ref="Z65" si="336">1-SUM(Z66:Z67)</f>
        <v>0.53490000000000004</v>
      </c>
      <c r="AA65" s="129">
        <f t="shared" ref="AA65" si="337">1-SUM(AA66:AA67)</f>
        <v>0.5606000000000001</v>
      </c>
      <c r="AB65" s="129">
        <f t="shared" ref="AB65" si="338">1-SUM(AB66:AB67)</f>
        <v>0.53120000000000012</v>
      </c>
      <c r="AD65" s="87" t="s">
        <v>237</v>
      </c>
      <c r="AE65" s="91">
        <v>4.8534829524086401E-2</v>
      </c>
      <c r="AF65" s="91">
        <v>3.5250655154615486E-2</v>
      </c>
      <c r="AG65" s="91">
        <v>3.8296000588953862E-2</v>
      </c>
      <c r="AH65" s="91">
        <v>4.7467586202294243E-2</v>
      </c>
      <c r="AI65" s="91">
        <v>4.1698480704075364E-2</v>
      </c>
      <c r="AJ65" s="91">
        <v>3.5380800940082335E-2</v>
      </c>
      <c r="AK65" s="91">
        <v>5.0704941989314037E-2</v>
      </c>
      <c r="AL65" s="91">
        <v>3.2540796626720936E-2</v>
      </c>
      <c r="AM65" s="91">
        <v>4.5261847475040903E-2</v>
      </c>
      <c r="AN65" s="91">
        <v>6.0622860536405698E-2</v>
      </c>
      <c r="AO65" s="91">
        <v>9.1235124722394811E-2</v>
      </c>
      <c r="AP65" s="91">
        <v>4.2390642993108206E-2</v>
      </c>
      <c r="AQ65" s="91">
        <v>5.5159752837319789E-2</v>
      </c>
      <c r="AR65" s="91">
        <v>7.5784555185857916E-2</v>
      </c>
      <c r="AS65" s="91">
        <v>5.0206023670650815E-2</v>
      </c>
      <c r="AT65" s="91">
        <v>6.9531388049228704E-2</v>
      </c>
      <c r="AU65" s="91">
        <v>4.8986128491582875E-2</v>
      </c>
      <c r="AV65" s="91">
        <v>5.6593290219790773E-2</v>
      </c>
      <c r="AW65" s="91">
        <v>3.6336291183341633E-2</v>
      </c>
      <c r="AX65" s="91">
        <v>4.3865748874008376E-2</v>
      </c>
      <c r="AY65" s="91">
        <v>4.7739092218694747E-2</v>
      </c>
      <c r="AZ65" s="91">
        <v>5.9226778960067297E-2</v>
      </c>
      <c r="BA65" s="91">
        <v>5.2669117040300549E-2</v>
      </c>
      <c r="BB65" s="91">
        <v>5.7366358214592905E-2</v>
      </c>
      <c r="BC65" s="91">
        <v>6.3375008998403703E-2</v>
      </c>
      <c r="BD65" s="91">
        <v>4.7890976773236865E-2</v>
      </c>
      <c r="BF65" s="87" t="s">
        <v>237</v>
      </c>
      <c r="BG65" t="s">
        <v>209</v>
      </c>
      <c r="BH65" t="s">
        <v>213</v>
      </c>
      <c r="BI65" t="s">
        <v>214</v>
      </c>
      <c r="BJ65" t="s">
        <v>213</v>
      </c>
      <c r="BK65" t="s">
        <v>214</v>
      </c>
      <c r="BL65" t="s">
        <v>212</v>
      </c>
      <c r="BM65" t="s">
        <v>211</v>
      </c>
      <c r="BN65" t="s">
        <v>213</v>
      </c>
      <c r="BO65" t="s">
        <v>213</v>
      </c>
      <c r="BP65" t="s">
        <v>213</v>
      </c>
      <c r="BQ65" t="s">
        <v>211</v>
      </c>
      <c r="BR65" t="s">
        <v>213</v>
      </c>
      <c r="BS65" t="s">
        <v>213</v>
      </c>
      <c r="BT65" t="s">
        <v>212</v>
      </c>
      <c r="BU65" t="s">
        <v>213</v>
      </c>
      <c r="BV65" t="s">
        <v>210</v>
      </c>
      <c r="BW65" t="s">
        <v>214</v>
      </c>
      <c r="BX65" t="s">
        <v>215</v>
      </c>
      <c r="BY65" t="s">
        <v>209</v>
      </c>
      <c r="BZ65" t="s">
        <v>213</v>
      </c>
      <c r="CA65" t="s">
        <v>212</v>
      </c>
      <c r="CB65" t="s">
        <v>211</v>
      </c>
      <c r="CC65" t="s">
        <v>213</v>
      </c>
      <c r="CD65" t="s">
        <v>211</v>
      </c>
      <c r="CE65" t="s">
        <v>212</v>
      </c>
      <c r="CF65" t="s">
        <v>209</v>
      </c>
    </row>
    <row r="66" spans="2:84">
      <c r="B66" s="87" t="s">
        <v>238</v>
      </c>
      <c r="C66" s="129">
        <v>0.32819999999999999</v>
      </c>
      <c r="D66" s="129">
        <v>0.32019999999999998</v>
      </c>
      <c r="E66" s="129">
        <v>0.33479999999999999</v>
      </c>
      <c r="F66" s="129">
        <v>0.32579999999999998</v>
      </c>
      <c r="G66" s="129">
        <v>0.32829999999999998</v>
      </c>
      <c r="H66" s="129">
        <v>0.3362</v>
      </c>
      <c r="I66" s="129">
        <v>0.30599999999999999</v>
      </c>
      <c r="J66" s="129">
        <v>0.32500000000000001</v>
      </c>
      <c r="K66" s="129">
        <v>0.31909999999999999</v>
      </c>
      <c r="L66" s="129">
        <v>0.30449999999999999</v>
      </c>
      <c r="M66" s="129">
        <v>0.32150000000000001</v>
      </c>
      <c r="N66" s="129">
        <v>0.32879999999999998</v>
      </c>
      <c r="O66" s="129">
        <v>0.31690000000000002</v>
      </c>
      <c r="P66" s="129">
        <v>0.32090000000000002</v>
      </c>
      <c r="Q66" s="129">
        <v>0.3039</v>
      </c>
      <c r="R66" s="129">
        <v>0.30759999999999998</v>
      </c>
      <c r="S66" s="129">
        <v>0.31140000000000001</v>
      </c>
      <c r="T66" s="129">
        <v>0.3251</v>
      </c>
      <c r="U66" s="129">
        <v>0.33169999999999999</v>
      </c>
      <c r="V66" s="129">
        <v>0.3256</v>
      </c>
      <c r="W66" s="129">
        <v>0.33400000000000002</v>
      </c>
      <c r="X66" s="129">
        <v>0.32469999999999999</v>
      </c>
      <c r="Y66" s="129">
        <v>0.32690000000000002</v>
      </c>
      <c r="Z66" s="129">
        <v>0.32900000000000001</v>
      </c>
      <c r="AA66" s="129">
        <v>0.30520000000000003</v>
      </c>
      <c r="AB66" s="129">
        <v>0.32130000000000003</v>
      </c>
      <c r="AD66" s="87" t="s">
        <v>238</v>
      </c>
      <c r="AE66" s="91">
        <v>4.196706694908954E-2</v>
      </c>
      <c r="AF66" s="91">
        <v>2.8682892579618625E-2</v>
      </c>
      <c r="AG66" s="91">
        <v>3.1728238013957001E-2</v>
      </c>
      <c r="AH66" s="91">
        <v>4.0899823627297383E-2</v>
      </c>
      <c r="AI66" s="91">
        <v>3.5130718129078503E-2</v>
      </c>
      <c r="AJ66" s="91">
        <v>2.8813038365085471E-2</v>
      </c>
      <c r="AK66" s="91">
        <v>4.4137179414317176E-2</v>
      </c>
      <c r="AL66" s="91">
        <v>2.5973034051724072E-2</v>
      </c>
      <c r="AM66" s="91">
        <v>3.8694084900044043E-2</v>
      </c>
      <c r="AN66" s="91">
        <v>5.4055097961408838E-2</v>
      </c>
      <c r="AO66" s="91">
        <v>8.4667362147397951E-2</v>
      </c>
      <c r="AP66" s="91">
        <v>3.5822880418111346E-2</v>
      </c>
      <c r="AQ66" s="91">
        <v>4.8591990262322929E-2</v>
      </c>
      <c r="AR66" s="91">
        <v>6.9216792610861055E-2</v>
      </c>
      <c r="AS66" s="91">
        <v>4.3638261095653955E-2</v>
      </c>
      <c r="AT66" s="91">
        <v>6.2963625474231844E-2</v>
      </c>
      <c r="AU66" s="91">
        <v>4.2418365916586015E-2</v>
      </c>
      <c r="AV66" s="91">
        <v>5.0025527644793913E-2</v>
      </c>
      <c r="AW66" s="91">
        <v>2.9768528608344773E-2</v>
      </c>
      <c r="AX66" s="91">
        <v>3.7297986299011515E-2</v>
      </c>
      <c r="AY66" s="91">
        <v>4.1171329643697886E-2</v>
      </c>
      <c r="AZ66" s="91">
        <v>5.2659016385070437E-2</v>
      </c>
      <c r="BA66" s="91">
        <v>4.6101354465303689E-2</v>
      </c>
      <c r="BB66" s="91">
        <v>5.0798595639596045E-2</v>
      </c>
      <c r="BC66" s="91">
        <v>5.6807246423406843E-2</v>
      </c>
      <c r="BD66" s="91">
        <v>4.1323214198240005E-2</v>
      </c>
      <c r="BF66" s="87" t="s">
        <v>238</v>
      </c>
      <c r="BG66" t="s">
        <v>212</v>
      </c>
      <c r="BH66" t="s">
        <v>210</v>
      </c>
      <c r="BI66" t="s">
        <v>210</v>
      </c>
      <c r="BJ66" t="s">
        <v>209</v>
      </c>
      <c r="BK66" t="s">
        <v>211</v>
      </c>
      <c r="BL66" t="s">
        <v>212</v>
      </c>
      <c r="BM66" t="s">
        <v>210</v>
      </c>
      <c r="BN66" t="s">
        <v>214</v>
      </c>
      <c r="BO66" t="s">
        <v>210</v>
      </c>
      <c r="BP66" t="s">
        <v>211</v>
      </c>
      <c r="BQ66" t="s">
        <v>209</v>
      </c>
      <c r="BR66" t="s">
        <v>209</v>
      </c>
      <c r="BS66" t="s">
        <v>215</v>
      </c>
      <c r="BT66" t="s">
        <v>213</v>
      </c>
      <c r="BU66" t="s">
        <v>214</v>
      </c>
      <c r="BV66" t="s">
        <v>215</v>
      </c>
      <c r="BW66" t="s">
        <v>210</v>
      </c>
      <c r="BX66" t="s">
        <v>211</v>
      </c>
      <c r="BY66" t="s">
        <v>210</v>
      </c>
      <c r="BZ66" t="s">
        <v>212</v>
      </c>
      <c r="CA66" t="s">
        <v>209</v>
      </c>
      <c r="CB66" t="s">
        <v>209</v>
      </c>
      <c r="CC66" t="s">
        <v>210</v>
      </c>
      <c r="CD66" t="s">
        <v>211</v>
      </c>
      <c r="CE66" t="s">
        <v>214</v>
      </c>
      <c r="CF66" t="s">
        <v>214</v>
      </c>
    </row>
    <row r="67" spans="2:84">
      <c r="B67" s="87" t="s">
        <v>239</v>
      </c>
      <c r="C67" s="129">
        <v>0.1472999999999999</v>
      </c>
      <c r="D67" s="129">
        <v>0.1293999999999999</v>
      </c>
      <c r="E67" s="129">
        <v>0.1238999999999999</v>
      </c>
      <c r="F67" s="129">
        <v>0.15599999999999992</v>
      </c>
      <c r="G67" s="129">
        <v>0.1409999999999999</v>
      </c>
      <c r="H67" s="129">
        <v>0.1530999999999999</v>
      </c>
      <c r="I67" s="129">
        <v>0.1500999999999999</v>
      </c>
      <c r="J67" s="129">
        <v>0.13919999999999991</v>
      </c>
      <c r="K67" s="129">
        <v>0.12949999999999989</v>
      </c>
      <c r="L67" s="129">
        <v>0.14649999999999991</v>
      </c>
      <c r="M67" s="129">
        <v>0.12599999999999989</v>
      </c>
      <c r="N67" s="129">
        <v>0.1276999999999999</v>
      </c>
      <c r="O67" s="129">
        <v>0.14649999999999991</v>
      </c>
      <c r="P67" s="129">
        <v>0.12729999999999991</v>
      </c>
      <c r="Q67" s="129">
        <v>0.13439999999999991</v>
      </c>
      <c r="R67" s="129">
        <v>0.14319999999999991</v>
      </c>
      <c r="S67" s="129">
        <v>0.1470999999999999</v>
      </c>
      <c r="T67" s="129">
        <v>0.15609999999999991</v>
      </c>
      <c r="U67" s="129">
        <v>0.1253999999999999</v>
      </c>
      <c r="V67" s="129">
        <v>0.1344999999999999</v>
      </c>
      <c r="W67" s="129">
        <v>0.1482999999999999</v>
      </c>
      <c r="X67" s="129">
        <v>0.1475999999999999</v>
      </c>
      <c r="Y67" s="129">
        <v>0.14219999999999991</v>
      </c>
      <c r="Z67" s="129">
        <v>0.13609999999999992</v>
      </c>
      <c r="AA67" s="129">
        <v>0.1341999999999999</v>
      </c>
      <c r="AB67" s="129">
        <v>0.14749999999999991</v>
      </c>
      <c r="AD67" s="87" t="s">
        <v>239</v>
      </c>
      <c r="AE67" s="91">
        <v>3.5111694915706634E-2</v>
      </c>
      <c r="AF67" s="91">
        <v>2.1827520546235719E-2</v>
      </c>
      <c r="AG67" s="91">
        <v>2.4872865980574095E-2</v>
      </c>
      <c r="AH67" s="91">
        <v>3.4044451593914477E-2</v>
      </c>
      <c r="AI67" s="91">
        <v>2.8275346095695597E-2</v>
      </c>
      <c r="AJ67" s="91">
        <v>2.1957666331702565E-2</v>
      </c>
      <c r="AK67" s="91">
        <v>3.728180738093427E-2</v>
      </c>
      <c r="AL67" s="91">
        <v>1.9117662018341166E-2</v>
      </c>
      <c r="AM67" s="91">
        <v>3.1838712866661137E-2</v>
      </c>
      <c r="AN67" s="91">
        <v>4.7199725928025932E-2</v>
      </c>
      <c r="AO67" s="91">
        <v>7.7811990114015045E-2</v>
      </c>
      <c r="AP67" s="91">
        <v>2.896750838472844E-2</v>
      </c>
      <c r="AQ67" s="91">
        <v>4.1736618228940023E-2</v>
      </c>
      <c r="AR67" s="91">
        <v>6.2361420577478142E-2</v>
      </c>
      <c r="AS67" s="91">
        <v>3.6782889062271049E-2</v>
      </c>
      <c r="AT67" s="91">
        <v>5.6108253440848931E-2</v>
      </c>
      <c r="AU67" s="91">
        <v>3.5562993883203109E-2</v>
      </c>
      <c r="AV67" s="91">
        <v>4.3170155611411007E-2</v>
      </c>
      <c r="AW67" s="91">
        <v>2.2913156574961867E-2</v>
      </c>
      <c r="AX67" s="91">
        <v>3.0442614265628609E-2</v>
      </c>
      <c r="AY67" s="91">
        <v>3.431595761031498E-2</v>
      </c>
      <c r="AZ67" s="91">
        <v>4.5803644351687531E-2</v>
      </c>
      <c r="BA67" s="91">
        <v>3.9245982431920783E-2</v>
      </c>
      <c r="BB67" s="91">
        <v>4.3943223606213139E-2</v>
      </c>
      <c r="BC67" s="91">
        <v>4.9951874390023937E-2</v>
      </c>
      <c r="BD67" s="91">
        <v>3.4467842164857099E-2</v>
      </c>
      <c r="BF67" s="87" t="s">
        <v>239</v>
      </c>
      <c r="BG67" t="s">
        <v>215</v>
      </c>
      <c r="BH67" t="s">
        <v>210</v>
      </c>
      <c r="BI67" t="s">
        <v>215</v>
      </c>
      <c r="BJ67" t="s">
        <v>214</v>
      </c>
      <c r="BK67" t="s">
        <v>212</v>
      </c>
      <c r="BL67" t="s">
        <v>215</v>
      </c>
      <c r="BM67" t="s">
        <v>209</v>
      </c>
      <c r="BN67" t="s">
        <v>211</v>
      </c>
      <c r="BO67" t="s">
        <v>210</v>
      </c>
      <c r="BP67" t="s">
        <v>212</v>
      </c>
      <c r="BQ67" t="s">
        <v>215</v>
      </c>
      <c r="BR67" t="s">
        <v>211</v>
      </c>
      <c r="BS67" t="s">
        <v>214</v>
      </c>
      <c r="BT67" t="s">
        <v>214</v>
      </c>
      <c r="BU67" t="s">
        <v>210</v>
      </c>
      <c r="BV67" t="s">
        <v>209</v>
      </c>
      <c r="BW67" t="s">
        <v>214</v>
      </c>
      <c r="BX67" t="s">
        <v>210</v>
      </c>
      <c r="BY67" t="s">
        <v>215</v>
      </c>
      <c r="BZ67" t="s">
        <v>212</v>
      </c>
      <c r="CA67" t="s">
        <v>212</v>
      </c>
      <c r="CB67" t="s">
        <v>214</v>
      </c>
      <c r="CC67" t="s">
        <v>211</v>
      </c>
      <c r="CD67" t="s">
        <v>214</v>
      </c>
      <c r="CE67" t="s">
        <v>215</v>
      </c>
      <c r="CF67" t="s">
        <v>209</v>
      </c>
    </row>
    <row r="68" spans="2:84">
      <c r="B68" s="141" t="s">
        <v>240</v>
      </c>
      <c r="C68" s="129">
        <v>8.4799999999999959E-2</v>
      </c>
      <c r="D68" s="129">
        <v>7.4835047577069269E-2</v>
      </c>
      <c r="E68" s="129">
        <v>8.159999999999995E-2</v>
      </c>
      <c r="F68" s="129">
        <v>8.6199999999999957E-2</v>
      </c>
      <c r="G68" s="129">
        <v>8.0599999999999949E-2</v>
      </c>
      <c r="H68" s="129">
        <v>8.8099999999999956E-2</v>
      </c>
      <c r="I68" s="129">
        <v>6.9399999999999962E-2</v>
      </c>
      <c r="J68" s="129">
        <v>9.0399999999999953E-2</v>
      </c>
      <c r="K68" s="129">
        <v>8.3099999999999952E-2</v>
      </c>
      <c r="L68" s="129">
        <v>9.029999999999995E-2</v>
      </c>
      <c r="M68" s="129">
        <v>7.6099999999999973E-2</v>
      </c>
      <c r="N68" s="129">
        <v>7.1899999999999964E-2</v>
      </c>
      <c r="O68" s="129">
        <v>7.8699999999999937E-2</v>
      </c>
      <c r="P68" s="129">
        <v>8.969999999999996E-2</v>
      </c>
      <c r="Q68" s="129">
        <v>8.3899999999999947E-2</v>
      </c>
      <c r="R68" s="129">
        <v>6.8999999999999964E-2</v>
      </c>
      <c r="S68" s="129">
        <v>7.2699999999999959E-2</v>
      </c>
      <c r="T68" s="129">
        <v>7.3799999999999963E-2</v>
      </c>
      <c r="U68" s="129">
        <v>9.0599999999999958E-2</v>
      </c>
      <c r="V68" s="129">
        <v>7.5299999999999978E-2</v>
      </c>
      <c r="W68" s="129">
        <v>6.9999999999999965E-2</v>
      </c>
      <c r="X68" s="129">
        <v>7.7499999999999958E-2</v>
      </c>
      <c r="Y68" s="129">
        <v>8.3099999999999952E-2</v>
      </c>
      <c r="Z68" s="129">
        <v>8.6999999999999966E-2</v>
      </c>
      <c r="AA68" s="129">
        <v>7.2599999999999956E-2</v>
      </c>
      <c r="AB68" s="129">
        <v>8.4999999999999964E-2</v>
      </c>
      <c r="AD68" s="141" t="s">
        <v>240</v>
      </c>
      <c r="AE68" s="90">
        <v>3.270406805334182E-2</v>
      </c>
      <c r="AF68" s="90">
        <v>1.9419893683870905E-2</v>
      </c>
      <c r="AG68" s="90">
        <v>2.2465239118209281E-2</v>
      </c>
      <c r="AH68" s="90">
        <v>3.1636824731549662E-2</v>
      </c>
      <c r="AI68" s="90">
        <v>2.5867719233330783E-2</v>
      </c>
      <c r="AJ68" s="90">
        <v>1.9550039469337751E-2</v>
      </c>
      <c r="AK68" s="90">
        <v>3.4874180518569456E-2</v>
      </c>
      <c r="AL68" s="90">
        <v>1.6710035155976351E-2</v>
      </c>
      <c r="AM68" s="90">
        <v>2.9431086004296322E-2</v>
      </c>
      <c r="AN68" s="90">
        <v>4.4792099065661117E-2</v>
      </c>
      <c r="AO68" s="90">
        <v>7.540436325165023E-2</v>
      </c>
      <c r="AP68" s="90">
        <v>2.6559881522363625E-2</v>
      </c>
      <c r="AQ68" s="90">
        <v>3.9328991366575208E-2</v>
      </c>
      <c r="AR68" s="90">
        <v>5.9953793715113328E-2</v>
      </c>
      <c r="AS68" s="90">
        <v>3.4375262199906234E-2</v>
      </c>
      <c r="AT68" s="90">
        <v>5.3700626578484116E-2</v>
      </c>
      <c r="AU68" s="90">
        <v>3.3155367020838294E-2</v>
      </c>
      <c r="AV68" s="90">
        <v>4.0762528749046192E-2</v>
      </c>
      <c r="AW68" s="90">
        <v>2.0505529712597052E-2</v>
      </c>
      <c r="AX68" s="90">
        <v>2.8034987403263795E-2</v>
      </c>
      <c r="AY68" s="90">
        <v>3.1908330747950166E-2</v>
      </c>
      <c r="AZ68" s="90">
        <v>4.3396017489322716E-2</v>
      </c>
      <c r="BA68" s="90">
        <v>3.6838355569555968E-2</v>
      </c>
      <c r="BB68" s="90">
        <v>4.1535596743848324E-2</v>
      </c>
      <c r="BC68" s="90">
        <v>4.7544247527659123E-2</v>
      </c>
      <c r="BD68" s="90">
        <v>3.2060215302492284E-2</v>
      </c>
      <c r="BF68" s="141" t="s">
        <v>240</v>
      </c>
      <c r="BG68" t="s">
        <v>211</v>
      </c>
      <c r="BH68" t="s">
        <v>212</v>
      </c>
      <c r="BI68" t="s">
        <v>213</v>
      </c>
      <c r="BJ68" t="s">
        <v>210</v>
      </c>
      <c r="BK68" t="s">
        <v>215</v>
      </c>
      <c r="BL68" t="s">
        <v>212</v>
      </c>
      <c r="BM68" t="s">
        <v>215</v>
      </c>
      <c r="BN68" t="s">
        <v>209</v>
      </c>
      <c r="BO68" t="s">
        <v>210</v>
      </c>
      <c r="BP68" t="s">
        <v>213</v>
      </c>
      <c r="BQ68" t="s">
        <v>212</v>
      </c>
      <c r="BR68" t="s">
        <v>211</v>
      </c>
      <c r="BS68" t="s">
        <v>210</v>
      </c>
      <c r="BT68" t="s">
        <v>210</v>
      </c>
      <c r="BU68" t="s">
        <v>214</v>
      </c>
      <c r="BV68" t="s">
        <v>210</v>
      </c>
      <c r="BW68" t="s">
        <v>211</v>
      </c>
      <c r="BX68" t="s">
        <v>213</v>
      </c>
      <c r="BY68" t="s">
        <v>211</v>
      </c>
      <c r="BZ68" t="s">
        <v>214</v>
      </c>
      <c r="CA68" t="s">
        <v>210</v>
      </c>
      <c r="CB68" t="s">
        <v>212</v>
      </c>
      <c r="CC68" t="s">
        <v>212</v>
      </c>
      <c r="CD68" t="s">
        <v>214</v>
      </c>
      <c r="CE68" t="s">
        <v>211</v>
      </c>
      <c r="CF68" t="s">
        <v>209</v>
      </c>
    </row>
    <row r="69" spans="2:84">
      <c r="B69" s="114"/>
      <c r="AD69" s="114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F69" s="114"/>
    </row>
    <row r="70" spans="2:84">
      <c r="B70" s="124" t="s">
        <v>228</v>
      </c>
      <c r="AD70" s="124" t="s">
        <v>228</v>
      </c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F70" s="124" t="s">
        <v>228</v>
      </c>
    </row>
    <row r="71" spans="2:84">
      <c r="B71" s="114" t="s">
        <v>100</v>
      </c>
      <c r="C71" s="122">
        <f>1-C72</f>
        <v>0.65529999999999999</v>
      </c>
      <c r="D71" s="122">
        <f t="shared" ref="D71:AB71" si="339">1-D72</f>
        <v>0.6452</v>
      </c>
      <c r="E71" s="122">
        <f t="shared" si="339"/>
        <v>0.6341</v>
      </c>
      <c r="F71" s="122">
        <f t="shared" si="339"/>
        <v>0.63749999999999996</v>
      </c>
      <c r="G71" s="122">
        <f t="shared" si="339"/>
        <v>0.63390000000000002</v>
      </c>
      <c r="H71" s="122">
        <f t="shared" si="339"/>
        <v>0.64870000000000005</v>
      </c>
      <c r="I71" s="122">
        <f t="shared" si="339"/>
        <v>0.62650000000000006</v>
      </c>
      <c r="J71" s="122">
        <f t="shared" si="339"/>
        <v>0.64860000000000007</v>
      </c>
      <c r="K71" s="122">
        <f t="shared" si="339"/>
        <v>0.62759999999999994</v>
      </c>
      <c r="L71" s="122">
        <f t="shared" si="339"/>
        <v>0.64880000000000004</v>
      </c>
      <c r="M71" s="122">
        <f t="shared" si="339"/>
        <v>0.62580000000000002</v>
      </c>
      <c r="N71" s="122">
        <f t="shared" si="339"/>
        <v>0.62349999999999994</v>
      </c>
      <c r="O71" s="122">
        <f t="shared" si="339"/>
        <v>0.63949999999999996</v>
      </c>
      <c r="P71" s="122">
        <f t="shared" si="339"/>
        <v>0.63860000000000006</v>
      </c>
      <c r="Q71" s="122">
        <f t="shared" si="339"/>
        <v>0.63969999999999994</v>
      </c>
      <c r="R71" s="122">
        <f t="shared" si="339"/>
        <v>0.63790000000000002</v>
      </c>
      <c r="S71" s="122">
        <f t="shared" si="339"/>
        <v>0.627</v>
      </c>
      <c r="T71" s="122">
        <f t="shared" si="339"/>
        <v>0.63319999999999999</v>
      </c>
      <c r="U71" s="122">
        <f t="shared" si="339"/>
        <v>0.64959999999999996</v>
      </c>
      <c r="V71" s="122">
        <f t="shared" si="339"/>
        <v>0.65650000000000008</v>
      </c>
      <c r="W71" s="122">
        <f t="shared" si="339"/>
        <v>0.63050000000000006</v>
      </c>
      <c r="X71" s="122">
        <f t="shared" si="339"/>
        <v>0.65</v>
      </c>
      <c r="Y71" s="122">
        <f t="shared" si="339"/>
        <v>0.63759999999999994</v>
      </c>
      <c r="Z71" s="122">
        <f t="shared" si="339"/>
        <v>0.65329999999999999</v>
      </c>
      <c r="AA71" s="122">
        <f t="shared" si="339"/>
        <v>0.62160000000000004</v>
      </c>
      <c r="AB71" s="122">
        <f t="shared" si="339"/>
        <v>0.64180000000000004</v>
      </c>
      <c r="AD71" s="114" t="s">
        <v>100</v>
      </c>
      <c r="AE71" s="130">
        <v>4.5443303551770703E-2</v>
      </c>
      <c r="AF71" s="130">
        <v>3.2777750157506426E-2</v>
      </c>
      <c r="AG71" s="130">
        <v>3.6037630374061644E-2</v>
      </c>
      <c r="AH71" s="130">
        <v>4.5175722958474905E-2</v>
      </c>
      <c r="AI71" s="130">
        <v>3.9346541214763456E-2</v>
      </c>
      <c r="AJ71" s="130">
        <v>3.287840510433386E-2</v>
      </c>
      <c r="AK71" s="130">
        <v>4.8861471153669525E-2</v>
      </c>
      <c r="AL71" s="130">
        <v>2.9996167504630841E-2</v>
      </c>
      <c r="AM71" s="130">
        <v>4.2767410817167228E-2</v>
      </c>
      <c r="AN71" s="130">
        <v>5.8019389468260366E-2</v>
      </c>
      <c r="AO71" s="130">
        <v>8.9155634361368641E-2</v>
      </c>
      <c r="AP71" s="130">
        <v>4.0506394031910906E-2</v>
      </c>
      <c r="AQ71" s="130">
        <v>5.3291847407910903E-2</v>
      </c>
      <c r="AR71" s="130">
        <v>7.3392275270807786E-2</v>
      </c>
      <c r="AS71" s="130">
        <v>4.7532804715739119E-2</v>
      </c>
      <c r="AT71" s="130">
        <v>6.7313302070310901E-2</v>
      </c>
      <c r="AU71" s="130">
        <v>4.6967513435804888E-2</v>
      </c>
      <c r="AV71" s="130">
        <v>5.3999976619004887E-2</v>
      </c>
      <c r="AW71" s="130">
        <v>3.4038790639404889E-2</v>
      </c>
      <c r="AX71" s="130">
        <v>4.1291503493844493E-2</v>
      </c>
      <c r="AY71" s="130">
        <v>4.5170941211709302E-2</v>
      </c>
      <c r="AZ71" s="130">
        <v>5.644946251370931E-2</v>
      </c>
      <c r="BA71" s="130">
        <v>5.0555736147309314E-2</v>
      </c>
      <c r="BB71" s="130">
        <v>5.456430463063057E-2</v>
      </c>
      <c r="BC71" s="130">
        <v>6.1488036284659535E-2</v>
      </c>
      <c r="BD71" s="130">
        <v>4.5217171171859534E-2</v>
      </c>
      <c r="BF71" s="114" t="s">
        <v>100</v>
      </c>
      <c r="BG71" t="s">
        <v>215</v>
      </c>
      <c r="BH71" t="s">
        <v>213</v>
      </c>
      <c r="BI71" t="s">
        <v>212</v>
      </c>
      <c r="BJ71" t="s">
        <v>215</v>
      </c>
      <c r="BK71" t="s">
        <v>213</v>
      </c>
      <c r="BL71" t="s">
        <v>210</v>
      </c>
      <c r="BM71" t="s">
        <v>214</v>
      </c>
      <c r="BN71" t="s">
        <v>211</v>
      </c>
      <c r="BO71" t="s">
        <v>213</v>
      </c>
      <c r="BP71" t="s">
        <v>215</v>
      </c>
      <c r="BQ71" t="s">
        <v>212</v>
      </c>
      <c r="BR71" t="s">
        <v>215</v>
      </c>
      <c r="BS71" t="s">
        <v>215</v>
      </c>
      <c r="BT71" t="s">
        <v>215</v>
      </c>
      <c r="BU71" t="s">
        <v>211</v>
      </c>
      <c r="BV71" t="s">
        <v>212</v>
      </c>
      <c r="BW71" t="s">
        <v>209</v>
      </c>
      <c r="BX71" t="s">
        <v>212</v>
      </c>
      <c r="BY71" t="s">
        <v>209</v>
      </c>
      <c r="BZ71" t="s">
        <v>210</v>
      </c>
      <c r="CA71" t="s">
        <v>209</v>
      </c>
      <c r="CB71" t="s">
        <v>211</v>
      </c>
      <c r="CC71" t="s">
        <v>209</v>
      </c>
      <c r="CD71" t="s">
        <v>212</v>
      </c>
      <c r="CE71" t="s">
        <v>209</v>
      </c>
      <c r="CF71" t="s">
        <v>211</v>
      </c>
    </row>
    <row r="72" spans="2:84">
      <c r="B72" s="114" t="s">
        <v>101</v>
      </c>
      <c r="C72" s="129">
        <v>0.34470000000000001</v>
      </c>
      <c r="D72" s="129">
        <v>0.3548</v>
      </c>
      <c r="E72" s="129">
        <v>0.3659</v>
      </c>
      <c r="F72" s="129">
        <v>0.36249999999999999</v>
      </c>
      <c r="G72" s="129">
        <v>0.36609999999999998</v>
      </c>
      <c r="H72" s="129">
        <v>0.3513</v>
      </c>
      <c r="I72" s="129">
        <v>0.3735</v>
      </c>
      <c r="J72" s="129">
        <v>0.35139999999999999</v>
      </c>
      <c r="K72" s="129">
        <v>0.37240000000000001</v>
      </c>
      <c r="L72" s="129">
        <v>0.35120000000000001</v>
      </c>
      <c r="M72" s="129">
        <v>0.37419999999999998</v>
      </c>
      <c r="N72" s="129">
        <v>0.3765</v>
      </c>
      <c r="O72" s="129">
        <v>0.36049999999999999</v>
      </c>
      <c r="P72" s="129">
        <v>0.3614</v>
      </c>
      <c r="Q72" s="129">
        <v>0.36030000000000001</v>
      </c>
      <c r="R72" s="129">
        <v>0.36209999999999998</v>
      </c>
      <c r="S72" s="129">
        <v>0.373</v>
      </c>
      <c r="T72" s="129">
        <v>0.36679999999999996</v>
      </c>
      <c r="U72" s="129">
        <v>0.35039999999999999</v>
      </c>
      <c r="V72" s="129">
        <v>0.34349999999999997</v>
      </c>
      <c r="W72" s="129">
        <v>0.3695</v>
      </c>
      <c r="X72" s="129">
        <v>0.35</v>
      </c>
      <c r="Y72" s="129">
        <v>0.3624</v>
      </c>
      <c r="Z72" s="129">
        <v>0.34670000000000001</v>
      </c>
      <c r="AA72" s="129">
        <v>0.37839999999999996</v>
      </c>
      <c r="AB72" s="129">
        <v>0.35819999999999996</v>
      </c>
      <c r="AD72" s="114" t="s">
        <v>101</v>
      </c>
      <c r="AE72" s="130">
        <v>3.2034139551770695E-2</v>
      </c>
      <c r="AF72" s="130">
        <v>1.9368586157506418E-2</v>
      </c>
      <c r="AG72" s="130">
        <v>2.2628466374061636E-2</v>
      </c>
      <c r="AH72" s="130">
        <v>3.1766558958474897E-2</v>
      </c>
      <c r="AI72" s="130">
        <v>2.5937377214763448E-2</v>
      </c>
      <c r="AJ72" s="130">
        <v>1.9469241104333852E-2</v>
      </c>
      <c r="AK72" s="130">
        <v>3.5452307153669517E-2</v>
      </c>
      <c r="AL72" s="130">
        <v>1.6587003504630833E-2</v>
      </c>
      <c r="AM72" s="130">
        <v>2.935824681716722E-2</v>
      </c>
      <c r="AN72" s="130">
        <v>4.4610225468260357E-2</v>
      </c>
      <c r="AO72" s="130">
        <v>7.574647036136864E-2</v>
      </c>
      <c r="AP72" s="130">
        <v>2.7097230031910897E-2</v>
      </c>
      <c r="AQ72" s="130">
        <v>3.9882683407910895E-2</v>
      </c>
      <c r="AR72" s="130">
        <v>5.9983111270807785E-2</v>
      </c>
      <c r="AS72" s="130">
        <v>3.4123640715739111E-2</v>
      </c>
      <c r="AT72" s="130">
        <v>5.3904138070310893E-2</v>
      </c>
      <c r="AU72" s="130">
        <v>3.355834943580488E-2</v>
      </c>
      <c r="AV72" s="130">
        <v>4.0590812619004879E-2</v>
      </c>
      <c r="AW72" s="130">
        <v>2.0629626639404881E-2</v>
      </c>
      <c r="AX72" s="130">
        <v>2.7882339493844485E-2</v>
      </c>
      <c r="AY72" s="130">
        <v>3.1761777211709294E-2</v>
      </c>
      <c r="AZ72" s="130">
        <v>4.3040298513709302E-2</v>
      </c>
      <c r="BA72" s="130">
        <v>3.7146572147309306E-2</v>
      </c>
      <c r="BB72" s="130">
        <v>4.1155140630630561E-2</v>
      </c>
      <c r="BC72" s="130">
        <v>4.8078872284659527E-2</v>
      </c>
      <c r="BD72" s="130">
        <v>3.1808007171859526E-2</v>
      </c>
      <c r="BF72" s="114" t="s">
        <v>101</v>
      </c>
      <c r="BG72" t="s">
        <v>210</v>
      </c>
      <c r="BH72" t="s">
        <v>214</v>
      </c>
      <c r="BI72" t="s">
        <v>212</v>
      </c>
      <c r="BJ72" t="s">
        <v>209</v>
      </c>
      <c r="BK72" t="s">
        <v>211</v>
      </c>
      <c r="BL72" t="s">
        <v>215</v>
      </c>
      <c r="BM72" t="s">
        <v>212</v>
      </c>
      <c r="BN72" t="s">
        <v>210</v>
      </c>
      <c r="BO72" t="s">
        <v>215</v>
      </c>
      <c r="BP72" t="s">
        <v>211</v>
      </c>
      <c r="BQ72" t="s">
        <v>215</v>
      </c>
      <c r="BR72" t="s">
        <v>213</v>
      </c>
      <c r="BS72" t="s">
        <v>215</v>
      </c>
      <c r="BT72" t="s">
        <v>210</v>
      </c>
      <c r="BU72" t="s">
        <v>209</v>
      </c>
      <c r="BV72" t="s">
        <v>209</v>
      </c>
      <c r="BW72" t="s">
        <v>212</v>
      </c>
      <c r="BX72" t="s">
        <v>210</v>
      </c>
      <c r="BY72" t="s">
        <v>211</v>
      </c>
      <c r="BZ72" t="s">
        <v>212</v>
      </c>
      <c r="CA72" t="s">
        <v>215</v>
      </c>
      <c r="CB72" t="s">
        <v>213</v>
      </c>
      <c r="CC72" t="s">
        <v>214</v>
      </c>
      <c r="CD72" t="s">
        <v>210</v>
      </c>
      <c r="CE72" t="s">
        <v>210</v>
      </c>
      <c r="CF72" t="s">
        <v>212</v>
      </c>
    </row>
    <row r="75" spans="2:84">
      <c r="E75" t="s">
        <v>229</v>
      </c>
    </row>
    <row r="76" spans="2:84">
      <c r="B76" s="27" t="s">
        <v>28</v>
      </c>
      <c r="C76" s="116">
        <v>0.37733769588427757</v>
      </c>
      <c r="D76" s="116">
        <v>3.9426535201752259E-2</v>
      </c>
      <c r="E76" s="136">
        <v>10967.453507847773</v>
      </c>
    </row>
    <row r="77" spans="2:84">
      <c r="B77" s="105" t="s">
        <v>29</v>
      </c>
      <c r="C77" s="38">
        <v>0.89105296071775841</v>
      </c>
      <c r="D77" s="38">
        <v>4.08211647209707E-2</v>
      </c>
      <c r="E77" s="137">
        <v>9772.5819197021228</v>
      </c>
      <c r="F77" s="35"/>
    </row>
    <row r="78" spans="2:84">
      <c r="B78" s="105" t="s">
        <v>30</v>
      </c>
      <c r="C78" s="38">
        <v>0.10894703928224159</v>
      </c>
      <c r="D78" s="38">
        <v>2.8020178770306423E-2</v>
      </c>
      <c r="E78" s="137">
        <v>1194.8715881456496</v>
      </c>
    </row>
    <row r="79" spans="2:84">
      <c r="B79" s="27" t="s">
        <v>31</v>
      </c>
      <c r="C79" s="116">
        <v>0.13776476666092646</v>
      </c>
      <c r="D79" s="116">
        <v>3.345430623030278E-2</v>
      </c>
      <c r="E79" s="136">
        <v>4004.1816384986391</v>
      </c>
    </row>
    <row r="80" spans="2:84">
      <c r="B80" s="105" t="s">
        <v>34</v>
      </c>
      <c r="C80" s="38">
        <v>0.16400000000000001</v>
      </c>
      <c r="D80" s="38">
        <v>3.113121726646164E-2</v>
      </c>
      <c r="E80" s="137">
        <v>650.18394922156119</v>
      </c>
      <c r="F80" s="35"/>
    </row>
    <row r="81" spans="2:6">
      <c r="B81" s="105" t="s">
        <v>33</v>
      </c>
      <c r="C81" s="38">
        <v>6.6250000000000003E-2</v>
      </c>
      <c r="D81" s="38">
        <v>4.0314901008474902E-2</v>
      </c>
      <c r="E81" s="137">
        <v>262.65052826785632</v>
      </c>
      <c r="F81" s="123"/>
    </row>
    <row r="82" spans="2:6">
      <c r="B82" s="105" t="s">
        <v>37</v>
      </c>
      <c r="C82" s="38">
        <v>8.3750000000000005E-2</v>
      </c>
      <c r="D82" s="38">
        <v>3.4437446274363452E-2</v>
      </c>
      <c r="E82" s="137">
        <v>332.02991309332776</v>
      </c>
    </row>
    <row r="83" spans="2:6">
      <c r="B83" s="105" t="s">
        <v>36</v>
      </c>
      <c r="C83" s="38">
        <v>5.525E-2</v>
      </c>
      <c r="D83" s="38">
        <v>2.8167765791133861E-2</v>
      </c>
      <c r="E83" s="137">
        <v>219.04062923470281</v>
      </c>
    </row>
    <row r="84" spans="2:6">
      <c r="B84" s="105" t="s">
        <v>38</v>
      </c>
      <c r="C84" s="38">
        <v>4.6249999999999999E-2</v>
      </c>
      <c r="D84" s="38">
        <v>4.3853148399669528E-2</v>
      </c>
      <c r="E84" s="137">
        <v>183.35980275303177</v>
      </c>
    </row>
    <row r="85" spans="2:6">
      <c r="B85" s="105" t="s">
        <v>39</v>
      </c>
      <c r="C85" s="38">
        <v>0.22975000000000001</v>
      </c>
      <c r="D85" s="38">
        <v>2.5284187275030841E-2</v>
      </c>
      <c r="E85" s="137">
        <v>910.852209351547</v>
      </c>
    </row>
    <row r="86" spans="2:6">
      <c r="B86" s="105" t="s">
        <v>43</v>
      </c>
      <c r="C86" s="38">
        <v>0.35475000000000001</v>
      </c>
      <c r="D86" s="38">
        <v>3.7773838143567225E-2</v>
      </c>
      <c r="E86" s="137">
        <v>1446.0646065766125</v>
      </c>
    </row>
    <row r="87" spans="2:6">
      <c r="B87" s="27" t="s">
        <v>44</v>
      </c>
      <c r="C87" s="116">
        <v>0.34096779748579303</v>
      </c>
      <c r="D87" s="116">
        <v>5.6894998506048927E-2</v>
      </c>
      <c r="E87" s="136">
        <v>9910.3495552841323</v>
      </c>
    </row>
    <row r="88" spans="2:6">
      <c r="B88" s="105" t="s">
        <v>45</v>
      </c>
      <c r="C88" s="38">
        <v>0.5757575757575758</v>
      </c>
      <c r="D88" s="139">
        <v>5.3310091071460369E-2</v>
      </c>
      <c r="E88" s="137">
        <v>5649.4641929312484</v>
      </c>
      <c r="F88" s="35"/>
    </row>
    <row r="89" spans="2:6">
      <c r="B89" s="105" t="s">
        <v>46</v>
      </c>
      <c r="C89" s="38">
        <v>9.2929292929292931E-2</v>
      </c>
      <c r="D89" s="140">
        <v>8.413792519256863E-2</v>
      </c>
      <c r="E89" s="137">
        <v>911.84334342048226</v>
      </c>
    </row>
    <row r="90" spans="2:6">
      <c r="B90" s="105" t="s">
        <v>47</v>
      </c>
      <c r="C90" s="38">
        <v>8.2121212121212123E-2</v>
      </c>
      <c r="D90" s="38">
        <v>3.5457843785910902E-2</v>
      </c>
      <c r="E90" s="137">
        <v>805.79199804440429</v>
      </c>
    </row>
    <row r="91" spans="2:6">
      <c r="B91" s="105" t="s">
        <v>48</v>
      </c>
      <c r="C91" s="38">
        <v>5.2525252525252523E-2</v>
      </c>
      <c r="D91" s="38">
        <v>4.8457843785910899E-2</v>
      </c>
      <c r="E91" s="137">
        <v>515.38971584635954</v>
      </c>
    </row>
    <row r="92" spans="2:6">
      <c r="B92" s="105" t="s">
        <v>49</v>
      </c>
      <c r="C92" s="38">
        <v>0.14444444444444443</v>
      </c>
      <c r="D92" s="38">
        <v>6.8546203401207789E-2</v>
      </c>
      <c r="E92" s="137">
        <v>1417.3217185774886</v>
      </c>
    </row>
    <row r="93" spans="2:6">
      <c r="B93" s="105" t="s">
        <v>50</v>
      </c>
      <c r="C93" s="38">
        <v>1.202020202020202E-2</v>
      </c>
      <c r="D93" s="38">
        <v>4.2701482926539115E-2</v>
      </c>
      <c r="E93" s="137">
        <v>117.94495420330151</v>
      </c>
    </row>
    <row r="94" spans="2:6">
      <c r="B94" s="105" t="s">
        <v>52</v>
      </c>
      <c r="C94" s="38">
        <v>4.0202020202020204E-2</v>
      </c>
      <c r="D94" s="38">
        <v>6.2457843785910905E-2</v>
      </c>
      <c r="E94" s="137">
        <v>492.59363226084736</v>
      </c>
    </row>
    <row r="95" spans="2:6">
      <c r="B95" s="27" t="s">
        <v>53</v>
      </c>
      <c r="C95" s="116">
        <v>3.3717926640261756E-2</v>
      </c>
      <c r="D95" s="116">
        <v>4.2784012961524114E-2</v>
      </c>
      <c r="E95" s="136">
        <v>980.02345602254206</v>
      </c>
    </row>
    <row r="96" spans="2:6">
      <c r="B96" s="105" t="s">
        <v>54</v>
      </c>
      <c r="C96" s="38">
        <v>0.17364657814096016</v>
      </c>
      <c r="D96" s="38">
        <v>4.1965895263804884E-2</v>
      </c>
      <c r="E96" s="137">
        <v>168.49279171900216</v>
      </c>
    </row>
    <row r="97" spans="2:56">
      <c r="B97" s="105" t="s">
        <v>56</v>
      </c>
      <c r="C97" s="38">
        <v>0.50153217568947905</v>
      </c>
      <c r="D97" s="38">
        <v>4.9081495263804883E-2</v>
      </c>
      <c r="E97" s="137">
        <v>486.64682784723561</v>
      </c>
    </row>
    <row r="98" spans="2:56">
      <c r="B98" s="105" t="s">
        <v>55</v>
      </c>
      <c r="C98" s="38">
        <v>0.14096016343207354</v>
      </c>
      <c r="D98" s="38">
        <v>2.9340219573804886E-2</v>
      </c>
      <c r="E98" s="137">
        <v>136.77650151307233</v>
      </c>
    </row>
    <row r="99" spans="2:56">
      <c r="B99" s="105" t="s">
        <v>57</v>
      </c>
      <c r="C99" s="38">
        <v>0.18386108273748722</v>
      </c>
      <c r="D99" s="38">
        <v>3.668545565984449E-2</v>
      </c>
      <c r="E99" s="137">
        <v>188.10733494323199</v>
      </c>
    </row>
    <row r="100" spans="2:56">
      <c r="B100" s="27" t="s">
        <v>58</v>
      </c>
      <c r="C100" s="116">
        <v>4.4773549164801099E-2</v>
      </c>
      <c r="D100" s="116">
        <v>4.7317670498324693E-2</v>
      </c>
      <c r="E100" s="136">
        <v>1301.3590325120576</v>
      </c>
    </row>
    <row r="101" spans="2:56">
      <c r="B101" s="105" t="s">
        <v>131</v>
      </c>
      <c r="C101" s="38">
        <v>3.0769230769230771E-2</v>
      </c>
      <c r="D101" s="38">
        <v>4.0216255113709305E-2</v>
      </c>
      <c r="E101" s="137">
        <v>39.645362757412272</v>
      </c>
    </row>
    <row r="102" spans="2:56">
      <c r="B102" s="105" t="s">
        <v>132</v>
      </c>
      <c r="C102" s="38">
        <v>0.29538461538461541</v>
      </c>
      <c r="D102" s="38">
        <v>5.1756255113709307E-2</v>
      </c>
      <c r="E102" s="137">
        <v>380.59548247115788</v>
      </c>
    </row>
    <row r="103" spans="2:56">
      <c r="B103" s="105" t="s">
        <v>60</v>
      </c>
      <c r="C103" s="38">
        <v>0.67384615384615387</v>
      </c>
      <c r="D103" s="38">
        <v>4.5696255113709311E-2</v>
      </c>
      <c r="E103" s="137">
        <v>881.1181872834876</v>
      </c>
    </row>
    <row r="104" spans="2:56">
      <c r="B104" s="27" t="s">
        <v>61</v>
      </c>
      <c r="C104" s="116">
        <v>6.5438264163940066E-2</v>
      </c>
      <c r="D104" s="116">
        <v>5.1414431420145117E-2</v>
      </c>
      <c r="E104" s="136">
        <v>1901.9862782868536</v>
      </c>
    </row>
    <row r="105" spans="2:56">
      <c r="B105" s="105" t="s">
        <v>62</v>
      </c>
      <c r="C105" s="38">
        <v>0.31578947368421051</v>
      </c>
      <c r="D105" s="38">
        <v>4.9915347471830566E-2</v>
      </c>
      <c r="E105" s="137">
        <v>594.68044136118408</v>
      </c>
    </row>
    <row r="106" spans="2:56">
      <c r="B106" s="105" t="s">
        <v>64</v>
      </c>
      <c r="C106" s="38">
        <v>0.5</v>
      </c>
      <c r="D106" s="38">
        <v>5.6414008627059531E-2</v>
      </c>
      <c r="E106" s="137">
        <v>941.57736548854143</v>
      </c>
    </row>
    <row r="107" spans="2:56">
      <c r="B107" s="105" t="s">
        <v>63</v>
      </c>
      <c r="C107" s="38">
        <v>0.18421052631578946</v>
      </c>
      <c r="D107" s="38">
        <v>4.0414008627059531E-2</v>
      </c>
      <c r="E107" s="137">
        <v>365.72847143712801</v>
      </c>
    </row>
    <row r="109" spans="2:56"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</row>
    <row r="112" spans="2:56">
      <c r="AF112" s="35"/>
    </row>
  </sheetData>
  <conditionalFormatting sqref="C8:AB8">
    <cfRule type="cellIs" dxfId="25" priority="31" operator="greaterThan">
      <formula>0.08</formula>
    </cfRule>
    <cfRule type="cellIs" dxfId="24" priority="32" operator="lessThan">
      <formula>0.06</formula>
    </cfRule>
  </conditionalFormatting>
  <conditionalFormatting sqref="C9:AB9">
    <cfRule type="cellIs" dxfId="23" priority="29" operator="greaterThan">
      <formula>0.06</formula>
    </cfRule>
    <cfRule type="cellIs" dxfId="22" priority="30" operator="lessThan">
      <formula>0.04</formula>
    </cfRule>
  </conditionalFormatting>
  <conditionalFormatting sqref="C14:AB14">
    <cfRule type="cellIs" dxfId="21" priority="27" operator="greaterThan">
      <formula>0.103</formula>
    </cfRule>
    <cfRule type="cellIs" dxfId="20" priority="28" operator="lessThan">
      <formula>0.077</formula>
    </cfRule>
  </conditionalFormatting>
  <conditionalFormatting sqref="C17:AB17">
    <cfRule type="cellIs" dxfId="19" priority="25" operator="greaterThan">
      <formula>0.05</formula>
    </cfRule>
    <cfRule type="cellIs" dxfId="18" priority="26" operator="lessThan">
      <formula>0.032</formula>
    </cfRule>
  </conditionalFormatting>
  <conditionalFormatting sqref="C21:AB21">
    <cfRule type="cellIs" dxfId="17" priority="23" operator="greaterThan">
      <formula>0.061</formula>
    </cfRule>
    <cfRule type="cellIs" dxfId="16" priority="24" operator="lessThan">
      <formula>0.04</formula>
    </cfRule>
  </conditionalFormatting>
  <conditionalFormatting sqref="C25:AB25">
    <cfRule type="cellIs" dxfId="15" priority="21" operator="greaterThan">
      <formula>0.023</formula>
    </cfRule>
    <cfRule type="cellIs" dxfId="14" priority="22" operator="lessThan">
      <formula>0.01</formula>
    </cfRule>
  </conditionalFormatting>
  <conditionalFormatting sqref="C26:AB26">
    <cfRule type="cellIs" dxfId="13" priority="19" operator="lessThan">
      <formula>0.05</formula>
    </cfRule>
    <cfRule type="cellIs" dxfId="12" priority="20" operator="greaterThan">
      <formula>0.07</formula>
    </cfRule>
  </conditionalFormatting>
  <conditionalFormatting sqref="C27:AB27">
    <cfRule type="cellIs" dxfId="11" priority="17" operator="greaterThan">
      <formula>0.055</formula>
    </cfRule>
    <cfRule type="cellIs" dxfId="10" priority="18" operator="lessThan">
      <formula>0.037</formula>
    </cfRule>
  </conditionalFormatting>
  <conditionalFormatting sqref="C34:AB34">
    <cfRule type="cellIs" dxfId="9" priority="15" operator="greaterThan">
      <formula>0.08</formula>
    </cfRule>
    <cfRule type="cellIs" dxfId="8" priority="16" operator="lessThan">
      <formula>0.06</formula>
    </cfRule>
  </conditionalFormatting>
  <conditionalFormatting sqref="C38:AB38">
    <cfRule type="cellIs" dxfId="7" priority="13" operator="greaterThan">
      <formula>0.112</formula>
    </cfRule>
    <cfRule type="cellIs" dxfId="6" priority="14" operator="lessThan">
      <formula>0.088</formula>
    </cfRule>
  </conditionalFormatting>
  <conditionalFormatting sqref="C41:AB41">
    <cfRule type="cellIs" dxfId="5" priority="11" operator="greaterThan">
      <formula>0.112</formula>
    </cfRule>
    <cfRule type="cellIs" dxfId="4" priority="12" operator="lessThan">
      <formula>0.088</formula>
    </cfRule>
  </conditionalFormatting>
  <conditionalFormatting sqref="C68:AB68">
    <cfRule type="cellIs" dxfId="3" priority="1" operator="greaterThan">
      <formula>0.091</formula>
    </cfRule>
    <cfRule type="cellIs" dxfId="2" priority="2" operator="lessThan">
      <formula>0.069</formula>
    </cfRule>
  </conditionalFormatting>
  <conditionalFormatting sqref="AE1:BD1048576">
    <cfRule type="cellIs" dxfId="1" priority="6" operator="lessThan">
      <formula>0.013</formula>
    </cfRule>
  </conditionalFormatting>
  <conditionalFormatting sqref="BG3:CF3">
    <cfRule type="cellIs" dxfId="0" priority="5" operator="lessThan">
      <formula>0.013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3"/>
  <sheetViews>
    <sheetView topLeftCell="A43" zoomScale="69" zoomScaleNormal="69" workbookViewId="0">
      <selection sqref="A1:B1"/>
    </sheetView>
  </sheetViews>
  <sheetFormatPr defaultRowHeight="14.5"/>
  <sheetData>
    <row r="1" spans="1:56">
      <c r="B1" s="133">
        <f>B88</f>
        <v>47.251249791769823</v>
      </c>
      <c r="C1" s="133">
        <f t="shared" ref="C1:AB1" si="0">C88</f>
        <v>17.712641575531055</v>
      </c>
      <c r="D1" s="133">
        <f t="shared" si="0"/>
        <v>2.0839555421765583</v>
      </c>
      <c r="E1" s="133">
        <f t="shared" si="0"/>
        <v>1.1068615863171956</v>
      </c>
      <c r="F1" s="133">
        <f t="shared" si="0"/>
        <v>0.44920147205201766</v>
      </c>
      <c r="G1" s="133">
        <f t="shared" si="0"/>
        <v>0.57662412140424935</v>
      </c>
      <c r="H1" s="133">
        <f t="shared" si="0"/>
        <v>0.38513450547902967</v>
      </c>
      <c r="I1" s="133">
        <f t="shared" si="0"/>
        <v>0.34568872365610637</v>
      </c>
      <c r="J1" s="133">
        <f t="shared" si="0"/>
        <v>1.6119895802747135</v>
      </c>
      <c r="K1" s="133">
        <f t="shared" si="0"/>
        <v>2.4923754281600043</v>
      </c>
      <c r="L1" s="133">
        <f t="shared" si="0"/>
        <v>7.8405731687126297</v>
      </c>
      <c r="M1" s="133">
        <f t="shared" si="0"/>
        <v>1.2636815618252866</v>
      </c>
      <c r="N1" s="133">
        <f t="shared" si="0"/>
        <v>1.1669608424833329</v>
      </c>
      <c r="O1" s="133">
        <f t="shared" si="0"/>
        <v>0.71291299677511111</v>
      </c>
      <c r="P1" s="133">
        <f t="shared" si="0"/>
        <v>2.0256259292554728</v>
      </c>
      <c r="Q1" s="133">
        <f t="shared" si="0"/>
        <v>0.16677678022219963</v>
      </c>
      <c r="R1" s="133">
        <f t="shared" si="0"/>
        <v>0.67104858532050338</v>
      </c>
      <c r="S1" s="133">
        <f t="shared" si="0"/>
        <v>0.25604897060088688</v>
      </c>
      <c r="T1" s="133">
        <f t="shared" si="0"/>
        <v>0.72339220444587193</v>
      </c>
      <c r="U1" s="133">
        <f t="shared" si="0"/>
        <v>0.19300794504479898</v>
      </c>
      <c r="V1" s="133">
        <f t="shared" si="0"/>
        <v>0.28512363904080884</v>
      </c>
      <c r="W1" s="133">
        <f t="shared" si="0"/>
        <v>6.4345515365666323E-2</v>
      </c>
      <c r="X1" s="133">
        <f t="shared" si="0"/>
        <v>0.61157573933594311</v>
      </c>
      <c r="Y1" s="133">
        <f t="shared" si="0"/>
        <v>1.3822108864081446</v>
      </c>
      <c r="Z1" s="133">
        <f t="shared" si="0"/>
        <v>0.99464905835936357</v>
      </c>
      <c r="AA1" s="133">
        <f t="shared" si="0"/>
        <v>1.5145094343605354</v>
      </c>
      <c r="AB1" s="133">
        <f t="shared" si="0"/>
        <v>0.61433399916233311</v>
      </c>
    </row>
    <row r="2" spans="1:56">
      <c r="B2">
        <v>60</v>
      </c>
      <c r="C2" t="s">
        <v>201</v>
      </c>
      <c r="D2" s="138" t="e">
        <f>#REF!</f>
        <v>#REF!</v>
      </c>
    </row>
    <row r="3" spans="1:56">
      <c r="C3" s="126" t="s">
        <v>29</v>
      </c>
      <c r="D3" s="126" t="s">
        <v>30</v>
      </c>
      <c r="E3" s="126" t="s">
        <v>34</v>
      </c>
      <c r="F3" s="126" t="s">
        <v>33</v>
      </c>
      <c r="G3" s="126" t="s">
        <v>37</v>
      </c>
      <c r="H3" s="126" t="s">
        <v>36</v>
      </c>
      <c r="I3" s="126" t="s">
        <v>38</v>
      </c>
      <c r="J3" s="126" t="s">
        <v>39</v>
      </c>
      <c r="K3" s="126" t="s">
        <v>43</v>
      </c>
      <c r="L3" s="126" t="s">
        <v>45</v>
      </c>
      <c r="M3" s="126" t="s">
        <v>46</v>
      </c>
      <c r="N3" s="126" t="s">
        <v>47</v>
      </c>
      <c r="O3" s="126" t="s">
        <v>48</v>
      </c>
      <c r="P3" s="126" t="s">
        <v>49</v>
      </c>
      <c r="Q3" s="126" t="s">
        <v>50</v>
      </c>
      <c r="R3" s="126" t="s">
        <v>52</v>
      </c>
      <c r="S3" s="126" t="s">
        <v>54</v>
      </c>
      <c r="T3" s="126" t="s">
        <v>56</v>
      </c>
      <c r="U3" s="126" t="s">
        <v>55</v>
      </c>
      <c r="V3" s="126" t="s">
        <v>57</v>
      </c>
      <c r="W3" s="126" t="s">
        <v>131</v>
      </c>
      <c r="X3" s="126" t="s">
        <v>132</v>
      </c>
      <c r="Y3" s="126" t="s">
        <v>60</v>
      </c>
      <c r="Z3" s="126" t="s">
        <v>62</v>
      </c>
      <c r="AA3" s="126" t="s">
        <v>64</v>
      </c>
      <c r="AB3" s="126" t="s">
        <v>63</v>
      </c>
      <c r="AE3" s="126" t="s">
        <v>29</v>
      </c>
      <c r="AF3" s="126" t="s">
        <v>30</v>
      </c>
      <c r="AG3" s="126" t="s">
        <v>34</v>
      </c>
      <c r="AH3" s="126" t="s">
        <v>33</v>
      </c>
      <c r="AI3" s="126" t="s">
        <v>37</v>
      </c>
      <c r="AJ3" s="126" t="s">
        <v>36</v>
      </c>
      <c r="AK3" s="126" t="s">
        <v>38</v>
      </c>
      <c r="AL3" s="126" t="s">
        <v>39</v>
      </c>
      <c r="AM3" s="126" t="s">
        <v>43</v>
      </c>
      <c r="AN3" s="126" t="s">
        <v>45</v>
      </c>
      <c r="AO3" s="126" t="s">
        <v>46</v>
      </c>
      <c r="AP3" s="126" t="s">
        <v>47</v>
      </c>
      <c r="AQ3" s="126" t="s">
        <v>48</v>
      </c>
      <c r="AR3" s="126" t="s">
        <v>49</v>
      </c>
      <c r="AS3" s="126" t="s">
        <v>50</v>
      </c>
      <c r="AT3" s="126" t="s">
        <v>52</v>
      </c>
      <c r="AU3" s="126" t="s">
        <v>54</v>
      </c>
      <c r="AV3" s="126" t="s">
        <v>56</v>
      </c>
      <c r="AW3" s="126" t="s">
        <v>55</v>
      </c>
      <c r="AX3" s="126" t="s">
        <v>57</v>
      </c>
      <c r="AY3" s="126" t="s">
        <v>131</v>
      </c>
      <c r="AZ3" s="126" t="s">
        <v>132</v>
      </c>
      <c r="BA3" s="126" t="s">
        <v>60</v>
      </c>
      <c r="BB3" s="126" t="s">
        <v>62</v>
      </c>
      <c r="BC3" s="126" t="s">
        <v>64</v>
      </c>
      <c r="BD3" s="126" t="s">
        <v>63</v>
      </c>
    </row>
    <row r="4" spans="1:56">
      <c r="A4" s="123">
        <v>0.99</v>
      </c>
      <c r="B4" s="124" t="s">
        <v>225</v>
      </c>
      <c r="AD4" s="124" t="s">
        <v>225</v>
      </c>
    </row>
    <row r="5" spans="1:56">
      <c r="B5" s="114" t="s">
        <v>71</v>
      </c>
      <c r="C5" s="125">
        <v>1125.3797770582394</v>
      </c>
      <c r="D5" s="125">
        <v>1143.8605166987809</v>
      </c>
      <c r="E5" s="125">
        <v>1187.6306895316425</v>
      </c>
      <c r="F5" s="125">
        <v>1167.2046088763072</v>
      </c>
      <c r="G5" s="125">
        <v>1183.7400075020546</v>
      </c>
      <c r="H5" s="125">
        <v>1188.603360039039</v>
      </c>
      <c r="I5" s="125">
        <v>1191.5213715612301</v>
      </c>
      <c r="J5" s="125">
        <v>1166.2319383689101</v>
      </c>
      <c r="K5" s="125">
        <v>1183.7400075020546</v>
      </c>
      <c r="L5" s="125">
        <v>944.46306268241187</v>
      </c>
      <c r="M5" s="125">
        <v>944.46306268241187</v>
      </c>
      <c r="N5" s="125">
        <v>916.255617967901</v>
      </c>
      <c r="O5" s="125">
        <v>910.41959492351941</v>
      </c>
      <c r="P5" s="125">
        <v>910.41959492351941</v>
      </c>
      <c r="Q5" s="125">
        <v>945.43573318980862</v>
      </c>
      <c r="R5" s="125">
        <v>927.92766405666396</v>
      </c>
      <c r="S5" s="125">
        <v>990.17857653006672</v>
      </c>
      <c r="T5" s="125">
        <v>960.02579080076271</v>
      </c>
      <c r="U5" s="125">
        <v>972.67050739692274</v>
      </c>
      <c r="V5" s="125">
        <v>978.50653044130388</v>
      </c>
      <c r="W5" s="125">
        <v>1017.413350737181</v>
      </c>
      <c r="X5" s="125">
        <v>1049.5114774812791</v>
      </c>
      <c r="Y5" s="125">
        <v>1039.7847724073099</v>
      </c>
      <c r="Z5" s="125">
        <v>1088.4182977771566</v>
      </c>
      <c r="AA5" s="125">
        <v>1092.3089798067438</v>
      </c>
      <c r="AB5" s="125">
        <v>1070.9102286440116</v>
      </c>
      <c r="AD5" s="114" t="s">
        <v>71</v>
      </c>
      <c r="AE5" s="128" t="s">
        <v>217</v>
      </c>
      <c r="AF5" s="128" t="s">
        <v>224</v>
      </c>
      <c r="AG5" s="128" t="s">
        <v>224</v>
      </c>
      <c r="AH5" s="128" t="s">
        <v>222</v>
      </c>
      <c r="AI5" s="128" t="s">
        <v>222</v>
      </c>
      <c r="AJ5" s="128" t="s">
        <v>224</v>
      </c>
      <c r="AK5" s="128" t="s">
        <v>220</v>
      </c>
      <c r="AL5" s="128" t="s">
        <v>222</v>
      </c>
      <c r="AM5" s="128" t="s">
        <v>217</v>
      </c>
      <c r="AN5" s="128" t="s">
        <v>224</v>
      </c>
      <c r="AO5" s="128" t="s">
        <v>217</v>
      </c>
      <c r="AP5" s="128" t="s">
        <v>223</v>
      </c>
      <c r="AQ5" s="128" t="s">
        <v>223</v>
      </c>
      <c r="AR5" s="128" t="s">
        <v>220</v>
      </c>
      <c r="AS5" s="128" t="s">
        <v>218</v>
      </c>
      <c r="AT5" s="128" t="s">
        <v>222</v>
      </c>
      <c r="AU5" s="128" t="s">
        <v>217</v>
      </c>
      <c r="AV5" s="128" t="s">
        <v>220</v>
      </c>
      <c r="AW5" s="128" t="s">
        <v>217</v>
      </c>
      <c r="AX5" s="128" t="s">
        <v>217</v>
      </c>
      <c r="AY5" s="128" t="s">
        <v>216</v>
      </c>
      <c r="AZ5" s="128" t="s">
        <v>222</v>
      </c>
      <c r="BA5" s="128" t="s">
        <v>220</v>
      </c>
      <c r="BB5" s="128" t="s">
        <v>219</v>
      </c>
      <c r="BC5" s="128" t="s">
        <v>218</v>
      </c>
      <c r="BD5" s="128" t="s">
        <v>217</v>
      </c>
    </row>
    <row r="6" spans="1:56">
      <c r="B6" s="127" t="s">
        <v>102</v>
      </c>
      <c r="C6" s="125">
        <v>1002.5801254993775</v>
      </c>
      <c r="D6" s="125">
        <v>1004.2822988873224</v>
      </c>
      <c r="E6" s="125">
        <v>1042.5812001160766</v>
      </c>
      <c r="F6" s="125">
        <v>1036.6235932582704</v>
      </c>
      <c r="G6" s="125">
        <v>1041.7301134221043</v>
      </c>
      <c r="H6" s="125">
        <v>1028.1127263185469</v>
      </c>
      <c r="I6" s="125">
        <v>1016.1975126029349</v>
      </c>
      <c r="J6" s="125">
        <v>1016.1975126029349</v>
      </c>
      <c r="K6" s="125">
        <v>1019.6018593788241</v>
      </c>
      <c r="L6" s="125">
        <v>834.91604678683348</v>
      </c>
      <c r="M6" s="125">
        <v>794.06388547616268</v>
      </c>
      <c r="N6" s="125">
        <v>809.38344596766387</v>
      </c>
      <c r="O6" s="125">
        <v>799.17040563999672</v>
      </c>
      <c r="P6" s="125">
        <v>814.48996613149791</v>
      </c>
      <c r="Q6" s="125">
        <v>828.10735323505469</v>
      </c>
      <c r="R6" s="125">
        <v>824.70300645916529</v>
      </c>
      <c r="S6" s="125">
        <v>853.63995405422418</v>
      </c>
      <c r="T6" s="125">
        <v>840.87365364463972</v>
      </c>
      <c r="U6" s="125">
        <v>842.57582703258402</v>
      </c>
      <c r="V6" s="125">
        <v>880.87472826133785</v>
      </c>
      <c r="W6" s="125">
        <v>929.38666981775953</v>
      </c>
      <c r="X6" s="125">
        <v>889.38559520106105</v>
      </c>
      <c r="Y6" s="125">
        <v>902.15189561064551</v>
      </c>
      <c r="Z6" s="125">
        <v>954.06818394295624</v>
      </c>
      <c r="AA6" s="125">
        <v>951.51492386103951</v>
      </c>
      <c r="AB6" s="125">
        <v>958.32361741281784</v>
      </c>
      <c r="AD6" s="127" t="s">
        <v>102</v>
      </c>
      <c r="AE6" s="128" t="s">
        <v>216</v>
      </c>
      <c r="AF6" s="128" t="s">
        <v>222</v>
      </c>
      <c r="AG6" s="128" t="s">
        <v>218</v>
      </c>
      <c r="AH6" s="128" t="s">
        <v>222</v>
      </c>
      <c r="AI6" s="128" t="s">
        <v>222</v>
      </c>
      <c r="AJ6" s="128" t="s">
        <v>224</v>
      </c>
      <c r="AK6" s="128" t="s">
        <v>220</v>
      </c>
      <c r="AL6" s="128" t="s">
        <v>216</v>
      </c>
      <c r="AM6" s="128" t="s">
        <v>219</v>
      </c>
      <c r="AN6" s="128" t="s">
        <v>217</v>
      </c>
      <c r="AO6" s="128" t="s">
        <v>217</v>
      </c>
      <c r="AP6" s="128" t="s">
        <v>216</v>
      </c>
      <c r="AQ6" s="128" t="s">
        <v>220</v>
      </c>
      <c r="AR6" s="128" t="s">
        <v>223</v>
      </c>
      <c r="AS6" s="128" t="s">
        <v>221</v>
      </c>
      <c r="AT6" s="128" t="s">
        <v>216</v>
      </c>
      <c r="AU6" s="128" t="s">
        <v>222</v>
      </c>
      <c r="AV6" s="128" t="s">
        <v>221</v>
      </c>
      <c r="AW6" s="128" t="s">
        <v>221</v>
      </c>
      <c r="AX6" s="128" t="s">
        <v>222</v>
      </c>
      <c r="AY6" s="128" t="s">
        <v>216</v>
      </c>
      <c r="AZ6" s="128" t="s">
        <v>220</v>
      </c>
      <c r="BA6" s="128" t="s">
        <v>221</v>
      </c>
      <c r="BB6" s="128" t="s">
        <v>223</v>
      </c>
      <c r="BC6" s="128" t="s">
        <v>219</v>
      </c>
      <c r="BD6" s="128" t="s">
        <v>216</v>
      </c>
    </row>
    <row r="7" spans="1:56">
      <c r="B7" s="127" t="s">
        <v>103</v>
      </c>
      <c r="C7" s="125">
        <v>1200.6401575680759</v>
      </c>
      <c r="D7" s="125">
        <v>1200.6401575680759</v>
      </c>
      <c r="E7" s="125">
        <v>1211.7853404653324</v>
      </c>
      <c r="F7" s="125">
        <v>1260.4188658351784</v>
      </c>
      <c r="G7" s="125">
        <v>1249.2736829379226</v>
      </c>
      <c r="H7" s="125">
        <v>1233.06250781464</v>
      </c>
      <c r="I7" s="125">
        <v>1214.8249358009484</v>
      </c>
      <c r="J7" s="125">
        <v>1233.06250781464</v>
      </c>
      <c r="K7" s="125">
        <v>1237.1153015954608</v>
      </c>
      <c r="L7" s="125">
        <v>958.48572916405078</v>
      </c>
      <c r="M7" s="125">
        <v>993.94767474623018</v>
      </c>
      <c r="N7" s="125">
        <v>993.94767474623018</v>
      </c>
      <c r="O7" s="125">
        <v>951.39334004761497</v>
      </c>
      <c r="P7" s="125">
        <v>958.48572916405078</v>
      </c>
      <c r="Q7" s="125">
        <v>945.31414937638385</v>
      </c>
      <c r="R7" s="125">
        <v>993.94767474623018</v>
      </c>
      <c r="S7" s="125">
        <v>1020.2908343215634</v>
      </c>
      <c r="T7" s="125">
        <v>1038.5284063352562</v>
      </c>
      <c r="U7" s="125">
        <v>995.97407163664002</v>
      </c>
      <c r="V7" s="125">
        <v>1002.0532623078713</v>
      </c>
      <c r="W7" s="125">
        <v>1056.765978348948</v>
      </c>
      <c r="X7" s="125">
        <v>1103.3731068283842</v>
      </c>
      <c r="Y7" s="125">
        <v>1089.1883285955123</v>
      </c>
      <c r="Z7" s="125">
        <v>1109.452297499615</v>
      </c>
      <c r="AA7" s="125">
        <v>1150.9934337530244</v>
      </c>
      <c r="AB7" s="125">
        <v>1107.4259006092043</v>
      </c>
      <c r="AD7" s="127" t="s">
        <v>103</v>
      </c>
      <c r="AE7" s="128" t="s">
        <v>222</v>
      </c>
      <c r="AF7" s="128" t="s">
        <v>223</v>
      </c>
      <c r="AG7" s="128" t="s">
        <v>216</v>
      </c>
      <c r="AH7" s="128" t="s">
        <v>223</v>
      </c>
      <c r="AI7" s="128" t="s">
        <v>219</v>
      </c>
      <c r="AJ7" s="128" t="s">
        <v>221</v>
      </c>
      <c r="AK7" s="128" t="s">
        <v>218</v>
      </c>
      <c r="AL7" s="128" t="s">
        <v>221</v>
      </c>
      <c r="AM7" s="128" t="s">
        <v>220</v>
      </c>
      <c r="AN7" s="128" t="s">
        <v>222</v>
      </c>
      <c r="AO7" s="128" t="s">
        <v>220</v>
      </c>
      <c r="AP7" s="128" t="s">
        <v>222</v>
      </c>
      <c r="AQ7" s="128" t="s">
        <v>221</v>
      </c>
      <c r="AR7" s="128" t="s">
        <v>221</v>
      </c>
      <c r="AS7" s="128" t="s">
        <v>218</v>
      </c>
      <c r="AT7" s="128" t="s">
        <v>219</v>
      </c>
      <c r="AU7" s="128" t="s">
        <v>219</v>
      </c>
      <c r="AV7" s="128" t="s">
        <v>221</v>
      </c>
      <c r="AW7" s="128" t="s">
        <v>222</v>
      </c>
      <c r="AX7" s="128" t="s">
        <v>221</v>
      </c>
      <c r="AY7" s="128" t="s">
        <v>222</v>
      </c>
      <c r="AZ7" s="128" t="s">
        <v>216</v>
      </c>
      <c r="BA7" s="128" t="s">
        <v>216</v>
      </c>
      <c r="BB7" s="128" t="s">
        <v>218</v>
      </c>
      <c r="BC7" s="128" t="s">
        <v>219</v>
      </c>
      <c r="BD7" s="128" t="s">
        <v>222</v>
      </c>
    </row>
    <row r="8" spans="1:56">
      <c r="B8" s="127" t="s">
        <v>104</v>
      </c>
      <c r="C8" s="125">
        <v>1341.3126297003566</v>
      </c>
      <c r="D8" s="125">
        <v>1341.3126297003566</v>
      </c>
      <c r="E8" s="125">
        <v>1385.5691377869159</v>
      </c>
      <c r="F8" s="125">
        <v>1405.9952184422518</v>
      </c>
      <c r="G8" s="125">
        <v>1407.1300007008811</v>
      </c>
      <c r="H8" s="125">
        <v>1410.5343474767703</v>
      </c>
      <c r="I8" s="125">
        <v>1402.5908716663623</v>
      </c>
      <c r="J8" s="125">
        <v>1394.6473958559543</v>
      </c>
      <c r="K8" s="125">
        <v>1362.8734926143213</v>
      </c>
      <c r="L8" s="125">
        <v>1088.2561860259232</v>
      </c>
      <c r="M8" s="125">
        <v>1095.0648795777015</v>
      </c>
      <c r="N8" s="125">
        <v>1065.5605408533288</v>
      </c>
      <c r="O8" s="125">
        <v>1099.6040086122207</v>
      </c>
      <c r="P8" s="125">
        <v>1057.6170650429206</v>
      </c>
      <c r="Q8" s="125">
        <v>1097.3344440949611</v>
      </c>
      <c r="R8" s="125">
        <v>1107.5474844226289</v>
      </c>
      <c r="S8" s="125">
        <v>1169.9605086472645</v>
      </c>
      <c r="T8" s="125">
        <v>1176.7692021990433</v>
      </c>
      <c r="U8" s="125">
        <v>1168.8257263886348</v>
      </c>
      <c r="V8" s="125">
        <v>1149.5344279919293</v>
      </c>
      <c r="W8" s="125">
        <v>1208.5431054406758</v>
      </c>
      <c r="X8" s="125">
        <v>1232.3735328719008</v>
      </c>
      <c r="Y8" s="125">
        <v>1191.5213715612301</v>
      </c>
      <c r="Z8" s="125">
        <v>1257.3387425617548</v>
      </c>
      <c r="AA8" s="125">
        <v>1249.3952667513465</v>
      </c>
      <c r="AB8" s="125">
        <v>1278.8996054757201</v>
      </c>
      <c r="AD8" s="127" t="s">
        <v>104</v>
      </c>
      <c r="AE8" s="128" t="s">
        <v>222</v>
      </c>
      <c r="AF8" s="128" t="s">
        <v>217</v>
      </c>
      <c r="AG8" s="128" t="s">
        <v>216</v>
      </c>
      <c r="AH8" s="128" t="s">
        <v>216</v>
      </c>
      <c r="AI8" s="128" t="s">
        <v>221</v>
      </c>
      <c r="AJ8" s="128" t="s">
        <v>222</v>
      </c>
      <c r="AK8" s="128" t="s">
        <v>216</v>
      </c>
      <c r="AL8" s="128" t="s">
        <v>221</v>
      </c>
      <c r="AM8" s="128" t="s">
        <v>218</v>
      </c>
      <c r="AN8" s="128" t="s">
        <v>220</v>
      </c>
      <c r="AO8" s="128" t="s">
        <v>216</v>
      </c>
      <c r="AP8" s="128" t="s">
        <v>219</v>
      </c>
      <c r="AQ8" s="128" t="s">
        <v>217</v>
      </c>
      <c r="AR8" s="128" t="s">
        <v>216</v>
      </c>
      <c r="AS8" s="128" t="s">
        <v>217</v>
      </c>
      <c r="AT8" s="128" t="s">
        <v>223</v>
      </c>
      <c r="AU8" s="128" t="s">
        <v>216</v>
      </c>
      <c r="AV8" s="128" t="s">
        <v>223</v>
      </c>
      <c r="AW8" s="128" t="s">
        <v>218</v>
      </c>
      <c r="AX8" s="128" t="s">
        <v>223</v>
      </c>
      <c r="AY8" s="128" t="s">
        <v>223</v>
      </c>
      <c r="AZ8" s="128" t="s">
        <v>222</v>
      </c>
      <c r="BA8" s="128" t="s">
        <v>222</v>
      </c>
      <c r="BB8" s="128" t="s">
        <v>222</v>
      </c>
      <c r="BC8" s="128" t="s">
        <v>219</v>
      </c>
      <c r="BD8" s="128" t="s">
        <v>217</v>
      </c>
    </row>
    <row r="9" spans="1:56">
      <c r="B9" s="127" t="s">
        <v>105</v>
      </c>
      <c r="C9" s="125">
        <v>1903.191959473312</v>
      </c>
      <c r="D9" s="125">
        <v>1877.2540792760601</v>
      </c>
      <c r="E9" s="125">
        <v>1984.2478350897227</v>
      </c>
      <c r="F9" s="125">
        <v>1964.7944249417828</v>
      </c>
      <c r="G9" s="125">
        <v>1937.2354272322041</v>
      </c>
      <c r="H9" s="125">
        <v>1961.5521899171272</v>
      </c>
      <c r="I9" s="125">
        <v>1959.9310724047994</v>
      </c>
      <c r="J9" s="125">
        <v>1942.098779769188</v>
      </c>
      <c r="K9" s="125">
        <v>2011.8068327993019</v>
      </c>
      <c r="L9" s="125">
        <v>1556.2728118350767</v>
      </c>
      <c r="M9" s="125">
        <v>1575.7262219830143</v>
      </c>
      <c r="N9" s="125">
        <v>1567.6206344213731</v>
      </c>
      <c r="O9" s="125">
        <v>1538.4405191994656</v>
      </c>
      <c r="P9" s="125">
        <v>1557.8939293474045</v>
      </c>
      <c r="Q9" s="125">
        <v>1514.1237565145425</v>
      </c>
      <c r="R9" s="125">
        <v>1583.8318095446555</v>
      </c>
      <c r="S9" s="125">
        <v>1669.7510376980506</v>
      </c>
      <c r="T9" s="125">
        <v>1611.390807254234</v>
      </c>
      <c r="U9" s="125">
        <v>1681.0988602843472</v>
      </c>
      <c r="V9" s="125">
        <v>1679.4777427720196</v>
      </c>
      <c r="W9" s="125">
        <v>1744.3224432651473</v>
      </c>
      <c r="X9" s="125">
        <v>1698.9311529199579</v>
      </c>
      <c r="Y9" s="125">
        <v>1757.2913833637733</v>
      </c>
      <c r="Z9" s="125">
        <v>1836.7261414678551</v>
      </c>
      <c r="AA9" s="125">
        <v>1818.8938488322447</v>
      </c>
      <c r="AB9" s="125">
        <v>1771.8814409747267</v>
      </c>
      <c r="AD9" s="127" t="s">
        <v>105</v>
      </c>
      <c r="AE9" s="128" t="s">
        <v>217</v>
      </c>
      <c r="AF9" s="128" t="s">
        <v>220</v>
      </c>
      <c r="AG9" s="128" t="s">
        <v>219</v>
      </c>
      <c r="AH9" s="128" t="s">
        <v>222</v>
      </c>
      <c r="AI9" s="128" t="s">
        <v>220</v>
      </c>
      <c r="AJ9" s="128" t="s">
        <v>220</v>
      </c>
      <c r="AK9" s="128" t="s">
        <v>222</v>
      </c>
      <c r="AL9" s="128" t="s">
        <v>223</v>
      </c>
      <c r="AM9" s="128" t="s">
        <v>218</v>
      </c>
      <c r="AN9" s="128" t="s">
        <v>216</v>
      </c>
      <c r="AO9" s="128" t="s">
        <v>221</v>
      </c>
      <c r="AP9" s="128" t="s">
        <v>218</v>
      </c>
      <c r="AQ9" s="128" t="s">
        <v>219</v>
      </c>
      <c r="AR9" s="128" t="s">
        <v>220</v>
      </c>
      <c r="AS9" s="128" t="s">
        <v>220</v>
      </c>
      <c r="AT9" s="128" t="s">
        <v>224</v>
      </c>
      <c r="AU9" s="128" t="s">
        <v>217</v>
      </c>
      <c r="AV9" s="128" t="s">
        <v>218</v>
      </c>
      <c r="AW9" s="128" t="s">
        <v>219</v>
      </c>
      <c r="AX9" s="128" t="s">
        <v>218</v>
      </c>
      <c r="AY9" s="128" t="s">
        <v>221</v>
      </c>
      <c r="AZ9" s="128" t="s">
        <v>221</v>
      </c>
      <c r="BA9" s="128" t="s">
        <v>223</v>
      </c>
      <c r="BB9" s="128" t="s">
        <v>216</v>
      </c>
      <c r="BC9" s="128" t="s">
        <v>223</v>
      </c>
      <c r="BD9" s="128" t="s">
        <v>223</v>
      </c>
    </row>
    <row r="10" spans="1:56">
      <c r="B10" s="127" t="s">
        <v>106</v>
      </c>
      <c r="C10" s="125">
        <v>2645.8664198086699</v>
      </c>
      <c r="D10" s="125">
        <v>2607.9727979579984</v>
      </c>
      <c r="E10" s="125">
        <v>2730.5698098278199</v>
      </c>
      <c r="F10" s="125">
        <v>2719.4246269305609</v>
      </c>
      <c r="G10" s="125">
        <v>2701.5923342949527</v>
      </c>
      <c r="H10" s="125">
        <v>2717.1955903511116</v>
      </c>
      <c r="I10" s="125">
        <v>2699.3632977154998</v>
      </c>
      <c r="J10" s="125">
        <v>2741.7149927250753</v>
      </c>
      <c r="K10" s="125">
        <v>2665.9277490237318</v>
      </c>
      <c r="L10" s="125">
        <v>2084.1492017869468</v>
      </c>
      <c r="M10" s="125">
        <v>2093.065348104753</v>
      </c>
      <c r="N10" s="125">
        <v>2182.2268112828042</v>
      </c>
      <c r="O10" s="125">
        <v>2081.9201652074958</v>
      </c>
      <c r="P10" s="125">
        <v>2088.6072749458503</v>
      </c>
      <c r="Q10" s="125">
        <v>2079.6911286280456</v>
      </c>
      <c r="R10" s="125">
        <v>2126.5008967965223</v>
      </c>
      <c r="S10" s="125">
        <v>2206.7462136567683</v>
      </c>
      <c r="T10" s="125">
        <v>2291.4496036759169</v>
      </c>
      <c r="U10" s="125">
        <v>2289.2205670964645</v>
      </c>
      <c r="V10" s="125">
        <v>2311.5109328909784</v>
      </c>
      <c r="W10" s="125">
        <v>2360.5497376389062</v>
      </c>
      <c r="X10" s="125">
        <v>2436.3369813402496</v>
      </c>
      <c r="Y10" s="125">
        <v>2369.4658839567114</v>
      </c>
      <c r="Z10" s="125">
        <v>2465.3144568731173</v>
      </c>
      <c r="AA10" s="125">
        <v>2487.6048226676294</v>
      </c>
      <c r="AB10" s="125">
        <v>2451.940237396409</v>
      </c>
      <c r="AD10" s="127" t="s">
        <v>106</v>
      </c>
      <c r="AE10" s="128" t="s">
        <v>220</v>
      </c>
      <c r="AF10" s="128" t="s">
        <v>222</v>
      </c>
      <c r="AG10" s="128" t="s">
        <v>218</v>
      </c>
      <c r="AH10" s="128" t="s">
        <v>220</v>
      </c>
      <c r="AI10" s="128" t="s">
        <v>224</v>
      </c>
      <c r="AJ10" s="128" t="s">
        <v>224</v>
      </c>
      <c r="AK10" s="128" t="s">
        <v>218</v>
      </c>
      <c r="AL10" s="128" t="s">
        <v>223</v>
      </c>
      <c r="AM10" s="128" t="s">
        <v>224</v>
      </c>
      <c r="AN10" s="128" t="s">
        <v>218</v>
      </c>
      <c r="AO10" s="128" t="s">
        <v>218</v>
      </c>
      <c r="AP10" s="128" t="s">
        <v>222</v>
      </c>
      <c r="AQ10" s="128" t="s">
        <v>217</v>
      </c>
      <c r="AR10" s="128" t="s">
        <v>218</v>
      </c>
      <c r="AS10" s="128" t="s">
        <v>222</v>
      </c>
      <c r="AT10" s="128" t="s">
        <v>216</v>
      </c>
      <c r="AU10" s="128" t="s">
        <v>219</v>
      </c>
      <c r="AV10" s="128" t="s">
        <v>216</v>
      </c>
      <c r="AW10" s="128" t="s">
        <v>222</v>
      </c>
      <c r="AX10" s="128" t="s">
        <v>221</v>
      </c>
      <c r="AY10" s="128" t="s">
        <v>223</v>
      </c>
      <c r="AZ10" s="128" t="s">
        <v>220</v>
      </c>
      <c r="BA10" s="128" t="s">
        <v>217</v>
      </c>
      <c r="BB10" s="128" t="s">
        <v>223</v>
      </c>
      <c r="BC10" s="128" t="s">
        <v>219</v>
      </c>
      <c r="BD10" s="128" t="s">
        <v>217</v>
      </c>
    </row>
    <row r="11" spans="1:56">
      <c r="B11" s="114" t="s">
        <v>73</v>
      </c>
      <c r="C11" s="125">
        <v>840.44811029765344</v>
      </c>
      <c r="D11" s="125">
        <v>814.20627056684054</v>
      </c>
      <c r="E11" s="125">
        <v>851.79593288395051</v>
      </c>
      <c r="F11" s="125">
        <v>858.88832200038632</v>
      </c>
      <c r="G11" s="125">
        <v>858.88832200038632</v>
      </c>
      <c r="H11" s="125">
        <v>872.3638613216151</v>
      </c>
      <c r="I11" s="125">
        <v>873.78233914490227</v>
      </c>
      <c r="J11" s="125">
        <v>875.2008169681892</v>
      </c>
      <c r="K11" s="125">
        <v>872.3638613216151</v>
      </c>
      <c r="L11" s="125">
        <v>687.96174429428174</v>
      </c>
      <c r="M11" s="125">
        <v>669.52153259154841</v>
      </c>
      <c r="N11" s="125">
        <v>677.32316061962797</v>
      </c>
      <c r="O11" s="125">
        <v>669.52153259154841</v>
      </c>
      <c r="P11" s="125">
        <v>697.18185014564847</v>
      </c>
      <c r="Q11" s="125">
        <v>693.63565558743016</v>
      </c>
      <c r="R11" s="125">
        <v>664.55686021004306</v>
      </c>
      <c r="S11" s="125">
        <v>737.60846810933288</v>
      </c>
      <c r="T11" s="125">
        <v>731.93455681618389</v>
      </c>
      <c r="U11" s="125">
        <v>709.2389116435894</v>
      </c>
      <c r="V11" s="125">
        <v>735.48075137440185</v>
      </c>
      <c r="W11" s="125">
        <v>772.36117477986863</v>
      </c>
      <c r="X11" s="125">
        <v>745.4100961374121</v>
      </c>
      <c r="Y11" s="125">
        <v>757.46715763535349</v>
      </c>
      <c r="Z11" s="125">
        <v>786.54595301274048</v>
      </c>
      <c r="AA11" s="125">
        <v>777.32584716137399</v>
      </c>
      <c r="AB11" s="125">
        <v>807.11388145040473</v>
      </c>
      <c r="AD11" s="114" t="s">
        <v>73</v>
      </c>
      <c r="AE11" s="128" t="s">
        <v>222</v>
      </c>
      <c r="AF11" s="128" t="s">
        <v>218</v>
      </c>
      <c r="AG11" s="128" t="s">
        <v>223</v>
      </c>
      <c r="AH11" s="128" t="s">
        <v>223</v>
      </c>
      <c r="AI11" s="128" t="s">
        <v>222</v>
      </c>
      <c r="AJ11" s="128" t="s">
        <v>222</v>
      </c>
      <c r="AK11" s="128" t="s">
        <v>218</v>
      </c>
      <c r="AL11" s="128" t="s">
        <v>224</v>
      </c>
      <c r="AM11" s="128" t="s">
        <v>224</v>
      </c>
      <c r="AN11" s="128" t="s">
        <v>217</v>
      </c>
      <c r="AO11" s="128" t="s">
        <v>220</v>
      </c>
      <c r="AP11" s="128" t="s">
        <v>217</v>
      </c>
      <c r="AQ11" s="128" t="s">
        <v>216</v>
      </c>
      <c r="AR11" s="128" t="s">
        <v>220</v>
      </c>
      <c r="AS11" s="128" t="s">
        <v>221</v>
      </c>
      <c r="AT11" s="128" t="s">
        <v>221</v>
      </c>
      <c r="AU11" s="128" t="s">
        <v>223</v>
      </c>
      <c r="AV11" s="128" t="s">
        <v>216</v>
      </c>
      <c r="AW11" s="128" t="s">
        <v>222</v>
      </c>
      <c r="AX11" s="128" t="s">
        <v>218</v>
      </c>
      <c r="AY11" s="128" t="s">
        <v>224</v>
      </c>
      <c r="AZ11" s="128" t="s">
        <v>222</v>
      </c>
      <c r="BA11" s="128" t="s">
        <v>223</v>
      </c>
      <c r="BB11" s="128" t="s">
        <v>224</v>
      </c>
      <c r="BC11" s="128" t="s">
        <v>219</v>
      </c>
      <c r="BD11" s="128" t="s">
        <v>222</v>
      </c>
    </row>
    <row r="12" spans="1:56">
      <c r="B12" s="127" t="s">
        <v>107</v>
      </c>
      <c r="C12" s="125">
        <v>697.89108905729188</v>
      </c>
      <c r="D12" s="125">
        <v>715.52074200386096</v>
      </c>
      <c r="E12" s="125">
        <v>752.60380509836887</v>
      </c>
      <c r="F12" s="125">
        <v>754.42756229973793</v>
      </c>
      <c r="G12" s="125">
        <v>730.11079961481505</v>
      </c>
      <c r="H12" s="125">
        <v>731.32663774906121</v>
      </c>
      <c r="I12" s="125">
        <v>725.2474470778302</v>
      </c>
      <c r="J12" s="125">
        <v>755.03548136686106</v>
      </c>
      <c r="K12" s="125">
        <v>742.26918095727649</v>
      </c>
      <c r="L12" s="125">
        <v>567.18848962583024</v>
      </c>
      <c r="M12" s="125">
        <v>595.15276671349181</v>
      </c>
      <c r="N12" s="125">
        <v>570.2280849614458</v>
      </c>
      <c r="O12" s="125">
        <v>576.91519469979983</v>
      </c>
      <c r="P12" s="125">
        <v>582.99438537103049</v>
      </c>
      <c r="Q12" s="125">
        <v>593.32900951212264</v>
      </c>
      <c r="R12" s="125">
        <v>566.58057055870745</v>
      </c>
      <c r="S12" s="125">
        <v>612.17450059293787</v>
      </c>
      <c r="T12" s="125">
        <v>605.48739085458431</v>
      </c>
      <c r="U12" s="125">
        <v>630.41207260663043</v>
      </c>
      <c r="V12" s="125">
        <v>612.78241966006112</v>
      </c>
      <c r="W12" s="125">
        <v>645.00213021758407</v>
      </c>
      <c r="X12" s="125">
        <v>636.49126327786098</v>
      </c>
      <c r="Y12" s="125">
        <v>646.21796835183068</v>
      </c>
      <c r="Z12" s="125">
        <v>688.16438398332264</v>
      </c>
      <c r="AA12" s="125">
        <v>685.7327077148301</v>
      </c>
      <c r="AB12" s="125">
        <v>691.2039793189382</v>
      </c>
      <c r="AD12" s="127" t="s">
        <v>107</v>
      </c>
      <c r="AE12" s="128" t="s">
        <v>222</v>
      </c>
      <c r="AF12" s="128" t="s">
        <v>217</v>
      </c>
      <c r="AG12" s="128" t="s">
        <v>221</v>
      </c>
      <c r="AH12" s="128" t="s">
        <v>223</v>
      </c>
      <c r="AI12" s="128" t="s">
        <v>223</v>
      </c>
      <c r="AJ12" s="128" t="s">
        <v>220</v>
      </c>
      <c r="AK12" s="128" t="s">
        <v>223</v>
      </c>
      <c r="AL12" s="128" t="s">
        <v>216</v>
      </c>
      <c r="AM12" s="128" t="s">
        <v>221</v>
      </c>
      <c r="AN12" s="128" t="s">
        <v>220</v>
      </c>
      <c r="AO12" s="128" t="s">
        <v>221</v>
      </c>
      <c r="AP12" s="128" t="s">
        <v>224</v>
      </c>
      <c r="AQ12" s="128" t="s">
        <v>221</v>
      </c>
      <c r="AR12" s="128" t="s">
        <v>223</v>
      </c>
      <c r="AS12" s="128" t="s">
        <v>218</v>
      </c>
      <c r="AT12" s="128" t="s">
        <v>216</v>
      </c>
      <c r="AU12" s="128" t="s">
        <v>221</v>
      </c>
      <c r="AV12" s="128" t="s">
        <v>217</v>
      </c>
      <c r="AW12" s="128" t="s">
        <v>224</v>
      </c>
      <c r="AX12" s="128" t="s">
        <v>222</v>
      </c>
      <c r="AY12" s="128" t="s">
        <v>221</v>
      </c>
      <c r="AZ12" s="128" t="s">
        <v>222</v>
      </c>
      <c r="BA12" s="128" t="s">
        <v>221</v>
      </c>
      <c r="BB12" s="128" t="s">
        <v>218</v>
      </c>
      <c r="BC12" s="128" t="s">
        <v>224</v>
      </c>
      <c r="BD12" s="128" t="s">
        <v>219</v>
      </c>
    </row>
    <row r="13" spans="1:56">
      <c r="B13" s="127" t="s">
        <v>108</v>
      </c>
      <c r="C13" s="125">
        <v>1076.92862740853</v>
      </c>
      <c r="D13" s="125">
        <v>1055.0435409920992</v>
      </c>
      <c r="E13" s="125">
        <v>1095.1661994222227</v>
      </c>
      <c r="F13" s="125">
        <v>1094.2543208215377</v>
      </c>
      <c r="G13" s="125">
        <v>1098.8137138249606</v>
      </c>
      <c r="H13" s="125">
        <v>1102.4612282276996</v>
      </c>
      <c r="I13" s="125">
        <v>1129.8175862482378</v>
      </c>
      <c r="J13" s="125">
        <v>1098.8137138249606</v>
      </c>
      <c r="K13" s="125">
        <v>1104.284985429068</v>
      </c>
      <c r="L13" s="125">
        <v>865.37279204969946</v>
      </c>
      <c r="M13" s="125">
        <v>850.78273443874582</v>
      </c>
      <c r="N13" s="125">
        <v>879.96284966065332</v>
      </c>
      <c r="O13" s="125">
        <v>895.46478587229194</v>
      </c>
      <c r="P13" s="125">
        <v>895.46478587229194</v>
      </c>
      <c r="Q13" s="125">
        <v>894.55290727160718</v>
      </c>
      <c r="R13" s="125">
        <v>892.72915007023801</v>
      </c>
      <c r="S13" s="125">
        <v>917.34987228872251</v>
      </c>
      <c r="T13" s="125">
        <v>930.11617269830731</v>
      </c>
      <c r="U13" s="125">
        <v>909.14296488256105</v>
      </c>
      <c r="V13" s="125">
        <v>929.20429409762232</v>
      </c>
      <c r="W13" s="125">
        <v>989.38828174280752</v>
      </c>
      <c r="X13" s="125">
        <v>979.35761713527631</v>
      </c>
      <c r="Y13" s="125">
        <v>971.15070972911462</v>
      </c>
      <c r="Z13" s="125">
        <v>1015.8327611626611</v>
      </c>
      <c r="AA13" s="125">
        <v>1030.4228187736144</v>
      </c>
      <c r="AB13" s="125">
        <v>1007.6258537564993</v>
      </c>
      <c r="AD13" s="127" t="s">
        <v>108</v>
      </c>
      <c r="AE13" s="128" t="s">
        <v>221</v>
      </c>
      <c r="AF13" s="128" t="s">
        <v>217</v>
      </c>
      <c r="AG13" s="128" t="s">
        <v>219</v>
      </c>
      <c r="AH13" s="128" t="s">
        <v>218</v>
      </c>
      <c r="AI13" s="128" t="s">
        <v>222</v>
      </c>
      <c r="AJ13" s="128" t="s">
        <v>218</v>
      </c>
      <c r="AK13" s="128" t="s">
        <v>220</v>
      </c>
      <c r="AL13" s="128" t="s">
        <v>221</v>
      </c>
      <c r="AM13" s="128" t="s">
        <v>216</v>
      </c>
      <c r="AN13" s="128" t="s">
        <v>216</v>
      </c>
      <c r="AO13" s="128" t="s">
        <v>218</v>
      </c>
      <c r="AP13" s="128" t="s">
        <v>218</v>
      </c>
      <c r="AQ13" s="128" t="s">
        <v>224</v>
      </c>
      <c r="AR13" s="128" t="s">
        <v>222</v>
      </c>
      <c r="AS13" s="128" t="s">
        <v>217</v>
      </c>
      <c r="AT13" s="128" t="s">
        <v>216</v>
      </c>
      <c r="AU13" s="128" t="s">
        <v>218</v>
      </c>
      <c r="AV13" s="128" t="s">
        <v>221</v>
      </c>
      <c r="AW13" s="128" t="s">
        <v>224</v>
      </c>
      <c r="AX13" s="128" t="s">
        <v>224</v>
      </c>
      <c r="AY13" s="128" t="s">
        <v>224</v>
      </c>
      <c r="AZ13" s="128" t="s">
        <v>216</v>
      </c>
      <c r="BA13" s="128" t="s">
        <v>217</v>
      </c>
      <c r="BB13" s="128" t="s">
        <v>224</v>
      </c>
      <c r="BC13" s="128" t="s">
        <v>223</v>
      </c>
      <c r="BD13" s="128" t="s">
        <v>220</v>
      </c>
    </row>
    <row r="14" spans="1:56">
      <c r="B14" s="114" t="s">
        <v>74</v>
      </c>
      <c r="C14" s="125">
        <v>1443.1998653501839</v>
      </c>
      <c r="D14" s="125">
        <v>1426.1781314707378</v>
      </c>
      <c r="E14" s="125">
        <v>1482.1066856460609</v>
      </c>
      <c r="F14" s="125">
        <v>1459.0057610953838</v>
      </c>
      <c r="G14" s="125">
        <v>1513.7184771364605</v>
      </c>
      <c r="H14" s="125">
        <v>1491.8333907200301</v>
      </c>
      <c r="I14" s="125">
        <v>1499.1284195255064</v>
      </c>
      <c r="J14" s="125">
        <v>1512.5026390022147</v>
      </c>
      <c r="K14" s="125">
        <v>1477.2433331090758</v>
      </c>
      <c r="L14" s="125">
        <v>1168.4204470105531</v>
      </c>
      <c r="M14" s="125">
        <v>1135.5928173859068</v>
      </c>
      <c r="N14" s="125">
        <v>1142.8878461913839</v>
      </c>
      <c r="O14" s="125">
        <v>1178.1471520845225</v>
      </c>
      <c r="P14" s="125">
        <v>1146.5353605941225</v>
      </c>
      <c r="Q14" s="125">
        <v>1145.3195224598762</v>
      </c>
      <c r="R14" s="125">
        <v>1165.988770742061</v>
      </c>
      <c r="S14" s="125">
        <v>1227.9965155886148</v>
      </c>
      <c r="T14" s="125">
        <v>1204.8955910379379</v>
      </c>
      <c r="U14" s="125">
        <v>1208.5431054406758</v>
      </c>
      <c r="V14" s="125">
        <v>1264.471659615999</v>
      </c>
      <c r="W14" s="125">
        <v>1320.4002137913224</v>
      </c>
      <c r="X14" s="125">
        <v>1286.35674603243</v>
      </c>
      <c r="Y14" s="125">
        <v>1272.982526555722</v>
      </c>
      <c r="Z14" s="125">
        <v>1347.1486527447375</v>
      </c>
      <c r="AA14" s="125">
        <v>1387.2713111748603</v>
      </c>
      <c r="AB14" s="125">
        <v>1356.8753578187072</v>
      </c>
      <c r="AD14" s="114" t="s">
        <v>74</v>
      </c>
      <c r="AE14" s="128" t="s">
        <v>216</v>
      </c>
      <c r="AF14" s="128" t="s">
        <v>224</v>
      </c>
      <c r="AG14" s="128" t="s">
        <v>218</v>
      </c>
      <c r="AH14" s="128" t="s">
        <v>223</v>
      </c>
      <c r="AI14" s="128" t="s">
        <v>219</v>
      </c>
      <c r="AJ14" s="128" t="s">
        <v>223</v>
      </c>
      <c r="AK14" s="128" t="s">
        <v>224</v>
      </c>
      <c r="AL14" s="128" t="s">
        <v>222</v>
      </c>
      <c r="AM14" s="128" t="s">
        <v>223</v>
      </c>
      <c r="AN14" s="128" t="s">
        <v>220</v>
      </c>
      <c r="AO14" s="128" t="s">
        <v>219</v>
      </c>
      <c r="AP14" s="128" t="s">
        <v>220</v>
      </c>
      <c r="AQ14" s="128" t="s">
        <v>217</v>
      </c>
      <c r="AR14" s="128" t="s">
        <v>224</v>
      </c>
      <c r="AS14" s="128" t="s">
        <v>217</v>
      </c>
      <c r="AT14" s="128" t="s">
        <v>220</v>
      </c>
      <c r="AU14" s="128" t="s">
        <v>219</v>
      </c>
      <c r="AV14" s="128" t="s">
        <v>220</v>
      </c>
      <c r="AW14" s="128" t="s">
        <v>223</v>
      </c>
      <c r="AX14" s="128" t="s">
        <v>218</v>
      </c>
      <c r="AY14" s="128" t="s">
        <v>223</v>
      </c>
      <c r="AZ14" s="128" t="s">
        <v>223</v>
      </c>
      <c r="BA14" s="128" t="s">
        <v>216</v>
      </c>
      <c r="BB14" s="128" t="s">
        <v>221</v>
      </c>
      <c r="BC14" s="128" t="s">
        <v>224</v>
      </c>
      <c r="BD14" s="128" t="s">
        <v>224</v>
      </c>
    </row>
    <row r="15" spans="1:56">
      <c r="B15" s="127" t="s">
        <v>109</v>
      </c>
      <c r="C15" s="125">
        <v>1251.8269430198393</v>
      </c>
      <c r="D15" s="125">
        <v>1264.9579948696976</v>
      </c>
      <c r="E15" s="125">
        <v>1338.2730343647409</v>
      </c>
      <c r="F15" s="125">
        <v>1330.6132541189897</v>
      </c>
      <c r="G15" s="125">
        <v>1350.3098318937778</v>
      </c>
      <c r="H15" s="125">
        <v>1348.1213232521341</v>
      </c>
      <c r="I15" s="125">
        <v>1359.0638664603498</v>
      </c>
      <c r="J15" s="125">
        <v>1342.6500516480269</v>
      </c>
      <c r="K15" s="125">
        <v>1331.7075084398116</v>
      </c>
      <c r="L15" s="125">
        <v>1050.4841479886766</v>
      </c>
      <c r="M15" s="125">
        <v>1057.0496739136058</v>
      </c>
      <c r="N15" s="125">
        <v>1024.2220442889593</v>
      </c>
      <c r="O15" s="125">
        <v>1050.4841479886766</v>
      </c>
      <c r="P15" s="125">
        <v>1039.5416047804611</v>
      </c>
      <c r="Q15" s="125">
        <v>1051.5784023094977</v>
      </c>
      <c r="R15" s="125">
        <v>1046.1071307053903</v>
      </c>
      <c r="S15" s="125">
        <v>1085.5002862549657</v>
      </c>
      <c r="T15" s="125">
        <v>1123.7991874837194</v>
      </c>
      <c r="U15" s="125">
        <v>1141.3072566168639</v>
      </c>
      <c r="V15" s="125">
        <v>1113.950898596325</v>
      </c>
      <c r="W15" s="125">
        <v>1151.1555455042576</v>
      </c>
      <c r="X15" s="125">
        <v>1162.0980887124733</v>
      </c>
      <c r="Y15" s="125">
        <v>1142.4015109376853</v>
      </c>
      <c r="Z15" s="125">
        <v>1223.3763306784792</v>
      </c>
      <c r="AA15" s="125">
        <v>1250.7326886990172</v>
      </c>
      <c r="AB15" s="125">
        <v>1211.3395331494428</v>
      </c>
      <c r="AD15" s="127" t="s">
        <v>109</v>
      </c>
      <c r="AE15" s="128" t="s">
        <v>224</v>
      </c>
      <c r="AF15" s="128" t="s">
        <v>221</v>
      </c>
      <c r="AG15" s="128" t="s">
        <v>218</v>
      </c>
      <c r="AH15" s="128" t="s">
        <v>217</v>
      </c>
      <c r="AI15" s="128" t="s">
        <v>222</v>
      </c>
      <c r="AJ15" s="128" t="s">
        <v>218</v>
      </c>
      <c r="AK15" s="128" t="s">
        <v>216</v>
      </c>
      <c r="AL15" s="128" t="s">
        <v>217</v>
      </c>
      <c r="AM15" s="128" t="s">
        <v>221</v>
      </c>
      <c r="AN15" s="128" t="s">
        <v>217</v>
      </c>
      <c r="AO15" s="128" t="s">
        <v>224</v>
      </c>
      <c r="AP15" s="128" t="s">
        <v>216</v>
      </c>
      <c r="AQ15" s="128" t="s">
        <v>219</v>
      </c>
      <c r="AR15" s="128" t="s">
        <v>223</v>
      </c>
      <c r="AS15" s="128" t="s">
        <v>223</v>
      </c>
      <c r="AT15" s="128" t="s">
        <v>221</v>
      </c>
      <c r="AU15" s="128" t="s">
        <v>219</v>
      </c>
      <c r="AV15" s="128" t="s">
        <v>217</v>
      </c>
      <c r="AW15" s="128" t="s">
        <v>218</v>
      </c>
      <c r="AX15" s="128" t="s">
        <v>222</v>
      </c>
      <c r="AY15" s="128" t="s">
        <v>224</v>
      </c>
      <c r="AZ15" s="128" t="s">
        <v>224</v>
      </c>
      <c r="BA15" s="128" t="s">
        <v>221</v>
      </c>
      <c r="BB15" s="128" t="s">
        <v>216</v>
      </c>
      <c r="BC15" s="128" t="s">
        <v>217</v>
      </c>
      <c r="BD15" s="128" t="s">
        <v>217</v>
      </c>
    </row>
    <row r="16" spans="1:56">
      <c r="B16" s="127" t="s">
        <v>110</v>
      </c>
      <c r="C16" s="125">
        <v>1626.9940633103934</v>
      </c>
      <c r="D16" s="125">
        <v>1676.6407871254451</v>
      </c>
      <c r="E16" s="125">
        <v>1700.7549101213272</v>
      </c>
      <c r="F16" s="125">
        <v>1707.8472992377624</v>
      </c>
      <c r="G16" s="125">
        <v>1720.6135996473479</v>
      </c>
      <c r="H16" s="125">
        <v>1766.0048899925375</v>
      </c>
      <c r="I16" s="125">
        <v>1706.428821414476</v>
      </c>
      <c r="J16" s="125">
        <v>1713.521210530912</v>
      </c>
      <c r="K16" s="125">
        <v>1703.591865767901</v>
      </c>
      <c r="L16" s="125">
        <v>1330.5321982433736</v>
      </c>
      <c r="M16" s="125">
        <v>1354.6463212392559</v>
      </c>
      <c r="N16" s="125">
        <v>1384.4343555282865</v>
      </c>
      <c r="O16" s="125">
        <v>1370.2495772954144</v>
      </c>
      <c r="P16" s="125">
        <v>1384.4343555282865</v>
      </c>
      <c r="Q16" s="125">
        <v>1384.4343555282865</v>
      </c>
      <c r="R16" s="125">
        <v>1385.8528333515737</v>
      </c>
      <c r="S16" s="125">
        <v>1461.0321579857944</v>
      </c>
      <c r="T16" s="125">
        <v>1479.4723696885271</v>
      </c>
      <c r="U16" s="125">
        <v>1411.3854341707424</v>
      </c>
      <c r="V16" s="125">
        <v>1439.7549906364861</v>
      </c>
      <c r="W16" s="125">
        <v>1509.2604039775581</v>
      </c>
      <c r="X16" s="125">
        <v>1482.3093253351017</v>
      </c>
      <c r="Y16" s="125">
        <v>1490.8201922748242</v>
      </c>
      <c r="Z16" s="125">
        <v>1597.2060290213631</v>
      </c>
      <c r="AA16" s="125">
        <v>1561.7440834391841</v>
      </c>
      <c r="AB16" s="125">
        <v>1597.2060290213631</v>
      </c>
      <c r="AD16" s="127" t="s">
        <v>110</v>
      </c>
      <c r="AE16" s="128" t="s">
        <v>222</v>
      </c>
      <c r="AF16" s="128" t="s">
        <v>219</v>
      </c>
      <c r="AG16" s="128" t="s">
        <v>217</v>
      </c>
      <c r="AH16" s="128" t="s">
        <v>218</v>
      </c>
      <c r="AI16" s="128" t="s">
        <v>222</v>
      </c>
      <c r="AJ16" s="128" t="s">
        <v>217</v>
      </c>
      <c r="AK16" s="128" t="s">
        <v>222</v>
      </c>
      <c r="AL16" s="128" t="s">
        <v>221</v>
      </c>
      <c r="AM16" s="128" t="s">
        <v>217</v>
      </c>
      <c r="AN16" s="128" t="s">
        <v>216</v>
      </c>
      <c r="AO16" s="128" t="s">
        <v>223</v>
      </c>
      <c r="AP16" s="128" t="s">
        <v>218</v>
      </c>
      <c r="AQ16" s="128" t="s">
        <v>217</v>
      </c>
      <c r="AR16" s="128" t="s">
        <v>219</v>
      </c>
      <c r="AS16" s="128" t="s">
        <v>224</v>
      </c>
      <c r="AT16" s="128" t="s">
        <v>220</v>
      </c>
      <c r="AU16" s="128" t="s">
        <v>224</v>
      </c>
      <c r="AV16" s="128" t="s">
        <v>216</v>
      </c>
      <c r="AW16" s="128" t="s">
        <v>217</v>
      </c>
      <c r="AX16" s="128" t="s">
        <v>222</v>
      </c>
      <c r="AY16" s="128" t="s">
        <v>221</v>
      </c>
      <c r="AZ16" s="128" t="s">
        <v>221</v>
      </c>
      <c r="BA16" s="128" t="s">
        <v>224</v>
      </c>
      <c r="BB16" s="128" t="s">
        <v>223</v>
      </c>
      <c r="BC16" s="128" t="s">
        <v>218</v>
      </c>
      <c r="BD16" s="128" t="s">
        <v>219</v>
      </c>
    </row>
    <row r="17" spans="2:56">
      <c r="B17" s="114" t="s">
        <v>75</v>
      </c>
      <c r="C17" s="125">
        <v>1175.3101964379482</v>
      </c>
      <c r="D17" s="125">
        <v>1174.2969979927429</v>
      </c>
      <c r="E17" s="125">
        <v>1210.7721420201276</v>
      </c>
      <c r="F17" s="125">
        <v>1263.4584611707942</v>
      </c>
      <c r="G17" s="125">
        <v>1218.8777295817686</v>
      </c>
      <c r="H17" s="125">
        <v>1262.4452627255894</v>
      </c>
      <c r="I17" s="125">
        <v>1234.0757062598454</v>
      </c>
      <c r="J17" s="125">
        <v>1257.379270499564</v>
      </c>
      <c r="K17" s="125">
        <v>1249.2736829379226</v>
      </c>
      <c r="L17" s="125">
        <v>986.85528562979459</v>
      </c>
      <c r="M17" s="125">
        <v>958.48572916405078</v>
      </c>
      <c r="N17" s="125">
        <v>947.34054626679449</v>
      </c>
      <c r="O17" s="125">
        <v>976.72330117774288</v>
      </c>
      <c r="P17" s="125">
        <v>970.64411050651233</v>
      </c>
      <c r="Q17" s="125">
        <v>990.9080794106145</v>
      </c>
      <c r="R17" s="125">
        <v>973.68370584212755</v>
      </c>
      <c r="S17" s="125">
        <v>1029.4096203284096</v>
      </c>
      <c r="T17" s="125">
        <v>1035.4888109996405</v>
      </c>
      <c r="U17" s="125">
        <v>1006.106056088692</v>
      </c>
      <c r="V17" s="125">
        <v>995.97407163664002</v>
      </c>
      <c r="W17" s="125">
        <v>1090.2015270407173</v>
      </c>
      <c r="X17" s="125">
        <v>1082.0959394790766</v>
      </c>
      <c r="Y17" s="125">
        <v>1096.2807177119482</v>
      </c>
      <c r="Z17" s="125">
        <v>1134.7822586297434</v>
      </c>
      <c r="AA17" s="125">
        <v>1113.5050912804359</v>
      </c>
      <c r="AB17" s="125">
        <v>1130.7294648489226</v>
      </c>
      <c r="AD17" s="114" t="s">
        <v>75</v>
      </c>
      <c r="AE17" s="128" t="s">
        <v>218</v>
      </c>
      <c r="AF17" s="128" t="s">
        <v>218</v>
      </c>
      <c r="AG17" s="128" t="s">
        <v>220</v>
      </c>
      <c r="AH17" s="128" t="s">
        <v>216</v>
      </c>
      <c r="AI17" s="128" t="s">
        <v>217</v>
      </c>
      <c r="AJ17" s="128" t="s">
        <v>224</v>
      </c>
      <c r="AK17" s="128" t="s">
        <v>219</v>
      </c>
      <c r="AL17" s="128" t="s">
        <v>220</v>
      </c>
      <c r="AM17" s="128" t="s">
        <v>220</v>
      </c>
      <c r="AN17" s="128" t="s">
        <v>218</v>
      </c>
      <c r="AO17" s="128" t="s">
        <v>222</v>
      </c>
      <c r="AP17" s="128" t="s">
        <v>224</v>
      </c>
      <c r="AQ17" s="128" t="s">
        <v>216</v>
      </c>
      <c r="AR17" s="128" t="s">
        <v>216</v>
      </c>
      <c r="AS17" s="128" t="s">
        <v>222</v>
      </c>
      <c r="AT17" s="128" t="s">
        <v>217</v>
      </c>
      <c r="AU17" s="128" t="s">
        <v>217</v>
      </c>
      <c r="AV17" s="128" t="s">
        <v>217</v>
      </c>
      <c r="AW17" s="128" t="s">
        <v>218</v>
      </c>
      <c r="AX17" s="128" t="s">
        <v>224</v>
      </c>
      <c r="AY17" s="128" t="s">
        <v>218</v>
      </c>
      <c r="AZ17" s="128" t="s">
        <v>217</v>
      </c>
      <c r="BA17" s="128" t="s">
        <v>217</v>
      </c>
      <c r="BB17" s="128" t="s">
        <v>224</v>
      </c>
      <c r="BC17" s="128" t="s">
        <v>219</v>
      </c>
      <c r="BD17" s="128" t="s">
        <v>221</v>
      </c>
    </row>
    <row r="18" spans="2:56">
      <c r="B18" s="127" t="s">
        <v>111</v>
      </c>
      <c r="C18" s="125">
        <v>624.85974512690632</v>
      </c>
      <c r="D18" s="125">
        <v>612.21502853074628</v>
      </c>
      <c r="E18" s="125">
        <v>643.82682002114632</v>
      </c>
      <c r="F18" s="125">
        <v>642.24623044662644</v>
      </c>
      <c r="G18" s="125">
        <v>649.09545193621318</v>
      </c>
      <c r="H18" s="125">
        <v>640.13877768059967</v>
      </c>
      <c r="I18" s="125">
        <v>640.66564087210645</v>
      </c>
      <c r="J18" s="125">
        <v>644.88054640415953</v>
      </c>
      <c r="K18" s="125">
        <v>641.71936725511932</v>
      </c>
      <c r="L18" s="125">
        <v>507.36925342091962</v>
      </c>
      <c r="M18" s="125">
        <v>497.35885278229301</v>
      </c>
      <c r="N18" s="125">
        <v>492.61708405873304</v>
      </c>
      <c r="O18" s="125">
        <v>497.88571597379979</v>
      </c>
      <c r="P18" s="125">
        <v>510.53043256995977</v>
      </c>
      <c r="Q18" s="125">
        <v>496.83198959078635</v>
      </c>
      <c r="R18" s="125">
        <v>496.30512639927969</v>
      </c>
      <c r="S18" s="125">
        <v>548.99144554994655</v>
      </c>
      <c r="T18" s="125">
        <v>530.02437065570621</v>
      </c>
      <c r="U18" s="125">
        <v>521.5945595915997</v>
      </c>
      <c r="V18" s="125">
        <v>526.33632831515945</v>
      </c>
      <c r="W18" s="125">
        <v>554.78694065651939</v>
      </c>
      <c r="X18" s="125">
        <v>564.79734129514645</v>
      </c>
      <c r="Y18" s="125">
        <v>567.43165725267932</v>
      </c>
      <c r="Z18" s="125">
        <v>593.24795363650628</v>
      </c>
      <c r="AA18" s="125">
        <v>575.86146831678604</v>
      </c>
      <c r="AB18" s="125">
        <v>584.29127938089312</v>
      </c>
      <c r="AD18" s="127" t="s">
        <v>111</v>
      </c>
      <c r="AE18" s="128" t="s">
        <v>219</v>
      </c>
      <c r="AF18" s="128" t="s">
        <v>216</v>
      </c>
      <c r="AG18" s="128" t="s">
        <v>222</v>
      </c>
      <c r="AH18" s="128" t="s">
        <v>219</v>
      </c>
      <c r="AI18" s="128" t="s">
        <v>223</v>
      </c>
      <c r="AJ18" s="128" t="s">
        <v>223</v>
      </c>
      <c r="AK18" s="128" t="s">
        <v>216</v>
      </c>
      <c r="AL18" s="128" t="s">
        <v>218</v>
      </c>
      <c r="AM18" s="128" t="s">
        <v>217</v>
      </c>
      <c r="AN18" s="128" t="s">
        <v>223</v>
      </c>
      <c r="AO18" s="128" t="s">
        <v>224</v>
      </c>
      <c r="AP18" s="128" t="s">
        <v>223</v>
      </c>
      <c r="AQ18" s="128" t="s">
        <v>224</v>
      </c>
      <c r="AR18" s="128" t="s">
        <v>224</v>
      </c>
      <c r="AS18" s="128" t="s">
        <v>216</v>
      </c>
      <c r="AT18" s="128" t="s">
        <v>218</v>
      </c>
      <c r="AU18" s="128" t="s">
        <v>224</v>
      </c>
      <c r="AV18" s="128" t="s">
        <v>218</v>
      </c>
      <c r="AW18" s="128" t="s">
        <v>220</v>
      </c>
      <c r="AX18" s="128" t="s">
        <v>217</v>
      </c>
      <c r="AY18" s="128" t="s">
        <v>216</v>
      </c>
      <c r="AZ18" s="128" t="s">
        <v>221</v>
      </c>
      <c r="BA18" s="128" t="s">
        <v>218</v>
      </c>
      <c r="BB18" s="128" t="s">
        <v>217</v>
      </c>
      <c r="BC18" s="128" t="s">
        <v>218</v>
      </c>
      <c r="BD18" s="128" t="s">
        <v>222</v>
      </c>
    </row>
    <row r="19" spans="2:56">
      <c r="B19" s="127" t="s">
        <v>112</v>
      </c>
      <c r="C19" s="125">
        <v>941.05871590652237</v>
      </c>
      <c r="D19" s="125">
        <v>945.11150968734307</v>
      </c>
      <c r="E19" s="125">
        <v>974.2916249092508</v>
      </c>
      <c r="F19" s="125">
        <v>992.12391754486134</v>
      </c>
      <c r="G19" s="125">
        <v>978.34441869007094</v>
      </c>
      <c r="H19" s="125">
        <v>1009.9562101804713</v>
      </c>
      <c r="I19" s="125">
        <v>997.79782883800965</v>
      </c>
      <c r="J19" s="125">
        <v>990.50280003253283</v>
      </c>
      <c r="K19" s="125">
        <v>967.80715485993755</v>
      </c>
      <c r="L19" s="125">
        <v>785.43143472301495</v>
      </c>
      <c r="M19" s="125">
        <v>760.30411328192758</v>
      </c>
      <c r="N19" s="125">
        <v>787.05255223534311</v>
      </c>
      <c r="O19" s="125">
        <v>787.05255223534311</v>
      </c>
      <c r="P19" s="125">
        <v>758.68299576959907</v>
      </c>
      <c r="Q19" s="125">
        <v>774.08361213671765</v>
      </c>
      <c r="R19" s="125">
        <v>791.10534601616337</v>
      </c>
      <c r="S19" s="125">
        <v>806.50596238328137</v>
      </c>
      <c r="T19" s="125">
        <v>813.80099118875842</v>
      </c>
      <c r="U19" s="125">
        <v>825.14881377505594</v>
      </c>
      <c r="V19" s="125">
        <v>821.90657875039938</v>
      </c>
      <c r="W19" s="125">
        <v>854.32892899696333</v>
      </c>
      <c r="X19" s="125">
        <v>883.50904421887105</v>
      </c>
      <c r="Y19" s="125">
        <v>874.59289790106607</v>
      </c>
      <c r="Z19" s="125">
        <v>912.68915944077901</v>
      </c>
      <c r="AA19" s="125">
        <v>907.82580690379461</v>
      </c>
      <c r="AB19" s="125">
        <v>924.84754078324045</v>
      </c>
      <c r="AD19" s="127" t="s">
        <v>112</v>
      </c>
      <c r="AE19" s="128" t="s">
        <v>221</v>
      </c>
      <c r="AF19" s="128" t="s">
        <v>223</v>
      </c>
      <c r="AG19" s="128" t="s">
        <v>224</v>
      </c>
      <c r="AH19" s="128" t="s">
        <v>220</v>
      </c>
      <c r="AI19" s="128" t="s">
        <v>216</v>
      </c>
      <c r="AJ19" s="128" t="s">
        <v>219</v>
      </c>
      <c r="AK19" s="128" t="s">
        <v>221</v>
      </c>
      <c r="AL19" s="128" t="s">
        <v>216</v>
      </c>
      <c r="AM19" s="128" t="s">
        <v>219</v>
      </c>
      <c r="AN19" s="128" t="s">
        <v>217</v>
      </c>
      <c r="AO19" s="128" t="s">
        <v>220</v>
      </c>
      <c r="AP19" s="128" t="s">
        <v>217</v>
      </c>
      <c r="AQ19" s="128" t="s">
        <v>223</v>
      </c>
      <c r="AR19" s="128" t="s">
        <v>218</v>
      </c>
      <c r="AS19" s="128" t="s">
        <v>216</v>
      </c>
      <c r="AT19" s="128" t="s">
        <v>218</v>
      </c>
      <c r="AU19" s="128" t="s">
        <v>221</v>
      </c>
      <c r="AV19" s="128" t="s">
        <v>221</v>
      </c>
      <c r="AW19" s="128" t="s">
        <v>216</v>
      </c>
      <c r="AX19" s="128" t="s">
        <v>220</v>
      </c>
      <c r="AY19" s="128" t="s">
        <v>221</v>
      </c>
      <c r="AZ19" s="128" t="s">
        <v>224</v>
      </c>
      <c r="BA19" s="128" t="s">
        <v>221</v>
      </c>
      <c r="BB19" s="128" t="s">
        <v>222</v>
      </c>
      <c r="BC19" s="128" t="s">
        <v>218</v>
      </c>
      <c r="BD19" s="128" t="s">
        <v>220</v>
      </c>
    </row>
    <row r="20" spans="2:56">
      <c r="B20" s="127" t="s">
        <v>113</v>
      </c>
      <c r="C20" s="125">
        <v>4636.3960852586642</v>
      </c>
      <c r="D20" s="125">
        <v>4798.5078364914862</v>
      </c>
      <c r="E20" s="125">
        <v>4899.8276810119978</v>
      </c>
      <c r="F20" s="125">
        <v>4859.2997432037937</v>
      </c>
      <c r="G20" s="125">
        <v>4879.5637121078953</v>
      </c>
      <c r="H20" s="125">
        <v>4847.1413618613296</v>
      </c>
      <c r="I20" s="125">
        <v>4879.5637121078953</v>
      </c>
      <c r="J20" s="125">
        <v>4887.6692996695347</v>
      </c>
      <c r="K20" s="125">
        <v>4980.8835566284088</v>
      </c>
      <c r="L20" s="125">
        <v>3781.2565975055354</v>
      </c>
      <c r="M20" s="125">
        <v>3801.5205664096402</v>
      </c>
      <c r="N20" s="125">
        <v>3910.9459984917926</v>
      </c>
      <c r="O20" s="125">
        <v>3829.8901228753839</v>
      </c>
      <c r="P20" s="125">
        <v>3955.5267300808187</v>
      </c>
      <c r="Q20" s="125">
        <v>3910.9459984917926</v>
      </c>
      <c r="R20" s="125">
        <v>3906.8932047109715</v>
      </c>
      <c r="S20" s="125">
        <v>4218.9583258341499</v>
      </c>
      <c r="T20" s="125">
        <v>4097.3745124095358</v>
      </c>
      <c r="U20" s="125">
        <v>4036.5826056972273</v>
      </c>
      <c r="V20" s="125">
        <v>4227.063913395792</v>
      </c>
      <c r="W20" s="125">
        <v>4409.4396335327147</v>
      </c>
      <c r="X20" s="125">
        <v>4291.9086138889206</v>
      </c>
      <c r="Y20" s="125">
        <v>4385.1228708477929</v>
      </c>
      <c r="Z20" s="125">
        <v>4543.1818282997929</v>
      </c>
      <c r="AA20" s="125">
        <v>4559.3930034230743</v>
      </c>
      <c r="AB20" s="125">
        <v>4510.7594780532263</v>
      </c>
      <c r="AD20" s="127" t="s">
        <v>113</v>
      </c>
      <c r="AE20" s="128" t="s">
        <v>218</v>
      </c>
      <c r="AF20" s="128" t="s">
        <v>222</v>
      </c>
      <c r="AG20" s="128" t="s">
        <v>222</v>
      </c>
      <c r="AH20" s="128" t="s">
        <v>221</v>
      </c>
      <c r="AI20" s="128" t="s">
        <v>223</v>
      </c>
      <c r="AJ20" s="128" t="s">
        <v>219</v>
      </c>
      <c r="AK20" s="128" t="s">
        <v>217</v>
      </c>
      <c r="AL20" s="128" t="s">
        <v>218</v>
      </c>
      <c r="AM20" s="128" t="s">
        <v>224</v>
      </c>
      <c r="AN20" s="128" t="s">
        <v>223</v>
      </c>
      <c r="AO20" s="128" t="s">
        <v>221</v>
      </c>
      <c r="AP20" s="128" t="s">
        <v>220</v>
      </c>
      <c r="AQ20" s="128" t="s">
        <v>217</v>
      </c>
      <c r="AR20" s="128" t="s">
        <v>219</v>
      </c>
      <c r="AS20" s="128" t="s">
        <v>220</v>
      </c>
      <c r="AT20" s="128" t="s">
        <v>216</v>
      </c>
      <c r="AU20" s="128" t="s">
        <v>222</v>
      </c>
      <c r="AV20" s="128" t="s">
        <v>223</v>
      </c>
      <c r="AW20" s="128" t="s">
        <v>222</v>
      </c>
      <c r="AX20" s="128" t="s">
        <v>222</v>
      </c>
      <c r="AY20" s="128" t="s">
        <v>221</v>
      </c>
      <c r="AZ20" s="128" t="s">
        <v>216</v>
      </c>
      <c r="BA20" s="128" t="s">
        <v>218</v>
      </c>
      <c r="BB20" s="128" t="s">
        <v>220</v>
      </c>
      <c r="BC20" s="128" t="s">
        <v>220</v>
      </c>
      <c r="BD20" s="128" t="s">
        <v>216</v>
      </c>
    </row>
    <row r="21" spans="2:56">
      <c r="B21" s="114" t="s">
        <v>76</v>
      </c>
      <c r="C21" s="125">
        <v>6243.3288193539947</v>
      </c>
      <c r="D21" s="125">
        <v>6137.9561810526648</v>
      </c>
      <c r="E21" s="125">
        <v>6385.581881060798</v>
      </c>
      <c r="F21" s="125">
        <v>6496.2231512771968</v>
      </c>
      <c r="G21" s="125">
        <v>6448.8054640415949</v>
      </c>
      <c r="H21" s="125">
        <v>6359.2387214854625</v>
      </c>
      <c r="I21" s="125">
        <v>6559.4467342579974</v>
      </c>
      <c r="J21" s="125">
        <v>6364.5073534005296</v>
      </c>
      <c r="K21" s="125">
        <v>6322.3582980799956</v>
      </c>
      <c r="L21" s="125">
        <v>5147.4533810201292</v>
      </c>
      <c r="M21" s="125">
        <v>5105.304325699597</v>
      </c>
      <c r="N21" s="125">
        <v>4978.8571597379951</v>
      </c>
      <c r="O21" s="125">
        <v>4952.5140001626651</v>
      </c>
      <c r="P21" s="125">
        <v>4915.6335767571991</v>
      </c>
      <c r="Q21" s="125">
        <v>5078.9611661242625</v>
      </c>
      <c r="R21" s="125">
        <v>4915.6335767571991</v>
      </c>
      <c r="S21" s="125">
        <v>5331.8554980474637</v>
      </c>
      <c r="T21" s="125">
        <v>5210.6769640009306</v>
      </c>
      <c r="U21" s="125">
        <v>5458.302664009062</v>
      </c>
      <c r="V21" s="125">
        <v>5226.4828597461292</v>
      </c>
      <c r="W21" s="125">
        <v>5716.4656278473312</v>
      </c>
      <c r="X21" s="125">
        <v>5642.7047810363965</v>
      </c>
      <c r="Y21" s="125">
        <v>5542.60077465013</v>
      </c>
      <c r="Z21" s="125">
        <v>5769.1519469979976</v>
      </c>
      <c r="AA21" s="125">
        <v>5921.9422725349305</v>
      </c>
      <c r="AB21" s="125">
        <v>5979.8972236006621</v>
      </c>
      <c r="AD21" s="114" t="s">
        <v>76</v>
      </c>
      <c r="AE21" s="128" t="s">
        <v>222</v>
      </c>
      <c r="AF21" s="128" t="s">
        <v>219</v>
      </c>
      <c r="AG21" s="128" t="s">
        <v>222</v>
      </c>
      <c r="AH21" s="128" t="s">
        <v>217</v>
      </c>
      <c r="AI21" s="128" t="s">
        <v>218</v>
      </c>
      <c r="AJ21" s="128" t="s">
        <v>224</v>
      </c>
      <c r="AK21" s="128" t="s">
        <v>218</v>
      </c>
      <c r="AL21" s="128" t="s">
        <v>221</v>
      </c>
      <c r="AM21" s="128" t="s">
        <v>219</v>
      </c>
      <c r="AN21" s="128" t="s">
        <v>220</v>
      </c>
      <c r="AO21" s="128" t="s">
        <v>219</v>
      </c>
      <c r="AP21" s="128" t="s">
        <v>217</v>
      </c>
      <c r="AQ21" s="128" t="s">
        <v>220</v>
      </c>
      <c r="AR21" s="128" t="s">
        <v>223</v>
      </c>
      <c r="AS21" s="128" t="s">
        <v>224</v>
      </c>
      <c r="AT21" s="128" t="s">
        <v>224</v>
      </c>
      <c r="AU21" s="128" t="s">
        <v>221</v>
      </c>
      <c r="AV21" s="128" t="s">
        <v>224</v>
      </c>
      <c r="AW21" s="128" t="s">
        <v>224</v>
      </c>
      <c r="AX21" s="128" t="s">
        <v>216</v>
      </c>
      <c r="AY21" s="128" t="s">
        <v>216</v>
      </c>
      <c r="AZ21" s="128" t="s">
        <v>221</v>
      </c>
      <c r="BA21" s="128" t="s">
        <v>221</v>
      </c>
      <c r="BB21" s="128" t="s">
        <v>217</v>
      </c>
      <c r="BC21" s="128" t="s">
        <v>221</v>
      </c>
      <c r="BD21" s="128" t="s">
        <v>217</v>
      </c>
    </row>
    <row r="22" spans="2:56">
      <c r="B22" s="127" t="s">
        <v>114</v>
      </c>
      <c r="C22" s="125">
        <v>19031.919594733114</v>
      </c>
      <c r="D22" s="125">
        <v>19015.708419609844</v>
      </c>
      <c r="E22" s="125">
        <v>19485.832498185006</v>
      </c>
      <c r="F22" s="125">
        <v>19518.254848431581</v>
      </c>
      <c r="G22" s="125">
        <v>19647.944249417837</v>
      </c>
      <c r="H22" s="125">
        <v>20085.645977746455</v>
      </c>
      <c r="I22" s="125">
        <v>19420.987797691883</v>
      </c>
      <c r="J22" s="125">
        <v>19988.378927006761</v>
      </c>
      <c r="K22" s="125">
        <v>19745.211300157527</v>
      </c>
      <c r="L22" s="125">
        <v>15530.305768104197</v>
      </c>
      <c r="M22" s="125">
        <v>15562.728118350764</v>
      </c>
      <c r="N22" s="125">
        <v>15481.672242734348</v>
      </c>
      <c r="O22" s="125">
        <v>15530.305768104197</v>
      </c>
      <c r="P22" s="125">
        <v>15222.29344076184</v>
      </c>
      <c r="Q22" s="125">
        <v>15838.318095446553</v>
      </c>
      <c r="R22" s="125">
        <v>15757.262219830151</v>
      </c>
      <c r="S22" s="125">
        <v>16810.988602843481</v>
      </c>
      <c r="T22" s="125">
        <v>16502.976275501122</v>
      </c>
      <c r="U22" s="125">
        <v>15935.58514618624</v>
      </c>
      <c r="V22" s="125">
        <v>16713.721552103783</v>
      </c>
      <c r="W22" s="125">
        <v>17200.056805802247</v>
      </c>
      <c r="X22" s="125">
        <v>17653.969709254146</v>
      </c>
      <c r="Y22" s="125">
        <v>17102.789755062553</v>
      </c>
      <c r="Z22" s="125">
        <v>17848.503810733531</v>
      </c>
      <c r="AA22" s="125">
        <v>18415.894940048391</v>
      </c>
      <c r="AB22" s="125">
        <v>17897.137336103373</v>
      </c>
      <c r="AD22" s="127" t="s">
        <v>114</v>
      </c>
      <c r="AE22" s="128" t="s">
        <v>220</v>
      </c>
      <c r="AF22" s="128" t="s">
        <v>223</v>
      </c>
      <c r="AG22" s="128" t="s">
        <v>216</v>
      </c>
      <c r="AH22" s="128" t="s">
        <v>218</v>
      </c>
      <c r="AI22" s="128" t="s">
        <v>223</v>
      </c>
      <c r="AJ22" s="128" t="s">
        <v>218</v>
      </c>
      <c r="AK22" s="128" t="s">
        <v>219</v>
      </c>
      <c r="AL22" s="128" t="s">
        <v>218</v>
      </c>
      <c r="AM22" s="128" t="s">
        <v>218</v>
      </c>
      <c r="AN22" s="128" t="s">
        <v>217</v>
      </c>
      <c r="AO22" s="128" t="s">
        <v>220</v>
      </c>
      <c r="AP22" s="128" t="s">
        <v>217</v>
      </c>
      <c r="AQ22" s="128" t="s">
        <v>221</v>
      </c>
      <c r="AR22" s="128" t="s">
        <v>223</v>
      </c>
      <c r="AS22" s="128" t="s">
        <v>221</v>
      </c>
      <c r="AT22" s="128" t="s">
        <v>218</v>
      </c>
      <c r="AU22" s="128" t="s">
        <v>223</v>
      </c>
      <c r="AV22" s="128" t="s">
        <v>218</v>
      </c>
      <c r="AW22" s="128" t="s">
        <v>219</v>
      </c>
      <c r="AX22" s="128" t="s">
        <v>221</v>
      </c>
      <c r="AY22" s="128" t="s">
        <v>222</v>
      </c>
      <c r="AZ22" s="128" t="s">
        <v>220</v>
      </c>
      <c r="BA22" s="128" t="s">
        <v>218</v>
      </c>
      <c r="BB22" s="128" t="s">
        <v>217</v>
      </c>
      <c r="BC22" s="128" t="s">
        <v>218</v>
      </c>
      <c r="BD22" s="128" t="s">
        <v>220</v>
      </c>
    </row>
    <row r="23" spans="2:56">
      <c r="B23" s="127" t="s">
        <v>115</v>
      </c>
      <c r="C23" s="125">
        <v>2001.7559042228656</v>
      </c>
      <c r="D23" s="125">
        <v>2011.9689445505342</v>
      </c>
      <c r="E23" s="125">
        <v>2057.927626025039</v>
      </c>
      <c r="F23" s="125">
        <v>2105.588480887488</v>
      </c>
      <c r="G23" s="125">
        <v>2059.6297994129841</v>
      </c>
      <c r="H23" s="125">
        <v>2081.7580534562635</v>
      </c>
      <c r="I23" s="125">
        <v>2117.5036946030996</v>
      </c>
      <c r="J23" s="125">
        <v>2037.5015453697042</v>
      </c>
      <c r="K23" s="125">
        <v>2083.4602268442086</v>
      </c>
      <c r="L23" s="125">
        <v>1615.3625451594389</v>
      </c>
      <c r="M23" s="125">
        <v>1593.2342911161593</v>
      </c>
      <c r="N23" s="125">
        <v>1589.8299443402698</v>
      </c>
      <c r="O23" s="125">
        <v>1671.5342669616111</v>
      </c>
      <c r="P23" s="125">
        <v>1663.0234000218877</v>
      </c>
      <c r="Q23" s="125">
        <v>1606.8516782197155</v>
      </c>
      <c r="R23" s="125">
        <v>1651.1081863062761</v>
      </c>
      <c r="S23" s="125">
        <v>1753.2385895829523</v>
      </c>
      <c r="T23" s="125">
        <v>1712.3864282722818</v>
      </c>
      <c r="U23" s="125">
        <v>1717.4929484361153</v>
      </c>
      <c r="V23" s="125">
        <v>1766.8559766865096</v>
      </c>
      <c r="W23" s="125">
        <v>1838.3472589801836</v>
      </c>
      <c r="X23" s="125">
        <v>1809.410311385124</v>
      </c>
      <c r="Y23" s="125">
        <v>1850.2624726957956</v>
      </c>
      <c r="Z23" s="125">
        <v>1865.5820331872974</v>
      </c>
      <c r="AA23" s="125">
        <v>1868.9863799631869</v>
      </c>
      <c r="AB23" s="125">
        <v>1906.4341944979678</v>
      </c>
      <c r="AD23" s="127" t="s">
        <v>115</v>
      </c>
      <c r="AE23" s="128" t="s">
        <v>218</v>
      </c>
      <c r="AF23" s="128" t="s">
        <v>219</v>
      </c>
      <c r="AG23" s="128" t="s">
        <v>216</v>
      </c>
      <c r="AH23" s="128" t="s">
        <v>218</v>
      </c>
      <c r="AI23" s="128" t="s">
        <v>222</v>
      </c>
      <c r="AJ23" s="128" t="s">
        <v>216</v>
      </c>
      <c r="AK23" s="128" t="s">
        <v>219</v>
      </c>
      <c r="AL23" s="128" t="s">
        <v>223</v>
      </c>
      <c r="AM23" s="128" t="s">
        <v>216</v>
      </c>
      <c r="AN23" s="128" t="s">
        <v>223</v>
      </c>
      <c r="AO23" s="128" t="s">
        <v>218</v>
      </c>
      <c r="AP23" s="128" t="s">
        <v>220</v>
      </c>
      <c r="AQ23" s="128" t="s">
        <v>217</v>
      </c>
      <c r="AR23" s="128" t="s">
        <v>222</v>
      </c>
      <c r="AS23" s="128" t="s">
        <v>219</v>
      </c>
      <c r="AT23" s="128" t="s">
        <v>224</v>
      </c>
      <c r="AU23" s="128" t="s">
        <v>219</v>
      </c>
      <c r="AV23" s="128" t="s">
        <v>219</v>
      </c>
      <c r="AW23" s="128" t="s">
        <v>224</v>
      </c>
      <c r="AX23" s="128" t="s">
        <v>218</v>
      </c>
      <c r="AY23" s="128" t="s">
        <v>219</v>
      </c>
      <c r="AZ23" s="128" t="s">
        <v>220</v>
      </c>
      <c r="BA23" s="128" t="s">
        <v>220</v>
      </c>
      <c r="BB23" s="128" t="s">
        <v>216</v>
      </c>
      <c r="BC23" s="128" t="s">
        <v>221</v>
      </c>
      <c r="BD23" s="128" t="s">
        <v>221</v>
      </c>
    </row>
    <row r="24" spans="2:56">
      <c r="B24" s="127" t="s">
        <v>116</v>
      </c>
      <c r="C24" s="125">
        <v>5144.6164253735551</v>
      </c>
      <c r="D24" s="125">
        <v>5233.7778885516072</v>
      </c>
      <c r="E24" s="125">
        <v>5349.6877906830741</v>
      </c>
      <c r="F24" s="125">
        <v>5340.7716443652707</v>
      </c>
      <c r="G24" s="125">
        <v>5331.8554980474637</v>
      </c>
      <c r="H24" s="125">
        <v>5528.0107170391757</v>
      </c>
      <c r="I24" s="125">
        <v>5416.5588880666128</v>
      </c>
      <c r="J24" s="125">
        <v>5519.0945707213705</v>
      </c>
      <c r="K24" s="125">
        <v>5532.4687901980806</v>
      </c>
      <c r="L24" s="125">
        <v>4257.4598667519467</v>
      </c>
      <c r="M24" s="125">
        <v>4288.6663788642645</v>
      </c>
      <c r="N24" s="125">
        <v>4284.2083057053615</v>
      </c>
      <c r="O24" s="125">
        <v>4342.163256771094</v>
      </c>
      <c r="P24" s="125">
        <v>4230.7114277985302</v>
      </c>
      <c r="Q24" s="125">
        <v>4230.7114277985302</v>
      </c>
      <c r="R24" s="125">
        <v>4302.0405983409737</v>
      </c>
      <c r="S24" s="125">
        <v>4431.324719949147</v>
      </c>
      <c r="T24" s="125">
        <v>4618.5637926230538</v>
      </c>
      <c r="U24" s="125">
        <v>4618.5637926230538</v>
      </c>
      <c r="V24" s="125">
        <v>4516.0281099682943</v>
      </c>
      <c r="W24" s="125">
        <v>4850.3835968859858</v>
      </c>
      <c r="X24" s="125">
        <v>4779.0544263435459</v>
      </c>
      <c r="Y24" s="125">
        <v>4747.847914231229</v>
      </c>
      <c r="Z24" s="125">
        <v>4877.1320358394041</v>
      </c>
      <c r="AA24" s="125">
        <v>5028.7065232420882</v>
      </c>
      <c r="AB24" s="125">
        <v>4903.8804747928179</v>
      </c>
      <c r="AD24" s="127" t="s">
        <v>116</v>
      </c>
      <c r="AE24" s="128" t="s">
        <v>219</v>
      </c>
      <c r="AF24" s="128" t="s">
        <v>219</v>
      </c>
      <c r="AG24" s="128" t="s">
        <v>217</v>
      </c>
      <c r="AH24" s="128" t="s">
        <v>220</v>
      </c>
      <c r="AI24" s="128" t="s">
        <v>221</v>
      </c>
      <c r="AJ24" s="128" t="s">
        <v>220</v>
      </c>
      <c r="AK24" s="128" t="s">
        <v>217</v>
      </c>
      <c r="AL24" s="128" t="s">
        <v>221</v>
      </c>
      <c r="AM24" s="128" t="s">
        <v>216</v>
      </c>
      <c r="AN24" s="128" t="s">
        <v>218</v>
      </c>
      <c r="AO24" s="128" t="s">
        <v>217</v>
      </c>
      <c r="AP24" s="128" t="s">
        <v>216</v>
      </c>
      <c r="AQ24" s="128" t="s">
        <v>218</v>
      </c>
      <c r="AR24" s="128" t="s">
        <v>222</v>
      </c>
      <c r="AS24" s="128" t="s">
        <v>221</v>
      </c>
      <c r="AT24" s="128" t="s">
        <v>224</v>
      </c>
      <c r="AU24" s="128" t="s">
        <v>221</v>
      </c>
      <c r="AV24" s="128" t="s">
        <v>221</v>
      </c>
      <c r="AW24" s="128" t="s">
        <v>222</v>
      </c>
      <c r="AX24" s="128" t="s">
        <v>221</v>
      </c>
      <c r="AY24" s="128" t="s">
        <v>218</v>
      </c>
      <c r="AZ24" s="128" t="s">
        <v>220</v>
      </c>
      <c r="BA24" s="128" t="s">
        <v>218</v>
      </c>
      <c r="BB24" s="128" t="s">
        <v>224</v>
      </c>
      <c r="BC24" s="128" t="s">
        <v>219</v>
      </c>
      <c r="BD24" s="128" t="s">
        <v>219</v>
      </c>
    </row>
    <row r="25" spans="2:56">
      <c r="B25" s="114" t="s">
        <v>77</v>
      </c>
      <c r="C25" s="125">
        <v>4489.2796710148796</v>
      </c>
      <c r="D25" s="125">
        <v>4570.1329069422472</v>
      </c>
      <c r="E25" s="125">
        <v>4677.9372215120748</v>
      </c>
      <c r="F25" s="125">
        <v>4604.7842937682635</v>
      </c>
      <c r="G25" s="125">
        <v>4662.5366051449546</v>
      </c>
      <c r="H25" s="125">
        <v>4654.8362969613972</v>
      </c>
      <c r="I25" s="125">
        <v>4627.8852183189392</v>
      </c>
      <c r="J25" s="125">
        <v>4754.9403033476656</v>
      </c>
      <c r="K25" s="125">
        <v>4778.0412278983422</v>
      </c>
      <c r="L25" s="125">
        <v>3638.3956167316146</v>
      </c>
      <c r="M25" s="125">
        <v>3711.5485444754227</v>
      </c>
      <c r="N25" s="125">
        <v>3599.8940758138187</v>
      </c>
      <c r="O25" s="125">
        <v>3726.9491608425415</v>
      </c>
      <c r="P25" s="125">
        <v>3696.1479281083061</v>
      </c>
      <c r="Q25" s="125">
        <v>3723.0990067507614</v>
      </c>
      <c r="R25" s="125">
        <v>3622.9950003644954</v>
      </c>
      <c r="S25" s="125">
        <v>3842.453783595925</v>
      </c>
      <c r="T25" s="125">
        <v>3807.8023967699105</v>
      </c>
      <c r="U25" s="125">
        <v>3796.2519344945713</v>
      </c>
      <c r="V25" s="125">
        <v>3823.2030131370293</v>
      </c>
      <c r="W25" s="125">
        <v>4038.8116422766784</v>
      </c>
      <c r="X25" s="125">
        <v>4023.411025909561</v>
      </c>
      <c r="Y25" s="125">
        <v>4069.6128750109146</v>
      </c>
      <c r="Z25" s="125">
        <v>4296.7719664259057</v>
      </c>
      <c r="AA25" s="125">
        <v>4373.7750482614938</v>
      </c>
      <c r="AB25" s="125">
        <v>4385.3255105368326</v>
      </c>
      <c r="AD25" s="114" t="s">
        <v>77</v>
      </c>
      <c r="AE25" s="128" t="s">
        <v>218</v>
      </c>
      <c r="AF25" s="128" t="s">
        <v>218</v>
      </c>
      <c r="AG25" s="128" t="s">
        <v>220</v>
      </c>
      <c r="AH25" s="128" t="s">
        <v>219</v>
      </c>
      <c r="AI25" s="128" t="s">
        <v>224</v>
      </c>
      <c r="AJ25" s="128" t="s">
        <v>224</v>
      </c>
      <c r="AK25" s="128" t="s">
        <v>220</v>
      </c>
      <c r="AL25" s="128" t="s">
        <v>220</v>
      </c>
      <c r="AM25" s="128" t="s">
        <v>217</v>
      </c>
      <c r="AN25" s="128" t="s">
        <v>222</v>
      </c>
      <c r="AO25" s="128" t="s">
        <v>224</v>
      </c>
      <c r="AP25" s="128" t="s">
        <v>216</v>
      </c>
      <c r="AQ25" s="128" t="s">
        <v>224</v>
      </c>
      <c r="AR25" s="128" t="s">
        <v>221</v>
      </c>
      <c r="AS25" s="128" t="s">
        <v>223</v>
      </c>
      <c r="AT25" s="128" t="s">
        <v>218</v>
      </c>
      <c r="AU25" s="128" t="s">
        <v>218</v>
      </c>
      <c r="AV25" s="128" t="s">
        <v>220</v>
      </c>
      <c r="AW25" s="128" t="s">
        <v>223</v>
      </c>
      <c r="AX25" s="128" t="s">
        <v>223</v>
      </c>
      <c r="AY25" s="128" t="s">
        <v>222</v>
      </c>
      <c r="AZ25" s="128" t="s">
        <v>222</v>
      </c>
      <c r="BA25" s="128" t="s">
        <v>223</v>
      </c>
      <c r="BB25" s="128" t="s">
        <v>220</v>
      </c>
      <c r="BC25" s="128" t="s">
        <v>220</v>
      </c>
      <c r="BD25" s="128" t="s">
        <v>224</v>
      </c>
    </row>
    <row r="26" spans="2:56">
      <c r="B26" s="114" t="s">
        <v>78</v>
      </c>
      <c r="C26" s="125">
        <v>2761.9789616291773</v>
      </c>
      <c r="D26" s="125">
        <v>2686.7591090571486</v>
      </c>
      <c r="E26" s="125">
        <v>2910.0680463803596</v>
      </c>
      <c r="F26" s="125">
        <v>2820.7444714510748</v>
      </c>
      <c r="G26" s="125">
        <v>2884.2112220587242</v>
      </c>
      <c r="H26" s="125">
        <v>2884.2112220587242</v>
      </c>
      <c r="I26" s="125">
        <v>2832.4975734154541</v>
      </c>
      <c r="J26" s="125">
        <v>2903.0161852017318</v>
      </c>
      <c r="K26" s="125">
        <v>2827.7963326297036</v>
      </c>
      <c r="L26" s="125">
        <v>2197.8300673389617</v>
      </c>
      <c r="M26" s="125">
        <v>2197.8300673389617</v>
      </c>
      <c r="N26" s="125">
        <v>2190.7782061603348</v>
      </c>
      <c r="O26" s="125">
        <v>2294.2055034468749</v>
      </c>
      <c r="P26" s="125">
        <v>2218.9856508748462</v>
      </c>
      <c r="Q26" s="125">
        <v>2258.9461975537356</v>
      </c>
      <c r="R26" s="125">
        <v>2287.153642268247</v>
      </c>
      <c r="S26" s="125">
        <v>2315.3610869827567</v>
      </c>
      <c r="T26" s="125">
        <v>2367.0747356260267</v>
      </c>
      <c r="U26" s="125">
        <v>2446.9958289838073</v>
      </c>
      <c r="V26" s="125">
        <v>2364.7241152331503</v>
      </c>
      <c r="W26" s="125">
        <v>2510.4625795914571</v>
      </c>
      <c r="X26" s="125">
        <v>2519.8650611629605</v>
      </c>
      <c r="Y26" s="125">
        <v>2538.6700243059672</v>
      </c>
      <c r="Z26" s="125">
        <v>2569.2280894133537</v>
      </c>
      <c r="AA26" s="125">
        <v>2665.6035255212664</v>
      </c>
      <c r="AB26" s="125">
        <v>2675.0060070927693</v>
      </c>
      <c r="AD26" s="114" t="s">
        <v>78</v>
      </c>
      <c r="AE26" s="128" t="s">
        <v>219</v>
      </c>
      <c r="AF26" s="128" t="s">
        <v>224</v>
      </c>
      <c r="AG26" s="128" t="s">
        <v>220</v>
      </c>
      <c r="AH26" s="128" t="s">
        <v>221</v>
      </c>
      <c r="AI26" s="128" t="s">
        <v>218</v>
      </c>
      <c r="AJ26" s="128" t="s">
        <v>223</v>
      </c>
      <c r="AK26" s="128" t="s">
        <v>222</v>
      </c>
      <c r="AL26" s="128" t="s">
        <v>218</v>
      </c>
      <c r="AM26" s="128" t="s">
        <v>218</v>
      </c>
      <c r="AN26" s="128" t="s">
        <v>218</v>
      </c>
      <c r="AO26" s="128" t="s">
        <v>218</v>
      </c>
      <c r="AP26" s="128" t="s">
        <v>221</v>
      </c>
      <c r="AQ26" s="128" t="s">
        <v>218</v>
      </c>
      <c r="AR26" s="128" t="s">
        <v>216</v>
      </c>
      <c r="AS26" s="128" t="s">
        <v>220</v>
      </c>
      <c r="AT26" s="128" t="s">
        <v>222</v>
      </c>
      <c r="AU26" s="128" t="s">
        <v>219</v>
      </c>
      <c r="AV26" s="128" t="s">
        <v>222</v>
      </c>
      <c r="AW26" s="128" t="s">
        <v>222</v>
      </c>
      <c r="AX26" s="128" t="s">
        <v>219</v>
      </c>
      <c r="AY26" s="128" t="s">
        <v>220</v>
      </c>
      <c r="AZ26" s="128" t="s">
        <v>224</v>
      </c>
      <c r="BA26" s="128" t="s">
        <v>223</v>
      </c>
      <c r="BB26" s="128" t="s">
        <v>223</v>
      </c>
      <c r="BC26" s="128" t="s">
        <v>221</v>
      </c>
      <c r="BD26" s="128" t="s">
        <v>219</v>
      </c>
    </row>
    <row r="27" spans="2:56">
      <c r="B27" s="114" t="s">
        <v>79</v>
      </c>
      <c r="C27" s="125">
        <v>1795.7118684059512</v>
      </c>
      <c r="D27" s="125">
        <v>1811.1124847730694</v>
      </c>
      <c r="E27" s="125">
        <v>1866.5547036946934</v>
      </c>
      <c r="F27" s="125">
        <v>1886.5755049719469</v>
      </c>
      <c r="G27" s="125">
        <v>1843.4537791440177</v>
      </c>
      <c r="H27" s="125">
        <v>1877.3351351516774</v>
      </c>
      <c r="I27" s="125">
        <v>1841.913717507306</v>
      </c>
      <c r="J27" s="125">
        <v>1889.655628245371</v>
      </c>
      <c r="K27" s="125">
        <v>1865.0146420579824</v>
      </c>
      <c r="L27" s="125">
        <v>1513.8805888876932</v>
      </c>
      <c r="M27" s="125">
        <v>1487.6995410635925</v>
      </c>
      <c r="N27" s="125">
        <v>1450.7380617825106</v>
      </c>
      <c r="O27" s="125">
        <v>1504.6402190674225</v>
      </c>
      <c r="P27" s="125">
        <v>1449.198000145798</v>
      </c>
      <c r="Q27" s="125">
        <v>1493.8597876104398</v>
      </c>
      <c r="R27" s="125">
        <v>1507.7203423408464</v>
      </c>
      <c r="S27" s="125">
        <v>1604.7442254536898</v>
      </c>
      <c r="T27" s="125">
        <v>1592.423732359995</v>
      </c>
      <c r="U27" s="125">
        <v>1601.6641021802654</v>
      </c>
      <c r="V27" s="125">
        <v>1561.6224996257592</v>
      </c>
      <c r="W27" s="125">
        <v>1669.4268141955852</v>
      </c>
      <c r="X27" s="125">
        <v>1650.9460745550434</v>
      </c>
      <c r="Y27" s="125">
        <v>1609.3644103638244</v>
      </c>
      <c r="Z27" s="125">
        <v>1717.1687249336501</v>
      </c>
      <c r="AA27" s="125">
        <v>1743.3497727577508</v>
      </c>
      <c r="AB27" s="125">
        <v>1721.7889098437863</v>
      </c>
      <c r="AD27" s="114" t="s">
        <v>79</v>
      </c>
      <c r="AE27" s="128" t="s">
        <v>221</v>
      </c>
      <c r="AF27" s="128" t="s">
        <v>220</v>
      </c>
      <c r="AG27" s="128" t="s">
        <v>224</v>
      </c>
      <c r="AH27" s="128" t="s">
        <v>223</v>
      </c>
      <c r="AI27" s="128" t="s">
        <v>222</v>
      </c>
      <c r="AJ27" s="128" t="s">
        <v>222</v>
      </c>
      <c r="AK27" s="128" t="s">
        <v>221</v>
      </c>
      <c r="AL27" s="128" t="s">
        <v>219</v>
      </c>
      <c r="AM27" s="128" t="s">
        <v>218</v>
      </c>
      <c r="AN27" s="128" t="s">
        <v>220</v>
      </c>
      <c r="AO27" s="128" t="s">
        <v>221</v>
      </c>
      <c r="AP27" s="128" t="s">
        <v>217</v>
      </c>
      <c r="AQ27" s="128" t="s">
        <v>218</v>
      </c>
      <c r="AR27" s="128" t="s">
        <v>218</v>
      </c>
      <c r="AS27" s="128" t="s">
        <v>217</v>
      </c>
      <c r="AT27" s="128" t="s">
        <v>222</v>
      </c>
      <c r="AU27" s="128" t="s">
        <v>217</v>
      </c>
      <c r="AV27" s="128" t="s">
        <v>220</v>
      </c>
      <c r="AW27" s="128" t="s">
        <v>222</v>
      </c>
      <c r="AX27" s="128" t="s">
        <v>218</v>
      </c>
      <c r="AY27" s="128" t="s">
        <v>221</v>
      </c>
      <c r="AZ27" s="128" t="s">
        <v>217</v>
      </c>
      <c r="BA27" s="128" t="s">
        <v>218</v>
      </c>
      <c r="BB27" s="128" t="s">
        <v>216</v>
      </c>
      <c r="BC27" s="128" t="s">
        <v>221</v>
      </c>
      <c r="BD27" s="128" t="s">
        <v>222</v>
      </c>
    </row>
    <row r="31" spans="2:56">
      <c r="C31" s="126" t="s">
        <v>29</v>
      </c>
      <c r="D31" s="126" t="s">
        <v>30</v>
      </c>
      <c r="E31" s="126" t="s">
        <v>34</v>
      </c>
      <c r="F31" s="126" t="s">
        <v>33</v>
      </c>
      <c r="G31" s="126" t="s">
        <v>37</v>
      </c>
      <c r="H31" s="126" t="s">
        <v>36</v>
      </c>
      <c r="I31" s="126" t="s">
        <v>38</v>
      </c>
      <c r="J31" s="126" t="s">
        <v>39</v>
      </c>
      <c r="K31" s="126" t="s">
        <v>43</v>
      </c>
      <c r="L31" s="126" t="s">
        <v>45</v>
      </c>
      <c r="M31" s="126" t="s">
        <v>46</v>
      </c>
      <c r="N31" s="126" t="s">
        <v>47</v>
      </c>
      <c r="O31" s="126" t="s">
        <v>48</v>
      </c>
      <c r="P31" s="126" t="s">
        <v>49</v>
      </c>
      <c r="Q31" s="126" t="s">
        <v>50</v>
      </c>
      <c r="R31" s="126" t="s">
        <v>52</v>
      </c>
      <c r="S31" s="126" t="s">
        <v>54</v>
      </c>
      <c r="T31" s="126" t="s">
        <v>56</v>
      </c>
      <c r="U31" s="126" t="s">
        <v>55</v>
      </c>
      <c r="V31" s="126" t="s">
        <v>57</v>
      </c>
      <c r="W31" s="126" t="s">
        <v>131</v>
      </c>
      <c r="X31" s="126" t="s">
        <v>132</v>
      </c>
      <c r="Y31" s="126" t="s">
        <v>60</v>
      </c>
      <c r="Z31" s="126" t="s">
        <v>62</v>
      </c>
      <c r="AA31" s="126" t="s">
        <v>64</v>
      </c>
      <c r="AB31" s="126" t="s">
        <v>63</v>
      </c>
    </row>
    <row r="32" spans="2:56">
      <c r="B32" s="124" t="s">
        <v>225</v>
      </c>
    </row>
    <row r="33" spans="2:28">
      <c r="B33" s="114" t="s">
        <v>71</v>
      </c>
      <c r="C33" s="122">
        <f>1-SUM(C39,C42,C45,C49,C53:C55)</f>
        <v>0.42159999999999997</v>
      </c>
      <c r="D33" s="122">
        <f t="shared" ref="D33:AB33" si="1">1-SUM(D39,D42,D45,D49,D53:D55)</f>
        <v>0.45710000000000006</v>
      </c>
      <c r="E33" s="122">
        <f t="shared" si="1"/>
        <v>0.46460000000000001</v>
      </c>
      <c r="F33" s="122">
        <f t="shared" si="1"/>
        <v>0.45240000000000014</v>
      </c>
      <c r="G33" s="122">
        <f t="shared" si="1"/>
        <v>0.49700000000000011</v>
      </c>
      <c r="H33" s="122">
        <f t="shared" si="1"/>
        <v>0.47020000000000006</v>
      </c>
      <c r="I33" s="122">
        <f t="shared" si="1"/>
        <v>0.43010000000000015</v>
      </c>
      <c r="J33" s="122">
        <f t="shared" si="1"/>
        <v>0.46700000000000008</v>
      </c>
      <c r="K33" s="122">
        <f t="shared" si="1"/>
        <v>0.48090000000000011</v>
      </c>
      <c r="L33" s="122">
        <f t="shared" si="1"/>
        <v>0.4447000000000001</v>
      </c>
      <c r="M33" s="122">
        <f t="shared" si="1"/>
        <v>0.46240000000000003</v>
      </c>
      <c r="N33" s="122">
        <f t="shared" si="1"/>
        <v>0.43430000000000002</v>
      </c>
      <c r="O33" s="122">
        <f t="shared" si="1"/>
        <v>0.43720000000000003</v>
      </c>
      <c r="P33" s="122">
        <f t="shared" si="1"/>
        <v>0.47889999999999999</v>
      </c>
      <c r="Q33" s="122">
        <f t="shared" si="1"/>
        <v>0.49090000000000011</v>
      </c>
      <c r="R33" s="122">
        <f t="shared" si="1"/>
        <v>0.49140000000000006</v>
      </c>
      <c r="S33" s="122">
        <f t="shared" si="1"/>
        <v>0.43600000000000005</v>
      </c>
      <c r="T33" s="122">
        <f t="shared" si="1"/>
        <v>0.48280000000000012</v>
      </c>
      <c r="U33" s="122">
        <f t="shared" si="1"/>
        <v>0.45230000000000004</v>
      </c>
      <c r="V33" s="122">
        <f t="shared" si="1"/>
        <v>0.42160000000000009</v>
      </c>
      <c r="W33" s="122">
        <f t="shared" si="1"/>
        <v>0.44660000000000011</v>
      </c>
      <c r="X33" s="122">
        <f t="shared" si="1"/>
        <v>0.45290000000000008</v>
      </c>
      <c r="Y33" s="122">
        <f t="shared" si="1"/>
        <v>0.46150000000000002</v>
      </c>
      <c r="Z33" s="122">
        <f t="shared" si="1"/>
        <v>0.47940000000000005</v>
      </c>
      <c r="AA33" s="122">
        <f t="shared" si="1"/>
        <v>0.44769999999999999</v>
      </c>
      <c r="AB33" s="122">
        <f t="shared" si="1"/>
        <v>0.42930000000000001</v>
      </c>
    </row>
    <row r="34" spans="2:28">
      <c r="B34" s="127" t="s">
        <v>102</v>
      </c>
      <c r="C34" s="122">
        <f>1-SUM(C35:C38)</f>
        <v>0.58110000000000017</v>
      </c>
      <c r="D34" s="122">
        <f t="shared" ref="D34:AB34" si="2">1-SUM(D35:D38)</f>
        <v>0.55370000000000008</v>
      </c>
      <c r="E34" s="122">
        <f t="shared" si="2"/>
        <v>0.52300000000000013</v>
      </c>
      <c r="F34" s="122">
        <f t="shared" si="2"/>
        <v>0.55490000000000017</v>
      </c>
      <c r="G34" s="122">
        <f t="shared" si="2"/>
        <v>0.5414000000000001</v>
      </c>
      <c r="H34" s="122">
        <f t="shared" si="2"/>
        <v>0.56850000000000012</v>
      </c>
      <c r="I34" s="122">
        <f t="shared" si="2"/>
        <v>0.53070000000000006</v>
      </c>
      <c r="J34" s="122">
        <f t="shared" si="2"/>
        <v>0.53890000000000016</v>
      </c>
      <c r="K34" s="122">
        <f t="shared" si="2"/>
        <v>0.56290000000000018</v>
      </c>
      <c r="L34" s="122">
        <f t="shared" si="2"/>
        <v>0.56190000000000018</v>
      </c>
      <c r="M34" s="122">
        <f t="shared" si="2"/>
        <v>0.52660000000000018</v>
      </c>
      <c r="N34" s="122">
        <f t="shared" si="2"/>
        <v>0.5717000000000001</v>
      </c>
      <c r="O34" s="122">
        <f t="shared" si="2"/>
        <v>0.57410000000000005</v>
      </c>
      <c r="P34" s="122">
        <f t="shared" si="2"/>
        <v>0.53400000000000025</v>
      </c>
      <c r="Q34" s="122">
        <f t="shared" si="2"/>
        <v>0.53980000000000017</v>
      </c>
      <c r="R34" s="122">
        <f t="shared" si="2"/>
        <v>0.56130000000000013</v>
      </c>
      <c r="S34" s="122">
        <f t="shared" si="2"/>
        <v>0.56050000000000022</v>
      </c>
      <c r="T34" s="122">
        <f t="shared" si="2"/>
        <v>0.57470000000000021</v>
      </c>
      <c r="U34" s="122">
        <f t="shared" si="2"/>
        <v>0.57950000000000013</v>
      </c>
      <c r="V34" s="122">
        <f t="shared" si="2"/>
        <v>0.54720000000000013</v>
      </c>
      <c r="W34" s="122">
        <f t="shared" si="2"/>
        <v>0.54930000000000012</v>
      </c>
      <c r="X34" s="122">
        <f t="shared" si="2"/>
        <v>0.55320000000000014</v>
      </c>
      <c r="Y34" s="122">
        <f t="shared" si="2"/>
        <v>0.52610000000000023</v>
      </c>
      <c r="Z34" s="122">
        <f t="shared" si="2"/>
        <v>0.52260000000000018</v>
      </c>
      <c r="AA34" s="122">
        <f t="shared" si="2"/>
        <v>0.53150000000000019</v>
      </c>
      <c r="AB34" s="122">
        <f t="shared" si="2"/>
        <v>0.51850000000000018</v>
      </c>
    </row>
    <row r="35" spans="2:28">
      <c r="B35" s="127" t="s">
        <v>103</v>
      </c>
      <c r="C35" s="129">
        <v>0.23680000000000001</v>
      </c>
      <c r="D35" s="129">
        <v>0.2397</v>
      </c>
      <c r="E35" s="129">
        <v>0.26540000000000002</v>
      </c>
      <c r="F35" s="129">
        <v>0.24809999999999999</v>
      </c>
      <c r="G35" s="129">
        <v>0.25519999999999998</v>
      </c>
      <c r="H35" s="129">
        <v>0.2364</v>
      </c>
      <c r="I35" s="129">
        <v>0.25580000000000003</v>
      </c>
      <c r="J35" s="129">
        <v>0.24929999999999999</v>
      </c>
      <c r="K35" s="129">
        <v>0.24229999999999999</v>
      </c>
      <c r="L35" s="129">
        <v>0.23449999999999999</v>
      </c>
      <c r="M35" s="129">
        <v>0.254</v>
      </c>
      <c r="N35" s="129">
        <v>0.247</v>
      </c>
      <c r="O35" s="129">
        <v>0.25409999999999999</v>
      </c>
      <c r="P35" s="129">
        <v>0.26019999999999999</v>
      </c>
      <c r="Q35" s="129">
        <v>0.25659999999999999</v>
      </c>
      <c r="R35" s="129">
        <v>0.2389</v>
      </c>
      <c r="S35" s="129">
        <v>0.24879999999999999</v>
      </c>
      <c r="T35" s="129">
        <v>0.2417</v>
      </c>
      <c r="U35" s="129">
        <v>0.2402</v>
      </c>
      <c r="V35" s="129">
        <v>0.26729999999999998</v>
      </c>
      <c r="W35" s="129">
        <v>0.2341</v>
      </c>
      <c r="X35" s="129">
        <v>0.23799999999999999</v>
      </c>
      <c r="Y35" s="129">
        <v>0.26629999999999998</v>
      </c>
      <c r="Z35" s="129">
        <v>0.2646</v>
      </c>
      <c r="AA35" s="129">
        <v>0.26079999999999998</v>
      </c>
      <c r="AB35" s="129">
        <v>0.26769999999999999</v>
      </c>
    </row>
    <row r="36" spans="2:28">
      <c r="B36" s="127" t="s">
        <v>104</v>
      </c>
      <c r="C36" s="129">
        <v>6.0800000000000007E-2</v>
      </c>
      <c r="D36" s="129">
        <v>6.7899999999999988E-2</v>
      </c>
      <c r="E36" s="129">
        <v>7.9199999999999993E-2</v>
      </c>
      <c r="F36" s="129">
        <v>7.5300000000000006E-2</v>
      </c>
      <c r="G36" s="129">
        <v>6.5100000000000005E-2</v>
      </c>
      <c r="H36" s="129">
        <v>6.3600000000000004E-2</v>
      </c>
      <c r="I36" s="129">
        <v>6.0200000000000004E-2</v>
      </c>
      <c r="J36" s="129">
        <v>7.3000000000000009E-2</v>
      </c>
      <c r="K36" s="129">
        <v>6.3800000000000009E-2</v>
      </c>
      <c r="L36" s="129">
        <v>6.5800000000000011E-2</v>
      </c>
      <c r="M36" s="129">
        <v>7.010000000000001E-2</v>
      </c>
      <c r="N36" s="129">
        <v>7.1000000000000008E-2</v>
      </c>
      <c r="O36" s="129">
        <v>6.6300000000000012E-2</v>
      </c>
      <c r="P36" s="129">
        <v>6.430000000000001E-2</v>
      </c>
      <c r="Q36" s="129">
        <v>7.1400000000000019E-2</v>
      </c>
      <c r="R36" s="129">
        <v>6.5500000000000003E-2</v>
      </c>
      <c r="S36" s="129">
        <v>6.4900000000000013E-2</v>
      </c>
      <c r="T36" s="129">
        <v>6.3600000000000004E-2</v>
      </c>
      <c r="U36" s="129">
        <v>6.6500000000000004E-2</v>
      </c>
      <c r="V36" s="129">
        <v>7.8699999999999992E-2</v>
      </c>
      <c r="W36" s="129">
        <v>6.8000000000000005E-2</v>
      </c>
      <c r="X36" s="129">
        <v>7.51E-2</v>
      </c>
      <c r="Y36" s="129">
        <v>7.060000000000001E-2</v>
      </c>
      <c r="Z36" s="129">
        <v>7.5600000000000001E-2</v>
      </c>
      <c r="AA36" s="129">
        <v>7.9000000000000001E-2</v>
      </c>
      <c r="AB36" s="129">
        <v>6.8500000000000005E-2</v>
      </c>
    </row>
    <row r="37" spans="2:28">
      <c r="B37" s="127" t="s">
        <v>105</v>
      </c>
      <c r="C37" s="129">
        <v>4.130000000000001E-2</v>
      </c>
      <c r="D37" s="129">
        <v>5.9200000000000003E-2</v>
      </c>
      <c r="E37" s="129">
        <v>4.2400000000000007E-2</v>
      </c>
      <c r="F37" s="129">
        <v>4.6300000000000001E-2</v>
      </c>
      <c r="G37" s="129">
        <v>5.4399999999999997E-2</v>
      </c>
      <c r="H37" s="129">
        <v>4.6699999999999992E-2</v>
      </c>
      <c r="I37" s="129">
        <v>5.5300000000000002E-2</v>
      </c>
      <c r="J37" s="129">
        <v>5.0199999999999995E-2</v>
      </c>
      <c r="K37" s="129">
        <v>4.2800000000000005E-2</v>
      </c>
      <c r="L37" s="129">
        <v>5.8099999999999999E-2</v>
      </c>
      <c r="M37" s="129">
        <v>5.91E-2</v>
      </c>
      <c r="N37" s="129">
        <v>4.02E-2</v>
      </c>
      <c r="O37" s="129">
        <v>4.1600000000000005E-2</v>
      </c>
      <c r="P37" s="129">
        <v>5.3799999999999987E-2</v>
      </c>
      <c r="Q37" s="129">
        <v>4.2500000000000003E-2</v>
      </c>
      <c r="R37" s="129">
        <v>5.779999999999999E-2</v>
      </c>
      <c r="S37" s="129">
        <v>4.2800000000000005E-2</v>
      </c>
      <c r="T37" s="129">
        <v>4.6900000000000004E-2</v>
      </c>
      <c r="U37" s="129">
        <v>4.5000000000000012E-2</v>
      </c>
      <c r="V37" s="129">
        <v>4.0600000000000004E-2</v>
      </c>
      <c r="W37" s="129">
        <v>5.3599999999999995E-2</v>
      </c>
      <c r="X37" s="129">
        <v>4.9399999999999999E-2</v>
      </c>
      <c r="Y37" s="129">
        <v>5.7499999999999996E-2</v>
      </c>
      <c r="Z37" s="129">
        <v>4.1800000000000004E-2</v>
      </c>
      <c r="AA37" s="129">
        <v>5.8099999999999999E-2</v>
      </c>
      <c r="AB37" s="129">
        <v>5.0500000000000003E-2</v>
      </c>
    </row>
    <row r="38" spans="2:28">
      <c r="B38" s="127" t="s">
        <v>106</v>
      </c>
      <c r="C38" s="129">
        <v>7.9999999999999849E-2</v>
      </c>
      <c r="D38" s="129">
        <v>7.9499999999999849E-2</v>
      </c>
      <c r="E38" s="129">
        <v>8.9999999999999844E-2</v>
      </c>
      <c r="F38" s="129">
        <v>7.5399999999999856E-2</v>
      </c>
      <c r="G38" s="129">
        <v>8.389999999999985E-2</v>
      </c>
      <c r="H38" s="129">
        <v>8.4799999999999848E-2</v>
      </c>
      <c r="I38" s="129">
        <v>9.7999999999999851E-2</v>
      </c>
      <c r="J38" s="129">
        <v>8.8599999999999846E-2</v>
      </c>
      <c r="K38" s="129">
        <v>8.8199999999999848E-2</v>
      </c>
      <c r="L38" s="129">
        <v>7.9699999999999854E-2</v>
      </c>
      <c r="M38" s="129">
        <v>9.019999999999985E-2</v>
      </c>
      <c r="N38" s="129">
        <v>7.0099999999999843E-2</v>
      </c>
      <c r="O38" s="129">
        <v>6.3899999999999846E-2</v>
      </c>
      <c r="P38" s="129">
        <v>8.7699999999999848E-2</v>
      </c>
      <c r="Q38" s="129">
        <v>8.9699999999999849E-2</v>
      </c>
      <c r="R38" s="129">
        <v>7.6499999999999846E-2</v>
      </c>
      <c r="S38" s="129">
        <v>8.2999999999999852E-2</v>
      </c>
      <c r="T38" s="129">
        <v>7.3099999999999846E-2</v>
      </c>
      <c r="U38" s="129">
        <v>6.8799999999999847E-2</v>
      </c>
      <c r="V38" s="129">
        <v>6.6199999999999842E-2</v>
      </c>
      <c r="W38" s="129">
        <v>9.4999999999999848E-2</v>
      </c>
      <c r="X38" s="129">
        <v>8.4299999999999847E-2</v>
      </c>
      <c r="Y38" s="129">
        <v>7.9499999999999849E-2</v>
      </c>
      <c r="Z38" s="129">
        <v>9.5399999999999846E-2</v>
      </c>
      <c r="AA38" s="129">
        <v>7.0599999999999843E-2</v>
      </c>
      <c r="AB38" s="129">
        <v>9.4799999999999857E-2</v>
      </c>
    </row>
    <row r="39" spans="2:28">
      <c r="B39" s="114" t="s">
        <v>73</v>
      </c>
      <c r="C39" s="129">
        <v>0.2346</v>
      </c>
      <c r="D39" s="129">
        <v>0.2417</v>
      </c>
      <c r="E39" s="129">
        <v>0.24540000000000001</v>
      </c>
      <c r="F39" s="129">
        <v>0.23240000000000002</v>
      </c>
      <c r="G39" s="129">
        <v>0.22040000000000001</v>
      </c>
      <c r="H39" s="129">
        <v>0.21380000000000002</v>
      </c>
      <c r="I39" s="129">
        <v>0.222</v>
      </c>
      <c r="J39" s="129">
        <v>0.23</v>
      </c>
      <c r="K39" s="129">
        <v>0.22840000000000002</v>
      </c>
      <c r="L39" s="129">
        <v>0.2394</v>
      </c>
      <c r="M39" s="129">
        <v>0.2203</v>
      </c>
      <c r="N39" s="129">
        <v>0.22390000000000002</v>
      </c>
      <c r="O39" s="129">
        <v>0.2432</v>
      </c>
      <c r="P39" s="129">
        <v>0.2278</v>
      </c>
      <c r="Q39" s="129">
        <v>0.23500000000000001</v>
      </c>
      <c r="R39" s="129">
        <v>0.22210000000000002</v>
      </c>
      <c r="S39" s="129">
        <v>0.2475</v>
      </c>
      <c r="T39" s="129">
        <v>0.21480000000000002</v>
      </c>
      <c r="U39" s="129">
        <v>0.2419</v>
      </c>
      <c r="V39" s="129">
        <v>0.24200000000000002</v>
      </c>
      <c r="W39" s="129">
        <v>0.2414</v>
      </c>
      <c r="X39" s="129">
        <v>0.22490000000000002</v>
      </c>
      <c r="Y39" s="129">
        <v>0.2331</v>
      </c>
      <c r="Z39" s="129">
        <v>0.22610000000000002</v>
      </c>
      <c r="AA39" s="129">
        <v>0.23930000000000001</v>
      </c>
      <c r="AB39" s="129">
        <v>0.24060000000000001</v>
      </c>
    </row>
    <row r="40" spans="2:28">
      <c r="B40" s="127" t="s">
        <v>107</v>
      </c>
      <c r="C40" s="129">
        <f>1-C41</f>
        <v>0.73160000000000003</v>
      </c>
      <c r="D40" s="129">
        <f t="shared" ref="D40:AB40" si="3">1-D41</f>
        <v>0.70469999999999999</v>
      </c>
      <c r="E40" s="129">
        <f t="shared" si="3"/>
        <v>0.70879999999999999</v>
      </c>
      <c r="F40" s="129">
        <f t="shared" si="3"/>
        <v>0.72119999999999995</v>
      </c>
      <c r="G40" s="129">
        <f t="shared" si="3"/>
        <v>0.70479999999999998</v>
      </c>
      <c r="H40" s="129">
        <f t="shared" si="3"/>
        <v>0.72219999999999995</v>
      </c>
      <c r="I40" s="129">
        <f t="shared" si="3"/>
        <v>0.7246999999999999</v>
      </c>
      <c r="J40" s="129">
        <f t="shared" si="3"/>
        <v>0.73599999999999999</v>
      </c>
      <c r="K40" s="129">
        <f t="shared" si="3"/>
        <v>0.72299999999999998</v>
      </c>
      <c r="L40" s="129">
        <f t="shared" si="3"/>
        <v>0.73160000000000003</v>
      </c>
      <c r="M40" s="129">
        <f t="shared" si="3"/>
        <v>0.73049999999999993</v>
      </c>
      <c r="N40" s="129">
        <f t="shared" si="3"/>
        <v>0.72789999999999999</v>
      </c>
      <c r="O40" s="129">
        <f t="shared" si="3"/>
        <v>0.71279999999999999</v>
      </c>
      <c r="P40" s="129">
        <f t="shared" si="3"/>
        <v>0.71109999999999995</v>
      </c>
      <c r="Q40" s="129">
        <f t="shared" si="3"/>
        <v>0.70940000000000003</v>
      </c>
      <c r="R40" s="129">
        <f t="shared" si="3"/>
        <v>0.70389999999999997</v>
      </c>
      <c r="S40" s="129">
        <f t="shared" si="3"/>
        <v>0.7347999999999999</v>
      </c>
      <c r="T40" s="129">
        <f t="shared" si="3"/>
        <v>0.70779999999999998</v>
      </c>
      <c r="U40" s="129">
        <f t="shared" si="3"/>
        <v>0.7228</v>
      </c>
      <c r="V40" s="129">
        <f t="shared" si="3"/>
        <v>0.70889999999999997</v>
      </c>
      <c r="W40" s="129">
        <f t="shared" si="3"/>
        <v>0.72560000000000002</v>
      </c>
      <c r="X40" s="129">
        <f t="shared" si="3"/>
        <v>0.72330000000000005</v>
      </c>
      <c r="Y40" s="129">
        <f t="shared" si="3"/>
        <v>0.73360000000000003</v>
      </c>
      <c r="Z40" s="129">
        <f t="shared" si="3"/>
        <v>0.71989999999999998</v>
      </c>
      <c r="AA40" s="129">
        <f t="shared" si="3"/>
        <v>0.70439999999999992</v>
      </c>
      <c r="AB40" s="129">
        <f t="shared" si="3"/>
        <v>0.70429999999999993</v>
      </c>
    </row>
    <row r="41" spans="2:28">
      <c r="B41" s="127" t="s">
        <v>108</v>
      </c>
      <c r="C41" s="129">
        <v>0.26840000000000003</v>
      </c>
      <c r="D41" s="129">
        <v>0.29530000000000001</v>
      </c>
      <c r="E41" s="129">
        <v>0.29120000000000001</v>
      </c>
      <c r="F41" s="129">
        <v>0.27880000000000005</v>
      </c>
      <c r="G41" s="129">
        <v>0.29520000000000002</v>
      </c>
      <c r="H41" s="129">
        <v>0.27780000000000005</v>
      </c>
      <c r="I41" s="129">
        <v>0.27530000000000004</v>
      </c>
      <c r="J41" s="129">
        <v>0.26400000000000001</v>
      </c>
      <c r="K41" s="129">
        <v>0.27700000000000002</v>
      </c>
      <c r="L41" s="129">
        <v>0.26840000000000003</v>
      </c>
      <c r="M41" s="129">
        <v>0.26950000000000002</v>
      </c>
      <c r="N41" s="129">
        <v>0.27210000000000001</v>
      </c>
      <c r="O41" s="129">
        <v>0.28720000000000001</v>
      </c>
      <c r="P41" s="129">
        <v>0.28890000000000005</v>
      </c>
      <c r="Q41" s="129">
        <v>0.29060000000000002</v>
      </c>
      <c r="R41" s="129">
        <v>0.29610000000000003</v>
      </c>
      <c r="S41" s="129">
        <v>0.26520000000000005</v>
      </c>
      <c r="T41" s="129">
        <v>0.29220000000000002</v>
      </c>
      <c r="U41" s="129">
        <v>0.2772</v>
      </c>
      <c r="V41" s="129">
        <v>0.29110000000000003</v>
      </c>
      <c r="W41" s="129">
        <v>0.27440000000000003</v>
      </c>
      <c r="X41" s="129">
        <v>0.2767</v>
      </c>
      <c r="Y41" s="129">
        <v>0.26640000000000003</v>
      </c>
      <c r="Z41" s="129">
        <v>0.28010000000000002</v>
      </c>
      <c r="AA41" s="129">
        <v>0.29560000000000003</v>
      </c>
      <c r="AB41" s="129">
        <v>0.29570000000000002</v>
      </c>
    </row>
    <row r="42" spans="2:28">
      <c r="B42" s="114" t="s">
        <v>74</v>
      </c>
      <c r="C42" s="129">
        <v>0.10069999999999998</v>
      </c>
      <c r="D42" s="129">
        <v>7.9600000000000004E-2</v>
      </c>
      <c r="E42" s="129">
        <v>0.10289999999999999</v>
      </c>
      <c r="F42" s="129">
        <v>0.1013</v>
      </c>
      <c r="G42" s="129">
        <v>9.1299999999999992E-2</v>
      </c>
      <c r="H42" s="129">
        <v>0.1026</v>
      </c>
      <c r="I42" s="129">
        <v>9.7900000000000001E-2</v>
      </c>
      <c r="J42" s="129">
        <v>8.4699999999999998E-2</v>
      </c>
      <c r="K42" s="129">
        <v>7.9000000000000001E-2</v>
      </c>
      <c r="L42" s="129">
        <v>9.1200000000000003E-2</v>
      </c>
      <c r="M42" s="129">
        <v>0.1021</v>
      </c>
      <c r="N42" s="129">
        <v>9.7599999999999992E-2</v>
      </c>
      <c r="O42" s="129">
        <v>9.6499999999999989E-2</v>
      </c>
      <c r="P42" s="129">
        <v>8.6199999999999999E-2</v>
      </c>
      <c r="Q42" s="129">
        <v>7.8399999999999997E-2</v>
      </c>
      <c r="R42" s="129">
        <v>7.9899999999999999E-2</v>
      </c>
      <c r="S42" s="129">
        <v>8.7899999999999992E-2</v>
      </c>
      <c r="T42" s="129">
        <v>8.3499999999999991E-2</v>
      </c>
      <c r="U42" s="129">
        <v>0.10179999999999999</v>
      </c>
      <c r="V42" s="129">
        <v>9.459999999999999E-2</v>
      </c>
      <c r="W42" s="129">
        <v>8.1900000000000001E-2</v>
      </c>
      <c r="X42" s="129">
        <v>0.10279999999999999</v>
      </c>
      <c r="Y42" s="129">
        <v>8.2199999999999995E-2</v>
      </c>
      <c r="Z42" s="129">
        <v>8.14E-2</v>
      </c>
      <c r="AA42" s="129">
        <v>9.5199999999999993E-2</v>
      </c>
      <c r="AB42" s="129">
        <v>0.10269999999999999</v>
      </c>
    </row>
    <row r="43" spans="2:28">
      <c r="B43" s="127" t="s">
        <v>109</v>
      </c>
      <c r="C43" s="129">
        <f>1-C44</f>
        <v>0.61220000000000008</v>
      </c>
      <c r="D43" s="129">
        <f t="shared" ref="D43:AB43" si="4">1-D44</f>
        <v>0.63690000000000002</v>
      </c>
      <c r="E43" s="129">
        <f t="shared" si="4"/>
        <v>0.61529999999999996</v>
      </c>
      <c r="F43" s="129">
        <f t="shared" si="4"/>
        <v>0.63</v>
      </c>
      <c r="G43" s="129">
        <f t="shared" si="4"/>
        <v>0.63629999999999998</v>
      </c>
      <c r="H43" s="129">
        <f t="shared" si="4"/>
        <v>0.62080000000000002</v>
      </c>
      <c r="I43" s="129">
        <f t="shared" si="4"/>
        <v>0.62339999999999995</v>
      </c>
      <c r="J43" s="129">
        <f t="shared" si="4"/>
        <v>0.62450000000000006</v>
      </c>
      <c r="K43" s="129">
        <f t="shared" si="4"/>
        <v>0.61899999999999999</v>
      </c>
      <c r="L43" s="129">
        <f t="shared" si="4"/>
        <v>0.61660000000000004</v>
      </c>
      <c r="M43" s="129">
        <f t="shared" si="4"/>
        <v>0.61409999999999998</v>
      </c>
      <c r="N43" s="129">
        <f t="shared" si="4"/>
        <v>0.62580000000000002</v>
      </c>
      <c r="O43" s="129">
        <f t="shared" si="4"/>
        <v>0.62850000000000006</v>
      </c>
      <c r="P43" s="129">
        <f t="shared" si="4"/>
        <v>0.60580000000000001</v>
      </c>
      <c r="Q43" s="129">
        <f t="shared" si="4"/>
        <v>0.63300000000000001</v>
      </c>
      <c r="R43" s="129">
        <f t="shared" si="4"/>
        <v>0.61549999999999994</v>
      </c>
      <c r="S43" s="129">
        <f t="shared" si="4"/>
        <v>0.60820000000000007</v>
      </c>
      <c r="T43" s="129">
        <f t="shared" si="4"/>
        <v>0.6179</v>
      </c>
      <c r="U43" s="129">
        <f t="shared" si="4"/>
        <v>0.62359999999999993</v>
      </c>
      <c r="V43" s="129">
        <f t="shared" si="4"/>
        <v>0.62</v>
      </c>
      <c r="W43" s="129">
        <f t="shared" si="4"/>
        <v>0.62979999999999992</v>
      </c>
      <c r="X43" s="129">
        <f t="shared" si="4"/>
        <v>0.62040000000000006</v>
      </c>
      <c r="Y43" s="129">
        <f t="shared" si="4"/>
        <v>0.62390000000000001</v>
      </c>
      <c r="Z43" s="129">
        <f t="shared" si="4"/>
        <v>0.6028</v>
      </c>
      <c r="AA43" s="129">
        <f t="shared" si="4"/>
        <v>0.62829999999999997</v>
      </c>
      <c r="AB43" s="129">
        <f t="shared" si="4"/>
        <v>0.61780000000000002</v>
      </c>
    </row>
    <row r="44" spans="2:28">
      <c r="B44" s="127" t="s">
        <v>110</v>
      </c>
      <c r="C44" s="129">
        <v>0.38779999999999998</v>
      </c>
      <c r="D44" s="129">
        <v>0.36309999999999998</v>
      </c>
      <c r="E44" s="129">
        <v>0.38469999999999999</v>
      </c>
      <c r="F44" s="129">
        <v>0.37</v>
      </c>
      <c r="G44" s="129">
        <v>0.36370000000000002</v>
      </c>
      <c r="H44" s="129">
        <v>0.37919999999999998</v>
      </c>
      <c r="I44" s="129">
        <v>0.37659999999999999</v>
      </c>
      <c r="J44" s="129">
        <v>0.3755</v>
      </c>
      <c r="K44" s="129">
        <v>0.38100000000000001</v>
      </c>
      <c r="L44" s="129">
        <v>0.38340000000000002</v>
      </c>
      <c r="M44" s="129">
        <v>0.38590000000000002</v>
      </c>
      <c r="N44" s="129">
        <v>0.37419999999999998</v>
      </c>
      <c r="O44" s="129">
        <v>0.3715</v>
      </c>
      <c r="P44" s="129">
        <v>0.39419999999999999</v>
      </c>
      <c r="Q44" s="129">
        <v>0.36699999999999999</v>
      </c>
      <c r="R44" s="129">
        <v>0.38450000000000001</v>
      </c>
      <c r="S44" s="129">
        <v>0.39179999999999998</v>
      </c>
      <c r="T44" s="129">
        <v>0.3821</v>
      </c>
      <c r="U44" s="129">
        <v>0.37640000000000001</v>
      </c>
      <c r="V44" s="129">
        <v>0.38</v>
      </c>
      <c r="W44" s="129">
        <v>0.37020000000000003</v>
      </c>
      <c r="X44" s="129">
        <v>0.37959999999999999</v>
      </c>
      <c r="Y44" s="129">
        <v>0.37609999999999999</v>
      </c>
      <c r="Z44" s="129">
        <v>0.3972</v>
      </c>
      <c r="AA44" s="129">
        <v>0.37170000000000003</v>
      </c>
      <c r="AB44" s="129">
        <v>0.38219999999999998</v>
      </c>
    </row>
    <row r="45" spans="2:28">
      <c r="B45" s="114" t="s">
        <v>75</v>
      </c>
      <c r="C45" s="129">
        <v>3.9199999999999999E-2</v>
      </c>
      <c r="D45" s="129">
        <v>4.7100000000000003E-2</v>
      </c>
      <c r="E45" s="129">
        <v>3.3600000000000005E-2</v>
      </c>
      <c r="F45" s="129">
        <v>3.7700000000000004E-2</v>
      </c>
      <c r="G45" s="129">
        <v>3.6999999999999998E-2</v>
      </c>
      <c r="H45" s="129">
        <v>3.5800000000000005E-2</v>
      </c>
      <c r="I45" s="129">
        <v>4.8999999999999988E-2</v>
      </c>
      <c r="J45" s="129">
        <v>3.4900000000000007E-2</v>
      </c>
      <c r="K45" s="129">
        <v>4.65E-2</v>
      </c>
      <c r="L45" s="129">
        <v>4.9799999999999997E-2</v>
      </c>
      <c r="M45" s="129">
        <v>3.6700000000000003E-2</v>
      </c>
      <c r="N45" s="129">
        <v>4.5299999999999993E-2</v>
      </c>
      <c r="O45" s="129">
        <v>4.9499999999999995E-2</v>
      </c>
      <c r="P45" s="129">
        <v>3.2500000000000001E-2</v>
      </c>
      <c r="Q45" s="129">
        <v>3.5300000000000005E-2</v>
      </c>
      <c r="R45" s="129">
        <v>4.9099999999999998E-2</v>
      </c>
      <c r="S45" s="129">
        <v>3.5799999999999998E-2</v>
      </c>
      <c r="T45" s="129">
        <v>3.5000000000000003E-2</v>
      </c>
      <c r="U45" s="129">
        <v>4.0900000000000013E-2</v>
      </c>
      <c r="V45" s="129">
        <v>4.7000000000000014E-2</v>
      </c>
      <c r="W45" s="129">
        <v>4.3999999999999997E-2</v>
      </c>
      <c r="X45" s="129">
        <v>3.61E-2</v>
      </c>
      <c r="Y45" s="129">
        <v>4.9099999999999998E-2</v>
      </c>
      <c r="Z45" s="129">
        <v>3.3100000000000004E-2</v>
      </c>
      <c r="AA45" s="129">
        <v>4.9200000000000001E-2</v>
      </c>
      <c r="AB45" s="129">
        <v>3.670000000000001E-2</v>
      </c>
    </row>
    <row r="46" spans="2:28">
      <c r="B46" s="127" t="s">
        <v>111</v>
      </c>
      <c r="C46" s="129">
        <f>1-SUM(C47:C48)</f>
        <v>0.47760000000000002</v>
      </c>
      <c r="D46" s="129">
        <f t="shared" ref="D46:AB46" si="5">1-SUM(D47:D48)</f>
        <v>0.45189999999999997</v>
      </c>
      <c r="E46" s="129">
        <f t="shared" si="5"/>
        <v>0.47759999999999991</v>
      </c>
      <c r="F46" s="129">
        <f t="shared" si="5"/>
        <v>0.49679999999999991</v>
      </c>
      <c r="G46" s="129">
        <f t="shared" si="5"/>
        <v>0.48480000000000001</v>
      </c>
      <c r="H46" s="129">
        <f t="shared" si="5"/>
        <v>0.46479999999999999</v>
      </c>
      <c r="I46" s="129">
        <f t="shared" si="5"/>
        <v>0.46929999999999994</v>
      </c>
      <c r="J46" s="129">
        <f t="shared" si="5"/>
        <v>0.48229999999999995</v>
      </c>
      <c r="K46" s="129">
        <f t="shared" si="5"/>
        <v>0.48539999999999994</v>
      </c>
      <c r="L46" s="129">
        <f t="shared" si="5"/>
        <v>0.49319999999999997</v>
      </c>
      <c r="M46" s="129">
        <f t="shared" si="5"/>
        <v>0.48380000000000001</v>
      </c>
      <c r="N46" s="129">
        <f t="shared" si="5"/>
        <v>0.48249999999999993</v>
      </c>
      <c r="O46" s="129">
        <f t="shared" si="5"/>
        <v>0.47760000000000002</v>
      </c>
      <c r="P46" s="129">
        <f t="shared" si="5"/>
        <v>0.48129999999999995</v>
      </c>
      <c r="Q46" s="129">
        <f t="shared" si="5"/>
        <v>0.50219999999999998</v>
      </c>
      <c r="R46" s="129">
        <f t="shared" si="5"/>
        <v>0.48319999999999996</v>
      </c>
      <c r="S46" s="129">
        <f t="shared" si="5"/>
        <v>0.46689999999999998</v>
      </c>
      <c r="T46" s="129">
        <f t="shared" si="5"/>
        <v>0.47529999999999994</v>
      </c>
      <c r="U46" s="129">
        <f t="shared" si="5"/>
        <v>0.45940000000000003</v>
      </c>
      <c r="V46" s="129">
        <f t="shared" si="5"/>
        <v>0.4736999999999999</v>
      </c>
      <c r="W46" s="129">
        <f t="shared" si="5"/>
        <v>0.46389999999999998</v>
      </c>
      <c r="X46" s="129">
        <f t="shared" si="5"/>
        <v>0.50549999999999995</v>
      </c>
      <c r="Y46" s="129">
        <f t="shared" si="5"/>
        <v>0.46419999999999995</v>
      </c>
      <c r="Z46" s="129">
        <f t="shared" si="5"/>
        <v>0.46919999999999995</v>
      </c>
      <c r="AA46" s="129">
        <f t="shared" si="5"/>
        <v>0.47299999999999998</v>
      </c>
      <c r="AB46" s="129">
        <f t="shared" si="5"/>
        <v>0.48209999999999997</v>
      </c>
    </row>
    <row r="47" spans="2:28">
      <c r="B47" s="127" t="s">
        <v>112</v>
      </c>
      <c r="C47" s="129">
        <v>0.23230000000000001</v>
      </c>
      <c r="D47" s="129">
        <v>0.23730000000000001</v>
      </c>
      <c r="E47" s="129">
        <v>0.2382</v>
      </c>
      <c r="F47" s="129">
        <v>0.2079</v>
      </c>
      <c r="G47" s="129">
        <v>0.2281</v>
      </c>
      <c r="H47" s="129">
        <v>0.22109999999999999</v>
      </c>
      <c r="I47" s="129">
        <v>0.21809999999999999</v>
      </c>
      <c r="J47" s="129">
        <v>0.22209999999999999</v>
      </c>
      <c r="K47" s="129">
        <v>0.20350000000000001</v>
      </c>
      <c r="L47" s="129">
        <v>0.21729999999999999</v>
      </c>
      <c r="M47" s="129">
        <v>0.2077</v>
      </c>
      <c r="N47" s="129">
        <v>0.22059999999999999</v>
      </c>
      <c r="O47" s="129">
        <v>0.23830000000000001</v>
      </c>
      <c r="P47" s="129">
        <v>0.21529999999999999</v>
      </c>
      <c r="Q47" s="129">
        <v>0.20400000000000001</v>
      </c>
      <c r="R47" s="129">
        <v>0.22409999999999999</v>
      </c>
      <c r="S47" s="129">
        <v>0.21529999999999999</v>
      </c>
      <c r="T47" s="129">
        <v>0.21429999999999999</v>
      </c>
      <c r="U47" s="129">
        <v>0.2273</v>
      </c>
      <c r="V47" s="129">
        <v>0.23760000000000001</v>
      </c>
      <c r="W47" s="129">
        <v>0.22209999999999999</v>
      </c>
      <c r="X47" s="129">
        <v>0.20910000000000001</v>
      </c>
      <c r="Y47" s="129">
        <v>0.23769999999999999</v>
      </c>
      <c r="Z47" s="129">
        <v>0.2127</v>
      </c>
      <c r="AA47" s="129">
        <v>0.21049999999999999</v>
      </c>
      <c r="AB47" s="129">
        <v>0.2223</v>
      </c>
    </row>
    <row r="48" spans="2:28">
      <c r="B48" s="127" t="s">
        <v>113</v>
      </c>
      <c r="C48" s="129">
        <v>0.29010000000000002</v>
      </c>
      <c r="D48" s="129">
        <v>0.31080000000000002</v>
      </c>
      <c r="E48" s="129">
        <v>0.28420000000000006</v>
      </c>
      <c r="F48" s="129">
        <v>0.29530000000000006</v>
      </c>
      <c r="G48" s="129">
        <v>0.28710000000000002</v>
      </c>
      <c r="H48" s="129">
        <v>0.31410000000000005</v>
      </c>
      <c r="I48" s="129">
        <v>0.31260000000000004</v>
      </c>
      <c r="J48" s="129">
        <v>0.29560000000000003</v>
      </c>
      <c r="K48" s="129">
        <v>0.31110000000000004</v>
      </c>
      <c r="L48" s="129">
        <v>0.28950000000000004</v>
      </c>
      <c r="M48" s="129">
        <v>0.30850000000000005</v>
      </c>
      <c r="N48" s="129">
        <v>0.29690000000000005</v>
      </c>
      <c r="O48" s="129">
        <v>0.28410000000000002</v>
      </c>
      <c r="P48" s="129">
        <v>0.30340000000000006</v>
      </c>
      <c r="Q48" s="129">
        <v>0.29380000000000006</v>
      </c>
      <c r="R48" s="129">
        <v>0.29270000000000007</v>
      </c>
      <c r="S48" s="129">
        <v>0.31780000000000003</v>
      </c>
      <c r="T48" s="129">
        <v>0.31040000000000006</v>
      </c>
      <c r="U48" s="129">
        <v>0.31330000000000002</v>
      </c>
      <c r="V48" s="129">
        <v>0.28870000000000007</v>
      </c>
      <c r="W48" s="129">
        <v>0.31400000000000006</v>
      </c>
      <c r="X48" s="129">
        <v>0.28540000000000004</v>
      </c>
      <c r="Y48" s="129">
        <v>0.29810000000000003</v>
      </c>
      <c r="Z48" s="129">
        <v>0.31810000000000005</v>
      </c>
      <c r="AA48" s="129">
        <v>0.31650000000000006</v>
      </c>
      <c r="AB48" s="129">
        <v>0.29560000000000003</v>
      </c>
    </row>
    <row r="49" spans="2:28">
      <c r="B49" s="114" t="s">
        <v>76</v>
      </c>
      <c r="C49" s="129">
        <v>5.9299999999999999E-2</v>
      </c>
      <c r="D49" s="129">
        <v>5.3100000000000001E-2</v>
      </c>
      <c r="E49" s="129">
        <v>4.1300000000000003E-2</v>
      </c>
      <c r="F49" s="129">
        <v>4.1300000000000003E-2</v>
      </c>
      <c r="G49" s="129">
        <v>4.6400000000000004E-2</v>
      </c>
      <c r="H49" s="129">
        <v>4.1000000000000002E-2</v>
      </c>
      <c r="I49" s="129">
        <v>5.9399999999999994E-2</v>
      </c>
      <c r="J49" s="129">
        <v>4.5000000000000005E-2</v>
      </c>
      <c r="K49" s="129">
        <v>4.2500000000000003E-2</v>
      </c>
      <c r="L49" s="129">
        <v>4.9800000000000011E-2</v>
      </c>
      <c r="M49" s="129">
        <v>4.4000000000000004E-2</v>
      </c>
      <c r="N49" s="129">
        <v>0.06</v>
      </c>
      <c r="O49" s="129">
        <v>4.9899999999999986E-2</v>
      </c>
      <c r="P49" s="129">
        <v>5.5800000000000002E-2</v>
      </c>
      <c r="Q49" s="129">
        <v>5.7900000000000007E-2</v>
      </c>
      <c r="R49" s="129">
        <v>4.07E-2</v>
      </c>
      <c r="S49" s="129">
        <v>5.5899999999999991E-2</v>
      </c>
      <c r="T49" s="129">
        <v>4.9899999999999986E-2</v>
      </c>
      <c r="U49" s="129">
        <v>4.2599999999999999E-2</v>
      </c>
      <c r="V49" s="129">
        <v>5.1400000000000001E-2</v>
      </c>
      <c r="W49" s="129">
        <v>5.9299999999999992E-2</v>
      </c>
      <c r="X49" s="129">
        <v>5.7500000000000002E-2</v>
      </c>
      <c r="Y49" s="129">
        <v>5.2199999999999996E-2</v>
      </c>
      <c r="Z49" s="129">
        <v>5.7600000000000005E-2</v>
      </c>
      <c r="AA49" s="129">
        <v>4.24E-2</v>
      </c>
      <c r="AB49" s="129">
        <v>5.4399999999999997E-2</v>
      </c>
    </row>
    <row r="50" spans="2:28">
      <c r="B50" s="127" t="s">
        <v>114</v>
      </c>
      <c r="C50" s="129">
        <v>0.31740000000000002</v>
      </c>
      <c r="D50" s="129">
        <v>0.30469999999999997</v>
      </c>
      <c r="E50" s="129">
        <v>0.29969999999999997</v>
      </c>
      <c r="F50" s="129">
        <v>0.28639999999999999</v>
      </c>
      <c r="G50" s="129">
        <v>0.30409999999999998</v>
      </c>
      <c r="H50" s="129">
        <v>0.318</v>
      </c>
      <c r="I50" s="129">
        <v>0.31259999999999999</v>
      </c>
      <c r="J50" s="129">
        <v>0.29930000000000001</v>
      </c>
      <c r="K50" s="129">
        <v>0.2878</v>
      </c>
      <c r="L50" s="129">
        <v>0.30829999999999996</v>
      </c>
      <c r="M50" s="129">
        <v>0.28939999999999999</v>
      </c>
      <c r="N50" s="129">
        <v>0.28439999999999999</v>
      </c>
      <c r="O50" s="129">
        <v>0.29259999999999997</v>
      </c>
      <c r="P50" s="129">
        <v>0.2913</v>
      </c>
      <c r="Q50" s="129">
        <v>0.29330000000000001</v>
      </c>
      <c r="R50" s="129">
        <v>0.29109999999999997</v>
      </c>
      <c r="S50" s="129">
        <v>0.2989</v>
      </c>
      <c r="T50" s="129">
        <v>0.30759999999999998</v>
      </c>
      <c r="U50" s="129">
        <v>0.29149999999999998</v>
      </c>
      <c r="V50" s="129">
        <v>0.30559999999999998</v>
      </c>
      <c r="W50" s="129">
        <v>0.30619999999999997</v>
      </c>
      <c r="X50" s="129">
        <v>0.28699999999999998</v>
      </c>
      <c r="Y50" s="129">
        <v>0.28749999999999998</v>
      </c>
      <c r="Z50" s="129">
        <v>0.30640000000000001</v>
      </c>
      <c r="AA50" s="129">
        <v>0.30659999999999998</v>
      </c>
      <c r="AB50" s="129">
        <v>0.30330000000000001</v>
      </c>
    </row>
    <row r="51" spans="2:28">
      <c r="B51" s="127" t="s">
        <v>115</v>
      </c>
      <c r="C51" s="129">
        <v>0.33759999999999996</v>
      </c>
      <c r="D51" s="129">
        <v>0.3357</v>
      </c>
      <c r="E51" s="129">
        <v>0.36369999999999997</v>
      </c>
      <c r="F51" s="129">
        <v>0.36679999999999996</v>
      </c>
      <c r="G51" s="129">
        <v>0.35449999999999998</v>
      </c>
      <c r="H51" s="129">
        <v>0.34719999999999995</v>
      </c>
      <c r="I51" s="129">
        <v>0.36329999999999996</v>
      </c>
      <c r="J51" s="129">
        <v>0.34189999999999998</v>
      </c>
      <c r="K51" s="129">
        <v>0.33299999999999996</v>
      </c>
      <c r="L51" s="129">
        <v>0.3639</v>
      </c>
      <c r="M51" s="129">
        <v>0.33339999999999997</v>
      </c>
      <c r="N51" s="129">
        <v>0.3553</v>
      </c>
      <c r="O51" s="129">
        <v>0.35679999999999995</v>
      </c>
      <c r="P51" s="129">
        <v>0.3377</v>
      </c>
      <c r="Q51" s="129">
        <v>0.36609999999999998</v>
      </c>
      <c r="R51" s="129">
        <v>0.33609999999999995</v>
      </c>
      <c r="S51" s="129">
        <v>0.36259999999999998</v>
      </c>
      <c r="T51" s="129">
        <v>0.34459999999999996</v>
      </c>
      <c r="U51" s="129">
        <v>0.3332</v>
      </c>
      <c r="V51" s="129">
        <v>0.35109999999999997</v>
      </c>
      <c r="W51" s="129">
        <v>0.34449999999999997</v>
      </c>
      <c r="X51" s="129">
        <v>0.34189999999999998</v>
      </c>
      <c r="Y51" s="129">
        <v>0.35619999999999996</v>
      </c>
      <c r="Z51" s="129">
        <v>0.36509999999999998</v>
      </c>
      <c r="AA51" s="129">
        <v>0.34549999999999997</v>
      </c>
      <c r="AB51" s="129">
        <v>0.33599999999999997</v>
      </c>
    </row>
    <row r="52" spans="2:28">
      <c r="B52" s="127" t="s">
        <v>116</v>
      </c>
      <c r="C52" s="129">
        <f>1-SUM(C50:C51)</f>
        <v>0.34499999999999997</v>
      </c>
      <c r="D52" s="129">
        <f t="shared" ref="D52:AB52" si="6">1-SUM(D50:D51)</f>
        <v>0.35960000000000003</v>
      </c>
      <c r="E52" s="129">
        <f t="shared" si="6"/>
        <v>0.33660000000000001</v>
      </c>
      <c r="F52" s="129">
        <f t="shared" si="6"/>
        <v>0.3468</v>
      </c>
      <c r="G52" s="129">
        <f t="shared" si="6"/>
        <v>0.34140000000000004</v>
      </c>
      <c r="H52" s="129">
        <f t="shared" si="6"/>
        <v>0.33479999999999999</v>
      </c>
      <c r="I52" s="129">
        <f t="shared" si="6"/>
        <v>0.32410000000000005</v>
      </c>
      <c r="J52" s="129">
        <f t="shared" si="6"/>
        <v>0.35880000000000001</v>
      </c>
      <c r="K52" s="129">
        <f t="shared" si="6"/>
        <v>0.37919999999999998</v>
      </c>
      <c r="L52" s="129">
        <f t="shared" si="6"/>
        <v>0.32780000000000009</v>
      </c>
      <c r="M52" s="129">
        <f t="shared" si="6"/>
        <v>0.37719999999999998</v>
      </c>
      <c r="N52" s="129">
        <f t="shared" si="6"/>
        <v>0.36030000000000006</v>
      </c>
      <c r="O52" s="129">
        <f t="shared" si="6"/>
        <v>0.35060000000000002</v>
      </c>
      <c r="P52" s="129">
        <f t="shared" si="6"/>
        <v>0.371</v>
      </c>
      <c r="Q52" s="129">
        <f t="shared" si="6"/>
        <v>0.34060000000000001</v>
      </c>
      <c r="R52" s="129">
        <f t="shared" si="6"/>
        <v>0.37280000000000002</v>
      </c>
      <c r="S52" s="129">
        <f t="shared" si="6"/>
        <v>0.33850000000000002</v>
      </c>
      <c r="T52" s="129">
        <f t="shared" si="6"/>
        <v>0.34780000000000011</v>
      </c>
      <c r="U52" s="129">
        <f t="shared" si="6"/>
        <v>0.37529999999999997</v>
      </c>
      <c r="V52" s="129">
        <f t="shared" si="6"/>
        <v>0.34330000000000005</v>
      </c>
      <c r="W52" s="129">
        <f t="shared" si="6"/>
        <v>0.34930000000000005</v>
      </c>
      <c r="X52" s="129">
        <f t="shared" si="6"/>
        <v>0.37109999999999999</v>
      </c>
      <c r="Y52" s="129">
        <f t="shared" si="6"/>
        <v>0.35630000000000006</v>
      </c>
      <c r="Z52" s="129">
        <f t="shared" si="6"/>
        <v>0.32850000000000001</v>
      </c>
      <c r="AA52" s="129">
        <f t="shared" si="6"/>
        <v>0.3479000000000001</v>
      </c>
      <c r="AB52" s="129">
        <f t="shared" si="6"/>
        <v>0.36070000000000002</v>
      </c>
    </row>
    <row r="53" spans="2:28">
      <c r="B53" s="114" t="s">
        <v>77</v>
      </c>
      <c r="C53" s="129">
        <v>2.1999999999999999E-2</v>
      </c>
      <c r="D53" s="129">
        <v>1.9299999999999991E-2</v>
      </c>
      <c r="E53" s="129">
        <v>2.12E-2</v>
      </c>
      <c r="F53" s="129">
        <v>2.0399999999999995E-2</v>
      </c>
      <c r="G53" s="129">
        <v>1.6800000000000006E-2</v>
      </c>
      <c r="H53" s="129">
        <v>2.2799999999999994E-2</v>
      </c>
      <c r="I53" s="129">
        <v>1.8699999999999994E-2</v>
      </c>
      <c r="J53" s="129">
        <v>1.9099999999999999E-2</v>
      </c>
      <c r="K53" s="129">
        <v>2.1899999999999989E-2</v>
      </c>
      <c r="L53" s="129">
        <v>1.5099999999999988E-2</v>
      </c>
      <c r="M53" s="129">
        <v>2.1599999999999994E-2</v>
      </c>
      <c r="N53" s="129">
        <v>1.9799999999999998E-2</v>
      </c>
      <c r="O53" s="129">
        <v>1.6500000000000001E-2</v>
      </c>
      <c r="P53" s="129">
        <v>2.23E-2</v>
      </c>
      <c r="Q53" s="129">
        <v>1.2700000000000003E-2</v>
      </c>
      <c r="R53" s="129">
        <v>2.1899999999999989E-2</v>
      </c>
      <c r="S53" s="129">
        <v>1.9799999999999991E-2</v>
      </c>
      <c r="T53" s="129">
        <v>1.72E-2</v>
      </c>
      <c r="U53" s="129">
        <v>1.84E-2</v>
      </c>
      <c r="V53" s="129">
        <v>2.1299999999999993E-2</v>
      </c>
      <c r="W53" s="129">
        <v>1.24E-2</v>
      </c>
      <c r="X53" s="129">
        <v>2.0199999999999999E-2</v>
      </c>
      <c r="Y53" s="129">
        <v>1.89E-2</v>
      </c>
      <c r="Z53" s="129">
        <v>1.61E-2</v>
      </c>
      <c r="AA53" s="129">
        <v>2.1600000000000001E-2</v>
      </c>
      <c r="AB53" s="129">
        <v>1.61E-2</v>
      </c>
    </row>
    <row r="54" spans="2:28">
      <c r="B54" s="114" t="s">
        <v>78</v>
      </c>
      <c r="C54" s="129">
        <v>6.88E-2</v>
      </c>
      <c r="D54" s="129">
        <v>5.8199999999999995E-2</v>
      </c>
      <c r="E54" s="129">
        <v>5.1500000000000004E-2</v>
      </c>
      <c r="F54" s="129">
        <v>6.1399999999999996E-2</v>
      </c>
      <c r="G54" s="129">
        <v>5.1199999999999996E-2</v>
      </c>
      <c r="H54" s="129">
        <v>5.91E-2</v>
      </c>
      <c r="I54" s="129">
        <v>6.8400000000000002E-2</v>
      </c>
      <c r="J54" s="129">
        <v>6.8099999999999994E-2</v>
      </c>
      <c r="K54" s="129">
        <v>5.1700000000000003E-2</v>
      </c>
      <c r="L54" s="129">
        <v>5.6499999999999995E-2</v>
      </c>
      <c r="M54" s="129">
        <v>6.4000000000000001E-2</v>
      </c>
      <c r="N54" s="129">
        <v>6.5299999999999997E-2</v>
      </c>
      <c r="O54" s="129">
        <v>6.7599999999999993E-2</v>
      </c>
      <c r="P54" s="129">
        <v>5.8999999999999997E-2</v>
      </c>
      <c r="Q54" s="129">
        <v>5.099999999999999E-2</v>
      </c>
      <c r="R54" s="129">
        <v>5.4699999999999999E-2</v>
      </c>
      <c r="S54" s="129">
        <v>6.8499999999999991E-2</v>
      </c>
      <c r="T54" s="129">
        <v>6.3299999999999995E-2</v>
      </c>
      <c r="U54" s="129">
        <v>5.33E-2</v>
      </c>
      <c r="V54" s="129">
        <v>6.9800000000000001E-2</v>
      </c>
      <c r="W54" s="129">
        <v>5.9799999999999999E-2</v>
      </c>
      <c r="X54" s="129">
        <v>5.7599999999999998E-2</v>
      </c>
      <c r="Y54" s="129">
        <v>6.3E-2</v>
      </c>
      <c r="Z54" s="129">
        <v>5.630000000000001E-2</v>
      </c>
      <c r="AA54" s="129">
        <v>5.1400000000000001E-2</v>
      </c>
      <c r="AB54" s="129">
        <v>6.7399999999999988E-2</v>
      </c>
    </row>
    <row r="55" spans="2:28">
      <c r="B55" s="114" t="s">
        <v>79</v>
      </c>
      <c r="C55" s="129">
        <v>5.3799999999999924E-2</v>
      </c>
      <c r="D55" s="129">
        <v>4.3899999999999932E-2</v>
      </c>
      <c r="E55" s="129">
        <v>3.9499999999999931E-2</v>
      </c>
      <c r="F55" s="129">
        <v>5.3099999999999925E-2</v>
      </c>
      <c r="G55" s="129">
        <v>3.9899999999999936E-2</v>
      </c>
      <c r="H55" s="129">
        <v>5.4699999999999929E-2</v>
      </c>
      <c r="I55" s="129">
        <v>5.449999999999993E-2</v>
      </c>
      <c r="J55" s="129">
        <v>5.1199999999999926E-2</v>
      </c>
      <c r="K55" s="129">
        <v>4.9099999999999928E-2</v>
      </c>
      <c r="L55" s="129">
        <v>5.3499999999999923E-2</v>
      </c>
      <c r="M55" s="129">
        <v>4.8899999999999916E-2</v>
      </c>
      <c r="N55" s="129">
        <v>5.3799999999999917E-2</v>
      </c>
      <c r="O55" s="129">
        <v>3.9599999999999927E-2</v>
      </c>
      <c r="P55" s="129">
        <v>3.7499999999999929E-2</v>
      </c>
      <c r="Q55" s="129">
        <v>3.8799999999999932E-2</v>
      </c>
      <c r="R55" s="129">
        <v>4.019999999999993E-2</v>
      </c>
      <c r="S55" s="129">
        <v>4.8599999999999928E-2</v>
      </c>
      <c r="T55" s="129">
        <v>5.3499999999999923E-2</v>
      </c>
      <c r="U55" s="129">
        <v>4.879999999999992E-2</v>
      </c>
      <c r="V55" s="129">
        <v>5.229999999999993E-2</v>
      </c>
      <c r="W55" s="129">
        <v>5.4599999999999926E-2</v>
      </c>
      <c r="X55" s="129">
        <v>4.7999999999999932E-2</v>
      </c>
      <c r="Y55" s="129">
        <v>3.9999999999999938E-2</v>
      </c>
      <c r="Z55" s="129">
        <v>4.9999999999999926E-2</v>
      </c>
      <c r="AA55" s="129">
        <v>5.3199999999999914E-2</v>
      </c>
      <c r="AB55" s="129">
        <v>5.279999999999993E-2</v>
      </c>
    </row>
    <row r="59" spans="2:28">
      <c r="C59">
        <f>VLOOKUP(C60,Data!$B$76:$E$107,4,0)</f>
        <v>9772.5819197021228</v>
      </c>
      <c r="D59">
        <f>VLOOKUP(D60,Data!$B$76:$E$107,4,0)</f>
        <v>1194.8715881456496</v>
      </c>
      <c r="E59">
        <f>VLOOKUP(E60,Data!$B$76:$E$107,4,0)</f>
        <v>650.18394922156119</v>
      </c>
      <c r="F59">
        <f>VLOOKUP(F60,Data!$B$76:$E$107,4,0)</f>
        <v>262.65052826785632</v>
      </c>
      <c r="G59">
        <f>VLOOKUP(G60,Data!$B$76:$E$107,4,0)</f>
        <v>332.02991309332776</v>
      </c>
      <c r="H59">
        <f>VLOOKUP(H60,Data!$B$76:$E$107,4,0)</f>
        <v>219.04062923470281</v>
      </c>
      <c r="I59">
        <f>VLOOKUP(I60,Data!$B$76:$E$107,4,0)</f>
        <v>183.35980275303177</v>
      </c>
      <c r="J59">
        <f>VLOOKUP(J60,Data!$B$76:$E$107,4,0)</f>
        <v>910.852209351547</v>
      </c>
      <c r="K59">
        <f>VLOOKUP(K60,Data!$B$76:$E$107,4,0)</f>
        <v>1446.0646065766125</v>
      </c>
      <c r="L59">
        <f>VLOOKUP(L60,Data!$B$76:$E$107,4,0)</f>
        <v>5649.4641929312484</v>
      </c>
      <c r="M59">
        <f>VLOOKUP(M60,Data!$B$76:$E$107,4,0)</f>
        <v>911.84334342048226</v>
      </c>
      <c r="N59">
        <f>VLOOKUP(N60,Data!$B$76:$E$107,4,0)</f>
        <v>805.79199804440429</v>
      </c>
      <c r="O59">
        <f>VLOOKUP(O60,Data!$B$76:$E$107,4,0)</f>
        <v>515.38971584635954</v>
      </c>
      <c r="P59">
        <f>VLOOKUP(P60,Data!$B$76:$E$107,4,0)</f>
        <v>1417.3217185774886</v>
      </c>
      <c r="Q59">
        <f>VLOOKUP(Q60,Data!$B$76:$E$107,4,0)</f>
        <v>117.94495420330151</v>
      </c>
      <c r="R59">
        <f>VLOOKUP(R60,Data!$B$76:$E$107,4,0)</f>
        <v>492.59363226084736</v>
      </c>
      <c r="S59">
        <f>VLOOKUP(S60,Data!$B$76:$E$107,4,0)</f>
        <v>168.49279171900216</v>
      </c>
      <c r="T59">
        <f>VLOOKUP(T60,Data!$B$76:$E$107,4,0)</f>
        <v>486.64682784723561</v>
      </c>
      <c r="U59">
        <f>VLOOKUP(U60,Data!$B$76:$E$107,4,0)</f>
        <v>136.77650151307233</v>
      </c>
      <c r="V59">
        <f>VLOOKUP(V60,Data!$B$76:$E$107,4,0)</f>
        <v>188.10733494323199</v>
      </c>
      <c r="W59">
        <f>VLOOKUP(W60,Data!$B$76:$E$107,4,0)</f>
        <v>39.645362757412272</v>
      </c>
      <c r="X59">
        <f>VLOOKUP(X60,Data!$B$76:$E$107,4,0)</f>
        <v>380.59548247115788</v>
      </c>
      <c r="Y59">
        <f>VLOOKUP(Y60,Data!$B$76:$E$107,4,0)</f>
        <v>881.1181872834876</v>
      </c>
      <c r="Z59">
        <f>VLOOKUP(Z60,Data!$B$76:$E$107,4,0)</f>
        <v>594.68044136118408</v>
      </c>
      <c r="AA59">
        <f>VLOOKUP(AA60,Data!$B$76:$E$107,4,0)</f>
        <v>941.57736548854143</v>
      </c>
      <c r="AB59">
        <f>VLOOKUP(AB60,Data!$B$76:$E$107,4,0)</f>
        <v>365.72847143712801</v>
      </c>
    </row>
    <row r="60" spans="2:28">
      <c r="C60" s="126" t="s">
        <v>29</v>
      </c>
      <c r="D60" s="126" t="s">
        <v>30</v>
      </c>
      <c r="E60" s="126" t="s">
        <v>34</v>
      </c>
      <c r="F60" s="126" t="s">
        <v>33</v>
      </c>
      <c r="G60" s="126" t="s">
        <v>37</v>
      </c>
      <c r="H60" s="126" t="s">
        <v>36</v>
      </c>
      <c r="I60" s="126" t="s">
        <v>38</v>
      </c>
      <c r="J60" s="126" t="s">
        <v>39</v>
      </c>
      <c r="K60" s="126" t="s">
        <v>43</v>
      </c>
      <c r="L60" s="126" t="s">
        <v>45</v>
      </c>
      <c r="M60" s="126" t="s">
        <v>46</v>
      </c>
      <c r="N60" s="126" t="s">
        <v>47</v>
      </c>
      <c r="O60" s="126" t="s">
        <v>48</v>
      </c>
      <c r="P60" s="126" t="s">
        <v>49</v>
      </c>
      <c r="Q60" s="126" t="s">
        <v>50</v>
      </c>
      <c r="R60" s="126" t="s">
        <v>52</v>
      </c>
      <c r="S60" s="126" t="s">
        <v>54</v>
      </c>
      <c r="T60" s="126" t="s">
        <v>56</v>
      </c>
      <c r="U60" s="126" t="s">
        <v>55</v>
      </c>
      <c r="V60" s="126" t="s">
        <v>57</v>
      </c>
      <c r="W60" s="126" t="s">
        <v>131</v>
      </c>
      <c r="X60" s="126" t="s">
        <v>132</v>
      </c>
      <c r="Y60" s="126" t="s">
        <v>60</v>
      </c>
      <c r="Z60" s="126" t="s">
        <v>62</v>
      </c>
      <c r="AA60" s="126" t="s">
        <v>64</v>
      </c>
      <c r="AB60" s="126" t="s">
        <v>63</v>
      </c>
    </row>
    <row r="61" spans="2:28">
      <c r="B61" s="124" t="s">
        <v>225</v>
      </c>
    </row>
    <row r="62" spans="2:28">
      <c r="B62" s="114" t="s">
        <v>71</v>
      </c>
      <c r="C62" s="134">
        <f>C33*C$59</f>
        <v>4120.1205373464145</v>
      </c>
      <c r="D62" s="134">
        <f t="shared" ref="D62:AB62" si="7">D33*D$59</f>
        <v>546.17580294137656</v>
      </c>
      <c r="E62" s="134">
        <f t="shared" si="7"/>
        <v>302.07546280833736</v>
      </c>
      <c r="F62" s="134">
        <f t="shared" si="7"/>
        <v>118.82309898837823</v>
      </c>
      <c r="G62" s="134">
        <f t="shared" si="7"/>
        <v>165.01886680738394</v>
      </c>
      <c r="H62" s="134">
        <f t="shared" si="7"/>
        <v>102.99290386615728</v>
      </c>
      <c r="I62" s="134">
        <f t="shared" si="7"/>
        <v>78.863051164078996</v>
      </c>
      <c r="J62" s="134">
        <f t="shared" si="7"/>
        <v>425.36798176717252</v>
      </c>
      <c r="K62" s="134">
        <f t="shared" si="7"/>
        <v>695.41246930269313</v>
      </c>
      <c r="L62" s="134">
        <f t="shared" si="7"/>
        <v>2512.3167265965267</v>
      </c>
      <c r="M62" s="134">
        <f t="shared" si="7"/>
        <v>421.63636199763101</v>
      </c>
      <c r="N62" s="134">
        <f t="shared" si="7"/>
        <v>349.95546475068483</v>
      </c>
      <c r="O62" s="134">
        <f t="shared" si="7"/>
        <v>225.3283837680284</v>
      </c>
      <c r="P62" s="134">
        <f t="shared" si="7"/>
        <v>678.75537102675924</v>
      </c>
      <c r="Q62" s="134">
        <f t="shared" si="7"/>
        <v>57.899178018400725</v>
      </c>
      <c r="R62" s="134">
        <f t="shared" si="7"/>
        <v>242.06051089298043</v>
      </c>
      <c r="S62" s="134">
        <f t="shared" si="7"/>
        <v>73.46285718948495</v>
      </c>
      <c r="T62" s="134">
        <f t="shared" si="7"/>
        <v>234.95308848464541</v>
      </c>
      <c r="U62" s="134">
        <f t="shared" si="7"/>
        <v>61.864011634362619</v>
      </c>
      <c r="V62" s="134">
        <f t="shared" si="7"/>
        <v>79.30605241206662</v>
      </c>
      <c r="W62" s="134">
        <f t="shared" si="7"/>
        <v>17.705619007460324</v>
      </c>
      <c r="X62" s="134">
        <f t="shared" si="7"/>
        <v>172.37169401118743</v>
      </c>
      <c r="Y62" s="134">
        <f t="shared" si="7"/>
        <v>406.63604343132954</v>
      </c>
      <c r="Z62" s="134">
        <f t="shared" si="7"/>
        <v>285.08980358855166</v>
      </c>
      <c r="AA62" s="134">
        <f t="shared" si="7"/>
        <v>421.54418652921999</v>
      </c>
      <c r="AB62" s="134">
        <f t="shared" si="7"/>
        <v>157.00723278795905</v>
      </c>
    </row>
    <row r="63" spans="2:28">
      <c r="B63" s="127" t="s">
        <v>102</v>
      </c>
      <c r="C63" s="134">
        <f>C34*C$62</f>
        <v>2394.202044252002</v>
      </c>
      <c r="D63" s="134">
        <f t="shared" ref="D63:AB67" si="8">D34*D$62</f>
        <v>302.41754208864023</v>
      </c>
      <c r="E63" s="134">
        <f t="shared" si="8"/>
        <v>157.98546704876048</v>
      </c>
      <c r="F63" s="134">
        <f t="shared" si="8"/>
        <v>65.934937628651099</v>
      </c>
      <c r="G63" s="134">
        <f t="shared" si="8"/>
        <v>89.341214489517682</v>
      </c>
      <c r="H63" s="134">
        <f t="shared" si="8"/>
        <v>58.551465847910421</v>
      </c>
      <c r="I63" s="134">
        <f t="shared" si="8"/>
        <v>41.852621252776729</v>
      </c>
      <c r="J63" s="134">
        <f t="shared" si="8"/>
        <v>229.23080537432935</v>
      </c>
      <c r="K63" s="134">
        <f t="shared" si="8"/>
        <v>391.44767897048609</v>
      </c>
      <c r="L63" s="134">
        <f t="shared" si="8"/>
        <v>1411.6707686745888</v>
      </c>
      <c r="M63" s="134">
        <f t="shared" si="8"/>
        <v>222.03370822795256</v>
      </c>
      <c r="N63" s="134">
        <f t="shared" si="8"/>
        <v>200.06953919796655</v>
      </c>
      <c r="O63" s="134">
        <f t="shared" si="8"/>
        <v>129.36102512122511</v>
      </c>
      <c r="P63" s="134">
        <f t="shared" si="8"/>
        <v>362.45536812828959</v>
      </c>
      <c r="Q63" s="134">
        <f t="shared" si="8"/>
        <v>31.25397629433272</v>
      </c>
      <c r="R63" s="134">
        <f t="shared" si="8"/>
        <v>135.86856476422994</v>
      </c>
      <c r="S63" s="134">
        <f t="shared" si="8"/>
        <v>41.17593145470633</v>
      </c>
      <c r="T63" s="134">
        <f t="shared" si="8"/>
        <v>135.02753995212578</v>
      </c>
      <c r="U63" s="134">
        <f t="shared" si="8"/>
        <v>35.850194742113146</v>
      </c>
      <c r="V63" s="134">
        <f t="shared" si="8"/>
        <v>43.396271879882867</v>
      </c>
      <c r="W63" s="134">
        <f t="shared" si="8"/>
        <v>9.7256965207979587</v>
      </c>
      <c r="X63" s="134">
        <f t="shared" si="8"/>
        <v>95.356021126988907</v>
      </c>
      <c r="Y63" s="134">
        <f t="shared" si="8"/>
        <v>213.93122244922256</v>
      </c>
      <c r="Z63" s="134">
        <f t="shared" si="8"/>
        <v>148.98793135537716</v>
      </c>
      <c r="AA63" s="134">
        <f t="shared" si="8"/>
        <v>224.05073514028049</v>
      </c>
      <c r="AB63" s="134">
        <f t="shared" si="8"/>
        <v>81.408250200556793</v>
      </c>
    </row>
    <row r="64" spans="2:28">
      <c r="B64" s="127" t="s">
        <v>103</v>
      </c>
      <c r="C64" s="134">
        <f t="shared" ref="C64:R67" si="9">C35*C$62</f>
        <v>975.64454324363101</v>
      </c>
      <c r="D64" s="134">
        <f t="shared" si="9"/>
        <v>130.91833996504795</v>
      </c>
      <c r="E64" s="134">
        <f t="shared" si="9"/>
        <v>80.170827829332737</v>
      </c>
      <c r="F64" s="134">
        <f t="shared" si="9"/>
        <v>29.480010859016637</v>
      </c>
      <c r="G64" s="134">
        <f t="shared" si="9"/>
        <v>42.112814809244377</v>
      </c>
      <c r="H64" s="134">
        <f t="shared" si="9"/>
        <v>24.347522473959579</v>
      </c>
      <c r="I64" s="134">
        <f t="shared" si="9"/>
        <v>20.173168487771409</v>
      </c>
      <c r="J64" s="134">
        <f t="shared" si="9"/>
        <v>106.0442378545561</v>
      </c>
      <c r="K64" s="134">
        <f t="shared" si="9"/>
        <v>168.49844131204253</v>
      </c>
      <c r="L64" s="134">
        <f t="shared" si="9"/>
        <v>589.13827238688543</v>
      </c>
      <c r="M64" s="134">
        <f t="shared" si="9"/>
        <v>107.09563594739828</v>
      </c>
      <c r="N64" s="134">
        <f t="shared" si="9"/>
        <v>86.438999793419157</v>
      </c>
      <c r="O64" s="134">
        <f t="shared" si="9"/>
        <v>57.255942315456018</v>
      </c>
      <c r="P64" s="134">
        <f t="shared" si="9"/>
        <v>176.61214754116276</v>
      </c>
      <c r="Q64" s="134">
        <f t="shared" si="9"/>
        <v>14.856929079521626</v>
      </c>
      <c r="R64" s="134">
        <f t="shared" si="9"/>
        <v>57.828256052333025</v>
      </c>
      <c r="S64" s="134">
        <f t="shared" si="8"/>
        <v>18.277558868743856</v>
      </c>
      <c r="T64" s="134">
        <f t="shared" si="8"/>
        <v>56.788161486738794</v>
      </c>
      <c r="U64" s="134">
        <f t="shared" si="8"/>
        <v>14.8597355945739</v>
      </c>
      <c r="V64" s="134">
        <f t="shared" si="8"/>
        <v>21.198507809745408</v>
      </c>
      <c r="W64" s="134">
        <f t="shared" si="8"/>
        <v>4.144885409646462</v>
      </c>
      <c r="X64" s="134">
        <f t="shared" si="8"/>
        <v>41.024463174662607</v>
      </c>
      <c r="Y64" s="134">
        <f t="shared" si="8"/>
        <v>108.28717836576305</v>
      </c>
      <c r="Z64" s="134">
        <f t="shared" si="8"/>
        <v>75.434762029530773</v>
      </c>
      <c r="AA64" s="134">
        <f t="shared" si="8"/>
        <v>109.93872384682057</v>
      </c>
      <c r="AB64" s="134">
        <f t="shared" si="8"/>
        <v>42.030836217336635</v>
      </c>
    </row>
    <row r="65" spans="2:28">
      <c r="B65" s="127" t="s">
        <v>104</v>
      </c>
      <c r="C65" s="134">
        <f t="shared" si="9"/>
        <v>250.50332867066203</v>
      </c>
      <c r="D65" s="134">
        <f t="shared" si="8"/>
        <v>37.085337019719461</v>
      </c>
      <c r="E65" s="134">
        <f t="shared" si="8"/>
        <v>23.924376654420318</v>
      </c>
      <c r="F65" s="134">
        <f t="shared" si="8"/>
        <v>8.947379353824882</v>
      </c>
      <c r="G65" s="134">
        <f t="shared" si="8"/>
        <v>10.742728229160695</v>
      </c>
      <c r="H65" s="134">
        <f t="shared" si="8"/>
        <v>6.5503486858876032</v>
      </c>
      <c r="I65" s="134">
        <f t="shared" si="8"/>
        <v>4.7475556800775562</v>
      </c>
      <c r="J65" s="134">
        <f t="shared" si="8"/>
        <v>31.051862669003597</v>
      </c>
      <c r="K65" s="134">
        <f t="shared" si="8"/>
        <v>44.367315541511829</v>
      </c>
      <c r="L65" s="134">
        <f t="shared" si="8"/>
        <v>165.31044061005147</v>
      </c>
      <c r="M65" s="134">
        <f t="shared" si="8"/>
        <v>29.556708976033939</v>
      </c>
      <c r="N65" s="134">
        <f t="shared" si="8"/>
        <v>24.846837997298625</v>
      </c>
      <c r="O65" s="134">
        <f t="shared" si="8"/>
        <v>14.939271843820286</v>
      </c>
      <c r="P65" s="134">
        <f t="shared" si="8"/>
        <v>43.643970357020628</v>
      </c>
      <c r="Q65" s="134">
        <f t="shared" si="8"/>
        <v>4.1340013105138125</v>
      </c>
      <c r="R65" s="134">
        <f t="shared" si="8"/>
        <v>15.854963463490218</v>
      </c>
      <c r="S65" s="134">
        <f t="shared" si="8"/>
        <v>4.7677394315975743</v>
      </c>
      <c r="T65" s="134">
        <f t="shared" si="8"/>
        <v>14.943016427623448</v>
      </c>
      <c r="U65" s="134">
        <f t="shared" si="8"/>
        <v>4.1139567736851141</v>
      </c>
      <c r="V65" s="134">
        <f t="shared" si="8"/>
        <v>6.2413863248296426</v>
      </c>
      <c r="W65" s="134">
        <f t="shared" si="8"/>
        <v>1.2039820925073021</v>
      </c>
      <c r="X65" s="134">
        <f t="shared" si="8"/>
        <v>12.945114220240177</v>
      </c>
      <c r="Y65" s="134">
        <f t="shared" si="8"/>
        <v>28.708504666251869</v>
      </c>
      <c r="Z65" s="134">
        <f t="shared" si="8"/>
        <v>21.552789151294505</v>
      </c>
      <c r="AA65" s="134">
        <f t="shared" si="8"/>
        <v>33.301990735808381</v>
      </c>
      <c r="AB65" s="134">
        <f t="shared" si="8"/>
        <v>10.754995445975196</v>
      </c>
    </row>
    <row r="66" spans="2:28">
      <c r="B66" s="127" t="s">
        <v>105</v>
      </c>
      <c r="C66" s="134">
        <f t="shared" si="9"/>
        <v>170.16097819240696</v>
      </c>
      <c r="D66" s="134">
        <f t="shared" si="8"/>
        <v>32.333607534129492</v>
      </c>
      <c r="E66" s="134">
        <f t="shared" si="8"/>
        <v>12.807999623073506</v>
      </c>
      <c r="F66" s="134">
        <f t="shared" si="8"/>
        <v>5.5015094831619127</v>
      </c>
      <c r="G66" s="134">
        <f t="shared" si="8"/>
        <v>8.9770263543216853</v>
      </c>
      <c r="H66" s="134">
        <f t="shared" si="8"/>
        <v>4.8097686105495443</v>
      </c>
      <c r="I66" s="134">
        <f t="shared" si="8"/>
        <v>4.3611267293735683</v>
      </c>
      <c r="J66" s="134">
        <f t="shared" si="8"/>
        <v>21.35347268471206</v>
      </c>
      <c r="K66" s="134">
        <f t="shared" si="8"/>
        <v>29.763653686155269</v>
      </c>
      <c r="L66" s="134">
        <f t="shared" si="8"/>
        <v>145.9656018152582</v>
      </c>
      <c r="M66" s="134">
        <f t="shared" si="8"/>
        <v>24.918708994059994</v>
      </c>
      <c r="N66" s="134">
        <f t="shared" si="8"/>
        <v>14.06820968297753</v>
      </c>
      <c r="O66" s="134">
        <f t="shared" si="8"/>
        <v>9.3736607647499834</v>
      </c>
      <c r="P66" s="134">
        <f t="shared" si="8"/>
        <v>36.517038961239635</v>
      </c>
      <c r="Q66" s="134">
        <f t="shared" si="8"/>
        <v>2.4607150657820309</v>
      </c>
      <c r="R66" s="134">
        <f t="shared" si="8"/>
        <v>13.991097529614267</v>
      </c>
      <c r="S66" s="134">
        <f t="shared" si="8"/>
        <v>3.144210287709956</v>
      </c>
      <c r="T66" s="134">
        <f t="shared" si="8"/>
        <v>11.019299849929871</v>
      </c>
      <c r="U66" s="134">
        <f t="shared" si="8"/>
        <v>2.7838805235463187</v>
      </c>
      <c r="V66" s="134">
        <f t="shared" si="8"/>
        <v>3.219825727929905</v>
      </c>
      <c r="W66" s="134">
        <f t="shared" si="8"/>
        <v>0.94902117879987324</v>
      </c>
      <c r="X66" s="134">
        <f t="shared" si="8"/>
        <v>8.5151616841526589</v>
      </c>
      <c r="Y66" s="134">
        <f t="shared" si="8"/>
        <v>23.381572497301448</v>
      </c>
      <c r="Z66" s="134">
        <f t="shared" si="8"/>
        <v>11.91675379000146</v>
      </c>
      <c r="AA66" s="134">
        <f t="shared" si="8"/>
        <v>24.491717237347682</v>
      </c>
      <c r="AB66" s="134">
        <f t="shared" si="8"/>
        <v>7.9288652557919326</v>
      </c>
    </row>
    <row r="67" spans="2:28">
      <c r="B67" s="127" t="s">
        <v>106</v>
      </c>
      <c r="C67" s="134">
        <f t="shared" si="9"/>
        <v>329.60964298771256</v>
      </c>
      <c r="D67" s="134">
        <f t="shared" si="8"/>
        <v>43.420976333839356</v>
      </c>
      <c r="E67" s="134">
        <f t="shared" si="8"/>
        <v>27.186791652750316</v>
      </c>
      <c r="F67" s="134">
        <f t="shared" si="8"/>
        <v>8.9592616637237015</v>
      </c>
      <c r="G67" s="134">
        <f t="shared" si="8"/>
        <v>13.845082925139488</v>
      </c>
      <c r="H67" s="134">
        <f t="shared" si="8"/>
        <v>8.733798247850121</v>
      </c>
      <c r="I67" s="134">
        <f t="shared" si="8"/>
        <v>7.7285790140797301</v>
      </c>
      <c r="J67" s="134">
        <f t="shared" si="8"/>
        <v>37.687603184571422</v>
      </c>
      <c r="K67" s="134">
        <f t="shared" si="8"/>
        <v>61.335379792497427</v>
      </c>
      <c r="L67" s="134">
        <f t="shared" si="8"/>
        <v>200.23164310974281</v>
      </c>
      <c r="M67" s="134">
        <f t="shared" si="8"/>
        <v>38.031599852186254</v>
      </c>
      <c r="N67" s="134">
        <f t="shared" si="8"/>
        <v>24.531878079022952</v>
      </c>
      <c r="O67" s="134">
        <f t="shared" si="8"/>
        <v>14.39848372277698</v>
      </c>
      <c r="P67" s="134">
        <f t="shared" si="8"/>
        <v>59.526846039046681</v>
      </c>
      <c r="Q67" s="134">
        <f t="shared" si="8"/>
        <v>5.1935562682505365</v>
      </c>
      <c r="R67" s="134">
        <f t="shared" si="8"/>
        <v>18.517629083312965</v>
      </c>
      <c r="S67" s="134">
        <f t="shared" si="8"/>
        <v>6.0974171467272402</v>
      </c>
      <c r="T67" s="134">
        <f t="shared" si="8"/>
        <v>17.175070768227542</v>
      </c>
      <c r="U67" s="134">
        <f t="shared" si="8"/>
        <v>4.2562440004441386</v>
      </c>
      <c r="V67" s="134">
        <f t="shared" si="8"/>
        <v>5.2500606696787981</v>
      </c>
      <c r="W67" s="134">
        <f t="shared" si="8"/>
        <v>1.6820338057087281</v>
      </c>
      <c r="X67" s="134">
        <f t="shared" si="8"/>
        <v>14.530933805143073</v>
      </c>
      <c r="Y67" s="134">
        <f t="shared" si="8"/>
        <v>32.327565452790637</v>
      </c>
      <c r="Z67" s="134">
        <f t="shared" si="8"/>
        <v>27.197567262347786</v>
      </c>
      <c r="AA67" s="134">
        <f t="shared" si="8"/>
        <v>29.761019568962865</v>
      </c>
      <c r="AB67" s="134">
        <f t="shared" si="8"/>
        <v>14.884285668298496</v>
      </c>
    </row>
    <row r="68" spans="2:28">
      <c r="B68" s="114" t="s">
        <v>73</v>
      </c>
      <c r="C68" s="134">
        <f>C39*C$59</f>
        <v>2292.6477183621182</v>
      </c>
      <c r="D68" s="134">
        <f t="shared" ref="D68:AB68" si="10">D39*D$59</f>
        <v>288.80046285480353</v>
      </c>
      <c r="E68" s="134">
        <f t="shared" si="10"/>
        <v>159.55514113897112</v>
      </c>
      <c r="F68" s="134">
        <f t="shared" si="10"/>
        <v>61.039982769449814</v>
      </c>
      <c r="G68" s="134">
        <f t="shared" si="10"/>
        <v>73.179392845769442</v>
      </c>
      <c r="H68" s="134">
        <f t="shared" si="10"/>
        <v>46.830886530379466</v>
      </c>
      <c r="I68" s="134">
        <f t="shared" si="10"/>
        <v>40.705876211173056</v>
      </c>
      <c r="J68" s="134">
        <f t="shared" si="10"/>
        <v>209.49600815085583</v>
      </c>
      <c r="K68" s="134">
        <f t="shared" si="10"/>
        <v>330.28115614209833</v>
      </c>
      <c r="L68" s="134">
        <f t="shared" si="10"/>
        <v>1352.481727787741</v>
      </c>
      <c r="M68" s="134">
        <f t="shared" si="10"/>
        <v>200.87908855553223</v>
      </c>
      <c r="N68" s="134">
        <f t="shared" si="10"/>
        <v>180.41682836214213</v>
      </c>
      <c r="O68" s="134">
        <f t="shared" si="10"/>
        <v>125.34277889383463</v>
      </c>
      <c r="P68" s="134">
        <f t="shared" si="10"/>
        <v>322.86588749195192</v>
      </c>
      <c r="Q68" s="134">
        <f t="shared" si="10"/>
        <v>27.717064237775855</v>
      </c>
      <c r="R68" s="134">
        <f t="shared" si="10"/>
        <v>109.4050457251342</v>
      </c>
      <c r="S68" s="134">
        <f t="shared" si="10"/>
        <v>41.701965950453037</v>
      </c>
      <c r="T68" s="134">
        <f t="shared" si="10"/>
        <v>104.53173862158621</v>
      </c>
      <c r="U68" s="134">
        <f t="shared" si="10"/>
        <v>33.086235716012197</v>
      </c>
      <c r="V68" s="134">
        <f t="shared" si="10"/>
        <v>45.521975056262143</v>
      </c>
      <c r="W68" s="134">
        <f t="shared" si="10"/>
        <v>9.5703905696393221</v>
      </c>
      <c r="X68" s="134">
        <f t="shared" si="10"/>
        <v>85.595924007763415</v>
      </c>
      <c r="Y68" s="134">
        <f t="shared" si="10"/>
        <v>205.38864945578095</v>
      </c>
      <c r="Z68" s="134">
        <f t="shared" si="10"/>
        <v>134.45724779176373</v>
      </c>
      <c r="AA68" s="134">
        <f t="shared" si="10"/>
        <v>225.31946356140799</v>
      </c>
      <c r="AB68" s="134">
        <f t="shared" si="10"/>
        <v>87.994270227773001</v>
      </c>
    </row>
    <row r="69" spans="2:28">
      <c r="B69" s="127" t="s">
        <v>107</v>
      </c>
      <c r="C69" s="134">
        <f>C40*C$68</f>
        <v>1677.3010707537258</v>
      </c>
      <c r="D69" s="134">
        <f t="shared" ref="D69:AB69" si="11">D40*D$68</f>
        <v>203.51768617378005</v>
      </c>
      <c r="E69" s="134">
        <f t="shared" si="11"/>
        <v>113.09268403930272</v>
      </c>
      <c r="F69" s="134">
        <f t="shared" si="11"/>
        <v>44.022035573327202</v>
      </c>
      <c r="G69" s="134">
        <f t="shared" si="11"/>
        <v>51.576836077698303</v>
      </c>
      <c r="H69" s="134">
        <f t="shared" si="11"/>
        <v>33.821266252240051</v>
      </c>
      <c r="I69" s="134">
        <f t="shared" si="11"/>
        <v>29.49954849023711</v>
      </c>
      <c r="J69" s="134">
        <f t="shared" si="11"/>
        <v>154.18906199902989</v>
      </c>
      <c r="K69" s="134">
        <f t="shared" si="11"/>
        <v>238.79327589073708</v>
      </c>
      <c r="L69" s="134">
        <f t="shared" si="11"/>
        <v>989.47563204951132</v>
      </c>
      <c r="M69" s="134">
        <f t="shared" si="11"/>
        <v>146.7421741898163</v>
      </c>
      <c r="N69" s="134">
        <f t="shared" si="11"/>
        <v>131.32540936480325</v>
      </c>
      <c r="O69" s="134">
        <f t="shared" si="11"/>
        <v>89.344332795525332</v>
      </c>
      <c r="P69" s="134">
        <f t="shared" si="11"/>
        <v>229.58993259552699</v>
      </c>
      <c r="Q69" s="134">
        <f t="shared" si="11"/>
        <v>19.662485370278191</v>
      </c>
      <c r="R69" s="134">
        <f t="shared" si="11"/>
        <v>77.010211685921959</v>
      </c>
      <c r="S69" s="134">
        <f t="shared" si="11"/>
        <v>30.642604580392888</v>
      </c>
      <c r="T69" s="134">
        <f t="shared" si="11"/>
        <v>73.987564596358723</v>
      </c>
      <c r="U69" s="134">
        <f t="shared" si="11"/>
        <v>23.914731175533618</v>
      </c>
      <c r="V69" s="134">
        <f t="shared" si="11"/>
        <v>32.270528117384231</v>
      </c>
      <c r="W69" s="134">
        <f t="shared" si="11"/>
        <v>6.9442753973302924</v>
      </c>
      <c r="X69" s="134">
        <f t="shared" si="11"/>
        <v>61.911531834815285</v>
      </c>
      <c r="Y69" s="134">
        <f t="shared" si="11"/>
        <v>150.6731132407609</v>
      </c>
      <c r="Z69" s="134">
        <f t="shared" si="11"/>
        <v>96.795772685290714</v>
      </c>
      <c r="AA69" s="134">
        <f t="shared" si="11"/>
        <v>158.71503013265576</v>
      </c>
      <c r="AB69" s="134">
        <f t="shared" si="11"/>
        <v>61.974364521420519</v>
      </c>
    </row>
    <row r="70" spans="2:28">
      <c r="B70" s="127" t="s">
        <v>108</v>
      </c>
      <c r="C70" s="134">
        <f>C41*C$68</f>
        <v>615.34664760839257</v>
      </c>
      <c r="D70" s="134">
        <f t="shared" ref="D70:AB70" si="12">D41*D$68</f>
        <v>85.282776681023478</v>
      </c>
      <c r="E70" s="134">
        <f t="shared" si="12"/>
        <v>46.462457099668391</v>
      </c>
      <c r="F70" s="134">
        <f t="shared" si="12"/>
        <v>17.017947196122613</v>
      </c>
      <c r="G70" s="134">
        <f t="shared" si="12"/>
        <v>21.602556768071139</v>
      </c>
      <c r="H70" s="134">
        <f t="shared" si="12"/>
        <v>13.009620278139417</v>
      </c>
      <c r="I70" s="134">
        <f t="shared" si="12"/>
        <v>11.206327720935944</v>
      </c>
      <c r="J70" s="134">
        <f t="shared" si="12"/>
        <v>55.30694615182594</v>
      </c>
      <c r="K70" s="134">
        <f t="shared" si="12"/>
        <v>91.487880251361247</v>
      </c>
      <c r="L70" s="134">
        <f t="shared" si="12"/>
        <v>363.0060957382297</v>
      </c>
      <c r="M70" s="134">
        <f t="shared" si="12"/>
        <v>54.136914365715938</v>
      </c>
      <c r="N70" s="134">
        <f t="shared" si="12"/>
        <v>49.091418997338877</v>
      </c>
      <c r="O70" s="134">
        <f t="shared" si="12"/>
        <v>35.998446098309309</v>
      </c>
      <c r="P70" s="134">
        <f t="shared" si="12"/>
        <v>93.275954896424921</v>
      </c>
      <c r="Q70" s="134">
        <f t="shared" si="12"/>
        <v>8.0545788674976642</v>
      </c>
      <c r="R70" s="134">
        <f t="shared" si="12"/>
        <v>32.394834039212242</v>
      </c>
      <c r="S70" s="134">
        <f t="shared" si="12"/>
        <v>11.059361370060147</v>
      </c>
      <c r="T70" s="134">
        <f t="shared" si="12"/>
        <v>30.544174025227495</v>
      </c>
      <c r="U70" s="134">
        <f t="shared" si="12"/>
        <v>9.1715045404785815</v>
      </c>
      <c r="V70" s="134">
        <f t="shared" si="12"/>
        <v>13.25144693887791</v>
      </c>
      <c r="W70" s="134">
        <f t="shared" si="12"/>
        <v>2.6261151723090301</v>
      </c>
      <c r="X70" s="134">
        <f t="shared" si="12"/>
        <v>23.684392172948137</v>
      </c>
      <c r="Y70" s="134">
        <f t="shared" si="12"/>
        <v>54.715536215020052</v>
      </c>
      <c r="Z70" s="134">
        <f t="shared" si="12"/>
        <v>37.661475106473027</v>
      </c>
      <c r="AA70" s="134">
        <f t="shared" si="12"/>
        <v>66.604433428752202</v>
      </c>
      <c r="AB70" s="134">
        <f t="shared" si="12"/>
        <v>26.019905706352478</v>
      </c>
    </row>
    <row r="71" spans="2:28">
      <c r="B71" s="114" t="s">
        <v>74</v>
      </c>
      <c r="C71" s="134">
        <f>C42*C$59</f>
        <v>984.09899931400366</v>
      </c>
      <c r="D71" s="134">
        <f t="shared" ref="D71:AB71" si="13">D42*D$59</f>
        <v>95.111778416393719</v>
      </c>
      <c r="E71" s="134">
        <f t="shared" si="13"/>
        <v>66.903928374898641</v>
      </c>
      <c r="F71" s="134">
        <f t="shared" si="13"/>
        <v>26.606498513533847</v>
      </c>
      <c r="G71" s="134">
        <f t="shared" si="13"/>
        <v>30.314331065420824</v>
      </c>
      <c r="H71" s="134">
        <f t="shared" si="13"/>
        <v>22.473568559480508</v>
      </c>
      <c r="I71" s="134">
        <f t="shared" si="13"/>
        <v>17.950924689521809</v>
      </c>
      <c r="J71" s="134">
        <f t="shared" si="13"/>
        <v>77.149182132076035</v>
      </c>
      <c r="K71" s="134">
        <f t="shared" si="13"/>
        <v>114.23910391955239</v>
      </c>
      <c r="L71" s="134">
        <f t="shared" si="13"/>
        <v>515.23113439532983</v>
      </c>
      <c r="M71" s="134">
        <f t="shared" si="13"/>
        <v>93.099205363231235</v>
      </c>
      <c r="N71" s="134">
        <f t="shared" si="13"/>
        <v>78.645299009133851</v>
      </c>
      <c r="O71" s="134">
        <f t="shared" si="13"/>
        <v>49.735107579173686</v>
      </c>
      <c r="P71" s="134">
        <f t="shared" si="13"/>
        <v>122.17313214137951</v>
      </c>
      <c r="Q71" s="134">
        <f t="shared" si="13"/>
        <v>9.2468844095388381</v>
      </c>
      <c r="R71" s="134">
        <f t="shared" si="13"/>
        <v>39.358231217641702</v>
      </c>
      <c r="S71" s="134">
        <f t="shared" si="13"/>
        <v>14.810516392100288</v>
      </c>
      <c r="T71" s="134">
        <f t="shared" si="13"/>
        <v>40.635010125244172</v>
      </c>
      <c r="U71" s="134">
        <f t="shared" si="13"/>
        <v>13.923847854030761</v>
      </c>
      <c r="V71" s="134">
        <f t="shared" si="13"/>
        <v>17.794953885629745</v>
      </c>
      <c r="W71" s="134">
        <f t="shared" si="13"/>
        <v>3.2469552098320653</v>
      </c>
      <c r="X71" s="134">
        <f t="shared" si="13"/>
        <v>39.125215598035027</v>
      </c>
      <c r="Y71" s="134">
        <f t="shared" si="13"/>
        <v>72.427914994702675</v>
      </c>
      <c r="Z71" s="134">
        <f t="shared" si="13"/>
        <v>48.406987926800383</v>
      </c>
      <c r="AA71" s="134">
        <f t="shared" si="13"/>
        <v>89.638165194509142</v>
      </c>
      <c r="AB71" s="134">
        <f t="shared" si="13"/>
        <v>37.56031401659304</v>
      </c>
    </row>
    <row r="72" spans="2:28">
      <c r="B72" s="127" t="s">
        <v>109</v>
      </c>
      <c r="C72" s="134">
        <f>C43*C$71</f>
        <v>602.46540738003307</v>
      </c>
      <c r="D72" s="134">
        <f t="shared" ref="D72:AB72" si="14">D43*D$71</f>
        <v>60.576691673401164</v>
      </c>
      <c r="E72" s="134">
        <f t="shared" si="14"/>
        <v>41.165987129075134</v>
      </c>
      <c r="F72" s="134">
        <f t="shared" si="14"/>
        <v>16.762094063526323</v>
      </c>
      <c r="G72" s="134">
        <f t="shared" si="14"/>
        <v>19.289008856927268</v>
      </c>
      <c r="H72" s="134">
        <f t="shared" si="14"/>
        <v>13.9515913617255</v>
      </c>
      <c r="I72" s="134">
        <f t="shared" si="14"/>
        <v>11.190606451447895</v>
      </c>
      <c r="J72" s="134">
        <f t="shared" si="14"/>
        <v>48.17966424148149</v>
      </c>
      <c r="K72" s="134">
        <f t="shared" si="14"/>
        <v>70.714005326202937</v>
      </c>
      <c r="L72" s="134">
        <f t="shared" si="14"/>
        <v>317.69151746816038</v>
      </c>
      <c r="M72" s="134">
        <f t="shared" si="14"/>
        <v>57.172222013560301</v>
      </c>
      <c r="N72" s="134">
        <f t="shared" si="14"/>
        <v>49.216228119915968</v>
      </c>
      <c r="O72" s="134">
        <f t="shared" si="14"/>
        <v>31.258515113510665</v>
      </c>
      <c r="P72" s="134">
        <f t="shared" si="14"/>
        <v>74.012483451247704</v>
      </c>
      <c r="Q72" s="134">
        <f t="shared" si="14"/>
        <v>5.8532778312380849</v>
      </c>
      <c r="R72" s="134">
        <f t="shared" si="14"/>
        <v>24.224991314458464</v>
      </c>
      <c r="S72" s="134">
        <f t="shared" si="14"/>
        <v>9.0077560696753967</v>
      </c>
      <c r="T72" s="134">
        <f t="shared" si="14"/>
        <v>25.108372756388373</v>
      </c>
      <c r="U72" s="134">
        <f t="shared" si="14"/>
        <v>8.6829115217735815</v>
      </c>
      <c r="V72" s="134">
        <f t="shared" si="14"/>
        <v>11.032871409090442</v>
      </c>
      <c r="W72" s="134">
        <f t="shared" si="14"/>
        <v>2.0449323911522344</v>
      </c>
      <c r="X72" s="134">
        <f t="shared" si="14"/>
        <v>24.273283757020934</v>
      </c>
      <c r="Y72" s="134">
        <f t="shared" si="14"/>
        <v>45.187776165194997</v>
      </c>
      <c r="Z72" s="134">
        <f t="shared" si="14"/>
        <v>29.179732322275271</v>
      </c>
      <c r="AA72" s="134">
        <f t="shared" si="14"/>
        <v>56.319659191710095</v>
      </c>
      <c r="AB72" s="134">
        <f t="shared" si="14"/>
        <v>23.204761999451179</v>
      </c>
    </row>
    <row r="73" spans="2:28">
      <c r="B73" s="127" t="s">
        <v>110</v>
      </c>
      <c r="C73" s="134">
        <f>C44*C$71</f>
        <v>381.63359193397059</v>
      </c>
      <c r="D73" s="134">
        <f t="shared" ref="D73:AB73" si="15">D44*D$71</f>
        <v>34.535086742992554</v>
      </c>
      <c r="E73" s="134">
        <f t="shared" si="15"/>
        <v>25.737941245823507</v>
      </c>
      <c r="F73" s="134">
        <f t="shared" si="15"/>
        <v>9.8444044500075236</v>
      </c>
      <c r="G73" s="134">
        <f t="shared" si="15"/>
        <v>11.025322208493554</v>
      </c>
      <c r="H73" s="134">
        <f t="shared" si="15"/>
        <v>8.5219771977550085</v>
      </c>
      <c r="I73" s="134">
        <f t="shared" si="15"/>
        <v>6.7603182380739133</v>
      </c>
      <c r="J73" s="134">
        <f t="shared" si="15"/>
        <v>28.969517890594553</v>
      </c>
      <c r="K73" s="134">
        <f t="shared" si="15"/>
        <v>43.525098593349462</v>
      </c>
      <c r="L73" s="134">
        <f t="shared" si="15"/>
        <v>197.53961692716948</v>
      </c>
      <c r="M73" s="134">
        <f t="shared" si="15"/>
        <v>35.926983349670934</v>
      </c>
      <c r="N73" s="134">
        <f t="shared" si="15"/>
        <v>29.429070889217886</v>
      </c>
      <c r="O73" s="134">
        <f t="shared" si="15"/>
        <v>18.476592465663025</v>
      </c>
      <c r="P73" s="134">
        <f t="shared" si="15"/>
        <v>48.160648690131801</v>
      </c>
      <c r="Q73" s="134">
        <f t="shared" si="15"/>
        <v>3.3936065783007536</v>
      </c>
      <c r="R73" s="134">
        <f t="shared" si="15"/>
        <v>15.133239903183235</v>
      </c>
      <c r="S73" s="134">
        <f t="shared" si="15"/>
        <v>5.8027603224248923</v>
      </c>
      <c r="T73" s="134">
        <f t="shared" si="15"/>
        <v>15.526637368855798</v>
      </c>
      <c r="U73" s="134">
        <f t="shared" si="15"/>
        <v>5.2409363322571787</v>
      </c>
      <c r="V73" s="134">
        <f t="shared" si="15"/>
        <v>6.7620824765393035</v>
      </c>
      <c r="W73" s="134">
        <f t="shared" si="15"/>
        <v>1.2020228186798307</v>
      </c>
      <c r="X73" s="134">
        <f t="shared" si="15"/>
        <v>14.851931841014096</v>
      </c>
      <c r="Y73" s="134">
        <f t="shared" si="15"/>
        <v>27.240138829507675</v>
      </c>
      <c r="Z73" s="134">
        <f t="shared" si="15"/>
        <v>19.227255604525112</v>
      </c>
      <c r="AA73" s="134">
        <f t="shared" si="15"/>
        <v>33.318506002799047</v>
      </c>
      <c r="AB73" s="134">
        <f t="shared" si="15"/>
        <v>14.355552017141859</v>
      </c>
    </row>
    <row r="74" spans="2:28">
      <c r="B74" s="114" t="s">
        <v>75</v>
      </c>
      <c r="C74" s="134">
        <f>C45*C$59</f>
        <v>383.08521125232318</v>
      </c>
      <c r="D74" s="134">
        <f t="shared" ref="D74:AB74" si="16">D45*D$59</f>
        <v>56.278451801660104</v>
      </c>
      <c r="E74" s="134">
        <f t="shared" si="16"/>
        <v>21.84618069384446</v>
      </c>
      <c r="F74" s="134">
        <f t="shared" si="16"/>
        <v>9.901924915698185</v>
      </c>
      <c r="G74" s="134">
        <f t="shared" si="16"/>
        <v>12.285106784453127</v>
      </c>
      <c r="H74" s="134">
        <f t="shared" si="16"/>
        <v>7.8416545266023618</v>
      </c>
      <c r="I74" s="134">
        <f t="shared" si="16"/>
        <v>8.9846303348985543</v>
      </c>
      <c r="J74" s="134">
        <f t="shared" si="16"/>
        <v>31.788742106368996</v>
      </c>
      <c r="K74" s="134">
        <f t="shared" si="16"/>
        <v>67.242004205812478</v>
      </c>
      <c r="L74" s="134">
        <f t="shared" si="16"/>
        <v>281.34331680797618</v>
      </c>
      <c r="M74" s="134">
        <f t="shared" si="16"/>
        <v>33.464650703531703</v>
      </c>
      <c r="N74" s="134">
        <f t="shared" si="16"/>
        <v>36.50237751141151</v>
      </c>
      <c r="O74" s="134">
        <f t="shared" si="16"/>
        <v>25.511790934394796</v>
      </c>
      <c r="P74" s="134">
        <f t="shared" si="16"/>
        <v>46.062955853768379</v>
      </c>
      <c r="Q74" s="134">
        <f t="shared" si="16"/>
        <v>4.1634568833765435</v>
      </c>
      <c r="R74" s="134">
        <f t="shared" si="16"/>
        <v>24.186347344007604</v>
      </c>
      <c r="S74" s="134">
        <f t="shared" si="16"/>
        <v>6.0320419435402766</v>
      </c>
      <c r="T74" s="134">
        <f t="shared" si="16"/>
        <v>17.032638974653249</v>
      </c>
      <c r="U74" s="134">
        <f t="shared" si="16"/>
        <v>5.5941589118846604</v>
      </c>
      <c r="V74" s="134">
        <f t="shared" si="16"/>
        <v>8.8410447423319063</v>
      </c>
      <c r="W74" s="134">
        <f t="shared" si="16"/>
        <v>1.7443959613261399</v>
      </c>
      <c r="X74" s="134">
        <f t="shared" si="16"/>
        <v>13.739496917208799</v>
      </c>
      <c r="Y74" s="134">
        <f t="shared" si="16"/>
        <v>43.262902995619243</v>
      </c>
      <c r="Z74" s="134">
        <f t="shared" si="16"/>
        <v>19.683922609055195</v>
      </c>
      <c r="AA74" s="134">
        <f t="shared" si="16"/>
        <v>46.325606382036241</v>
      </c>
      <c r="AB74" s="134">
        <f t="shared" si="16"/>
        <v>13.422234901742602</v>
      </c>
    </row>
    <row r="75" spans="2:28">
      <c r="B75" s="127" t="s">
        <v>111</v>
      </c>
      <c r="C75" s="134">
        <f>C46*C$74</f>
        <v>182.96149689410956</v>
      </c>
      <c r="D75" s="134">
        <f t="shared" ref="D75:AB77" si="17">D46*D$74</f>
        <v>25.432232369170201</v>
      </c>
      <c r="E75" s="134">
        <f t="shared" si="17"/>
        <v>10.433735899380112</v>
      </c>
      <c r="F75" s="134">
        <f t="shared" si="17"/>
        <v>4.9192762981188576</v>
      </c>
      <c r="G75" s="134">
        <f t="shared" si="17"/>
        <v>5.9558197691028765</v>
      </c>
      <c r="H75" s="134">
        <f t="shared" si="17"/>
        <v>3.6448010239647779</v>
      </c>
      <c r="I75" s="134">
        <f t="shared" si="17"/>
        <v>4.2164870161678909</v>
      </c>
      <c r="J75" s="134">
        <f t="shared" si="17"/>
        <v>15.331710317901765</v>
      </c>
      <c r="K75" s="134">
        <f t="shared" si="17"/>
        <v>32.639268841501369</v>
      </c>
      <c r="L75" s="134">
        <f t="shared" si="17"/>
        <v>138.75852384969383</v>
      </c>
      <c r="M75" s="134">
        <f t="shared" si="17"/>
        <v>16.19019801036864</v>
      </c>
      <c r="N75" s="134">
        <f t="shared" si="17"/>
        <v>17.612397149256051</v>
      </c>
      <c r="O75" s="134">
        <f t="shared" si="17"/>
        <v>12.184431350266955</v>
      </c>
      <c r="P75" s="134">
        <f t="shared" si="17"/>
        <v>22.170100652418718</v>
      </c>
      <c r="Q75" s="134">
        <f t="shared" si="17"/>
        <v>2.0908880468316999</v>
      </c>
      <c r="R75" s="134">
        <f t="shared" si="17"/>
        <v>11.686843036624474</v>
      </c>
      <c r="S75" s="134">
        <f t="shared" si="17"/>
        <v>2.8163603834389552</v>
      </c>
      <c r="T75" s="134">
        <f t="shared" si="17"/>
        <v>8.095613304652689</v>
      </c>
      <c r="U75" s="134">
        <f t="shared" si="17"/>
        <v>2.5699566041198132</v>
      </c>
      <c r="V75" s="134">
        <f t="shared" si="17"/>
        <v>4.1880028944426231</v>
      </c>
      <c r="W75" s="134">
        <f t="shared" si="17"/>
        <v>0.80922528645919634</v>
      </c>
      <c r="X75" s="134">
        <f t="shared" si="17"/>
        <v>6.9453156916490473</v>
      </c>
      <c r="Y75" s="134">
        <f t="shared" si="17"/>
        <v>20.08263957056645</v>
      </c>
      <c r="Z75" s="134">
        <f t="shared" si="17"/>
        <v>9.2356964881686956</v>
      </c>
      <c r="AA75" s="134">
        <f t="shared" si="17"/>
        <v>21.912011818703142</v>
      </c>
      <c r="AB75" s="134">
        <f t="shared" si="17"/>
        <v>6.4708594461301079</v>
      </c>
    </row>
    <row r="76" spans="2:28">
      <c r="B76" s="127" t="s">
        <v>112</v>
      </c>
      <c r="C76" s="134">
        <f t="shared" ref="C76:R77" si="18">C47*C$74</f>
        <v>88.990694573914681</v>
      </c>
      <c r="D76" s="134">
        <f t="shared" si="18"/>
        <v>13.354876612533943</v>
      </c>
      <c r="E76" s="134">
        <f t="shared" si="18"/>
        <v>5.2037602412737503</v>
      </c>
      <c r="F76" s="134">
        <f t="shared" si="18"/>
        <v>2.0586101899736526</v>
      </c>
      <c r="G76" s="134">
        <f t="shared" si="18"/>
        <v>2.8022328575337583</v>
      </c>
      <c r="H76" s="134">
        <f t="shared" si="18"/>
        <v>1.7337898158317822</v>
      </c>
      <c r="I76" s="134">
        <f t="shared" si="18"/>
        <v>1.9595478760413747</v>
      </c>
      <c r="J76" s="134">
        <f t="shared" si="18"/>
        <v>7.060279621824554</v>
      </c>
      <c r="K76" s="134">
        <f t="shared" si="18"/>
        <v>13.68374785588284</v>
      </c>
      <c r="L76" s="134">
        <f t="shared" si="18"/>
        <v>61.135902742373219</v>
      </c>
      <c r="M76" s="134">
        <f t="shared" si="18"/>
        <v>6.9506079511235344</v>
      </c>
      <c r="N76" s="134">
        <f t="shared" si="18"/>
        <v>8.0524244790173789</v>
      </c>
      <c r="O76" s="134">
        <f t="shared" si="18"/>
        <v>6.0794597796662799</v>
      </c>
      <c r="P76" s="134">
        <f t="shared" si="18"/>
        <v>9.9173543953163321</v>
      </c>
      <c r="Q76" s="134">
        <f t="shared" si="18"/>
        <v>0.84934520420881499</v>
      </c>
      <c r="R76" s="134">
        <f t="shared" si="18"/>
        <v>5.4201604397921042</v>
      </c>
      <c r="S76" s="134">
        <f t="shared" si="17"/>
        <v>1.2986986304442214</v>
      </c>
      <c r="T76" s="134">
        <f t="shared" si="17"/>
        <v>3.650094532268191</v>
      </c>
      <c r="U76" s="134">
        <f t="shared" si="17"/>
        <v>1.2715523206713832</v>
      </c>
      <c r="V76" s="134">
        <f t="shared" si="17"/>
        <v>2.1006322307780612</v>
      </c>
      <c r="W76" s="134">
        <f t="shared" si="17"/>
        <v>0.38743034301053569</v>
      </c>
      <c r="X76" s="134">
        <f t="shared" si="17"/>
        <v>2.8729288053883599</v>
      </c>
      <c r="Y76" s="134">
        <f t="shared" si="17"/>
        <v>10.283592042058693</v>
      </c>
      <c r="Z76" s="134">
        <f t="shared" si="17"/>
        <v>4.1867703389460402</v>
      </c>
      <c r="AA76" s="134">
        <f t="shared" si="17"/>
        <v>9.7515401434186284</v>
      </c>
      <c r="AB76" s="134">
        <f t="shared" si="17"/>
        <v>2.9837628186573806</v>
      </c>
    </row>
    <row r="77" spans="2:28">
      <c r="B77" s="127" t="s">
        <v>113</v>
      </c>
      <c r="C77" s="134">
        <f t="shared" si="18"/>
        <v>111.13301978429897</v>
      </c>
      <c r="D77" s="134">
        <f t="shared" si="17"/>
        <v>17.49134281995596</v>
      </c>
      <c r="E77" s="134">
        <f t="shared" si="17"/>
        <v>6.2086845531905972</v>
      </c>
      <c r="F77" s="134">
        <f t="shared" si="17"/>
        <v>2.9240384276056748</v>
      </c>
      <c r="G77" s="134">
        <f t="shared" si="17"/>
        <v>3.5270541578164929</v>
      </c>
      <c r="H77" s="134">
        <f t="shared" si="17"/>
        <v>2.463063686805802</v>
      </c>
      <c r="I77" s="134">
        <f t="shared" si="17"/>
        <v>2.8085954426892883</v>
      </c>
      <c r="J77" s="134">
        <f t="shared" si="17"/>
        <v>9.3967521666426759</v>
      </c>
      <c r="K77" s="134">
        <f t="shared" si="17"/>
        <v>20.918987508428266</v>
      </c>
      <c r="L77" s="134">
        <f t="shared" si="17"/>
        <v>81.448890215909117</v>
      </c>
      <c r="M77" s="134">
        <f t="shared" si="17"/>
        <v>10.323844742039531</v>
      </c>
      <c r="N77" s="134">
        <f t="shared" si="17"/>
        <v>10.837555883138078</v>
      </c>
      <c r="O77" s="134">
        <f t="shared" si="17"/>
        <v>7.2478998044615617</v>
      </c>
      <c r="P77" s="134">
        <f t="shared" si="17"/>
        <v>13.975500806033329</v>
      </c>
      <c r="Q77" s="134">
        <f t="shared" si="17"/>
        <v>1.2232236323360288</v>
      </c>
      <c r="R77" s="134">
        <f t="shared" si="17"/>
        <v>7.0793438675910272</v>
      </c>
      <c r="S77" s="134">
        <f t="shared" si="17"/>
        <v>1.9169829296571002</v>
      </c>
      <c r="T77" s="134">
        <f t="shared" si="17"/>
        <v>5.2869311377323696</v>
      </c>
      <c r="U77" s="134">
        <f t="shared" si="17"/>
        <v>1.7526499870934642</v>
      </c>
      <c r="V77" s="134">
        <f t="shared" si="17"/>
        <v>2.5524096171112221</v>
      </c>
      <c r="W77" s="134">
        <f t="shared" si="17"/>
        <v>0.54774033185640802</v>
      </c>
      <c r="X77" s="134">
        <f t="shared" si="17"/>
        <v>3.9212524201713919</v>
      </c>
      <c r="Y77" s="134">
        <f t="shared" si="17"/>
        <v>12.896671382994098</v>
      </c>
      <c r="Z77" s="134">
        <f t="shared" si="17"/>
        <v>6.2614557819404588</v>
      </c>
      <c r="AA77" s="134">
        <f t="shared" si="17"/>
        <v>14.662054419914472</v>
      </c>
      <c r="AB77" s="134">
        <f t="shared" si="17"/>
        <v>3.9676126369551135</v>
      </c>
    </row>
    <row r="78" spans="2:28">
      <c r="B78" s="114" t="s">
        <v>76</v>
      </c>
      <c r="C78" s="134">
        <f>C49*C$59</f>
        <v>579.51410783833592</v>
      </c>
      <c r="D78" s="134">
        <f t="shared" ref="D78:AB78" si="19">D49*D$59</f>
        <v>63.447681330533996</v>
      </c>
      <c r="E78" s="134">
        <f t="shared" si="19"/>
        <v>26.852597102850478</v>
      </c>
      <c r="F78" s="134">
        <f t="shared" si="19"/>
        <v>10.847466817462466</v>
      </c>
      <c r="G78" s="134">
        <f t="shared" si="19"/>
        <v>15.406187967530409</v>
      </c>
      <c r="H78" s="134">
        <f t="shared" si="19"/>
        <v>8.980665798622816</v>
      </c>
      <c r="I78" s="134">
        <f t="shared" si="19"/>
        <v>10.891572283530087</v>
      </c>
      <c r="J78" s="134">
        <f t="shared" si="19"/>
        <v>40.988349420819617</v>
      </c>
      <c r="K78" s="134">
        <f t="shared" si="19"/>
        <v>61.457745779506034</v>
      </c>
      <c r="L78" s="134">
        <f t="shared" si="19"/>
        <v>281.34331680797624</v>
      </c>
      <c r="M78" s="134">
        <f t="shared" si="19"/>
        <v>40.121107110501221</v>
      </c>
      <c r="N78" s="134">
        <f t="shared" si="19"/>
        <v>48.347519882664258</v>
      </c>
      <c r="O78" s="134">
        <f t="shared" si="19"/>
        <v>25.717946820733335</v>
      </c>
      <c r="P78" s="134">
        <f t="shared" si="19"/>
        <v>79.08655189662386</v>
      </c>
      <c r="Q78" s="134">
        <f t="shared" si="19"/>
        <v>6.8290128483711579</v>
      </c>
      <c r="R78" s="134">
        <f t="shared" si="19"/>
        <v>20.048560833016488</v>
      </c>
      <c r="S78" s="134">
        <f t="shared" si="19"/>
        <v>9.4187470570922187</v>
      </c>
      <c r="T78" s="134">
        <f t="shared" si="19"/>
        <v>24.283676709577051</v>
      </c>
      <c r="U78" s="134">
        <f t="shared" si="19"/>
        <v>5.8266789644568808</v>
      </c>
      <c r="V78" s="134">
        <f t="shared" si="19"/>
        <v>9.668717016082125</v>
      </c>
      <c r="W78" s="134">
        <f t="shared" si="19"/>
        <v>2.3509700115145473</v>
      </c>
      <c r="X78" s="134">
        <f t="shared" si="19"/>
        <v>21.884240242091579</v>
      </c>
      <c r="Y78" s="134">
        <f t="shared" si="19"/>
        <v>45.994369376198051</v>
      </c>
      <c r="Z78" s="134">
        <f t="shared" si="19"/>
        <v>34.253593422404208</v>
      </c>
      <c r="AA78" s="134">
        <f t="shared" si="19"/>
        <v>39.922880296714155</v>
      </c>
      <c r="AB78" s="134">
        <f t="shared" si="19"/>
        <v>19.895628846179761</v>
      </c>
    </row>
    <row r="79" spans="2:28">
      <c r="B79" s="127" t="s">
        <v>114</v>
      </c>
      <c r="C79" s="134">
        <f>C50*C$78</f>
        <v>183.93777782788783</v>
      </c>
      <c r="D79" s="134">
        <f t="shared" ref="D79:AB81" si="20">D50*D$78</f>
        <v>19.332508501413706</v>
      </c>
      <c r="E79" s="134">
        <f t="shared" si="20"/>
        <v>8.0477233517242865</v>
      </c>
      <c r="F79" s="134">
        <f t="shared" si="20"/>
        <v>3.1067144965212501</v>
      </c>
      <c r="G79" s="134">
        <f t="shared" si="20"/>
        <v>4.6850217609259968</v>
      </c>
      <c r="H79" s="134">
        <f t="shared" si="20"/>
        <v>2.8558517239620556</v>
      </c>
      <c r="I79" s="134">
        <f t="shared" si="20"/>
        <v>3.4047054958315051</v>
      </c>
      <c r="J79" s="134">
        <f t="shared" si="20"/>
        <v>12.267812981651312</v>
      </c>
      <c r="K79" s="134">
        <f t="shared" si="20"/>
        <v>17.687539235341838</v>
      </c>
      <c r="L79" s="134">
        <f t="shared" si="20"/>
        <v>86.73814457189907</v>
      </c>
      <c r="M79" s="134">
        <f t="shared" si="20"/>
        <v>11.611048397779053</v>
      </c>
      <c r="N79" s="134">
        <f t="shared" si="20"/>
        <v>13.750034654629715</v>
      </c>
      <c r="O79" s="134">
        <f t="shared" si="20"/>
        <v>7.5250712397465733</v>
      </c>
      <c r="P79" s="134">
        <f t="shared" si="20"/>
        <v>23.037912567486529</v>
      </c>
      <c r="Q79" s="134">
        <f t="shared" si="20"/>
        <v>2.0029494684272606</v>
      </c>
      <c r="R79" s="134">
        <f t="shared" si="20"/>
        <v>5.8361360584910988</v>
      </c>
      <c r="S79" s="134">
        <f t="shared" si="20"/>
        <v>2.8152634953648641</v>
      </c>
      <c r="T79" s="134">
        <f t="shared" si="20"/>
        <v>7.4696589558659001</v>
      </c>
      <c r="U79" s="134">
        <f t="shared" si="20"/>
        <v>1.6984769181391806</v>
      </c>
      <c r="V79" s="134">
        <f t="shared" si="20"/>
        <v>2.954759920114697</v>
      </c>
      <c r="W79" s="134">
        <f t="shared" si="20"/>
        <v>0.71986701752575433</v>
      </c>
      <c r="X79" s="134">
        <f t="shared" si="20"/>
        <v>6.2807769494802823</v>
      </c>
      <c r="Y79" s="134">
        <f t="shared" si="20"/>
        <v>13.223381195656939</v>
      </c>
      <c r="Z79" s="134">
        <f t="shared" si="20"/>
        <v>10.49530102462465</v>
      </c>
      <c r="AA79" s="134">
        <f t="shared" si="20"/>
        <v>12.240355098972559</v>
      </c>
      <c r="AB79" s="134">
        <f t="shared" si="20"/>
        <v>6.0343442290463223</v>
      </c>
    </row>
    <row r="80" spans="2:28">
      <c r="B80" s="127" t="s">
        <v>115</v>
      </c>
      <c r="C80" s="134">
        <f t="shared" ref="C80:R81" si="21">C51*C$78</f>
        <v>195.64396280622219</v>
      </c>
      <c r="D80" s="134">
        <f t="shared" si="21"/>
        <v>21.299386622660261</v>
      </c>
      <c r="E80" s="134">
        <f t="shared" si="21"/>
        <v>9.7662895663067175</v>
      </c>
      <c r="F80" s="134">
        <f t="shared" si="21"/>
        <v>3.9788508286452324</v>
      </c>
      <c r="G80" s="134">
        <f t="shared" si="21"/>
        <v>5.4614936344895293</v>
      </c>
      <c r="H80" s="134">
        <f t="shared" si="21"/>
        <v>3.1180871652818412</v>
      </c>
      <c r="I80" s="134">
        <f t="shared" si="21"/>
        <v>3.9569082106064801</v>
      </c>
      <c r="J80" s="134">
        <f t="shared" si="21"/>
        <v>14.013916666978226</v>
      </c>
      <c r="K80" s="134">
        <f t="shared" si="21"/>
        <v>20.465429344575508</v>
      </c>
      <c r="L80" s="134">
        <f t="shared" si="21"/>
        <v>102.38083298642255</v>
      </c>
      <c r="M80" s="134">
        <f t="shared" si="21"/>
        <v>13.376377110641107</v>
      </c>
      <c r="N80" s="134">
        <f t="shared" si="21"/>
        <v>17.177873814310612</v>
      </c>
      <c r="O80" s="134">
        <f t="shared" si="21"/>
        <v>9.1761634256376521</v>
      </c>
      <c r="P80" s="134">
        <f t="shared" si="21"/>
        <v>26.707528575489878</v>
      </c>
      <c r="Q80" s="134">
        <f t="shared" si="21"/>
        <v>2.5001016037886807</v>
      </c>
      <c r="R80" s="134">
        <f t="shared" si="21"/>
        <v>6.7383212959768404</v>
      </c>
      <c r="S80" s="134">
        <f t="shared" si="20"/>
        <v>3.4152376829016382</v>
      </c>
      <c r="T80" s="134">
        <f t="shared" si="20"/>
        <v>8.3681549941202515</v>
      </c>
      <c r="U80" s="134">
        <f t="shared" si="20"/>
        <v>1.9414494309570327</v>
      </c>
      <c r="V80" s="134">
        <f t="shared" si="20"/>
        <v>3.3946865443464338</v>
      </c>
      <c r="W80" s="134">
        <f t="shared" si="20"/>
        <v>0.80990916896676146</v>
      </c>
      <c r="X80" s="134">
        <f t="shared" si="20"/>
        <v>7.4822217387711101</v>
      </c>
      <c r="Y80" s="134">
        <f t="shared" si="20"/>
        <v>16.383194371801743</v>
      </c>
      <c r="Z80" s="134">
        <f t="shared" si="20"/>
        <v>12.505986958519776</v>
      </c>
      <c r="AA80" s="134">
        <f t="shared" si="20"/>
        <v>13.79335514251474</v>
      </c>
      <c r="AB80" s="134">
        <f t="shared" si="20"/>
        <v>6.6849312923163993</v>
      </c>
    </row>
    <row r="81" spans="2:28">
      <c r="B81" s="127" t="s">
        <v>116</v>
      </c>
      <c r="C81" s="134">
        <f t="shared" si="21"/>
        <v>199.93236720422587</v>
      </c>
      <c r="D81" s="134">
        <f t="shared" si="20"/>
        <v>22.815786206460025</v>
      </c>
      <c r="E81" s="134">
        <f t="shared" si="20"/>
        <v>9.0385841848194719</v>
      </c>
      <c r="F81" s="134">
        <f t="shared" si="20"/>
        <v>3.7619014922959835</v>
      </c>
      <c r="G81" s="134">
        <f t="shared" si="20"/>
        <v>5.2596725721148818</v>
      </c>
      <c r="H81" s="134">
        <f t="shared" si="20"/>
        <v>3.0067269093789188</v>
      </c>
      <c r="I81" s="134">
        <f t="shared" si="20"/>
        <v>3.5299585770921018</v>
      </c>
      <c r="J81" s="134">
        <f t="shared" si="20"/>
        <v>14.706619772190079</v>
      </c>
      <c r="K81" s="134">
        <f t="shared" si="20"/>
        <v>23.304777199588688</v>
      </c>
      <c r="L81" s="134">
        <f t="shared" si="20"/>
        <v>92.224339249654633</v>
      </c>
      <c r="M81" s="134">
        <f t="shared" si="20"/>
        <v>15.13368160208106</v>
      </c>
      <c r="N81" s="134">
        <f t="shared" si="20"/>
        <v>17.419611413723935</v>
      </c>
      <c r="O81" s="134">
        <f t="shared" si="20"/>
        <v>9.0167121553491079</v>
      </c>
      <c r="P81" s="134">
        <f t="shared" si="20"/>
        <v>29.341110753647452</v>
      </c>
      <c r="Q81" s="134">
        <f t="shared" si="20"/>
        <v>2.3259617761552165</v>
      </c>
      <c r="R81" s="134">
        <f t="shared" si="20"/>
        <v>7.474103478548547</v>
      </c>
      <c r="S81" s="134">
        <f t="shared" si="20"/>
        <v>3.1882458788257164</v>
      </c>
      <c r="T81" s="134">
        <f t="shared" si="20"/>
        <v>8.4458627595909004</v>
      </c>
      <c r="U81" s="134">
        <f t="shared" si="20"/>
        <v>2.1867526153606671</v>
      </c>
      <c r="V81" s="134">
        <f t="shared" si="20"/>
        <v>3.3192705516209942</v>
      </c>
      <c r="W81" s="134">
        <f t="shared" si="20"/>
        <v>0.82119382502203153</v>
      </c>
      <c r="X81" s="134">
        <f t="shared" si="20"/>
        <v>8.1212415538401839</v>
      </c>
      <c r="Y81" s="134">
        <f t="shared" si="20"/>
        <v>16.387793808739367</v>
      </c>
      <c r="Z81" s="134">
        <f t="shared" si="20"/>
        <v>11.252305439259782</v>
      </c>
      <c r="AA81" s="134">
        <f t="shared" si="20"/>
        <v>13.889170055226858</v>
      </c>
      <c r="AB81" s="134">
        <f t="shared" si="20"/>
        <v>7.1763533248170406</v>
      </c>
    </row>
    <row r="82" spans="2:28">
      <c r="B82" s="114" t="s">
        <v>77</v>
      </c>
      <c r="C82" s="134">
        <f t="shared" ref="C82:AB82" si="22">C53*C$59</f>
        <v>214.99680223344669</v>
      </c>
      <c r="D82" s="134">
        <f t="shared" si="22"/>
        <v>23.061021651211028</v>
      </c>
      <c r="E82" s="134">
        <f t="shared" si="22"/>
        <v>13.783899723497097</v>
      </c>
      <c r="F82" s="134">
        <f t="shared" si="22"/>
        <v>5.3580707766642677</v>
      </c>
      <c r="G82" s="134">
        <f t="shared" si="22"/>
        <v>5.5781025399679081</v>
      </c>
      <c r="H82" s="134">
        <f t="shared" si="22"/>
        <v>4.9941263465512229</v>
      </c>
      <c r="I82" s="134">
        <f t="shared" si="22"/>
        <v>3.4288283114816931</v>
      </c>
      <c r="J82" s="134">
        <f t="shared" si="22"/>
        <v>17.397277198614546</v>
      </c>
      <c r="K82" s="134">
        <f t="shared" si="22"/>
        <v>31.668814884027796</v>
      </c>
      <c r="L82" s="134">
        <f t="shared" si="22"/>
        <v>85.306909313261784</v>
      </c>
      <c r="M82" s="134">
        <f t="shared" si="22"/>
        <v>19.695816217882413</v>
      </c>
      <c r="N82" s="134">
        <f t="shared" si="22"/>
        <v>15.954681561279203</v>
      </c>
      <c r="O82" s="134">
        <f t="shared" si="22"/>
        <v>8.5039303114649325</v>
      </c>
      <c r="P82" s="134">
        <f t="shared" si="22"/>
        <v>31.606274324277997</v>
      </c>
      <c r="Q82" s="134">
        <f t="shared" si="22"/>
        <v>1.4979009183819294</v>
      </c>
      <c r="R82" s="134">
        <f t="shared" si="22"/>
        <v>10.787800546512551</v>
      </c>
      <c r="S82" s="134">
        <f t="shared" si="22"/>
        <v>3.336157276036241</v>
      </c>
      <c r="T82" s="134">
        <f t="shared" si="22"/>
        <v>8.3703254389724524</v>
      </c>
      <c r="U82" s="134">
        <f t="shared" si="22"/>
        <v>2.5166876278405308</v>
      </c>
      <c r="V82" s="134">
        <f t="shared" si="22"/>
        <v>4.0066862342908403</v>
      </c>
      <c r="W82" s="134">
        <f t="shared" si="22"/>
        <v>0.49160249819191215</v>
      </c>
      <c r="X82" s="134">
        <f t="shared" si="22"/>
        <v>7.6880287459173893</v>
      </c>
      <c r="Y82" s="134">
        <f t="shared" si="22"/>
        <v>16.653133739657914</v>
      </c>
      <c r="Z82" s="134">
        <f t="shared" si="22"/>
        <v>9.574355105915064</v>
      </c>
      <c r="AA82" s="134">
        <f t="shared" si="22"/>
        <v>20.338071094552497</v>
      </c>
      <c r="AB82" s="134">
        <f t="shared" si="22"/>
        <v>5.888228390137761</v>
      </c>
    </row>
    <row r="83" spans="2:28">
      <c r="B83" s="114" t="s">
        <v>78</v>
      </c>
      <c r="C83" s="134">
        <f t="shared" ref="C83:AB83" si="23">C54*C$59</f>
        <v>672.35363607550607</v>
      </c>
      <c r="D83" s="134">
        <f t="shared" si="23"/>
        <v>69.5415264300768</v>
      </c>
      <c r="E83" s="134">
        <f t="shared" si="23"/>
        <v>33.484473384910402</v>
      </c>
      <c r="F83" s="134">
        <f t="shared" si="23"/>
        <v>16.126742435646378</v>
      </c>
      <c r="G83" s="134">
        <f t="shared" si="23"/>
        <v>16.999931550378381</v>
      </c>
      <c r="H83" s="134">
        <f t="shared" si="23"/>
        <v>12.945301187770935</v>
      </c>
      <c r="I83" s="134">
        <f t="shared" si="23"/>
        <v>12.541810508307373</v>
      </c>
      <c r="J83" s="134">
        <f t="shared" si="23"/>
        <v>62.029035456840347</v>
      </c>
      <c r="K83" s="134">
        <f t="shared" si="23"/>
        <v>74.761540160010867</v>
      </c>
      <c r="L83" s="134">
        <f t="shared" si="23"/>
        <v>319.19472690061548</v>
      </c>
      <c r="M83" s="134">
        <f t="shared" si="23"/>
        <v>58.357973978910863</v>
      </c>
      <c r="N83" s="134">
        <f t="shared" si="23"/>
        <v>52.618217472299598</v>
      </c>
      <c r="O83" s="134">
        <f t="shared" si="23"/>
        <v>34.840344791213901</v>
      </c>
      <c r="P83" s="134">
        <f t="shared" si="23"/>
        <v>83.621981396071817</v>
      </c>
      <c r="Q83" s="134">
        <f t="shared" si="23"/>
        <v>6.0151926643683753</v>
      </c>
      <c r="R83" s="134">
        <f t="shared" si="23"/>
        <v>26.94487168466835</v>
      </c>
      <c r="S83" s="134">
        <f t="shared" si="23"/>
        <v>11.541756232751647</v>
      </c>
      <c r="T83" s="134">
        <f t="shared" si="23"/>
        <v>30.804744202730014</v>
      </c>
      <c r="U83" s="134">
        <f t="shared" si="23"/>
        <v>7.2901875306467554</v>
      </c>
      <c r="V83" s="134">
        <f t="shared" si="23"/>
        <v>13.129891979037593</v>
      </c>
      <c r="W83" s="134">
        <f t="shared" si="23"/>
        <v>2.3707926928932537</v>
      </c>
      <c r="X83" s="134">
        <f t="shared" si="23"/>
        <v>21.922299790338695</v>
      </c>
      <c r="Y83" s="134">
        <f t="shared" si="23"/>
        <v>55.51044579885972</v>
      </c>
      <c r="Z83" s="134">
        <f t="shared" si="23"/>
        <v>33.48050884863467</v>
      </c>
      <c r="AA83" s="134">
        <f t="shared" si="23"/>
        <v>48.397076586111034</v>
      </c>
      <c r="AB83" s="134">
        <f t="shared" si="23"/>
        <v>24.650098974862424</v>
      </c>
    </row>
    <row r="84" spans="2:28">
      <c r="B84" s="114" t="s">
        <v>79</v>
      </c>
      <c r="C84" s="134">
        <f t="shared" ref="C84:AB84" si="24">C55*C$59</f>
        <v>525.7649072799735</v>
      </c>
      <c r="D84" s="134">
        <f t="shared" si="24"/>
        <v>52.45486271959394</v>
      </c>
      <c r="E84" s="134">
        <f t="shared" si="24"/>
        <v>25.682265994251622</v>
      </c>
      <c r="F84" s="134">
        <f t="shared" si="24"/>
        <v>13.94674305102315</v>
      </c>
      <c r="G84" s="134">
        <f t="shared" si="24"/>
        <v>13.247993532423756</v>
      </c>
      <c r="H84" s="134">
        <f t="shared" si="24"/>
        <v>11.981522419138228</v>
      </c>
      <c r="I84" s="134">
        <f t="shared" si="24"/>
        <v>9.9931092500402183</v>
      </c>
      <c r="J84" s="134">
        <f t="shared" si="24"/>
        <v>46.635633118799142</v>
      </c>
      <c r="K84" s="134">
        <f t="shared" si="24"/>
        <v>71.001772182911566</v>
      </c>
      <c r="L84" s="134">
        <f t="shared" si="24"/>
        <v>302.24633432182134</v>
      </c>
      <c r="M84" s="134">
        <f t="shared" si="24"/>
        <v>44.589139493261506</v>
      </c>
      <c r="N84" s="134">
        <f t="shared" si="24"/>
        <v>43.351609494788882</v>
      </c>
      <c r="O84" s="134">
        <f t="shared" si="24"/>
        <v>20.409432747515801</v>
      </c>
      <c r="P84" s="134">
        <f t="shared" si="24"/>
        <v>53.149564446655724</v>
      </c>
      <c r="Q84" s="134">
        <f t="shared" si="24"/>
        <v>4.5762642230880903</v>
      </c>
      <c r="R84" s="134">
        <f t="shared" si="24"/>
        <v>19.802264016886028</v>
      </c>
      <c r="S84" s="134">
        <f t="shared" si="24"/>
        <v>8.1887496775434929</v>
      </c>
      <c r="T84" s="134">
        <f t="shared" si="24"/>
        <v>26.035605289827068</v>
      </c>
      <c r="U84" s="134">
        <f t="shared" si="24"/>
        <v>6.674693273837919</v>
      </c>
      <c r="V84" s="134">
        <f t="shared" si="24"/>
        <v>9.8380136175310202</v>
      </c>
      <c r="W84" s="134">
        <f t="shared" si="24"/>
        <v>2.1646368065547072</v>
      </c>
      <c r="X84" s="134">
        <f t="shared" si="24"/>
        <v>18.268583158615552</v>
      </c>
      <c r="Y84" s="134">
        <f t="shared" si="24"/>
        <v>35.244727491339447</v>
      </c>
      <c r="Z84" s="134">
        <f t="shared" si="24"/>
        <v>29.734022068059161</v>
      </c>
      <c r="AA84" s="134">
        <f t="shared" si="24"/>
        <v>50.091915843990321</v>
      </c>
      <c r="AB84" s="134">
        <f t="shared" si="24"/>
        <v>19.310463291880332</v>
      </c>
    </row>
    <row r="85" spans="2:28"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</row>
    <row r="86" spans="2:28"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</row>
    <row r="87" spans="2:28"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</row>
    <row r="88" spans="2:28">
      <c r="B88" s="133">
        <f>SUM(C88:AB88)</f>
        <v>47.251249791769823</v>
      </c>
      <c r="C88" s="134">
        <f>SUM(C91,C97,C100,C103,C107,C111:C113)</f>
        <v>17.712641575531055</v>
      </c>
      <c r="D88" s="134">
        <f t="shared" ref="D88:AB88" si="25">SUM(D91,D97,D100,D103,D107,D111:D113)</f>
        <v>2.0839555421765583</v>
      </c>
      <c r="E88" s="134">
        <f t="shared" si="25"/>
        <v>1.1068615863171956</v>
      </c>
      <c r="F88" s="134">
        <f t="shared" si="25"/>
        <v>0.44920147205201766</v>
      </c>
      <c r="G88" s="134">
        <f t="shared" si="25"/>
        <v>0.57662412140424935</v>
      </c>
      <c r="H88" s="134">
        <f t="shared" si="25"/>
        <v>0.38513450547902967</v>
      </c>
      <c r="I88" s="134">
        <f t="shared" si="25"/>
        <v>0.34568872365610637</v>
      </c>
      <c r="J88" s="134">
        <f t="shared" si="25"/>
        <v>1.6119895802747135</v>
      </c>
      <c r="K88" s="134">
        <f t="shared" si="25"/>
        <v>2.4923754281600043</v>
      </c>
      <c r="L88" s="134">
        <f t="shared" si="25"/>
        <v>7.8405731687126297</v>
      </c>
      <c r="M88" s="134">
        <f t="shared" si="25"/>
        <v>1.2636815618252866</v>
      </c>
      <c r="N88" s="134">
        <f t="shared" si="25"/>
        <v>1.1669608424833329</v>
      </c>
      <c r="O88" s="134">
        <f t="shared" si="25"/>
        <v>0.71291299677511111</v>
      </c>
      <c r="P88" s="134">
        <f t="shared" si="25"/>
        <v>2.0256259292554728</v>
      </c>
      <c r="Q88" s="134">
        <f t="shared" si="25"/>
        <v>0.16677678022219963</v>
      </c>
      <c r="R88" s="134">
        <f t="shared" si="25"/>
        <v>0.67104858532050338</v>
      </c>
      <c r="S88" s="134">
        <f t="shared" si="25"/>
        <v>0.25604897060088688</v>
      </c>
      <c r="T88" s="134">
        <f t="shared" si="25"/>
        <v>0.72339220444587193</v>
      </c>
      <c r="U88" s="134">
        <f t="shared" si="25"/>
        <v>0.19300794504479898</v>
      </c>
      <c r="V88" s="134">
        <f t="shared" si="25"/>
        <v>0.28512363904080884</v>
      </c>
      <c r="W88" s="134">
        <f t="shared" si="25"/>
        <v>6.4345515365666323E-2</v>
      </c>
      <c r="X88" s="134">
        <f t="shared" si="25"/>
        <v>0.61157573933594311</v>
      </c>
      <c r="Y88" s="134">
        <f t="shared" si="25"/>
        <v>1.3822108864081446</v>
      </c>
      <c r="Z88" s="134">
        <f t="shared" si="25"/>
        <v>0.99464905835936357</v>
      </c>
      <c r="AA88" s="134">
        <f t="shared" si="25"/>
        <v>1.5145094343605354</v>
      </c>
      <c r="AB88" s="134">
        <f t="shared" si="25"/>
        <v>0.61433399916233311</v>
      </c>
    </row>
    <row r="89" spans="2:28">
      <c r="C89" s="135" t="s">
        <v>29</v>
      </c>
      <c r="D89" s="135" t="s">
        <v>30</v>
      </c>
      <c r="E89" s="135" t="s">
        <v>34</v>
      </c>
      <c r="F89" s="135" t="s">
        <v>33</v>
      </c>
      <c r="G89" s="135" t="s">
        <v>37</v>
      </c>
      <c r="H89" s="135" t="s">
        <v>36</v>
      </c>
      <c r="I89" s="135" t="s">
        <v>38</v>
      </c>
      <c r="J89" s="135" t="s">
        <v>39</v>
      </c>
      <c r="K89" s="135" t="s">
        <v>43</v>
      </c>
      <c r="L89" s="135" t="s">
        <v>45</v>
      </c>
      <c r="M89" s="135" t="s">
        <v>46</v>
      </c>
      <c r="N89" s="135" t="s">
        <v>47</v>
      </c>
      <c r="O89" s="135" t="s">
        <v>48</v>
      </c>
      <c r="P89" s="135" t="s">
        <v>49</v>
      </c>
      <c r="Q89" s="135" t="s">
        <v>50</v>
      </c>
      <c r="R89" s="135" t="s">
        <v>52</v>
      </c>
      <c r="S89" s="135" t="s">
        <v>54</v>
      </c>
      <c r="T89" s="135" t="s">
        <v>56</v>
      </c>
      <c r="U89" s="135" t="s">
        <v>55</v>
      </c>
      <c r="V89" s="135" t="s">
        <v>57</v>
      </c>
      <c r="W89" s="135" t="s">
        <v>131</v>
      </c>
      <c r="X89" s="135" t="s">
        <v>132</v>
      </c>
      <c r="Y89" s="135" t="s">
        <v>60</v>
      </c>
      <c r="Z89" s="135" t="s">
        <v>62</v>
      </c>
      <c r="AA89" s="135" t="s">
        <v>64</v>
      </c>
      <c r="AB89" s="135" t="s">
        <v>63</v>
      </c>
    </row>
    <row r="90" spans="2:28">
      <c r="B90" s="124" t="s">
        <v>225</v>
      </c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</row>
    <row r="91" spans="2:28">
      <c r="B91" s="114" t="s">
        <v>71</v>
      </c>
      <c r="C91" s="134">
        <f>SUM(C92:C96)</f>
        <v>5.1037327741936585</v>
      </c>
      <c r="D91" s="134">
        <f t="shared" ref="D91:AB91" si="26">SUM(D92:D96)</f>
        <v>0.68458055341864998</v>
      </c>
      <c r="E91" s="134">
        <f t="shared" si="26"/>
        <v>0.39466106770329829</v>
      </c>
      <c r="F91" s="134">
        <f t="shared" si="26"/>
        <v>0.15326021837539544</v>
      </c>
      <c r="G91" s="134">
        <f t="shared" si="26"/>
        <v>0.21559066332271337</v>
      </c>
      <c r="H91" s="134">
        <f t="shared" si="26"/>
        <v>0.1326250663501429</v>
      </c>
      <c r="I91" s="134">
        <f t="shared" si="26"/>
        <v>0.10310602630734307</v>
      </c>
      <c r="J91" s="134">
        <f t="shared" si="26"/>
        <v>0.55180856744522133</v>
      </c>
      <c r="K91" s="134">
        <f t="shared" si="26"/>
        <v>0.89143423250053477</v>
      </c>
      <c r="L91" s="134">
        <f t="shared" si="26"/>
        <v>2.5676822304699614</v>
      </c>
      <c r="M91" s="134">
        <f t="shared" si="26"/>
        <v>0.4339906083066089</v>
      </c>
      <c r="N91" s="134">
        <f t="shared" si="26"/>
        <v>0.34991236391973513</v>
      </c>
      <c r="O91" s="134">
        <f t="shared" si="26"/>
        <v>0.21867902146700594</v>
      </c>
      <c r="P91" s="134">
        <f t="shared" si="26"/>
        <v>0.6918729683692153</v>
      </c>
      <c r="Q91" s="134">
        <f t="shared" si="26"/>
        <v>5.8989314928509805E-2</v>
      </c>
      <c r="R91" s="134">
        <f t="shared" si="26"/>
        <v>0.24862689955185463</v>
      </c>
      <c r="S91" s="134">
        <f t="shared" si="26"/>
        <v>7.8081413465447849E-2</v>
      </c>
      <c r="T91" s="134">
        <f t="shared" si="26"/>
        <v>0.24721390881522104</v>
      </c>
      <c r="U91" s="134">
        <f t="shared" si="26"/>
        <v>6.423837704171996E-2</v>
      </c>
      <c r="V91" s="134">
        <f t="shared" si="26"/>
        <v>8.4186599847317398E-2</v>
      </c>
      <c r="W91" s="134">
        <f t="shared" si="26"/>
        <v>2.0500094243245719E-2</v>
      </c>
      <c r="X91" s="134">
        <f t="shared" si="26"/>
        <v>0.19589570200028836</v>
      </c>
      <c r="Y91" s="134">
        <f t="shared" si="26"/>
        <v>0.46283768486157106</v>
      </c>
      <c r="Z91" s="134">
        <f t="shared" si="26"/>
        <v>0.34187344092400618</v>
      </c>
      <c r="AA91" s="134">
        <f t="shared" si="26"/>
        <v>0.49991520668721579</v>
      </c>
      <c r="AB91" s="134">
        <f t="shared" si="26"/>
        <v>0.18886043303326899</v>
      </c>
    </row>
    <row r="92" spans="2:28">
      <c r="B92" s="127" t="s">
        <v>102</v>
      </c>
      <c r="C92" s="134">
        <f>C63*C6/10^6</f>
        <v>2.4003793859970384</v>
      </c>
      <c r="D92" s="134">
        <f t="shared" ref="D92:AB96" si="27">D63*D6/10^6</f>
        <v>0.30371258439263321</v>
      </c>
      <c r="E92" s="134">
        <f t="shared" si="27"/>
        <v>0.16471267783659557</v>
      </c>
      <c r="F92" s="134">
        <f t="shared" si="27"/>
        <v>6.8349711965872237E-2</v>
      </c>
      <c r="G92" s="134">
        <f t="shared" si="27"/>
        <v>9.3069433503433802E-2</v>
      </c>
      <c r="H92" s="134">
        <f t="shared" si="27"/>
        <v>6.0197507182842475E-2</v>
      </c>
      <c r="I92" s="134">
        <f t="shared" si="27"/>
        <v>4.2530529612984445E-2</v>
      </c>
      <c r="J92" s="134">
        <f t="shared" si="27"/>
        <v>0.23294377423336099</v>
      </c>
      <c r="K92" s="134">
        <f t="shared" si="27"/>
        <v>0.39912078132783269</v>
      </c>
      <c r="L92" s="134">
        <f t="shared" si="27"/>
        <v>1.1786265775463181</v>
      </c>
      <c r="M92" s="134">
        <f t="shared" si="27"/>
        <v>0.17630894906216862</v>
      </c>
      <c r="N92" s="134">
        <f t="shared" si="27"/>
        <v>0.16193297306921278</v>
      </c>
      <c r="O92" s="134">
        <f t="shared" si="27"/>
        <v>0.10338150292013527</v>
      </c>
      <c r="P92" s="134">
        <f t="shared" si="27"/>
        <v>0.2952162605109902</v>
      </c>
      <c r="Q92" s="134">
        <f t="shared" si="27"/>
        <v>2.588164758717101E-2</v>
      </c>
      <c r="R92" s="134">
        <f t="shared" si="27"/>
        <v>0.11205121384435224</v>
      </c>
      <c r="S92" s="134">
        <f t="shared" si="27"/>
        <v>3.5149420235135398E-2</v>
      </c>
      <c r="T92" s="134">
        <f t="shared" si="27"/>
        <v>0.11354110086219157</v>
      </c>
      <c r="U92" s="134">
        <f t="shared" si="27"/>
        <v>3.0206507484115179E-2</v>
      </c>
      <c r="V92" s="134">
        <f t="shared" si="27"/>
        <v>3.8226679199746955E-2</v>
      </c>
      <c r="W92" s="134">
        <f t="shared" si="27"/>
        <v>9.0389327011225849E-3</v>
      </c>
      <c r="X92" s="134">
        <f t="shared" si="27"/>
        <v>8.4808271606031979E-2</v>
      </c>
      <c r="Y92" s="134">
        <f t="shared" si="27"/>
        <v>0.19299845786286882</v>
      </c>
      <c r="Z92" s="134">
        <f t="shared" si="27"/>
        <v>0.14214464509764249</v>
      </c>
      <c r="AA92" s="134">
        <f t="shared" si="27"/>
        <v>0.21318761818801393</v>
      </c>
      <c r="AB92" s="134">
        <f t="shared" si="27"/>
        <v>7.8015448819445346E-2</v>
      </c>
    </row>
    <row r="93" spans="2:28">
      <c r="B93" s="127" t="s">
        <v>103</v>
      </c>
      <c r="C93" s="134">
        <f t="shared" ref="C93:R96" si="28">C64*C7/10^6</f>
        <v>1.1713980181304666</v>
      </c>
      <c r="D93" s="134">
        <f t="shared" si="28"/>
        <v>0.1571858163241861</v>
      </c>
      <c r="E93" s="134">
        <f t="shared" si="28"/>
        <v>9.7149833896555515E-2</v>
      </c>
      <c r="F93" s="134">
        <f t="shared" si="28"/>
        <v>3.7157161851730493E-2</v>
      </c>
      <c r="G93" s="134">
        <f t="shared" si="28"/>
        <v>5.2610431255627407E-2</v>
      </c>
      <c r="H93" s="134">
        <f t="shared" si="28"/>
        <v>3.0022017120813902E-2</v>
      </c>
      <c r="I93" s="134">
        <f t="shared" si="28"/>
        <v>2.4506868113058619E-2</v>
      </c>
      <c r="J93" s="134">
        <f t="shared" si="28"/>
        <v>0.13075917386823113</v>
      </c>
      <c r="K93" s="134">
        <f t="shared" si="28"/>
        <v>0.20845200004211253</v>
      </c>
      <c r="L93" s="134">
        <f t="shared" si="28"/>
        <v>0.56468062658719298</v>
      </c>
      <c r="M93" s="134">
        <f t="shared" si="28"/>
        <v>0.10644745832538531</v>
      </c>
      <c r="N93" s="134">
        <f t="shared" si="28"/>
        <v>8.5915842852058832E-2</v>
      </c>
      <c r="O93" s="134">
        <f t="shared" si="28"/>
        <v>5.447292219707528E-2</v>
      </c>
      <c r="P93" s="134">
        <f t="shared" si="28"/>
        <v>0.1692802230152203</v>
      </c>
      <c r="Q93" s="134">
        <f t="shared" si="28"/>
        <v>1.4044465275153246E-2</v>
      </c>
      <c r="R93" s="134">
        <f t="shared" si="28"/>
        <v>5.7478260637846015E-2</v>
      </c>
      <c r="S93" s="134">
        <f t="shared" si="27"/>
        <v>1.8648425787552159E-2</v>
      </c>
      <c r="T93" s="134">
        <f t="shared" si="27"/>
        <v>5.8976118847532018E-2</v>
      </c>
      <c r="U93" s="134">
        <f t="shared" si="27"/>
        <v>1.4799911363571675E-2</v>
      </c>
      <c r="V93" s="134">
        <f t="shared" si="27"/>
        <v>2.124203390681427E-2</v>
      </c>
      <c r="W93" s="134">
        <f t="shared" si="27"/>
        <v>4.3801738850693236E-3</v>
      </c>
      <c r="X93" s="134">
        <f t="shared" si="27"/>
        <v>4.5265289388994122E-2</v>
      </c>
      <c r="Y93" s="134">
        <f t="shared" si="27"/>
        <v>0.11794513081252958</v>
      </c>
      <c r="Z93" s="134">
        <f t="shared" si="27"/>
        <v>8.3691270044999627E-2</v>
      </c>
      <c r="AA93" s="134">
        <f t="shared" si="27"/>
        <v>0.1265387492628775</v>
      </c>
      <c r="AB93" s="134">
        <f t="shared" si="27"/>
        <v>4.6546036651341986E-2</v>
      </c>
    </row>
    <row r="94" spans="2:28">
      <c r="B94" s="127" t="s">
        <v>104</v>
      </c>
      <c r="C94" s="134">
        <f t="shared" si="28"/>
        <v>0.33600327852793843</v>
      </c>
      <c r="D94" s="134">
        <f t="shared" si="27"/>
        <v>4.9743030921243894E-2</v>
      </c>
      <c r="E94" s="134">
        <f t="shared" si="27"/>
        <v>3.3148877933154582E-2</v>
      </c>
      <c r="F94" s="134">
        <f t="shared" si="27"/>
        <v>1.2579972589066709E-2</v>
      </c>
      <c r="G94" s="134">
        <f t="shared" si="27"/>
        <v>1.5116415180628265E-2</v>
      </c>
      <c r="H94" s="134">
        <f t="shared" si="27"/>
        <v>9.2394918093937906E-3</v>
      </c>
      <c r="I94" s="134">
        <f t="shared" si="27"/>
        <v>6.6588782596045696E-3</v>
      </c>
      <c r="J94" s="134">
        <f t="shared" si="27"/>
        <v>4.3306399407802586E-2</v>
      </c>
      <c r="K94" s="134">
        <f t="shared" si="27"/>
        <v>6.0467038289981886E-2</v>
      </c>
      <c r="L94" s="134">
        <f t="shared" si="27"/>
        <v>0.17990010960855948</v>
      </c>
      <c r="M94" s="134">
        <f t="shared" si="27"/>
        <v>3.2366513955553775E-2</v>
      </c>
      <c r="N94" s="134">
        <f t="shared" si="27"/>
        <v>2.6475810134896565E-2</v>
      </c>
      <c r="O94" s="134">
        <f t="shared" si="27"/>
        <v>1.6427283205212469E-2</v>
      </c>
      <c r="P94" s="134">
        <f t="shared" si="27"/>
        <v>4.6158607835812382E-2</v>
      </c>
      <c r="Q94" s="134">
        <f t="shared" si="27"/>
        <v>4.5363820299605152E-3</v>
      </c>
      <c r="R94" s="134">
        <f t="shared" si="27"/>
        <v>1.7560124899601282E-2</v>
      </c>
      <c r="S94" s="134">
        <f t="shared" si="27"/>
        <v>5.5780668504895178E-3</v>
      </c>
      <c r="T94" s="134">
        <f t="shared" si="27"/>
        <v>1.7584481519981644E-2</v>
      </c>
      <c r="U94" s="134">
        <f t="shared" si="27"/>
        <v>4.8084985143339483E-3</v>
      </c>
      <c r="V94" s="134">
        <f t="shared" si="27"/>
        <v>7.1746884587896931E-3</v>
      </c>
      <c r="W94" s="134">
        <f t="shared" si="27"/>
        <v>1.4550642569737381E-3</v>
      </c>
      <c r="X94" s="134">
        <f t="shared" si="27"/>
        <v>1.5953216145027666E-2</v>
      </c>
      <c r="Y94" s="134">
        <f t="shared" si="27"/>
        <v>3.4206796855404405E-2</v>
      </c>
      <c r="Z94" s="134">
        <f t="shared" si="27"/>
        <v>2.709915681018726E-2</v>
      </c>
      <c r="AA94" s="134">
        <f t="shared" si="27"/>
        <v>4.1607349598716183E-2</v>
      </c>
      <c r="AB94" s="134">
        <f t="shared" si="27"/>
        <v>1.3754559432750845E-2</v>
      </c>
    </row>
    <row r="95" spans="2:28">
      <c r="B95" s="127" t="s">
        <v>105</v>
      </c>
      <c r="C95" s="134">
        <f t="shared" si="28"/>
        <v>0.32384900551190249</v>
      </c>
      <c r="D95" s="134">
        <f t="shared" si="27"/>
        <v>6.0698396641155741E-2</v>
      </c>
      <c r="E95" s="134">
        <f t="shared" si="27"/>
        <v>2.5414245523913588E-2</v>
      </c>
      <c r="F95" s="134">
        <f t="shared" si="27"/>
        <v>1.0809335161280874E-2</v>
      </c>
      <c r="G95" s="134">
        <f t="shared" si="27"/>
        <v>1.7390613484789125E-2</v>
      </c>
      <c r="H95" s="134">
        <f t="shared" si="27"/>
        <v>9.4346121510181166E-3</v>
      </c>
      <c r="I95" s="134">
        <f t="shared" si="27"/>
        <v>8.5475077875943727E-3</v>
      </c>
      <c r="J95" s="134">
        <f t="shared" si="27"/>
        <v>4.1470553244813975E-2</v>
      </c>
      <c r="K95" s="134">
        <f t="shared" si="27"/>
        <v>5.9878721854879302E-2</v>
      </c>
      <c r="L95" s="134">
        <f t="shared" si="27"/>
        <v>0.22716229756823106</v>
      </c>
      <c r="M95" s="134">
        <f t="shared" si="27"/>
        <v>3.926506317990431E-2</v>
      </c>
      <c r="N95" s="134">
        <f t="shared" si="27"/>
        <v>2.2053615788402141E-2</v>
      </c>
      <c r="O95" s="134">
        <f t="shared" si="27"/>
        <v>1.4420819533721624E-2</v>
      </c>
      <c r="P95" s="134">
        <f t="shared" si="27"/>
        <v>5.6889673315457877E-2</v>
      </c>
      <c r="Q95" s="134">
        <f t="shared" si="27"/>
        <v>3.7258271391138183E-3</v>
      </c>
      <c r="R95" s="134">
        <f t="shared" si="27"/>
        <v>2.2159545317844725E-2</v>
      </c>
      <c r="S95" s="134">
        <f t="shared" si="27"/>
        <v>5.2500483906445855E-3</v>
      </c>
      <c r="T95" s="134">
        <f t="shared" si="27"/>
        <v>1.7756398480554957E-2</v>
      </c>
      <c r="U95" s="134">
        <f t="shared" si="27"/>
        <v>4.6799783753015082E-3</v>
      </c>
      <c r="V95" s="134">
        <f t="shared" si="27"/>
        <v>5.4076256456629919E-3</v>
      </c>
      <c r="W95" s="134">
        <f t="shared" si="27"/>
        <v>1.6553989413145651E-3</v>
      </c>
      <c r="X95" s="134">
        <f t="shared" si="27"/>
        <v>1.4466673457357327E-2</v>
      </c>
      <c r="Y95" s="134">
        <f t="shared" si="27"/>
        <v>4.1088235879003218E-2</v>
      </c>
      <c r="Z95" s="134">
        <f t="shared" si="27"/>
        <v>2.1887813207531821E-2</v>
      </c>
      <c r="AA95" s="134">
        <f t="shared" si="27"/>
        <v>4.4547833830350353E-2</v>
      </c>
      <c r="AB95" s="134">
        <f t="shared" si="27"/>
        <v>1.4049009194727053E-2</v>
      </c>
    </row>
    <row r="96" spans="2:28">
      <c r="B96" s="127" t="s">
        <v>106</v>
      </c>
      <c r="C96" s="134">
        <f t="shared" si="28"/>
        <v>0.87210308602631292</v>
      </c>
      <c r="D96" s="134">
        <f t="shared" si="27"/>
        <v>0.11324072513943106</v>
      </c>
      <c r="E96" s="134">
        <f t="shared" si="27"/>
        <v>7.4235432513079E-2</v>
      </c>
      <c r="F96" s="134">
        <f t="shared" si="27"/>
        <v>2.4364036807445102E-2</v>
      </c>
      <c r="G96" s="134">
        <f t="shared" si="27"/>
        <v>3.7403769898234782E-2</v>
      </c>
      <c r="H96" s="134">
        <f t="shared" si="27"/>
        <v>2.3731438086074613E-2</v>
      </c>
      <c r="I96" s="134">
        <f t="shared" si="27"/>
        <v>2.0862242534101069E-2</v>
      </c>
      <c r="J96" s="134">
        <f t="shared" si="27"/>
        <v>0.10332866669101275</v>
      </c>
      <c r="K96" s="134">
        <f t="shared" si="27"/>
        <v>0.16351569098572835</v>
      </c>
      <c r="L96" s="134">
        <f t="shared" si="27"/>
        <v>0.41731261915965928</v>
      </c>
      <c r="M96" s="134">
        <f t="shared" si="27"/>
        <v>7.9602623783596893E-2</v>
      </c>
      <c r="N96" s="134">
        <f t="shared" si="27"/>
        <v>5.3534122075164781E-2</v>
      </c>
      <c r="O96" s="134">
        <f t="shared" si="27"/>
        <v>2.9976493610861289E-2</v>
      </c>
      <c r="P96" s="134">
        <f t="shared" si="27"/>
        <v>0.12432820369173449</v>
      </c>
      <c r="Q96" s="134">
        <f t="shared" si="27"/>
        <v>1.0800992897111219E-2</v>
      </c>
      <c r="R96" s="134">
        <f t="shared" si="27"/>
        <v>3.937775485221038E-2</v>
      </c>
      <c r="S96" s="134">
        <f t="shared" si="27"/>
        <v>1.3455452201626193E-2</v>
      </c>
      <c r="T96" s="134">
        <f t="shared" si="27"/>
        <v>3.9355809104960823E-2</v>
      </c>
      <c r="U96" s="134">
        <f t="shared" si="27"/>
        <v>9.7434813043976564E-3</v>
      </c>
      <c r="V96" s="134">
        <f t="shared" si="27"/>
        <v>1.2135572636303474E-2</v>
      </c>
      <c r="W96" s="134">
        <f t="shared" si="27"/>
        <v>3.9705244587655087E-3</v>
      </c>
      <c r="X96" s="134">
        <f t="shared" si="27"/>
        <v>3.5402251402877262E-2</v>
      </c>
      <c r="Y96" s="134">
        <f t="shared" si="27"/>
        <v>7.6599063451765023E-2</v>
      </c>
      <c r="Z96" s="134">
        <f t="shared" si="27"/>
        <v>6.7050555763645006E-2</v>
      </c>
      <c r="AA96" s="134">
        <f t="shared" si="27"/>
        <v>7.4033655807257723E-2</v>
      </c>
      <c r="AB96" s="134">
        <f t="shared" si="27"/>
        <v>3.6495378935003785E-2</v>
      </c>
    </row>
    <row r="97" spans="2:28">
      <c r="B97" s="114" t="s">
        <v>73</v>
      </c>
      <c r="C97" s="134">
        <f>SUM(C98:C99)</f>
        <v>1.8332578915346258</v>
      </c>
      <c r="D97" s="134">
        <f t="shared" ref="D97:AB97" si="29">SUM(D98:D99)</f>
        <v>0.23559816851715742</v>
      </c>
      <c r="E97" s="134">
        <f t="shared" si="29"/>
        <v>0.13599809689442871</v>
      </c>
      <c r="F97" s="134">
        <f t="shared" si="29"/>
        <v>5.183339923592753E-2</v>
      </c>
      <c r="G97" s="134">
        <f t="shared" si="29"/>
        <v>6.1393990660729342E-2</v>
      </c>
      <c r="H97" s="134">
        <f t="shared" si="29"/>
        <v>3.9076994883280078E-2</v>
      </c>
      <c r="I97" s="134">
        <f t="shared" si="29"/>
        <v>3.4055578368867689E-2</v>
      </c>
      <c r="J97" s="134">
        <f t="shared" si="29"/>
        <v>0.17719024354934729</v>
      </c>
      <c r="K97" s="134">
        <f t="shared" si="29"/>
        <v>0.27827758182383316</v>
      </c>
      <c r="L97" s="134">
        <f t="shared" si="29"/>
        <v>0.87535478786377852</v>
      </c>
      <c r="M97" s="134">
        <f t="shared" si="29"/>
        <v>0.13339276300076236</v>
      </c>
      <c r="N97" s="134">
        <f t="shared" si="29"/>
        <v>0.11808406164365313</v>
      </c>
      <c r="O97" s="134">
        <f t="shared" si="29"/>
        <v>8.3779443977211987E-2</v>
      </c>
      <c r="P97" s="134">
        <f t="shared" si="29"/>
        <v>0.21737497461926628</v>
      </c>
      <c r="Q97" s="134">
        <f t="shared" si="29"/>
        <v>1.8871569912062243E-2</v>
      </c>
      <c r="R97" s="134">
        <f t="shared" si="29"/>
        <v>7.2552302334348867E-2</v>
      </c>
      <c r="S97" s="134">
        <f t="shared" si="29"/>
        <v>2.8903924896288395E-2</v>
      </c>
      <c r="T97" s="134">
        <f t="shared" si="29"/>
        <v>7.320816768570991E-2</v>
      </c>
      <c r="U97" s="134">
        <f t="shared" si="29"/>
        <v>2.3414344076563117E-2</v>
      </c>
      <c r="V97" s="134">
        <f t="shared" si="29"/>
        <v>3.2088113702090887E-2</v>
      </c>
      <c r="W97" s="134">
        <f t="shared" si="29"/>
        <v>7.0773200020851461E-3</v>
      </c>
      <c r="X97" s="134">
        <f t="shared" si="29"/>
        <v>6.2601638990804967E-2</v>
      </c>
      <c r="Y97" s="134">
        <f t="shared" si="29"/>
        <v>0.15050470495211563</v>
      </c>
      <c r="Z97" s="134">
        <f t="shared" si="29"/>
        <v>0.10486916352903013</v>
      </c>
      <c r="AA97" s="134">
        <f t="shared" si="29"/>
        <v>0.17746681540438125</v>
      </c>
      <c r="AB97" s="134">
        <f t="shared" si="29"/>
        <v>6.905525707499531E-2</v>
      </c>
    </row>
    <row r="98" spans="2:28">
      <c r="B98" s="127" t="s">
        <v>107</v>
      </c>
      <c r="C98" s="134">
        <f t="shared" ref="C98:AB98" si="30">C69*C12/10^6</f>
        <v>1.1705734709452793</v>
      </c>
      <c r="D98" s="134">
        <f t="shared" si="30"/>
        <v>0.14562112582197201</v>
      </c>
      <c r="E98" s="134">
        <f t="shared" si="30"/>
        <v>8.5113984336766799E-2</v>
      </c>
      <c r="F98" s="134">
        <f t="shared" si="30"/>
        <v>3.3211436985057588E-2</v>
      </c>
      <c r="G98" s="134">
        <f t="shared" si="30"/>
        <v>3.7656805030290549E-2</v>
      </c>
      <c r="H98" s="134">
        <f t="shared" si="30"/>
        <v>2.4734392932666511E-2</v>
      </c>
      <c r="I98" s="134">
        <f t="shared" si="30"/>
        <v>2.1394472232493123E-2</v>
      </c>
      <c r="J98" s="134">
        <f t="shared" si="30"/>
        <v>0.11641821264794232</v>
      </c>
      <c r="K98" s="134">
        <f t="shared" si="30"/>
        <v>0.17724888931352237</v>
      </c>
      <c r="L98" s="134">
        <f t="shared" si="30"/>
        <v>0.56121918926372616</v>
      </c>
      <c r="M98" s="134">
        <f t="shared" si="30"/>
        <v>8.7334010962622319E-2</v>
      </c>
      <c r="N98" s="134">
        <f t="shared" si="30"/>
        <v>7.4885436688869683E-2</v>
      </c>
      <c r="O98" s="134">
        <f t="shared" si="30"/>
        <v>5.1544103150054206E-2</v>
      </c>
      <c r="P98" s="134">
        <f t="shared" si="30"/>
        <v>0.13384964164090557</v>
      </c>
      <c r="Q98" s="134">
        <f t="shared" si="30"/>
        <v>1.166632296929376E-2</v>
      </c>
      <c r="R98" s="134">
        <f t="shared" si="30"/>
        <v>4.3632489675856499E-2</v>
      </c>
      <c r="S98" s="134">
        <f t="shared" si="30"/>
        <v>1.8758621155868887E-2</v>
      </c>
      <c r="T98" s="134">
        <f t="shared" si="30"/>
        <v>4.4798537443134258E-2</v>
      </c>
      <c r="U98" s="134">
        <f t="shared" si="30"/>
        <v>1.5076135246198549E-2</v>
      </c>
      <c r="V98" s="134">
        <f t="shared" si="30"/>
        <v>1.9774812303478745E-2</v>
      </c>
      <c r="W98" s="134">
        <f t="shared" si="30"/>
        <v>4.4790724240955987E-3</v>
      </c>
      <c r="X98" s="134">
        <f t="shared" si="30"/>
        <v>3.9406149109009088E-2</v>
      </c>
      <c r="Y98" s="134">
        <f t="shared" si="30"/>
        <v>9.7367673123689824E-2</v>
      </c>
      <c r="Z98" s="134">
        <f t="shared" si="30"/>
        <v>6.6611403282162807E-2</v>
      </c>
      <c r="AA98" s="134">
        <f t="shared" si="30"/>
        <v>0.10883608736790687</v>
      </c>
      <c r="AB98" s="134">
        <f t="shared" si="30"/>
        <v>4.2836927372968285E-2</v>
      </c>
    </row>
    <row r="99" spans="2:28">
      <c r="B99" s="127" t="s">
        <v>108</v>
      </c>
      <c r="C99" s="134">
        <f t="shared" ref="C99:AB99" si="31">C70*C13/10^6</f>
        <v>0.66268442058934662</v>
      </c>
      <c r="D99" s="134">
        <f t="shared" si="31"/>
        <v>8.997704269518543E-2</v>
      </c>
      <c r="E99" s="134">
        <f t="shared" si="31"/>
        <v>5.0884112557661905E-2</v>
      </c>
      <c r="F99" s="134">
        <f t="shared" si="31"/>
        <v>1.8621962250869942E-2</v>
      </c>
      <c r="G99" s="134">
        <f t="shared" si="31"/>
        <v>2.3737185630438789E-2</v>
      </c>
      <c r="H99" s="134">
        <f t="shared" si="31"/>
        <v>1.4342601950613569E-2</v>
      </c>
      <c r="I99" s="134">
        <f t="shared" si="31"/>
        <v>1.2661106136374565E-2</v>
      </c>
      <c r="J99" s="134">
        <f t="shared" si="31"/>
        <v>6.0772030901404969E-2</v>
      </c>
      <c r="K99" s="134">
        <f t="shared" si="31"/>
        <v>0.10102869251031078</v>
      </c>
      <c r="L99" s="134">
        <f t="shared" si="31"/>
        <v>0.31413559860005236</v>
      </c>
      <c r="M99" s="134">
        <f t="shared" si="31"/>
        <v>4.6058752038140027E-2</v>
      </c>
      <c r="N99" s="134">
        <f t="shared" si="31"/>
        <v>4.3198624954783452E-2</v>
      </c>
      <c r="O99" s="134">
        <f t="shared" si="31"/>
        <v>3.2235340827157788E-2</v>
      </c>
      <c r="P99" s="134">
        <f t="shared" si="31"/>
        <v>8.3525332978360706E-2</v>
      </c>
      <c r="Q99" s="134">
        <f t="shared" si="31"/>
        <v>7.2052469427684842E-3</v>
      </c>
      <c r="R99" s="134">
        <f t="shared" si="31"/>
        <v>2.8919812658492361E-2</v>
      </c>
      <c r="S99" s="134">
        <f t="shared" si="31"/>
        <v>1.0145303740419508E-2</v>
      </c>
      <c r="T99" s="134">
        <f t="shared" si="31"/>
        <v>2.8409630242575649E-2</v>
      </c>
      <c r="U99" s="134">
        <f t="shared" si="31"/>
        <v>8.3382088303645685E-3</v>
      </c>
      <c r="V99" s="134">
        <f t="shared" si="31"/>
        <v>1.2313301398612145E-2</v>
      </c>
      <c r="W99" s="134">
        <f t="shared" si="31"/>
        <v>2.5982475779895479E-3</v>
      </c>
      <c r="X99" s="134">
        <f t="shared" si="31"/>
        <v>2.3195489881795876E-2</v>
      </c>
      <c r="Y99" s="134">
        <f t="shared" si="31"/>
        <v>5.3137031828425794E-2</v>
      </c>
      <c r="Z99" s="134">
        <f t="shared" si="31"/>
        <v>3.825776024686732E-2</v>
      </c>
      <c r="AA99" s="134">
        <f t="shared" si="31"/>
        <v>6.8630728036474395E-2</v>
      </c>
      <c r="AB99" s="134">
        <f t="shared" si="31"/>
        <v>2.6218329702027022E-2</v>
      </c>
    </row>
    <row r="100" spans="2:28">
      <c r="B100" s="114" t="s">
        <v>74</v>
      </c>
      <c r="C100" s="134">
        <f>SUM(C101:C102)</f>
        <v>1.3750980176321401</v>
      </c>
      <c r="D100" s="134">
        <f t="shared" ref="D100" si="32">SUM(D101:D102)</f>
        <v>0.13452990545524202</v>
      </c>
      <c r="E100" s="134">
        <f t="shared" ref="E100" si="33">SUM(E101:E102)</f>
        <v>9.8865260458095794E-2</v>
      </c>
      <c r="F100" s="134">
        <f t="shared" ref="F100" si="34">SUM(F101:F102)</f>
        <v>3.9116604080266917E-2</v>
      </c>
      <c r="G100" s="134">
        <f t="shared" ref="G100" si="35">SUM(G101:G102)</f>
        <v>4.5016457639422996E-2</v>
      </c>
      <c r="H100" s="134">
        <f t="shared" ref="H100" si="36">SUM(H101:H102)</f>
        <v>3.385829121168267E-2</v>
      </c>
      <c r="I100" s="134">
        <f t="shared" ref="I100" si="37">SUM(I101:I102)</f>
        <v>2.6744750755324162E-2</v>
      </c>
      <c r="J100" s="134">
        <f t="shared" ref="J100" si="38">SUM(J101:J102)</f>
        <v>0.1143283120465982</v>
      </c>
      <c r="K100" s="134">
        <f t="shared" ref="K100" si="39">SUM(K101:K102)</f>
        <v>0.16831937576513334</v>
      </c>
      <c r="L100" s="134">
        <f t="shared" ref="L100" si="40">SUM(L101:L102)</f>
        <v>0.59656272380103093</v>
      </c>
      <c r="M100" s="134">
        <f t="shared" ref="M100" si="41">SUM(M101:M102)</f>
        <v>0.10910223446420592</v>
      </c>
      <c r="N100" s="134">
        <f t="shared" ref="N100" si="42">SUM(N101:N102)</f>
        <v>9.1150962567482702E-2</v>
      </c>
      <c r="O100" s="134">
        <f t="shared" ref="O100" si="43">SUM(O101:O102)</f>
        <v>5.8154117632341823E-2</v>
      </c>
      <c r="P100" s="134">
        <f t="shared" ref="P100" si="44">SUM(P101:P102)</f>
        <v>0.14361431245184419</v>
      </c>
      <c r="Q100" s="134">
        <f t="shared" ref="Q100" si="45">SUM(Q101:Q102)</f>
        <v>1.0853406086193305E-2</v>
      </c>
      <c r="R100" s="134">
        <f t="shared" ref="R100" si="46">SUM(R101:R102)</f>
        <v>4.6314379552946733E-2</v>
      </c>
      <c r="S100" s="134">
        <f t="shared" ref="S100" si="47">SUM(S101:S102)</f>
        <v>1.8255941228294333E-2</v>
      </c>
      <c r="T100" s="134">
        <f t="shared" ref="T100" si="48">SUM(T101:T102)</f>
        <v>5.118799988406314E-2</v>
      </c>
      <c r="U100" s="134">
        <f t="shared" ref="U100" si="49">SUM(U101:U102)</f>
        <v>1.7306851129126381E-2</v>
      </c>
      <c r="V100" s="134">
        <f t="shared" ref="V100" si="50">SUM(V101:V102)</f>
        <v>2.2025819012946993E-2</v>
      </c>
      <c r="W100" s="134">
        <f t="shared" ref="W100" si="51">SUM(W101:W102)</f>
        <v>4.1682007071671412E-3</v>
      </c>
      <c r="X100" s="134">
        <f t="shared" ref="X100" si="52">SUM(X101:X102)</f>
        <v>5.0223093727986071E-2</v>
      </c>
      <c r="Y100" s="134">
        <f t="shared" ref="Y100" si="53">SUM(Y101:Y102)</f>
        <v>9.2232732774432225E-2</v>
      </c>
      <c r="Z100" s="134">
        <f t="shared" ref="Z100" si="54">SUM(Z101:Z102)</f>
        <v>6.6407682431687654E-2</v>
      </c>
      <c r="AA100" s="134">
        <f t="shared" ref="AA100" si="55">SUM(AA101:AA102)</f>
        <v>0.12247581838636425</v>
      </c>
      <c r="AB100" s="134">
        <f t="shared" ref="AB100" si="56">SUM(AB101:AB102)</f>
        <v>5.1037619798967891E-2</v>
      </c>
    </row>
    <row r="101" spans="2:28">
      <c r="B101" s="127" t="s">
        <v>109</v>
      </c>
      <c r="C101" s="134">
        <f t="shared" ref="C101:AB101" si="57">C72*C15/10^6</f>
        <v>0.75418242919574885</v>
      </c>
      <c r="D101" s="134">
        <f t="shared" si="57"/>
        <v>7.6626970435025449E-2</v>
      </c>
      <c r="E101" s="134">
        <f t="shared" si="57"/>
        <v>5.5091330507847244E-2</v>
      </c>
      <c r="F101" s="134">
        <f t="shared" si="57"/>
        <v>2.2303864527717359E-2</v>
      </c>
      <c r="G101" s="134">
        <f t="shared" si="57"/>
        <v>2.6046138306995051E-2</v>
      </c>
      <c r="H101" s="134">
        <f t="shared" si="57"/>
        <v>1.8808437808042425E-2</v>
      </c>
      <c r="I101" s="134">
        <f t="shared" si="57"/>
        <v>1.5208748871940909E-2</v>
      </c>
      <c r="J101" s="134">
        <f t="shared" si="57"/>
        <v>6.4688428682209712E-2</v>
      </c>
      <c r="K101" s="134">
        <f t="shared" si="57"/>
        <v>9.4170371844757281E-2</v>
      </c>
      <c r="L101" s="134">
        <f t="shared" si="57"/>
        <v>0.33372990305077022</v>
      </c>
      <c r="M101" s="134">
        <f t="shared" si="57"/>
        <v>6.0433878636350191E-2</v>
      </c>
      <c r="N101" s="134">
        <f t="shared" si="57"/>
        <v>5.0408345777172091E-2</v>
      </c>
      <c r="O101" s="134">
        <f t="shared" si="57"/>
        <v>3.2836574616407425E-2</v>
      </c>
      <c r="P101" s="134">
        <f t="shared" si="57"/>
        <v>7.693905582069735E-2</v>
      </c>
      <c r="Q101" s="134">
        <f t="shared" si="57"/>
        <v>6.1551805500469469E-3</v>
      </c>
      <c r="R101" s="134">
        <f t="shared" si="57"/>
        <v>2.5341936155331146E-2</v>
      </c>
      <c r="S101" s="134">
        <f t="shared" si="57"/>
        <v>9.7779217921475491E-3</v>
      </c>
      <c r="T101" s="134">
        <f t="shared" si="57"/>
        <v>2.8216768902667611E-2</v>
      </c>
      <c r="U101" s="134">
        <f t="shared" si="57"/>
        <v>9.9098699283623644E-3</v>
      </c>
      <c r="V101" s="134">
        <f t="shared" si="57"/>
        <v>1.2290077020254E-2</v>
      </c>
      <c r="W101" s="134">
        <f t="shared" si="57"/>
        <v>2.3540352622561764E-3</v>
      </c>
      <c r="X101" s="134">
        <f t="shared" si="57"/>
        <v>2.8207936660809552E-2</v>
      </c>
      <c r="Y101" s="134">
        <f t="shared" si="57"/>
        <v>5.1622583767032687E-2</v>
      </c>
      <c r="Z101" s="134">
        <f t="shared" si="57"/>
        <v>3.5697793858605345E-2</v>
      </c>
      <c r="AA101" s="134">
        <f t="shared" si="57"/>
        <v>7.0440838767459893E-2</v>
      </c>
      <c r="AB101" s="134">
        <f t="shared" si="57"/>
        <v>2.8108845567259122E-2</v>
      </c>
    </row>
    <row r="102" spans="2:28">
      <c r="B102" s="127" t="s">
        <v>110</v>
      </c>
      <c r="C102" s="134">
        <f t="shared" ref="C102:AB102" si="58">C73*C16/10^6</f>
        <v>0.62091558843639127</v>
      </c>
      <c r="D102" s="134">
        <f t="shared" si="58"/>
        <v>5.790293502021656E-2</v>
      </c>
      <c r="E102" s="134">
        <f t="shared" si="58"/>
        <v>4.3773929950248557E-2</v>
      </c>
      <c r="F102" s="134">
        <f t="shared" si="58"/>
        <v>1.6812739552549558E-2</v>
      </c>
      <c r="G102" s="134">
        <f t="shared" si="58"/>
        <v>1.8970319332427942E-2</v>
      </c>
      <c r="H102" s="134">
        <f t="shared" si="58"/>
        <v>1.5049853403640246E-2</v>
      </c>
      <c r="I102" s="134">
        <f t="shared" si="58"/>
        <v>1.1536001883383254E-2</v>
      </c>
      <c r="J102" s="134">
        <f t="shared" si="58"/>
        <v>4.9639883364388487E-2</v>
      </c>
      <c r="K102" s="134">
        <f t="shared" si="58"/>
        <v>7.4149003920376058E-2</v>
      </c>
      <c r="L102" s="134">
        <f t="shared" si="58"/>
        <v>0.26283282075026071</v>
      </c>
      <c r="M102" s="134">
        <f t="shared" si="58"/>
        <v>4.8668355827855732E-2</v>
      </c>
      <c r="N102" s="134">
        <f t="shared" si="58"/>
        <v>4.0742616790310618E-2</v>
      </c>
      <c r="O102" s="134">
        <f t="shared" si="58"/>
        <v>2.5317543015934401E-2</v>
      </c>
      <c r="P102" s="134">
        <f t="shared" si="58"/>
        <v>6.6675256631146845E-2</v>
      </c>
      <c r="Q102" s="134">
        <f t="shared" si="58"/>
        <v>4.6982255361463577E-3</v>
      </c>
      <c r="R102" s="134">
        <f t="shared" si="58"/>
        <v>2.0972443397615583E-2</v>
      </c>
      <c r="S102" s="134">
        <f t="shared" si="58"/>
        <v>8.4780194361467835E-3</v>
      </c>
      <c r="T102" s="134">
        <f t="shared" si="58"/>
        <v>2.2971230981395526E-2</v>
      </c>
      <c r="U102" s="134">
        <f t="shared" si="58"/>
        <v>7.3969812007640169E-3</v>
      </c>
      <c r="V102" s="134">
        <f t="shared" si="58"/>
        <v>9.7357419926929929E-3</v>
      </c>
      <c r="W102" s="134">
        <f t="shared" si="58"/>
        <v>1.8141654449109644E-3</v>
      </c>
      <c r="X102" s="134">
        <f t="shared" si="58"/>
        <v>2.2015157067176518E-2</v>
      </c>
      <c r="Y102" s="134">
        <f t="shared" si="58"/>
        <v>4.0610149007399537E-2</v>
      </c>
      <c r="Z102" s="134">
        <f t="shared" si="58"/>
        <v>3.0709888573082302E-2</v>
      </c>
      <c r="AA102" s="134">
        <f t="shared" si="58"/>
        <v>5.2034979618904353E-2</v>
      </c>
      <c r="AB102" s="134">
        <f t="shared" si="58"/>
        <v>2.2928774231708769E-2</v>
      </c>
    </row>
    <row r="103" spans="2:28">
      <c r="B103" s="114" t="s">
        <v>75</v>
      </c>
      <c r="C103" s="134">
        <f>SUM(C104:C106)</f>
        <v>0.71332744095154577</v>
      </c>
      <c r="D103" s="134">
        <f t="shared" ref="D103:AB103" si="59">SUM(D104:D106)</f>
        <v>0.11212418805477002</v>
      </c>
      <c r="E103" s="134">
        <f t="shared" si="59"/>
        <v>4.2208983462542024E-2</v>
      </c>
      <c r="F103" s="134">
        <f t="shared" si="59"/>
        <v>1.9410562245748983E-2</v>
      </c>
      <c r="G103" s="134">
        <f t="shared" si="59"/>
        <v>2.3817929879835175E-2</v>
      </c>
      <c r="H103" s="134">
        <f t="shared" si="59"/>
        <v>1.6023048137231835E-2</v>
      </c>
      <c r="I103" s="134">
        <f t="shared" si="59"/>
        <v>1.8361311376798597E-2</v>
      </c>
      <c r="J103" s="134">
        <f t="shared" si="59"/>
        <v>6.2808565543051226E-2</v>
      </c>
      <c r="K103" s="134">
        <f t="shared" si="59"/>
        <v>0.13838352093090617</v>
      </c>
      <c r="L103" s="134">
        <f t="shared" si="59"/>
        <v>0.42639902194384738</v>
      </c>
      <c r="M103" s="134">
        <f t="shared" si="59"/>
        <v>5.2583222235087705E-2</v>
      </c>
      <c r="N103" s="134">
        <f t="shared" si="59"/>
        <v>5.7398944779433893E-2</v>
      </c>
      <c r="O103" s="134">
        <f t="shared" si="59"/>
        <v>3.8609968535057493E-2</v>
      </c>
      <c r="P103" s="134">
        <f t="shared" si="59"/>
        <v>7.4123106223477134E-2</v>
      </c>
      <c r="Q103" s="134">
        <f t="shared" si="59"/>
        <v>6.4802458420891319E-3</v>
      </c>
      <c r="R103" s="134">
        <f t="shared" si="59"/>
        <v>3.7746398460788977E-2</v>
      </c>
      <c r="S103" s="134">
        <f t="shared" si="59"/>
        <v>1.0681237038444783E-2</v>
      </c>
      <c r="T103" s="134">
        <f t="shared" si="59"/>
        <v>2.892385978777199E-2</v>
      </c>
      <c r="U103" s="134">
        <f t="shared" si="59"/>
        <v>9.4644117239272574E-3</v>
      </c>
      <c r="V103" s="134">
        <f t="shared" si="59"/>
        <v>1.4720020101141023E-2</v>
      </c>
      <c r="W103" s="134">
        <f t="shared" si="59"/>
        <v>3.1951684991537175E-3</v>
      </c>
      <c r="X103" s="134">
        <f t="shared" si="59"/>
        <v>2.3290611459422753E-2</v>
      </c>
      <c r="Y103" s="134">
        <f t="shared" si="59"/>
        <v>7.6942970657806864E-2</v>
      </c>
      <c r="Z103" s="134">
        <f t="shared" si="59"/>
        <v>3.7747210070652758E-2</v>
      </c>
      <c r="AA103" s="134">
        <f t="shared" si="59"/>
        <v>8.832105143691335E-2</v>
      </c>
      <c r="AB103" s="134">
        <f t="shared" si="59"/>
        <v>2.4437338756978077E-2</v>
      </c>
    </row>
    <row r="104" spans="2:28">
      <c r="B104" s="127" t="s">
        <v>111</v>
      </c>
      <c r="C104" s="134">
        <f t="shared" ref="C104:AB104" si="60">C75*C18/10^6</f>
        <v>0.11432527431729056</v>
      </c>
      <c r="D104" s="134">
        <f t="shared" si="60"/>
        <v>1.5569994865492105E-2</v>
      </c>
      <c r="E104" s="134">
        <f t="shared" si="60"/>
        <v>6.7175190050383724E-3</v>
      </c>
      <c r="F104" s="134">
        <f t="shared" si="60"/>
        <v>3.1593866589922715E-3</v>
      </c>
      <c r="G104" s="134">
        <f t="shared" si="60"/>
        <v>3.8658955246764644E-3</v>
      </c>
      <c r="H104" s="134">
        <f t="shared" si="60"/>
        <v>2.3331784723698112E-3</v>
      </c>
      <c r="I104" s="134">
        <f t="shared" si="60"/>
        <v>2.7013583564421176E-3</v>
      </c>
      <c r="J104" s="134">
        <f t="shared" si="60"/>
        <v>9.8871217271187806E-3</v>
      </c>
      <c r="K104" s="134">
        <f t="shared" si="60"/>
        <v>2.094525094863799E-2</v>
      </c>
      <c r="L104" s="134">
        <f t="shared" si="60"/>
        <v>7.0401808651408035E-2</v>
      </c>
      <c r="M104" s="134">
        <f t="shared" si="60"/>
        <v>8.0523383087551092E-3</v>
      </c>
      <c r="N104" s="134">
        <f t="shared" si="60"/>
        <v>8.6761677269508574E-3</v>
      </c>
      <c r="O104" s="134">
        <f t="shared" si="60"/>
        <v>6.0664543265612743E-3</v>
      </c>
      <c r="P104" s="134">
        <f t="shared" si="60"/>
        <v>1.1318511076198877E-2</v>
      </c>
      <c r="Q104" s="134">
        <f t="shared" si="60"/>
        <v>1.0388200683189869E-3</v>
      </c>
      <c r="R104" s="134">
        <f t="shared" si="60"/>
        <v>5.8002401105004507E-3</v>
      </c>
      <c r="S104" s="134">
        <f t="shared" si="60"/>
        <v>1.5461577580937538E-3</v>
      </c>
      <c r="T104" s="134">
        <f t="shared" si="60"/>
        <v>4.2908723468705039E-3</v>
      </c>
      <c r="U104" s="134">
        <f t="shared" si="60"/>
        <v>1.340475383095397E-3</v>
      </c>
      <c r="V104" s="134">
        <f t="shared" si="60"/>
        <v>2.2042980664341905E-3</v>
      </c>
      <c r="W104" s="134">
        <f t="shared" si="60"/>
        <v>4.4894762097659306E-4</v>
      </c>
      <c r="X104" s="134">
        <f t="shared" si="60"/>
        <v>3.9226958370988428E-3</v>
      </c>
      <c r="Y104" s="134">
        <f t="shared" si="60"/>
        <v>1.1395525453534755E-2</v>
      </c>
      <c r="Z104" s="134">
        <f t="shared" si="60"/>
        <v>5.4790580420139455E-3</v>
      </c>
      <c r="AA104" s="134">
        <f t="shared" si="60"/>
        <v>1.2618283299693162E-2</v>
      </c>
      <c r="AB104" s="134">
        <f t="shared" si="60"/>
        <v>3.780866744473298E-3</v>
      </c>
    </row>
    <row r="105" spans="2:28">
      <c r="B105" s="127" t="s">
        <v>112</v>
      </c>
      <c r="C105" s="134">
        <f t="shared" ref="C105:AB106" si="61">C76*C19/10^6</f>
        <v>8.3745468763357686E-2</v>
      </c>
      <c r="D105" s="134">
        <f t="shared" si="61"/>
        <v>1.2621847596960145E-2</v>
      </c>
      <c r="E105" s="134">
        <f t="shared" si="61"/>
        <v>5.0699800211087571E-3</v>
      </c>
      <c r="F105" s="134">
        <f t="shared" si="61"/>
        <v>2.0423964063744316E-3</v>
      </c>
      <c r="G105" s="134">
        <f t="shared" si="61"/>
        <v>2.7415488760380814E-3</v>
      </c>
      <c r="H105" s="134">
        <f t="shared" si="61"/>
        <v>1.7510517916469639E-3</v>
      </c>
      <c r="I105" s="134">
        <f t="shared" si="61"/>
        <v>1.955232616218217E-3</v>
      </c>
      <c r="J105" s="134">
        <f t="shared" si="61"/>
        <v>6.9932267344298528E-3</v>
      </c>
      <c r="K105" s="134">
        <f t="shared" si="61"/>
        <v>1.3243229080222744E-2</v>
      </c>
      <c r="L105" s="134">
        <f t="shared" si="61"/>
        <v>4.8018059804028901E-2</v>
      </c>
      <c r="M105" s="134">
        <f t="shared" si="61"/>
        <v>5.2845758150492942E-3</v>
      </c>
      <c r="N105" s="134">
        <f t="shared" si="61"/>
        <v>6.3376812378929809E-3</v>
      </c>
      <c r="O105" s="134">
        <f t="shared" si="61"/>
        <v>4.7848543357984627E-3</v>
      </c>
      <c r="P105" s="134">
        <f t="shared" si="61"/>
        <v>7.5241281427473961E-3</v>
      </c>
      <c r="Q105" s="134">
        <f t="shared" si="61"/>
        <v>6.5746420362495757E-4</v>
      </c>
      <c r="R105" s="134">
        <f t="shared" si="61"/>
        <v>4.2879179001848525E-3</v>
      </c>
      <c r="S105" s="134">
        <f t="shared" si="61"/>
        <v>1.0474081887922662E-3</v>
      </c>
      <c r="T105" s="134">
        <f t="shared" si="61"/>
        <v>2.9704505482925215E-3</v>
      </c>
      <c r="U105" s="134">
        <f t="shared" si="61"/>
        <v>1.0492198890549114E-3</v>
      </c>
      <c r="V105" s="134">
        <f t="shared" si="61"/>
        <v>1.7265234500116159E-3</v>
      </c>
      <c r="W105" s="134">
        <f t="shared" si="61"/>
        <v>3.3099295000511711E-4</v>
      </c>
      <c r="X105" s="134">
        <f t="shared" si="61"/>
        <v>2.5382585829575328E-3</v>
      </c>
      <c r="Y105" s="134">
        <f t="shared" si="61"/>
        <v>8.9939565648964551E-3</v>
      </c>
      <c r="Z105" s="134">
        <f t="shared" si="61"/>
        <v>3.8212199014242471E-3</v>
      </c>
      <c r="AA105" s="134">
        <f t="shared" si="61"/>
        <v>8.8526997992537625E-3</v>
      </c>
      <c r="AB105" s="134">
        <f t="shared" si="61"/>
        <v>2.7595257051157484E-3</v>
      </c>
    </row>
    <row r="106" spans="2:28">
      <c r="B106" s="127" t="s">
        <v>113</v>
      </c>
      <c r="C106" s="134">
        <f t="shared" si="61"/>
        <v>0.51525669787089745</v>
      </c>
      <c r="D106" s="134">
        <f t="shared" si="61"/>
        <v>8.393234559231777E-2</v>
      </c>
      <c r="E106" s="134">
        <f t="shared" si="61"/>
        <v>3.0421484436394895E-2</v>
      </c>
      <c r="F106" s="134">
        <f t="shared" si="61"/>
        <v>1.420877918038228E-2</v>
      </c>
      <c r="G106" s="134">
        <f t="shared" si="61"/>
        <v>1.721048547912063E-2</v>
      </c>
      <c r="H106" s="134">
        <f t="shared" si="61"/>
        <v>1.1938817873215062E-2</v>
      </c>
      <c r="I106" s="134">
        <f t="shared" si="61"/>
        <v>1.3704720404138261E-2</v>
      </c>
      <c r="J106" s="134">
        <f t="shared" si="61"/>
        <v>4.592821708150259E-2</v>
      </c>
      <c r="K106" s="134">
        <f t="shared" si="61"/>
        <v>0.10419504090204544</v>
      </c>
      <c r="L106" s="134">
        <f t="shared" si="61"/>
        <v>0.30797915348841043</v>
      </c>
      <c r="M106" s="134">
        <f t="shared" si="61"/>
        <v>3.9246308111283303E-2</v>
      </c>
      <c r="N106" s="134">
        <f t="shared" si="61"/>
        <v>4.2385095814590053E-2</v>
      </c>
      <c r="O106" s="134">
        <f t="shared" si="61"/>
        <v>2.7758659872697759E-2</v>
      </c>
      <c r="P106" s="134">
        <f t="shared" si="61"/>
        <v>5.5280467004530862E-2</v>
      </c>
      <c r="Q106" s="134">
        <f t="shared" si="61"/>
        <v>4.7839615701451878E-3</v>
      </c>
      <c r="R106" s="134">
        <f t="shared" si="61"/>
        <v>2.7658240450103674E-2</v>
      </c>
      <c r="S106" s="134">
        <f t="shared" si="61"/>
        <v>8.0876710915587634E-3</v>
      </c>
      <c r="T106" s="134">
        <f t="shared" si="61"/>
        <v>2.1662536892608962E-2</v>
      </c>
      <c r="U106" s="134">
        <f t="shared" si="61"/>
        <v>7.0747164517769483E-3</v>
      </c>
      <c r="V106" s="134">
        <f t="shared" si="61"/>
        <v>1.0789198584695217E-2</v>
      </c>
      <c r="W106" s="134">
        <f t="shared" si="61"/>
        <v>2.4152279281720074E-3</v>
      </c>
      <c r="X106" s="134">
        <f t="shared" si="61"/>
        <v>1.6829657039366376E-2</v>
      </c>
      <c r="Y106" s="134">
        <f t="shared" si="61"/>
        <v>5.6553488639375656E-2</v>
      </c>
      <c r="Z106" s="134">
        <f t="shared" si="61"/>
        <v>2.8446932127214563E-2</v>
      </c>
      <c r="AA106" s="134">
        <f t="shared" si="61"/>
        <v>6.6850068337966417E-2</v>
      </c>
      <c r="AB106" s="134">
        <f t="shared" si="61"/>
        <v>1.7896946307389031E-2</v>
      </c>
    </row>
    <row r="107" spans="2:28">
      <c r="B107" s="114" t="s">
        <v>76</v>
      </c>
      <c r="C107" s="134">
        <f>SUM(C108:C110)</f>
        <v>4.9208957960098356</v>
      </c>
      <c r="D107" s="134">
        <f t="shared" ref="D107" si="62">SUM(D108:D110)</f>
        <v>0.52988780646257028</v>
      </c>
      <c r="E107" s="134">
        <f t="shared" ref="E107" si="63">SUM(E108:E110)</f>
        <v>0.225268509784284</v>
      </c>
      <c r="F107" s="134">
        <f t="shared" ref="F107" si="64">SUM(F108:F110)</f>
        <v>8.9106924575333396E-2</v>
      </c>
      <c r="G107" s="134">
        <f t="shared" ref="G107" si="65">SUM(G108:G110)</f>
        <v>0.13134351552644252</v>
      </c>
      <c r="H107" s="134">
        <f t="shared" ref="H107" si="66">SUM(H108:H110)</f>
        <v>8.0473948338399562E-2</v>
      </c>
      <c r="I107" s="134">
        <f t="shared" ref="I107" si="67">SUM(I108:I110)</f>
        <v>9.3621740149697902E-2</v>
      </c>
      <c r="J107" s="134">
        <f t="shared" ref="J107" si="68">SUM(J108:J110)</f>
        <v>0.35493429668690724</v>
      </c>
      <c r="K107" s="134">
        <f t="shared" ref="K107" si="69">SUM(K108:K110)</f>
        <v>0.520816060165609</v>
      </c>
      <c r="L107" s="134">
        <f t="shared" ref="L107" si="70">SUM(L108:L110)</f>
        <v>1.9050934930012318</v>
      </c>
      <c r="M107" s="134">
        <f t="shared" ref="M107" si="71">SUM(M108:M110)</f>
        <v>0.26691460356250407</v>
      </c>
      <c r="N107" s="134">
        <f t="shared" ref="N107" si="72">SUM(N108:N110)</f>
        <v>0.31481267192014184</v>
      </c>
      <c r="O107" s="134">
        <f t="shared" ref="O107" si="73">SUM(O108:O110)</f>
        <v>0.17135696510306259</v>
      </c>
      <c r="P107" s="134">
        <f t="shared" ref="P107" si="74">SUM(P108:P110)</f>
        <v>0.51923888291244658</v>
      </c>
      <c r="Q107" s="134">
        <f t="shared" ref="Q107" si="75">SUM(Q108:Q110)</f>
        <v>4.5581116334826623E-2</v>
      </c>
      <c r="R107" s="134">
        <f t="shared" ref="R107" si="76">SUM(R108:R110)</f>
        <v>0.13524112027891685</v>
      </c>
      <c r="S107" s="134">
        <f t="shared" ref="S107" si="77">SUM(S108:S110)</f>
        <v>6.7443241808957444E-2</v>
      </c>
      <c r="T107" s="134">
        <f t="shared" ref="T107" si="78">SUM(T108:T110)</f>
        <v>0.17660887551525981</v>
      </c>
      <c r="U107" s="134">
        <f t="shared" ref="U107" si="79">SUM(U108:U110)</f>
        <v>4.0500305707981465E-2</v>
      </c>
      <c r="V107" s="134">
        <f t="shared" ref="V107" si="80">SUM(V108:V110)</f>
        <v>7.0372875883679603E-2</v>
      </c>
      <c r="W107" s="134">
        <f t="shared" ref="W107" si="81">SUM(W108:W110)</f>
        <v>1.7853752953610302E-2</v>
      </c>
      <c r="X107" s="134">
        <f t="shared" ref="X107" si="82">SUM(X108:X110)</f>
        <v>0.163230910578194</v>
      </c>
      <c r="Y107" s="134">
        <f t="shared" ref="Y107" si="83">SUM(Y108:Y110)</f>
        <v>0.33427667082306872</v>
      </c>
      <c r="Z107" s="134">
        <f t="shared" ref="Z107" si="84">SUM(Z108:Z110)</f>
        <v>0.26553534424476161</v>
      </c>
      <c r="AA107" s="134">
        <f t="shared" ref="AA107" si="85">SUM(AA108:AA110)</f>
        <v>0.32104124648605747</v>
      </c>
      <c r="AB107" s="134">
        <f t="shared" ref="AB107" si="86">SUM(AB108:AB110)</f>
        <v>0.15593384795389115</v>
      </c>
    </row>
    <row r="108" spans="2:28">
      <c r="B108" s="127" t="s">
        <v>114</v>
      </c>
      <c r="C108" s="134">
        <f t="shared" ref="C108:AB108" si="87">C79*C22/10^6</f>
        <v>3.5006889980542444</v>
      </c>
      <c r="D108" s="134">
        <f t="shared" si="87"/>
        <v>0.36762134468251145</v>
      </c>
      <c r="E108" s="134">
        <f t="shared" si="87"/>
        <v>0.15681658922343145</v>
      </c>
      <c r="F108" s="134">
        <f t="shared" si="87"/>
        <v>6.0637645284418569E-2</v>
      </c>
      <c r="G108" s="134">
        <f t="shared" si="87"/>
        <v>9.2051046365983366E-2</v>
      </c>
      <c r="H108" s="134">
        <f t="shared" si="87"/>
        <v>5.7361626692438737E-2</v>
      </c>
      <c r="I108" s="134">
        <f t="shared" si="87"/>
        <v>6.6122743889278149E-2</v>
      </c>
      <c r="J108" s="134">
        <f t="shared" si="87"/>
        <v>0.24521369448289906</v>
      </c>
      <c r="K108" s="134">
        <f t="shared" si="87"/>
        <v>0.34924419958165132</v>
      </c>
      <c r="L108" s="134">
        <f t="shared" si="87"/>
        <v>1.3470699069596199</v>
      </c>
      <c r="M108" s="134">
        <f t="shared" si="87"/>
        <v>0.18069958938364766</v>
      </c>
      <c r="N108" s="134">
        <f t="shared" si="87"/>
        <v>0.21287352984921623</v>
      </c>
      <c r="O108" s="134">
        <f t="shared" si="87"/>
        <v>0.11686665728003122</v>
      </c>
      <c r="P108" s="134">
        <f t="shared" si="87"/>
        <v>0.35068986536489499</v>
      </c>
      <c r="Q108" s="134">
        <f t="shared" si="87"/>
        <v>3.172335081005654E-2</v>
      </c>
      <c r="R108" s="134">
        <f t="shared" si="87"/>
        <v>9.1961526224250231E-2</v>
      </c>
      <c r="S108" s="134">
        <f t="shared" si="87"/>
        <v>4.7327362534580031E-2</v>
      </c>
      <c r="T108" s="134">
        <f t="shared" si="87"/>
        <v>0.12327160453473943</v>
      </c>
      <c r="U108" s="134">
        <f t="shared" si="87"/>
        <v>2.706622354783891E-2</v>
      </c>
      <c r="V108" s="134">
        <f t="shared" si="87"/>
        <v>4.9385034558113466E-2</v>
      </c>
      <c r="W108" s="134">
        <f t="shared" si="87"/>
        <v>1.2381753594066416E-2</v>
      </c>
      <c r="X108" s="134">
        <f t="shared" si="87"/>
        <v>0.11088064601670657</v>
      </c>
      <c r="Y108" s="134">
        <f t="shared" si="87"/>
        <v>0.22615670844036834</v>
      </c>
      <c r="Z108" s="134">
        <f t="shared" si="87"/>
        <v>0.18732542033280861</v>
      </c>
      <c r="AA108" s="134">
        <f t="shared" si="87"/>
        <v>0.22541709353156425</v>
      </c>
      <c r="AB108" s="134">
        <f t="shared" si="87"/>
        <v>0.10799748740056486</v>
      </c>
    </row>
    <row r="109" spans="2:28">
      <c r="B109" s="127" t="s">
        <v>115</v>
      </c>
      <c r="C109" s="134">
        <f t="shared" ref="C109:AB109" si="88">C80*C23/10^6</f>
        <v>0.39163145767291402</v>
      </c>
      <c r="D109" s="134">
        <f t="shared" si="88"/>
        <v>4.2853704422767529E-2</v>
      </c>
      <c r="E109" s="134">
        <f t="shared" si="88"/>
        <v>2.0098317102262692E-2</v>
      </c>
      <c r="F109" s="134">
        <f t="shared" si="88"/>
        <v>8.3778224719650365E-3</v>
      </c>
      <c r="G109" s="134">
        <f t="shared" si="88"/>
        <v>1.1248655038898958E-2</v>
      </c>
      <c r="H109" s="134">
        <f t="shared" si="88"/>
        <v>6.4911030677040843E-3</v>
      </c>
      <c r="I109" s="134">
        <f t="shared" si="88"/>
        <v>8.3787677551645616E-3</v>
      </c>
      <c r="J109" s="134">
        <f t="shared" si="88"/>
        <v>2.855337686565039E-2</v>
      </c>
      <c r="K109" s="134">
        <f t="shared" si="88"/>
        <v>4.2638908064713411E-2</v>
      </c>
      <c r="L109" s="134">
        <f t="shared" si="88"/>
        <v>0.16538216294849095</v>
      </c>
      <c r="M109" s="134">
        <f t="shared" si="88"/>
        <v>2.13117027035747E-2</v>
      </c>
      <c r="N109" s="134">
        <f t="shared" si="88"/>
        <v>2.7309898170089619E-2</v>
      </c>
      <c r="O109" s="134">
        <f t="shared" si="88"/>
        <v>1.5338271605193179E-2</v>
      </c>
      <c r="P109" s="134">
        <f t="shared" si="88"/>
        <v>4.4415244977792902E-2</v>
      </c>
      <c r="Q109" s="134">
        <f t="shared" si="88"/>
        <v>4.0172924577676437E-3</v>
      </c>
      <c r="R109" s="134">
        <f t="shared" si="88"/>
        <v>1.1125697453749276E-2</v>
      </c>
      <c r="S109" s="134">
        <f t="shared" si="88"/>
        <v>5.9877264982610189E-3</v>
      </c>
      <c r="T109" s="134">
        <f t="shared" si="88"/>
        <v>1.4329515041610435E-2</v>
      </c>
      <c r="U109" s="134">
        <f t="shared" si="88"/>
        <v>3.3344257074140122E-3</v>
      </c>
      <c r="V109" s="134">
        <f t="shared" si="88"/>
        <v>5.9979222098557701E-3</v>
      </c>
      <c r="W109" s="134">
        <f t="shared" si="88"/>
        <v>1.4888943007929643E-3</v>
      </c>
      <c r="X109" s="134">
        <f t="shared" si="88"/>
        <v>1.3538409166202378E-2</v>
      </c>
      <c r="Y109" s="134">
        <f t="shared" si="88"/>
        <v>3.0313209729025733E-2</v>
      </c>
      <c r="Z109" s="134">
        <f t="shared" si="88"/>
        <v>2.3330944577089147E-2</v>
      </c>
      <c r="AA109" s="134">
        <f t="shared" si="88"/>
        <v>2.5779592895355231E-2</v>
      </c>
      <c r="AB109" s="134">
        <f t="shared" si="88"/>
        <v>1.2744381603541473E-2</v>
      </c>
    </row>
    <row r="110" spans="2:28">
      <c r="B110" s="127" t="s">
        <v>116</v>
      </c>
      <c r="C110" s="134">
        <f t="shared" ref="C110:AB110" si="89">C81*C24/10^6</f>
        <v>1.0285753402826774</v>
      </c>
      <c r="D110" s="134">
        <f t="shared" si="89"/>
        <v>0.11941275735729123</v>
      </c>
      <c r="E110" s="134">
        <f t="shared" si="89"/>
        <v>4.8353603458589856E-2</v>
      </c>
      <c r="F110" s="134">
        <f t="shared" si="89"/>
        <v>2.0091456818949784E-2</v>
      </c>
      <c r="G110" s="134">
        <f t="shared" si="89"/>
        <v>2.8043814121560179E-2</v>
      </c>
      <c r="H110" s="134">
        <f t="shared" si="89"/>
        <v>1.6621218578256745E-2</v>
      </c>
      <c r="I110" s="134">
        <f t="shared" si="89"/>
        <v>1.9120228505255195E-2</v>
      </c>
      <c r="J110" s="134">
        <f t="shared" si="89"/>
        <v>8.1167225338357823E-2</v>
      </c>
      <c r="K110" s="134">
        <f t="shared" si="89"/>
        <v>0.12893295251924425</v>
      </c>
      <c r="L110" s="134">
        <f t="shared" si="89"/>
        <v>0.39264142309312089</v>
      </c>
      <c r="M110" s="134">
        <f t="shared" si="89"/>
        <v>6.4903311475281722E-2</v>
      </c>
      <c r="N110" s="134">
        <f t="shared" si="89"/>
        <v>7.4629243900836001E-2</v>
      </c>
      <c r="O110" s="134">
        <f t="shared" si="89"/>
        <v>3.9152036217838193E-2</v>
      </c>
      <c r="P110" s="134">
        <f t="shared" si="89"/>
        <v>0.12413377256975863</v>
      </c>
      <c r="Q110" s="134">
        <f t="shared" si="89"/>
        <v>9.8404730670024424E-3</v>
      </c>
      <c r="R110" s="134">
        <f t="shared" si="89"/>
        <v>3.2153896600917345E-2</v>
      </c>
      <c r="S110" s="134">
        <f t="shared" si="89"/>
        <v>1.4128152776116391E-2</v>
      </c>
      <c r="T110" s="134">
        <f t="shared" si="89"/>
        <v>3.9007755938909962E-2</v>
      </c>
      <c r="U110" s="134">
        <f t="shared" si="89"/>
        <v>1.0099656452728544E-2</v>
      </c>
      <c r="V110" s="134">
        <f t="shared" si="89"/>
        <v>1.4989919115710376E-2</v>
      </c>
      <c r="W110" s="134">
        <f t="shared" si="89"/>
        <v>3.9831050587509223E-3</v>
      </c>
      <c r="X110" s="134">
        <f t="shared" si="89"/>
        <v>3.8811855395285061E-2</v>
      </c>
      <c r="Y110" s="134">
        <f t="shared" si="89"/>
        <v>7.7806752653674663E-2</v>
      </c>
      <c r="Z110" s="134">
        <f t="shared" si="89"/>
        <v>5.487897933486386E-2</v>
      </c>
      <c r="AA110" s="134">
        <f t="shared" si="89"/>
        <v>6.9844560059137972E-2</v>
      </c>
      <c r="AB110" s="134">
        <f t="shared" si="89"/>
        <v>3.5191978949784805E-2</v>
      </c>
    </row>
    <row r="111" spans="2:28">
      <c r="B111" s="114" t="s">
        <v>77</v>
      </c>
      <c r="C111" s="134">
        <f t="shared" ref="C111:AB111" si="90">C82*C25/10^6</f>
        <v>0.96518077359981869</v>
      </c>
      <c r="D111" s="134">
        <f t="shared" si="90"/>
        <v>0.10539193391590715</v>
      </c>
      <c r="E111" s="134">
        <f t="shared" si="90"/>
        <v>6.4480217574137064E-2</v>
      </c>
      <c r="F111" s="134">
        <f t="shared" si="90"/>
        <v>2.4672760157282342E-2</v>
      </c>
      <c r="G111" s="134">
        <f t="shared" si="90"/>
        <v>2.6008107279852418E-2</v>
      </c>
      <c r="H111" s="134">
        <f t="shared" si="90"/>
        <v>2.3246840589537847E-2</v>
      </c>
      <c r="I111" s="134">
        <f t="shared" si="90"/>
        <v>1.5868223858859616E-2</v>
      </c>
      <c r="J111" s="134">
        <f t="shared" si="90"/>
        <v>8.2723014520203683E-2</v>
      </c>
      <c r="K111" s="134">
        <f t="shared" si="90"/>
        <v>0.15131490315456544</v>
      </c>
      <c r="L111" s="134">
        <f t="shared" si="90"/>
        <v>0.31038028492229303</v>
      </c>
      <c r="M111" s="134">
        <f t="shared" si="90"/>
        <v>7.3101978015736896E-2</v>
      </c>
      <c r="N111" s="134">
        <f t="shared" si="90"/>
        <v>5.7435163633944977E-2</v>
      </c>
      <c r="O111" s="134">
        <f t="shared" si="90"/>
        <v>3.1693715938177686E-2</v>
      </c>
      <c r="P111" s="134">
        <f t="shared" si="90"/>
        <v>0.11682146535890288</v>
      </c>
      <c r="Q111" s="134">
        <f t="shared" si="90"/>
        <v>5.5768334214388151E-3</v>
      </c>
      <c r="R111" s="134">
        <f t="shared" si="90"/>
        <v>3.9084147444944338E-2</v>
      </c>
      <c r="S111" s="134">
        <f t="shared" si="90"/>
        <v>1.2819030147976529E-2</v>
      </c>
      <c r="T111" s="134">
        <f t="shared" si="90"/>
        <v>3.1872545268263455E-2</v>
      </c>
      <c r="U111" s="134">
        <f t="shared" si="90"/>
        <v>9.5539802757081682E-3</v>
      </c>
      <c r="V111" s="134">
        <f t="shared" si="90"/>
        <v>1.5318374883635397E-2</v>
      </c>
      <c r="W111" s="134">
        <f t="shared" si="90"/>
        <v>1.9854898930697948E-3</v>
      </c>
      <c r="X111" s="134">
        <f t="shared" si="90"/>
        <v>3.0932099623833677E-2</v>
      </c>
      <c r="Y111" s="134">
        <f t="shared" si="90"/>
        <v>6.7771807476190507E-2</v>
      </c>
      <c r="Z111" s="134">
        <f t="shared" si="90"/>
        <v>4.1138820615702579E-2</v>
      </c>
      <c r="AA111" s="134">
        <f t="shared" si="90"/>
        <v>8.8954147883122045E-2</v>
      </c>
      <c r="AB111" s="134">
        <f t="shared" si="90"/>
        <v>2.5821798171138347E-2</v>
      </c>
    </row>
    <row r="112" spans="2:28">
      <c r="B112" s="114" t="s">
        <v>78</v>
      </c>
      <c r="C112" s="134">
        <f t="shared" ref="C112:AB112" si="91">C83*C26/10^6</f>
        <v>1.8570265976154281</v>
      </c>
      <c r="D112" s="134">
        <f t="shared" si="91"/>
        <v>0.1868413295937473</v>
      </c>
      <c r="E112" s="134">
        <f t="shared" si="91"/>
        <v>9.7442096047301349E-2</v>
      </c>
      <c r="F112" s="134">
        <f t="shared" si="91"/>
        <v>4.548941956786496E-2</v>
      </c>
      <c r="G112" s="134">
        <f t="shared" si="91"/>
        <v>4.9031393351831494E-2</v>
      </c>
      <c r="H112" s="134">
        <f t="shared" si="91"/>
        <v>3.7336982958699062E-2</v>
      </c>
      <c r="I112" s="134">
        <f t="shared" si="91"/>
        <v>3.5524647831017081E-2</v>
      </c>
      <c r="J112" s="134">
        <f t="shared" si="91"/>
        <v>0.18007129388365961</v>
      </c>
      <c r="K112" s="134">
        <f t="shared" si="91"/>
        <v>0.21141040908622705</v>
      </c>
      <c r="L112" s="134">
        <f t="shared" si="91"/>
        <v>0.70153576811822116</v>
      </c>
      <c r="M112" s="134">
        <f t="shared" si="91"/>
        <v>0.12826090987983504</v>
      </c>
      <c r="N112" s="134">
        <f t="shared" si="91"/>
        <v>0.11527484408531889</v>
      </c>
      <c r="O112" s="134">
        <f t="shared" si="91"/>
        <v>7.993091076198959E-2</v>
      </c>
      <c r="P112" s="134">
        <f t="shared" si="91"/>
        <v>0.1855559768156067</v>
      </c>
      <c r="Q112" s="134">
        <f t="shared" si="91"/>
        <v>1.3587996596728066E-2</v>
      </c>
      <c r="R112" s="134">
        <f t="shared" si="91"/>
        <v>6.1627061414039772E-2</v>
      </c>
      <c r="S112" s="134">
        <f t="shared" si="91"/>
        <v>2.672333325675386E-2</v>
      </c>
      <c r="T112" s="134">
        <f t="shared" si="91"/>
        <v>7.2917131739704516E-2</v>
      </c>
      <c r="U112" s="134">
        <f t="shared" si="91"/>
        <v>1.7839058480002373E-2</v>
      </c>
      <c r="V112" s="134">
        <f t="shared" si="91"/>
        <v>3.104857219323651E-2</v>
      </c>
      <c r="W112" s="134">
        <f t="shared" si="91"/>
        <v>5.9517863394773747E-3</v>
      </c>
      <c r="X112" s="134">
        <f t="shared" si="91"/>
        <v>5.5241237302014565E-2</v>
      </c>
      <c r="Y112" s="134">
        <f t="shared" si="91"/>
        <v>0.14092270478542629</v>
      </c>
      <c r="Z112" s="134">
        <f t="shared" si="91"/>
        <v>8.6019063781764535E-2</v>
      </c>
      <c r="AA112" s="134">
        <f t="shared" si="91"/>
        <v>0.12900741797286031</v>
      </c>
      <c r="AB112" s="134">
        <f t="shared" si="91"/>
        <v>6.5939162833188292E-2</v>
      </c>
    </row>
    <row r="113" spans="2:28">
      <c r="B113" s="114" t="s">
        <v>79</v>
      </c>
      <c r="C113" s="134">
        <f t="shared" ref="C113:AB113" si="92">C84*C27/10^6</f>
        <v>0.944122283994003</v>
      </c>
      <c r="D113" s="134">
        <f t="shared" si="92"/>
        <v>9.5001656758514033E-2</v>
      </c>
      <c r="E113" s="134">
        <f t="shared" si="92"/>
        <v>4.7937354393108637E-2</v>
      </c>
      <c r="F113" s="134">
        <f t="shared" si="92"/>
        <v>2.631158381419799E-2</v>
      </c>
      <c r="G113" s="134">
        <f t="shared" si="92"/>
        <v>2.4422063743422078E-2</v>
      </c>
      <c r="H113" s="134">
        <f t="shared" si="92"/>
        <v>2.2493333010055717E-2</v>
      </c>
      <c r="I113" s="134">
        <f t="shared" si="92"/>
        <v>1.8406445008198224E-2</v>
      </c>
      <c r="J113" s="134">
        <f t="shared" si="92"/>
        <v>8.8125286599725017E-2</v>
      </c>
      <c r="K113" s="134">
        <f t="shared" si="92"/>
        <v>0.13241934473319522</v>
      </c>
      <c r="L113" s="134">
        <f t="shared" si="92"/>
        <v>0.45756485859226548</v>
      </c>
      <c r="M113" s="134">
        <f t="shared" si="92"/>
        <v>6.6335242360545651E-2</v>
      </c>
      <c r="N113" s="134">
        <f t="shared" si="92"/>
        <v>6.2891829933622301E-2</v>
      </c>
      <c r="O113" s="134">
        <f t="shared" si="92"/>
        <v>3.0708853360264E-2</v>
      </c>
      <c r="P113" s="134">
        <f t="shared" si="92"/>
        <v>7.702424250471368E-2</v>
      </c>
      <c r="Q113" s="134">
        <f t="shared" si="92"/>
        <v>6.8362971003516288E-3</v>
      </c>
      <c r="R113" s="134">
        <f t="shared" si="92"/>
        <v>2.9856276282663224E-2</v>
      </c>
      <c r="S113" s="134">
        <f t="shared" si="92"/>
        <v>1.3140848758723685E-2</v>
      </c>
      <c r="T113" s="134">
        <f t="shared" si="92"/>
        <v>4.145971574987805E-2</v>
      </c>
      <c r="U113" s="134">
        <f t="shared" si="92"/>
        <v>1.0690616609770267E-2</v>
      </c>
      <c r="V113" s="134">
        <f t="shared" si="92"/>
        <v>1.536326341676105E-2</v>
      </c>
      <c r="W113" s="134">
        <f t="shared" si="92"/>
        <v>3.6137027278571299E-3</v>
      </c>
      <c r="X113" s="134">
        <f t="shared" si="92"/>
        <v>3.0160445653398722E-2</v>
      </c>
      <c r="Y113" s="134">
        <f t="shared" si="92"/>
        <v>5.672161007753318E-2</v>
      </c>
      <c r="Z113" s="134">
        <f t="shared" si="92"/>
        <v>5.1058332761758161E-2</v>
      </c>
      <c r="AA113" s="134">
        <f t="shared" si="92"/>
        <v>8.7327730103620896E-2</v>
      </c>
      <c r="AB113" s="134">
        <f t="shared" si="92"/>
        <v>3.3248541539905092E-2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85" zoomScaleNormal="85" workbookViewId="0">
      <selection sqref="A1:B37"/>
    </sheetView>
  </sheetViews>
  <sheetFormatPr defaultRowHeight="25" customHeight="1"/>
  <cols>
    <col min="1" max="1" width="18.81640625" style="13" customWidth="1"/>
    <col min="2" max="2" width="48.90625" style="65" customWidth="1"/>
    <col min="3" max="3" width="24.36328125" style="13" hidden="1" customWidth="1"/>
    <col min="4" max="4" width="8.7265625" style="13"/>
    <col min="5" max="5" width="16.26953125" style="13" hidden="1" customWidth="1"/>
    <col min="6" max="6" width="8.7265625" style="13"/>
    <col min="7" max="7" width="25.1796875" style="13" bestFit="1" customWidth="1"/>
    <col min="8" max="8" width="47.81640625" style="13" bestFit="1" customWidth="1"/>
    <col min="9" max="9" width="9.36328125" style="13" bestFit="1" customWidth="1"/>
    <col min="10" max="16384" width="8.7265625" style="13"/>
  </cols>
  <sheetData>
    <row r="1" spans="1:8" s="61" customFormat="1" ht="18" customHeight="1">
      <c r="A1" s="142" t="s">
        <v>206</v>
      </c>
      <c r="B1" s="144"/>
      <c r="C1" s="64" t="s">
        <v>138</v>
      </c>
      <c r="E1" s="72" t="s">
        <v>168</v>
      </c>
      <c r="G1" s="64" t="s">
        <v>137</v>
      </c>
      <c r="H1" s="69" t="s">
        <v>197</v>
      </c>
    </row>
    <row r="2" spans="1:8" s="61" customFormat="1" ht="15" customHeight="1">
      <c r="A2" s="109" t="s">
        <v>137</v>
      </c>
      <c r="B2" s="109" t="s">
        <v>204</v>
      </c>
      <c r="C2" s="63" t="s">
        <v>139</v>
      </c>
      <c r="E2" s="74" t="e">
        <f>B2/1000</f>
        <v>#VALUE!</v>
      </c>
      <c r="G2" s="62" t="s">
        <v>28</v>
      </c>
      <c r="H2" s="70">
        <v>10956</v>
      </c>
    </row>
    <row r="3" spans="1:8" s="61" customFormat="1" ht="15" customHeight="1">
      <c r="A3" s="27" t="s">
        <v>28</v>
      </c>
      <c r="B3" s="113">
        <v>10956</v>
      </c>
      <c r="C3" s="63" t="s">
        <v>140</v>
      </c>
      <c r="E3" s="74">
        <f t="shared" ref="E3:E34" si="0">B3/1000</f>
        <v>10.956</v>
      </c>
      <c r="G3" s="63" t="s">
        <v>31</v>
      </c>
      <c r="H3" s="71">
        <v>4000</v>
      </c>
    </row>
    <row r="4" spans="1:8" s="61" customFormat="1" ht="15" customHeight="1">
      <c r="A4" s="105" t="s">
        <v>29</v>
      </c>
      <c r="B4" s="106">
        <v>9860</v>
      </c>
      <c r="C4" s="63" t="s">
        <v>141</v>
      </c>
      <c r="E4" s="74">
        <f t="shared" si="0"/>
        <v>9.86</v>
      </c>
      <c r="G4" s="63" t="s">
        <v>34</v>
      </c>
      <c r="H4" s="71">
        <v>656</v>
      </c>
    </row>
    <row r="5" spans="1:8" s="61" customFormat="1" ht="15" customHeight="1">
      <c r="A5" s="105" t="s">
        <v>30</v>
      </c>
      <c r="B5" s="106">
        <v>1096</v>
      </c>
      <c r="C5" s="63" t="s">
        <v>142</v>
      </c>
      <c r="E5" s="74">
        <f t="shared" si="0"/>
        <v>1.0960000000000001</v>
      </c>
      <c r="G5" s="63" t="s">
        <v>33</v>
      </c>
      <c r="H5" s="71">
        <v>265</v>
      </c>
    </row>
    <row r="6" spans="1:8" s="61" customFormat="1" ht="15" customHeight="1">
      <c r="A6" s="27" t="s">
        <v>31</v>
      </c>
      <c r="B6" s="113">
        <v>4000</v>
      </c>
      <c r="C6" s="63" t="s">
        <v>142</v>
      </c>
      <c r="E6" s="74">
        <f t="shared" si="0"/>
        <v>4</v>
      </c>
      <c r="G6" s="63" t="s">
        <v>37</v>
      </c>
      <c r="H6" s="71">
        <v>335</v>
      </c>
    </row>
    <row r="7" spans="1:8" s="61" customFormat="1" ht="15" customHeight="1">
      <c r="A7" s="105" t="s">
        <v>34</v>
      </c>
      <c r="B7" s="107">
        <v>656</v>
      </c>
      <c r="C7" s="63" t="s">
        <v>142</v>
      </c>
      <c r="E7" s="74">
        <f t="shared" si="0"/>
        <v>0.65600000000000003</v>
      </c>
      <c r="G7" s="63" t="s">
        <v>36</v>
      </c>
      <c r="H7" s="71">
        <v>221</v>
      </c>
    </row>
    <row r="8" spans="1:8" s="61" customFormat="1" ht="15" customHeight="1">
      <c r="A8" s="105" t="s">
        <v>33</v>
      </c>
      <c r="B8" s="107">
        <v>265</v>
      </c>
      <c r="C8" s="63" t="s">
        <v>140</v>
      </c>
      <c r="E8" s="74">
        <f t="shared" si="0"/>
        <v>0.26500000000000001</v>
      </c>
      <c r="G8" s="63" t="s">
        <v>38</v>
      </c>
      <c r="H8" s="71">
        <v>185</v>
      </c>
    </row>
    <row r="9" spans="1:8" s="61" customFormat="1" ht="15" customHeight="1">
      <c r="A9" s="105" t="s">
        <v>37</v>
      </c>
      <c r="B9" s="107">
        <v>335</v>
      </c>
      <c r="C9" s="63" t="s">
        <v>143</v>
      </c>
      <c r="E9" s="74">
        <f t="shared" si="0"/>
        <v>0.33500000000000002</v>
      </c>
      <c r="G9" s="63" t="s">
        <v>39</v>
      </c>
      <c r="H9" s="71">
        <v>919</v>
      </c>
    </row>
    <row r="10" spans="1:8" s="61" customFormat="1" ht="15" customHeight="1">
      <c r="A10" s="105" t="s">
        <v>36</v>
      </c>
      <c r="B10" s="107">
        <v>221</v>
      </c>
      <c r="C10" s="63" t="s">
        <v>144</v>
      </c>
      <c r="E10" s="74">
        <f t="shared" si="0"/>
        <v>0.221</v>
      </c>
      <c r="G10" s="62" t="s">
        <v>43</v>
      </c>
      <c r="H10" s="70">
        <v>1419</v>
      </c>
    </row>
    <row r="11" spans="1:8" s="61" customFormat="1" ht="15" customHeight="1">
      <c r="A11" s="105" t="s">
        <v>38</v>
      </c>
      <c r="B11" s="107">
        <v>185</v>
      </c>
      <c r="C11" s="63" t="s">
        <v>145</v>
      </c>
      <c r="E11" s="74">
        <f t="shared" si="0"/>
        <v>0.185</v>
      </c>
      <c r="G11" s="63" t="s">
        <v>44</v>
      </c>
      <c r="H11" s="71">
        <v>9900</v>
      </c>
    </row>
    <row r="12" spans="1:8" s="61" customFormat="1" ht="15" customHeight="1">
      <c r="A12" s="105" t="s">
        <v>39</v>
      </c>
      <c r="B12" s="107">
        <v>919</v>
      </c>
      <c r="C12" s="63" t="s">
        <v>145</v>
      </c>
      <c r="E12" s="74">
        <f t="shared" si="0"/>
        <v>0.91900000000000004</v>
      </c>
      <c r="G12" s="63" t="s">
        <v>45</v>
      </c>
      <c r="H12" s="71">
        <v>5700</v>
      </c>
    </row>
    <row r="13" spans="1:8" s="61" customFormat="1" ht="15" customHeight="1">
      <c r="A13" s="105" t="s">
        <v>43</v>
      </c>
      <c r="B13" s="106">
        <v>1419</v>
      </c>
      <c r="C13" s="63" t="s">
        <v>145</v>
      </c>
      <c r="E13" s="74">
        <f t="shared" si="0"/>
        <v>1.419</v>
      </c>
      <c r="G13" s="63" t="s">
        <v>46</v>
      </c>
      <c r="H13" s="71">
        <v>920</v>
      </c>
    </row>
    <row r="14" spans="1:8" s="61" customFormat="1" ht="15" customHeight="1">
      <c r="A14" s="27" t="s">
        <v>44</v>
      </c>
      <c r="B14" s="113">
        <v>9900</v>
      </c>
      <c r="C14" s="63" t="s">
        <v>146</v>
      </c>
      <c r="E14" s="74">
        <f t="shared" si="0"/>
        <v>9.9</v>
      </c>
      <c r="G14" s="63" t="s">
        <v>47</v>
      </c>
      <c r="H14" s="71">
        <v>813</v>
      </c>
    </row>
    <row r="15" spans="1:8" s="61" customFormat="1" ht="15" customHeight="1">
      <c r="A15" s="105" t="s">
        <v>45</v>
      </c>
      <c r="B15" s="106">
        <v>5700</v>
      </c>
      <c r="C15" s="63" t="s">
        <v>147</v>
      </c>
      <c r="E15" s="74">
        <f t="shared" si="0"/>
        <v>5.7</v>
      </c>
      <c r="G15" s="63" t="s">
        <v>48</v>
      </c>
      <c r="H15" s="71">
        <v>520</v>
      </c>
    </row>
    <row r="16" spans="1:8" s="61" customFormat="1" ht="15" customHeight="1">
      <c r="A16" s="105" t="s">
        <v>46</v>
      </c>
      <c r="B16" s="107">
        <v>920</v>
      </c>
      <c r="C16" s="63" t="s">
        <v>148</v>
      </c>
      <c r="E16" s="74">
        <f t="shared" si="0"/>
        <v>0.92</v>
      </c>
      <c r="G16" s="63" t="s">
        <v>49</v>
      </c>
      <c r="H16" s="71">
        <v>1430</v>
      </c>
    </row>
    <row r="17" spans="1:8" s="61" customFormat="1" ht="15" customHeight="1">
      <c r="A17" s="105" t="s">
        <v>47</v>
      </c>
      <c r="B17" s="107">
        <v>813</v>
      </c>
      <c r="C17" s="63" t="s">
        <v>149</v>
      </c>
      <c r="E17" s="74">
        <f t="shared" si="0"/>
        <v>0.81299999999999994</v>
      </c>
      <c r="G17" s="63" t="s">
        <v>50</v>
      </c>
      <c r="H17" s="71">
        <v>119</v>
      </c>
    </row>
    <row r="18" spans="1:8" s="61" customFormat="1" ht="15" customHeight="1">
      <c r="A18" s="105" t="s">
        <v>48</v>
      </c>
      <c r="B18" s="107">
        <v>520</v>
      </c>
      <c r="C18" s="63" t="s">
        <v>150</v>
      </c>
      <c r="E18" s="74">
        <f t="shared" si="0"/>
        <v>0.52</v>
      </c>
      <c r="G18" s="62" t="s">
        <v>52</v>
      </c>
      <c r="H18" s="70">
        <v>398</v>
      </c>
    </row>
    <row r="19" spans="1:8" s="61" customFormat="1" ht="15" customHeight="1">
      <c r="A19" s="105" t="s">
        <v>49</v>
      </c>
      <c r="B19" s="106">
        <v>1430</v>
      </c>
      <c r="C19" s="63" t="s">
        <v>151</v>
      </c>
      <c r="E19" s="74">
        <f t="shared" si="0"/>
        <v>1.43</v>
      </c>
      <c r="G19" s="63" t="s">
        <v>53</v>
      </c>
      <c r="H19" s="71">
        <v>979</v>
      </c>
    </row>
    <row r="20" spans="1:8" s="61" customFormat="1" ht="15" customHeight="1">
      <c r="A20" s="105" t="s">
        <v>50</v>
      </c>
      <c r="B20" s="107">
        <v>119</v>
      </c>
      <c r="C20" s="63" t="s">
        <v>151</v>
      </c>
      <c r="E20" s="74">
        <f t="shared" si="0"/>
        <v>0.11899999999999999</v>
      </c>
      <c r="G20" s="63" t="s">
        <v>56</v>
      </c>
      <c r="H20" s="71">
        <v>491</v>
      </c>
    </row>
    <row r="21" spans="1:8" s="61" customFormat="1" ht="15" customHeight="1">
      <c r="A21" s="105" t="s">
        <v>52</v>
      </c>
      <c r="B21" s="107">
        <v>398</v>
      </c>
      <c r="C21" s="63" t="s">
        <v>152</v>
      </c>
      <c r="E21" s="74">
        <f t="shared" si="0"/>
        <v>0.39800000000000002</v>
      </c>
      <c r="G21" s="63" t="s">
        <v>55</v>
      </c>
      <c r="H21" s="71">
        <v>138</v>
      </c>
    </row>
    <row r="22" spans="1:8" s="61" customFormat="1" ht="15" customHeight="1">
      <c r="A22" s="27" t="s">
        <v>53</v>
      </c>
      <c r="B22" s="108">
        <v>979</v>
      </c>
      <c r="C22" s="63" t="s">
        <v>153</v>
      </c>
      <c r="E22" s="74">
        <f t="shared" si="0"/>
        <v>0.97899999999999998</v>
      </c>
      <c r="G22" s="63" t="s">
        <v>54</v>
      </c>
      <c r="H22" s="71">
        <v>170</v>
      </c>
    </row>
    <row r="23" spans="1:8" s="61" customFormat="1" ht="15" customHeight="1">
      <c r="A23" s="105" t="s">
        <v>54</v>
      </c>
      <c r="B23" s="107">
        <v>170</v>
      </c>
      <c r="C23" s="63" t="s">
        <v>154</v>
      </c>
      <c r="E23" s="74">
        <f t="shared" si="0"/>
        <v>0.17</v>
      </c>
      <c r="G23" s="62" t="s">
        <v>57</v>
      </c>
      <c r="H23" s="70">
        <v>180</v>
      </c>
    </row>
    <row r="24" spans="1:8" s="61" customFormat="1" ht="15" customHeight="1">
      <c r="A24" s="105" t="s">
        <v>56</v>
      </c>
      <c r="B24" s="107">
        <v>491</v>
      </c>
      <c r="C24" s="63" t="s">
        <v>155</v>
      </c>
      <c r="E24" s="74">
        <f t="shared" si="0"/>
        <v>0.49099999999999999</v>
      </c>
      <c r="G24" s="63" t="s">
        <v>58</v>
      </c>
      <c r="H24" s="71">
        <v>1300</v>
      </c>
    </row>
    <row r="25" spans="1:8" s="61" customFormat="1" ht="15" customHeight="1">
      <c r="A25" s="105" t="s">
        <v>55</v>
      </c>
      <c r="B25" s="107">
        <v>138</v>
      </c>
      <c r="C25" s="63" t="s">
        <v>156</v>
      </c>
      <c r="E25" s="74">
        <f t="shared" si="0"/>
        <v>0.13800000000000001</v>
      </c>
      <c r="G25" s="63" t="s">
        <v>131</v>
      </c>
      <c r="H25" s="71">
        <v>40</v>
      </c>
    </row>
    <row r="26" spans="1:8" s="61" customFormat="1" ht="15" customHeight="1">
      <c r="A26" s="105" t="s">
        <v>57</v>
      </c>
      <c r="B26" s="107">
        <v>180</v>
      </c>
      <c r="C26" s="63" t="s">
        <v>158</v>
      </c>
      <c r="E26" s="74">
        <f t="shared" si="0"/>
        <v>0.18</v>
      </c>
      <c r="G26" s="63" t="s">
        <v>132</v>
      </c>
      <c r="H26" s="71">
        <v>384</v>
      </c>
    </row>
    <row r="27" spans="1:8" s="61" customFormat="1" ht="15" customHeight="1">
      <c r="A27" s="27" t="s">
        <v>58</v>
      </c>
      <c r="B27" s="113">
        <v>1300</v>
      </c>
      <c r="C27" s="63" t="s">
        <v>158</v>
      </c>
      <c r="E27" s="74">
        <f t="shared" si="0"/>
        <v>1.3</v>
      </c>
      <c r="G27" s="63" t="s">
        <v>157</v>
      </c>
      <c r="H27" s="71">
        <v>203</v>
      </c>
    </row>
    <row r="28" spans="1:8" s="61" customFormat="1" ht="15" customHeight="1">
      <c r="A28" s="105" t="s">
        <v>131</v>
      </c>
      <c r="B28" s="107">
        <v>40</v>
      </c>
      <c r="C28" s="63" t="s">
        <v>158</v>
      </c>
      <c r="E28" s="74">
        <f t="shared" si="0"/>
        <v>0.04</v>
      </c>
      <c r="G28" s="63" t="s">
        <v>159</v>
      </c>
      <c r="H28" s="71">
        <v>81</v>
      </c>
    </row>
    <row r="29" spans="1:8" s="61" customFormat="1" ht="15" customHeight="1">
      <c r="A29" s="105" t="s">
        <v>132</v>
      </c>
      <c r="B29" s="107">
        <v>384</v>
      </c>
      <c r="C29" s="63" t="s">
        <v>161</v>
      </c>
      <c r="E29" s="74">
        <f t="shared" si="0"/>
        <v>0.38400000000000001</v>
      </c>
      <c r="G29" s="63" t="s">
        <v>160</v>
      </c>
      <c r="H29" s="71">
        <v>51</v>
      </c>
    </row>
    <row r="30" spans="1:8" s="61" customFormat="1" ht="15" customHeight="1">
      <c r="A30" s="105" t="s">
        <v>60</v>
      </c>
      <c r="B30" s="107">
        <v>876</v>
      </c>
      <c r="C30" s="63" t="s">
        <v>162</v>
      </c>
      <c r="E30" s="74">
        <f t="shared" si="0"/>
        <v>0.876</v>
      </c>
      <c r="G30" s="62" t="s">
        <v>60</v>
      </c>
      <c r="H30" s="70">
        <v>876</v>
      </c>
    </row>
    <row r="31" spans="1:8" s="61" customFormat="1" ht="15" customHeight="1">
      <c r="A31" s="27" t="s">
        <v>61</v>
      </c>
      <c r="B31" s="113">
        <v>1900</v>
      </c>
      <c r="C31" s="63" t="s">
        <v>163</v>
      </c>
      <c r="E31" s="74">
        <f t="shared" si="0"/>
        <v>1.9</v>
      </c>
      <c r="G31" s="63" t="s">
        <v>61</v>
      </c>
      <c r="H31" s="71">
        <v>1900</v>
      </c>
    </row>
    <row r="32" spans="1:8" s="61" customFormat="1" ht="15" customHeight="1">
      <c r="A32" s="105" t="s">
        <v>62</v>
      </c>
      <c r="B32" s="107">
        <v>600</v>
      </c>
      <c r="C32" s="63" t="s">
        <v>164</v>
      </c>
      <c r="E32" s="74">
        <f t="shared" si="0"/>
        <v>0.6</v>
      </c>
      <c r="G32" s="63" t="s">
        <v>62</v>
      </c>
      <c r="H32" s="71">
        <v>600</v>
      </c>
    </row>
    <row r="33" spans="1:9" s="61" customFormat="1" ht="15" customHeight="1">
      <c r="A33" s="105" t="s">
        <v>64</v>
      </c>
      <c r="B33" s="107">
        <v>950</v>
      </c>
      <c r="C33" s="63" t="s">
        <v>165</v>
      </c>
      <c r="E33" s="74">
        <f t="shared" si="0"/>
        <v>0.95</v>
      </c>
      <c r="G33" s="63" t="s">
        <v>198</v>
      </c>
      <c r="H33" s="71">
        <v>950</v>
      </c>
    </row>
    <row r="34" spans="1:9" ht="15" customHeight="1">
      <c r="A34" s="105" t="s">
        <v>63</v>
      </c>
      <c r="B34" s="107">
        <v>350</v>
      </c>
      <c r="C34" s="32"/>
      <c r="E34" s="74">
        <f t="shared" si="0"/>
        <v>0.35</v>
      </c>
      <c r="G34" s="32" t="s">
        <v>63</v>
      </c>
      <c r="H34" s="73">
        <v>350</v>
      </c>
    </row>
    <row r="35" spans="1:9" ht="15" customHeight="1">
      <c r="A35" s="109" t="s">
        <v>199</v>
      </c>
      <c r="B35" s="110">
        <f>SUM(B3,B6,B14,B22,B27,B31)</f>
        <v>29035</v>
      </c>
      <c r="G35" s="98" t="s">
        <v>200</v>
      </c>
      <c r="H35" s="97">
        <f>SUM(H2,H10,H18,H23,H30,)</f>
        <v>13829</v>
      </c>
      <c r="I35" s="99"/>
    </row>
    <row r="36" spans="1:9" s="60" customFormat="1" ht="15" customHeight="1">
      <c r="A36" s="112" t="s">
        <v>201</v>
      </c>
      <c r="B36" s="112">
        <v>2000</v>
      </c>
      <c r="G36" s="96" t="s">
        <v>201</v>
      </c>
      <c r="H36" s="101">
        <v>3000</v>
      </c>
      <c r="I36" s="100"/>
    </row>
    <row r="37" spans="1:9" s="60" customFormat="1" ht="15" customHeight="1">
      <c r="A37" s="112" t="s">
        <v>202</v>
      </c>
      <c r="B37" s="112">
        <f>((B35/1000)*B36)/1000</f>
        <v>58.07</v>
      </c>
      <c r="G37" s="98" t="s">
        <v>202</v>
      </c>
      <c r="H37" s="102">
        <f>((H35/1000)*H36)/1000</f>
        <v>41.487000000000002</v>
      </c>
    </row>
    <row r="38" spans="1:9" s="60" customFormat="1" ht="23.5" customHeight="1">
      <c r="G38" s="100"/>
      <c r="H38" s="100"/>
    </row>
    <row r="39" spans="1:9" s="60" customFormat="1" ht="23.5" customHeight="1">
      <c r="G39" s="100"/>
    </row>
    <row r="40" spans="1:9" s="60" customFormat="1" ht="23.5" customHeight="1"/>
    <row r="44" spans="1:9" ht="25" customHeight="1">
      <c r="A44" s="68" t="s">
        <v>170</v>
      </c>
      <c r="B44" s="68" t="s">
        <v>171</v>
      </c>
    </row>
    <row r="45" spans="1:9" ht="25" customHeight="1">
      <c r="A45" s="66" t="s">
        <v>172</v>
      </c>
      <c r="B45" s="66" t="s">
        <v>179</v>
      </c>
    </row>
    <row r="46" spans="1:9" ht="25" customHeight="1">
      <c r="A46" s="63" t="s">
        <v>173</v>
      </c>
      <c r="B46" s="63" t="s">
        <v>174</v>
      </c>
    </row>
    <row r="47" spans="1:9" ht="25" customHeight="1">
      <c r="A47" s="63" t="s">
        <v>175</v>
      </c>
      <c r="B47" s="63" t="s">
        <v>176</v>
      </c>
    </row>
    <row r="48" spans="1:9" ht="25" customHeight="1">
      <c r="A48" s="63" t="s">
        <v>177</v>
      </c>
      <c r="B48" s="63" t="s">
        <v>178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B37"/>
    </sheetView>
  </sheetViews>
  <sheetFormatPr defaultRowHeight="11.5"/>
  <cols>
    <col min="1" max="1" width="24.6328125" style="13" customWidth="1"/>
    <col min="2" max="2" width="26.26953125" style="13" bestFit="1" customWidth="1"/>
    <col min="3" max="3" width="59.6328125" style="13" bestFit="1" customWidth="1"/>
    <col min="4" max="4" width="27.36328125" style="13" bestFit="1" customWidth="1"/>
    <col min="5" max="5" width="23.6328125" style="13" customWidth="1"/>
    <col min="6" max="16384" width="8.7265625" style="13"/>
  </cols>
  <sheetData>
    <row r="1" spans="1:5" customFormat="1" ht="14.5"/>
    <row r="2" spans="1:5">
      <c r="A2" s="64" t="s">
        <v>180</v>
      </c>
      <c r="B2" s="64" t="s">
        <v>181</v>
      </c>
      <c r="C2" s="64" t="s">
        <v>182</v>
      </c>
      <c r="D2" s="64" t="s">
        <v>183</v>
      </c>
    </row>
    <row r="3" spans="1:5" s="60" customFormat="1" ht="15" customHeight="1">
      <c r="A3" s="77" t="s">
        <v>184</v>
      </c>
      <c r="B3" s="78">
        <v>70600</v>
      </c>
      <c r="C3" s="79"/>
      <c r="D3" s="78">
        <f>B3*C3</f>
        <v>0</v>
      </c>
      <c r="E3" s="83"/>
    </row>
    <row r="4" spans="1:5" s="60" customFormat="1" ht="15" customHeight="1">
      <c r="A4" s="77" t="s">
        <v>185</v>
      </c>
      <c r="B4" s="78">
        <v>42964</v>
      </c>
      <c r="C4" s="79"/>
      <c r="D4" s="78">
        <f t="shared" ref="D4:D12" si="0">B4*C4</f>
        <v>0</v>
      </c>
      <c r="E4" s="83"/>
    </row>
    <row r="5" spans="1:5" s="60" customFormat="1" ht="15" customHeight="1">
      <c r="A5" s="77" t="s">
        <v>186</v>
      </c>
      <c r="B5" s="78">
        <v>15356</v>
      </c>
      <c r="C5" s="79"/>
      <c r="D5" s="78">
        <f t="shared" si="0"/>
        <v>0</v>
      </c>
      <c r="E5" s="83"/>
    </row>
    <row r="6" spans="1:5" s="60" customFormat="1" ht="15" customHeight="1">
      <c r="A6" s="77" t="s">
        <v>187</v>
      </c>
      <c r="B6" s="78">
        <v>6036</v>
      </c>
      <c r="C6" s="79"/>
      <c r="D6" s="78">
        <f t="shared" si="0"/>
        <v>0</v>
      </c>
      <c r="E6" s="83"/>
    </row>
    <row r="7" spans="1:5" s="60" customFormat="1" ht="15" customHeight="1">
      <c r="A7" s="77" t="s">
        <v>188</v>
      </c>
      <c r="B7" s="78">
        <v>8573</v>
      </c>
      <c r="C7" s="79"/>
      <c r="D7" s="78">
        <f t="shared" si="0"/>
        <v>0</v>
      </c>
      <c r="E7" s="83"/>
    </row>
    <row r="8" spans="1:5" s="60" customFormat="1" ht="15" customHeight="1">
      <c r="A8" s="77" t="s">
        <v>189</v>
      </c>
      <c r="B8" s="80">
        <v>892</v>
      </c>
      <c r="C8" s="79"/>
      <c r="D8" s="78">
        <f t="shared" si="0"/>
        <v>0</v>
      </c>
      <c r="E8" s="83"/>
    </row>
    <row r="9" spans="1:5" s="60" customFormat="1" ht="15" customHeight="1">
      <c r="A9" s="77" t="s">
        <v>190</v>
      </c>
      <c r="B9" s="80">
        <v>203</v>
      </c>
      <c r="C9" s="79"/>
      <c r="D9" s="78">
        <f t="shared" si="0"/>
        <v>0</v>
      </c>
      <c r="E9" s="83"/>
    </row>
    <row r="10" spans="1:5" s="60" customFormat="1" ht="15" customHeight="1">
      <c r="A10" s="77" t="s">
        <v>191</v>
      </c>
      <c r="B10" s="80">
        <v>660</v>
      </c>
      <c r="C10" s="79"/>
      <c r="D10" s="78">
        <f t="shared" si="0"/>
        <v>0</v>
      </c>
      <c r="E10" s="83"/>
    </row>
    <row r="11" spans="1:5" s="60" customFormat="1" ht="15" customHeight="1">
      <c r="A11" s="77" t="s">
        <v>192</v>
      </c>
      <c r="B11" s="80">
        <v>830</v>
      </c>
      <c r="C11" s="79"/>
      <c r="D11" s="78">
        <f t="shared" si="0"/>
        <v>0</v>
      </c>
      <c r="E11" s="83"/>
    </row>
    <row r="12" spans="1:5" s="60" customFormat="1" ht="15" customHeight="1">
      <c r="A12" s="77" t="s">
        <v>193</v>
      </c>
      <c r="B12" s="80">
        <v>504</v>
      </c>
      <c r="C12" s="79"/>
      <c r="D12" s="78">
        <f t="shared" si="0"/>
        <v>0</v>
      </c>
      <c r="E12" s="83"/>
    </row>
    <row r="13" spans="1:5">
      <c r="D13" s="81">
        <f>SUM(D3:D12)</f>
        <v>0</v>
      </c>
    </row>
    <row r="15" spans="1:5">
      <c r="C15" s="32" t="s">
        <v>194</v>
      </c>
      <c r="D15" s="31">
        <v>9</v>
      </c>
    </row>
    <row r="16" spans="1:5">
      <c r="C16" s="32" t="s">
        <v>196</v>
      </c>
      <c r="D16" s="31">
        <f>(D13/D15)*100</f>
        <v>0</v>
      </c>
    </row>
    <row r="17" spans="3:4">
      <c r="C17" s="27" t="s">
        <v>195</v>
      </c>
      <c r="D17" s="82">
        <f>D16/1000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sqref="A1:B37"/>
    </sheetView>
  </sheetViews>
  <sheetFormatPr defaultRowHeight="14.5"/>
  <cols>
    <col min="1" max="1" width="27.453125" style="13" customWidth="1"/>
    <col min="2" max="2" width="51.26953125" style="13" customWidth="1"/>
    <col min="4" max="4" width="24" customWidth="1"/>
    <col min="5" max="5" width="44.1796875" customWidth="1"/>
    <col min="9" max="9" width="10.7265625" style="13" bestFit="1" customWidth="1"/>
    <col min="10" max="10" width="15.453125" style="13" customWidth="1"/>
    <col min="11" max="11" width="16.6328125" bestFit="1" customWidth="1"/>
  </cols>
  <sheetData>
    <row r="1" spans="1:11" ht="17.5" customHeight="1">
      <c r="A1" s="142" t="s">
        <v>206</v>
      </c>
      <c r="B1" s="144"/>
      <c r="C1" s="114"/>
      <c r="D1" s="142" t="s">
        <v>205</v>
      </c>
      <c r="E1" s="144"/>
    </row>
    <row r="2" spans="1:11" ht="23">
      <c r="A2" s="109" t="s">
        <v>137</v>
      </c>
      <c r="B2" s="109" t="s">
        <v>204</v>
      </c>
      <c r="D2" s="64" t="s">
        <v>137</v>
      </c>
      <c r="E2" s="69" t="s">
        <v>197</v>
      </c>
    </row>
    <row r="3" spans="1:11">
      <c r="A3" s="27" t="s">
        <v>28</v>
      </c>
      <c r="B3" s="113">
        <v>10956</v>
      </c>
      <c r="D3" s="62" t="s">
        <v>28</v>
      </c>
      <c r="E3" s="70">
        <v>10956</v>
      </c>
    </row>
    <row r="4" spans="1:11">
      <c r="A4" s="105" t="s">
        <v>29</v>
      </c>
      <c r="B4" s="106">
        <v>9860</v>
      </c>
      <c r="D4" s="62" t="s">
        <v>31</v>
      </c>
      <c r="E4" s="70">
        <v>4000</v>
      </c>
      <c r="K4" s="103" t="s">
        <v>28</v>
      </c>
    </row>
    <row r="5" spans="1:11">
      <c r="A5" s="105" t="s">
        <v>30</v>
      </c>
      <c r="B5" s="106">
        <v>1096</v>
      </c>
      <c r="D5" s="63" t="s">
        <v>34</v>
      </c>
      <c r="E5" s="71">
        <v>656</v>
      </c>
      <c r="K5" s="104" t="s">
        <v>203</v>
      </c>
    </row>
    <row r="6" spans="1:11">
      <c r="A6" s="27" t="s">
        <v>31</v>
      </c>
      <c r="B6" s="113">
        <v>4000</v>
      </c>
      <c r="D6" s="63" t="s">
        <v>33</v>
      </c>
      <c r="E6" s="71">
        <v>265</v>
      </c>
      <c r="K6" s="104" t="s">
        <v>30</v>
      </c>
    </row>
    <row r="7" spans="1:11">
      <c r="A7" s="105" t="s">
        <v>34</v>
      </c>
      <c r="B7" s="107">
        <v>656</v>
      </c>
      <c r="D7" s="63" t="s">
        <v>37</v>
      </c>
      <c r="E7" s="71">
        <v>335</v>
      </c>
      <c r="K7" s="103" t="s">
        <v>31</v>
      </c>
    </row>
    <row r="8" spans="1:11">
      <c r="A8" s="105" t="s">
        <v>33</v>
      </c>
      <c r="B8" s="107">
        <v>265</v>
      </c>
      <c r="D8" s="63" t="s">
        <v>36</v>
      </c>
      <c r="E8" s="71">
        <v>221</v>
      </c>
      <c r="K8" s="104" t="s">
        <v>34</v>
      </c>
    </row>
    <row r="9" spans="1:11">
      <c r="A9" s="105" t="s">
        <v>37</v>
      </c>
      <c r="B9" s="107">
        <v>335</v>
      </c>
      <c r="D9" s="63" t="s">
        <v>38</v>
      </c>
      <c r="E9" s="71">
        <v>185</v>
      </c>
      <c r="K9" s="104" t="s">
        <v>33</v>
      </c>
    </row>
    <row r="10" spans="1:11">
      <c r="A10" s="105" t="s">
        <v>36</v>
      </c>
      <c r="B10" s="107">
        <v>221</v>
      </c>
      <c r="D10" s="63" t="s">
        <v>39</v>
      </c>
      <c r="E10" s="71">
        <v>919</v>
      </c>
      <c r="K10" s="104" t="s">
        <v>37</v>
      </c>
    </row>
    <row r="11" spans="1:11">
      <c r="A11" s="105" t="s">
        <v>38</v>
      </c>
      <c r="B11" s="107">
        <v>185</v>
      </c>
      <c r="D11" s="62" t="s">
        <v>43</v>
      </c>
      <c r="E11" s="70">
        <v>1419</v>
      </c>
      <c r="K11" s="104" t="s">
        <v>36</v>
      </c>
    </row>
    <row r="12" spans="1:11">
      <c r="A12" s="105" t="s">
        <v>39</v>
      </c>
      <c r="B12" s="107">
        <v>919</v>
      </c>
      <c r="D12" s="63" t="s">
        <v>44</v>
      </c>
      <c r="E12" s="71">
        <v>9900</v>
      </c>
      <c r="K12" s="104" t="s">
        <v>38</v>
      </c>
    </row>
    <row r="13" spans="1:11">
      <c r="A13" s="105" t="s">
        <v>43</v>
      </c>
      <c r="B13" s="106">
        <v>1419</v>
      </c>
      <c r="D13" s="63" t="s">
        <v>45</v>
      </c>
      <c r="E13" s="71">
        <v>5700</v>
      </c>
      <c r="K13" s="104" t="s">
        <v>39</v>
      </c>
    </row>
    <row r="14" spans="1:11">
      <c r="A14" s="27" t="s">
        <v>44</v>
      </c>
      <c r="B14" s="113">
        <v>9900</v>
      </c>
      <c r="D14" s="63" t="s">
        <v>46</v>
      </c>
      <c r="E14" s="71">
        <v>920</v>
      </c>
      <c r="K14" s="104" t="s">
        <v>43</v>
      </c>
    </row>
    <row r="15" spans="1:11">
      <c r="A15" s="105" t="s">
        <v>45</v>
      </c>
      <c r="B15" s="106">
        <v>5700</v>
      </c>
      <c r="D15" s="63" t="s">
        <v>47</v>
      </c>
      <c r="E15" s="71">
        <v>813</v>
      </c>
      <c r="K15" s="103" t="s">
        <v>44</v>
      </c>
    </row>
    <row r="16" spans="1:11">
      <c r="A16" s="105" t="s">
        <v>46</v>
      </c>
      <c r="B16" s="107">
        <v>920</v>
      </c>
      <c r="D16" s="63" t="s">
        <v>48</v>
      </c>
      <c r="E16" s="71">
        <v>520</v>
      </c>
      <c r="K16" s="104" t="s">
        <v>45</v>
      </c>
    </row>
    <row r="17" spans="1:11">
      <c r="A17" s="105" t="s">
        <v>47</v>
      </c>
      <c r="B17" s="107">
        <v>813</v>
      </c>
      <c r="D17" s="63" t="s">
        <v>49</v>
      </c>
      <c r="E17" s="71">
        <v>1430</v>
      </c>
      <c r="K17" s="104" t="s">
        <v>46</v>
      </c>
    </row>
    <row r="18" spans="1:11">
      <c r="A18" s="105" t="s">
        <v>48</v>
      </c>
      <c r="B18" s="107">
        <v>520</v>
      </c>
      <c r="D18" s="63" t="s">
        <v>50</v>
      </c>
      <c r="E18" s="71">
        <v>119</v>
      </c>
      <c r="K18" s="104" t="s">
        <v>47</v>
      </c>
    </row>
    <row r="19" spans="1:11">
      <c r="A19" s="105" t="s">
        <v>49</v>
      </c>
      <c r="B19" s="106">
        <v>1430</v>
      </c>
      <c r="D19" s="62" t="s">
        <v>52</v>
      </c>
      <c r="E19" s="70">
        <v>398</v>
      </c>
      <c r="K19" s="104" t="s">
        <v>48</v>
      </c>
    </row>
    <row r="20" spans="1:11">
      <c r="A20" s="105" t="s">
        <v>50</v>
      </c>
      <c r="B20" s="107">
        <v>119</v>
      </c>
      <c r="D20" s="63" t="s">
        <v>53</v>
      </c>
      <c r="E20" s="71">
        <v>979</v>
      </c>
      <c r="K20" s="104" t="s">
        <v>49</v>
      </c>
    </row>
    <row r="21" spans="1:11">
      <c r="A21" s="105" t="s">
        <v>52</v>
      </c>
      <c r="B21" s="107">
        <v>398</v>
      </c>
      <c r="D21" s="63" t="s">
        <v>56</v>
      </c>
      <c r="E21" s="71">
        <v>491</v>
      </c>
      <c r="K21" s="104" t="s">
        <v>50</v>
      </c>
    </row>
    <row r="22" spans="1:11">
      <c r="A22" s="27" t="s">
        <v>53</v>
      </c>
      <c r="B22" s="108">
        <v>979</v>
      </c>
      <c r="D22" s="63" t="s">
        <v>55</v>
      </c>
      <c r="E22" s="71">
        <v>138</v>
      </c>
      <c r="K22" s="104" t="s">
        <v>52</v>
      </c>
    </row>
    <row r="23" spans="1:11">
      <c r="A23" s="105" t="s">
        <v>54</v>
      </c>
      <c r="B23" s="107">
        <v>170</v>
      </c>
      <c r="D23" s="63" t="s">
        <v>54</v>
      </c>
      <c r="E23" s="71">
        <v>170</v>
      </c>
      <c r="K23" s="103" t="s">
        <v>53</v>
      </c>
    </row>
    <row r="24" spans="1:11">
      <c r="A24" s="105" t="s">
        <v>56</v>
      </c>
      <c r="B24" s="107">
        <v>491</v>
      </c>
      <c r="D24" s="62" t="s">
        <v>57</v>
      </c>
      <c r="E24" s="70">
        <v>180</v>
      </c>
      <c r="K24" s="104" t="s">
        <v>54</v>
      </c>
    </row>
    <row r="25" spans="1:11">
      <c r="A25" s="105" t="s">
        <v>55</v>
      </c>
      <c r="B25" s="107">
        <v>138</v>
      </c>
      <c r="D25" s="63" t="s">
        <v>58</v>
      </c>
      <c r="E25" s="71">
        <v>1300</v>
      </c>
      <c r="K25" s="104" t="s">
        <v>56</v>
      </c>
    </row>
    <row r="26" spans="1:11">
      <c r="A26" s="105" t="s">
        <v>57</v>
      </c>
      <c r="B26" s="107">
        <v>180</v>
      </c>
      <c r="D26" s="63" t="s">
        <v>131</v>
      </c>
      <c r="E26" s="71">
        <v>40</v>
      </c>
      <c r="K26" s="104" t="s">
        <v>55</v>
      </c>
    </row>
    <row r="27" spans="1:11">
      <c r="A27" s="27" t="s">
        <v>58</v>
      </c>
      <c r="B27" s="113">
        <v>1300</v>
      </c>
      <c r="D27" s="63" t="s">
        <v>132</v>
      </c>
      <c r="E27" s="71">
        <v>384</v>
      </c>
      <c r="K27" s="104" t="s">
        <v>57</v>
      </c>
    </row>
    <row r="28" spans="1:11">
      <c r="A28" s="105" t="s">
        <v>131</v>
      </c>
      <c r="B28" s="107">
        <v>40</v>
      </c>
      <c r="D28" s="63" t="s">
        <v>157</v>
      </c>
      <c r="E28" s="71">
        <v>203</v>
      </c>
      <c r="K28" s="103" t="s">
        <v>58</v>
      </c>
    </row>
    <row r="29" spans="1:11">
      <c r="A29" s="105" t="s">
        <v>132</v>
      </c>
      <c r="B29" s="107">
        <v>384</v>
      </c>
      <c r="D29" s="63" t="s">
        <v>159</v>
      </c>
      <c r="E29" s="71">
        <v>81</v>
      </c>
      <c r="K29" s="104" t="s">
        <v>131</v>
      </c>
    </row>
    <row r="30" spans="1:11">
      <c r="A30" s="105" t="s">
        <v>60</v>
      </c>
      <c r="B30" s="107">
        <v>876</v>
      </c>
      <c r="D30" s="63" t="s">
        <v>160</v>
      </c>
      <c r="E30" s="71">
        <v>51</v>
      </c>
      <c r="K30" s="104" t="s">
        <v>132</v>
      </c>
    </row>
    <row r="31" spans="1:11">
      <c r="A31" s="27" t="s">
        <v>61</v>
      </c>
      <c r="B31" s="113">
        <v>1900</v>
      </c>
      <c r="D31" s="62" t="s">
        <v>60</v>
      </c>
      <c r="E31" s="70">
        <v>876</v>
      </c>
      <c r="K31" s="104" t="s">
        <v>60</v>
      </c>
    </row>
    <row r="32" spans="1:11">
      <c r="A32" s="105" t="s">
        <v>62</v>
      </c>
      <c r="B32" s="107">
        <v>600</v>
      </c>
      <c r="D32" s="63" t="s">
        <v>61</v>
      </c>
      <c r="E32" s="71">
        <v>1900</v>
      </c>
      <c r="K32" s="103" t="s">
        <v>61</v>
      </c>
    </row>
    <row r="33" spans="1:11">
      <c r="A33" s="105" t="s">
        <v>64</v>
      </c>
      <c r="B33" s="107">
        <v>950</v>
      </c>
      <c r="D33" s="63" t="s">
        <v>62</v>
      </c>
      <c r="E33" s="71">
        <v>600</v>
      </c>
      <c r="K33" s="104" t="s">
        <v>62</v>
      </c>
    </row>
    <row r="34" spans="1:11">
      <c r="A34" s="105" t="s">
        <v>63</v>
      </c>
      <c r="B34" s="107">
        <v>350</v>
      </c>
      <c r="D34" s="63" t="s">
        <v>198</v>
      </c>
      <c r="E34" s="71">
        <v>950</v>
      </c>
      <c r="K34" s="104" t="s">
        <v>64</v>
      </c>
    </row>
    <row r="35" spans="1:11">
      <c r="A35" s="109" t="s">
        <v>199</v>
      </c>
      <c r="B35" s="110">
        <f>SUM(B3,B6,B14,B22,B27,B31)</f>
        <v>29035</v>
      </c>
      <c r="D35" s="32" t="s">
        <v>63</v>
      </c>
      <c r="E35" s="73">
        <v>350</v>
      </c>
      <c r="K35" s="104" t="s">
        <v>63</v>
      </c>
    </row>
    <row r="36" spans="1:11">
      <c r="A36" s="112" t="s">
        <v>201</v>
      </c>
      <c r="B36" s="112">
        <v>2000</v>
      </c>
      <c r="D36" s="98" t="s">
        <v>200</v>
      </c>
      <c r="E36" s="97">
        <f>SUM(E3,E11,E19,E24,E31,)</f>
        <v>13829</v>
      </c>
    </row>
    <row r="37" spans="1:11">
      <c r="A37" s="112" t="s">
        <v>202</v>
      </c>
      <c r="B37" s="112">
        <f>((B35/1000)*B36)/1000</f>
        <v>58.07</v>
      </c>
      <c r="D37" s="96" t="s">
        <v>201</v>
      </c>
      <c r="E37" s="101">
        <v>3000</v>
      </c>
    </row>
    <row r="38" spans="1:11">
      <c r="D38" s="98" t="s">
        <v>202</v>
      </c>
      <c r="E38" s="102">
        <f>((E36/1000)*E37)/1000</f>
        <v>41.487000000000002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sqref="A1:B37"/>
    </sheetView>
  </sheetViews>
  <sheetFormatPr defaultRowHeight="14.5"/>
  <cols>
    <col min="1" max="1" width="54.6328125" style="59" customWidth="1"/>
  </cols>
  <sheetData>
    <row r="1" spans="1:1" ht="43.5">
      <c r="A1" s="59" t="s">
        <v>133</v>
      </c>
    </row>
    <row r="2" spans="1:1" ht="43.5">
      <c r="A2" s="59" t="s">
        <v>134</v>
      </c>
    </row>
    <row r="3" spans="1:1" ht="29">
      <c r="A3" s="59" t="s">
        <v>135</v>
      </c>
    </row>
    <row r="5" spans="1:1">
      <c r="A5" s="59" t="s">
        <v>136</v>
      </c>
    </row>
    <row r="7" spans="1:1">
      <c r="A7" s="75" t="s">
        <v>166</v>
      </c>
    </row>
    <row r="10" spans="1:1" ht="29">
      <c r="A10" s="59" t="s">
        <v>167</v>
      </c>
    </row>
    <row r="12" spans="1:1" ht="29">
      <c r="A12" s="76" t="s">
        <v>169</v>
      </c>
    </row>
  </sheetData>
  <hyperlinks>
    <hyperlink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C1" sqref="C1:C1048576"/>
    </sheetView>
  </sheetViews>
  <sheetFormatPr defaultRowHeight="14.5"/>
  <cols>
    <col min="1" max="1" width="31.90625" style="67" customWidth="1"/>
    <col min="2" max="2" width="12.1796875" style="92" customWidth="1"/>
    <col min="3" max="3" width="16.81640625" style="92" customWidth="1"/>
  </cols>
  <sheetData>
    <row r="1" spans="1:3">
      <c r="A1" s="88" t="s">
        <v>8</v>
      </c>
      <c r="B1" s="93" t="s">
        <v>65</v>
      </c>
      <c r="C1" s="93" t="s">
        <v>70</v>
      </c>
    </row>
    <row r="2" spans="1:3">
      <c r="A2" s="85" t="s">
        <v>72</v>
      </c>
      <c r="B2" s="89">
        <v>1</v>
      </c>
      <c r="C2" s="89">
        <v>4.4999999999999998E-2</v>
      </c>
    </row>
    <row r="3" spans="1:3">
      <c r="A3" s="86" t="s">
        <v>71</v>
      </c>
      <c r="B3" s="90">
        <v>0.47</v>
      </c>
      <c r="C3" s="90">
        <v>4.5999999999999999E-2</v>
      </c>
    </row>
    <row r="4" spans="1:3">
      <c r="A4" s="87" t="s">
        <v>102</v>
      </c>
      <c r="B4" s="91">
        <v>0.55000000000000004</v>
      </c>
      <c r="C4" s="91">
        <v>3.9E-2</v>
      </c>
    </row>
    <row r="5" spans="1:3">
      <c r="A5" s="87" t="s">
        <v>103</v>
      </c>
      <c r="B5" s="91">
        <v>0.25</v>
      </c>
      <c r="C5" s="91">
        <v>5.1999999999999998E-2</v>
      </c>
    </row>
    <row r="6" spans="1:3">
      <c r="A6" s="87" t="s">
        <v>104</v>
      </c>
      <c r="B6" s="91">
        <v>7.0000000000000007E-2</v>
      </c>
      <c r="C6" s="91">
        <v>4.2999999999999997E-2</v>
      </c>
    </row>
    <row r="7" spans="1:3">
      <c r="A7" s="87" t="s">
        <v>105</v>
      </c>
      <c r="B7" s="91">
        <v>0.05</v>
      </c>
      <c r="C7" s="91">
        <v>4.1000000000000002E-2</v>
      </c>
    </row>
    <row r="8" spans="1:3">
      <c r="A8" s="87" t="s">
        <v>106</v>
      </c>
      <c r="B8" s="91">
        <v>0.08</v>
      </c>
      <c r="C8" s="91">
        <v>5.7000000000000002E-2</v>
      </c>
    </row>
    <row r="9" spans="1:3">
      <c r="A9" s="86" t="s">
        <v>73</v>
      </c>
      <c r="B9" s="90">
        <v>0.23</v>
      </c>
      <c r="C9" s="90">
        <v>3.7999999999999999E-2</v>
      </c>
    </row>
    <row r="10" spans="1:3">
      <c r="A10" s="87" t="s">
        <v>107</v>
      </c>
      <c r="B10" s="91">
        <v>0.72</v>
      </c>
      <c r="C10" s="91">
        <v>3.5999999999999997E-2</v>
      </c>
    </row>
    <row r="11" spans="1:3">
      <c r="A11" s="87" t="s">
        <v>108</v>
      </c>
      <c r="B11" s="91">
        <v>0.28000000000000003</v>
      </c>
      <c r="C11" s="91">
        <v>4.3999999999999997E-2</v>
      </c>
    </row>
    <row r="12" spans="1:3">
      <c r="A12" s="86" t="s">
        <v>74</v>
      </c>
      <c r="B12" s="90">
        <v>0.09</v>
      </c>
      <c r="C12" s="90">
        <v>0.05</v>
      </c>
    </row>
    <row r="13" spans="1:3">
      <c r="A13" s="87" t="s">
        <v>109</v>
      </c>
      <c r="B13" s="91">
        <v>0.62</v>
      </c>
      <c r="C13" s="91">
        <v>4.5999999999999999E-2</v>
      </c>
    </row>
    <row r="14" spans="1:3">
      <c r="A14" s="87" t="s">
        <v>110</v>
      </c>
      <c r="B14" s="91">
        <v>0.38</v>
      </c>
      <c r="C14" s="91">
        <v>5.7000000000000002E-2</v>
      </c>
    </row>
    <row r="15" spans="1:3">
      <c r="A15" s="86" t="s">
        <v>75</v>
      </c>
      <c r="B15" s="90">
        <v>0.04</v>
      </c>
      <c r="C15" s="90">
        <v>3.7999999999999999E-2</v>
      </c>
    </row>
    <row r="16" spans="1:3">
      <c r="A16" s="87" t="s">
        <v>111</v>
      </c>
      <c r="B16" s="91">
        <v>0.48</v>
      </c>
      <c r="C16" s="91">
        <v>3.5999999999999997E-2</v>
      </c>
    </row>
    <row r="17" spans="1:3">
      <c r="A17" s="87" t="s">
        <v>112</v>
      </c>
      <c r="B17" s="91">
        <v>0.22</v>
      </c>
      <c r="C17" s="91">
        <v>3.4000000000000002E-2</v>
      </c>
    </row>
    <row r="18" spans="1:3">
      <c r="A18" s="87" t="s">
        <v>113</v>
      </c>
      <c r="B18" s="91">
        <v>0.3</v>
      </c>
      <c r="C18" s="91">
        <v>4.2999999999999997E-2</v>
      </c>
    </row>
    <row r="19" spans="1:3">
      <c r="A19" s="86" t="s">
        <v>76</v>
      </c>
      <c r="B19" s="90">
        <v>0.05</v>
      </c>
      <c r="C19" s="90">
        <v>6.0999999999999999E-2</v>
      </c>
    </row>
    <row r="20" spans="1:3">
      <c r="A20" s="87" t="s">
        <v>114</v>
      </c>
      <c r="B20" s="91">
        <v>0.3</v>
      </c>
      <c r="C20" s="91">
        <v>5.8000000000000003E-2</v>
      </c>
    </row>
    <row r="21" spans="1:3">
      <c r="A21" s="87" t="s">
        <v>115</v>
      </c>
      <c r="B21" s="91">
        <v>0.35</v>
      </c>
      <c r="C21" s="91">
        <v>5.0999999999999997E-2</v>
      </c>
    </row>
    <row r="22" spans="1:3">
      <c r="A22" s="87" t="s">
        <v>116</v>
      </c>
      <c r="B22" s="91">
        <v>0.35</v>
      </c>
      <c r="C22" s="91">
        <v>7.0000000000000007E-2</v>
      </c>
    </row>
    <row r="23" spans="1:3">
      <c r="A23" s="86" t="s">
        <v>77</v>
      </c>
      <c r="B23" s="90">
        <v>1.4999999999999999E-2</v>
      </c>
      <c r="C23" s="90">
        <v>4.2999999999999997E-2</v>
      </c>
    </row>
    <row r="24" spans="1:3">
      <c r="A24" s="86" t="s">
        <v>78</v>
      </c>
      <c r="B24" s="90">
        <v>0.06</v>
      </c>
      <c r="C24" s="90">
        <v>0.05</v>
      </c>
    </row>
    <row r="25" spans="1:3">
      <c r="A25" s="86" t="s">
        <v>79</v>
      </c>
      <c r="B25" s="90">
        <f>1-SUM(B3,B9,B12,B15,B19,B23,B24)</f>
        <v>4.4999999999999929E-2</v>
      </c>
      <c r="C25" s="90">
        <v>0.08</v>
      </c>
    </row>
    <row r="27" spans="1:3">
      <c r="A27" s="85" t="s">
        <v>80</v>
      </c>
      <c r="B27" s="89">
        <v>1</v>
      </c>
      <c r="C27" s="89">
        <v>4.4999999999999998E-2</v>
      </c>
    </row>
    <row r="28" spans="1:3">
      <c r="A28" s="86" t="s">
        <v>88</v>
      </c>
      <c r="B28" s="90">
        <v>0.14000000000000001</v>
      </c>
      <c r="C28" s="90">
        <v>3.6999999999999998E-2</v>
      </c>
    </row>
    <row r="29" spans="1:3">
      <c r="A29" s="86" t="s">
        <v>89</v>
      </c>
      <c r="B29" s="90">
        <v>0.28000000000000003</v>
      </c>
      <c r="C29" s="90">
        <v>0.04</v>
      </c>
    </row>
    <row r="30" spans="1:3">
      <c r="A30" s="86" t="s">
        <v>90</v>
      </c>
      <c r="B30" s="90">
        <v>0.33</v>
      </c>
      <c r="C30" s="90">
        <v>4.4999999999999998E-2</v>
      </c>
    </row>
    <row r="31" spans="1:3">
      <c r="A31" s="86" t="s">
        <v>91</v>
      </c>
      <c r="B31" s="90">
        <v>0.18</v>
      </c>
      <c r="C31" s="90">
        <v>5.5E-2</v>
      </c>
    </row>
    <row r="32" spans="1:3">
      <c r="A32" s="86" t="s">
        <v>92</v>
      </c>
      <c r="B32" s="90">
        <f>1-SUM(B28:B31)</f>
        <v>7.0000000000000062E-2</v>
      </c>
      <c r="C32" s="90">
        <v>6.3E-2</v>
      </c>
    </row>
    <row r="34" spans="1:3">
      <c r="A34" s="85" t="s">
        <v>81</v>
      </c>
      <c r="B34" s="89">
        <v>1</v>
      </c>
      <c r="C34" s="89">
        <v>4.4999999999999998E-2</v>
      </c>
    </row>
    <row r="35" spans="1:3">
      <c r="A35" s="86" t="s">
        <v>93</v>
      </c>
      <c r="B35" s="90">
        <v>0.35</v>
      </c>
      <c r="C35" s="90">
        <v>4.7E-2</v>
      </c>
    </row>
    <row r="36" spans="1:3">
      <c r="A36" s="86" t="s">
        <v>94</v>
      </c>
      <c r="B36" s="90">
        <v>0.1</v>
      </c>
      <c r="C36" s="90">
        <v>0.04</v>
      </c>
    </row>
    <row r="37" spans="1:3">
      <c r="A37" s="86" t="s">
        <v>95</v>
      </c>
      <c r="B37" s="90">
        <v>0.24</v>
      </c>
      <c r="C37" s="90">
        <v>3.5999999999999997E-2</v>
      </c>
    </row>
    <row r="38" spans="1:3">
      <c r="A38" s="86" t="s">
        <v>96</v>
      </c>
      <c r="B38" s="90">
        <v>0.21</v>
      </c>
      <c r="C38" s="90">
        <v>5.3999999999999999E-2</v>
      </c>
    </row>
    <row r="39" spans="1:3">
      <c r="A39" s="86" t="s">
        <v>97</v>
      </c>
      <c r="B39" s="90">
        <f>1-SUM(B35:B38)</f>
        <v>0.10000000000000009</v>
      </c>
      <c r="C39" s="90">
        <v>6.3E-2</v>
      </c>
    </row>
    <row r="41" spans="1:3">
      <c r="A41" s="85" t="s">
        <v>82</v>
      </c>
      <c r="B41" s="89">
        <v>1</v>
      </c>
      <c r="C41" s="89">
        <v>4.4999999999999998E-2</v>
      </c>
    </row>
    <row r="42" spans="1:3">
      <c r="A42" s="86" t="s">
        <v>83</v>
      </c>
      <c r="B42" s="90">
        <v>0.12</v>
      </c>
      <c r="C42" s="90">
        <v>4.7E-2</v>
      </c>
    </row>
    <row r="43" spans="1:3">
      <c r="A43" s="87" t="s">
        <v>117</v>
      </c>
      <c r="B43" s="91">
        <v>0.54</v>
      </c>
      <c r="C43" s="91">
        <v>4.1000000000000002E-2</v>
      </c>
    </row>
    <row r="44" spans="1:3">
      <c r="A44" s="87" t="s">
        <v>118</v>
      </c>
      <c r="B44" s="91">
        <v>0.27</v>
      </c>
      <c r="C44" s="91">
        <v>5.1999999999999998E-2</v>
      </c>
    </row>
    <row r="45" spans="1:3">
      <c r="A45" s="87" t="s">
        <v>119</v>
      </c>
      <c r="B45" s="91">
        <v>0.19</v>
      </c>
      <c r="C45" s="91">
        <v>5.2999999999999999E-2</v>
      </c>
    </row>
    <row r="46" spans="1:3">
      <c r="A46" s="86" t="s">
        <v>84</v>
      </c>
      <c r="B46" s="90">
        <v>0.3</v>
      </c>
      <c r="C46" s="90">
        <v>0.05</v>
      </c>
    </row>
    <row r="47" spans="1:3">
      <c r="A47" s="87" t="s">
        <v>120</v>
      </c>
      <c r="B47" s="91">
        <v>0.68</v>
      </c>
      <c r="C47" s="91">
        <v>4.8000000000000001E-2</v>
      </c>
    </row>
    <row r="48" spans="1:3">
      <c r="A48" s="87" t="s">
        <v>121</v>
      </c>
      <c r="B48" s="91">
        <v>0.15</v>
      </c>
      <c r="C48" s="91">
        <v>5.0999999999999997E-2</v>
      </c>
    </row>
    <row r="49" spans="1:3">
      <c r="A49" s="87" t="s">
        <v>122</v>
      </c>
      <c r="B49" s="91">
        <v>0.17</v>
      </c>
      <c r="C49" s="91">
        <v>5.7000000000000002E-2</v>
      </c>
    </row>
    <row r="50" spans="1:3">
      <c r="A50" s="86" t="s">
        <v>98</v>
      </c>
      <c r="B50" s="90">
        <v>0.2</v>
      </c>
      <c r="C50" s="90">
        <v>0.04</v>
      </c>
    </row>
    <row r="51" spans="1:3">
      <c r="A51" s="87" t="s">
        <v>123</v>
      </c>
      <c r="B51" s="91">
        <v>0.48</v>
      </c>
      <c r="C51" s="91">
        <v>3.5999999999999997E-2</v>
      </c>
    </row>
    <row r="52" spans="1:3">
      <c r="A52" s="87" t="s">
        <v>124</v>
      </c>
      <c r="B52" s="91">
        <v>0.22</v>
      </c>
      <c r="C52" s="91">
        <v>5.2999999999999999E-2</v>
      </c>
    </row>
    <row r="53" spans="1:3">
      <c r="A53" s="87" t="s">
        <v>125</v>
      </c>
      <c r="B53" s="91">
        <v>0.3</v>
      </c>
      <c r="C53" s="91">
        <v>3.9E-2</v>
      </c>
    </row>
    <row r="54" spans="1:3">
      <c r="A54" s="86" t="s">
        <v>85</v>
      </c>
      <c r="B54" s="90">
        <v>0.22</v>
      </c>
      <c r="C54" s="90">
        <v>3.3000000000000002E-2</v>
      </c>
    </row>
    <row r="55" spans="1:3">
      <c r="A55" s="87" t="s">
        <v>126</v>
      </c>
      <c r="B55" s="91">
        <v>0.56999999999999995</v>
      </c>
      <c r="C55" s="91">
        <v>3.1E-2</v>
      </c>
    </row>
    <row r="56" spans="1:3">
      <c r="A56" s="87" t="s">
        <v>127</v>
      </c>
      <c r="B56" s="91">
        <v>0.43</v>
      </c>
      <c r="C56" s="91">
        <v>3.5000000000000003E-2</v>
      </c>
    </row>
    <row r="57" spans="1:3">
      <c r="A57" s="86" t="s">
        <v>99</v>
      </c>
      <c r="B57" s="90">
        <v>0.06</v>
      </c>
      <c r="C57" s="90">
        <v>6.2E-2</v>
      </c>
    </row>
    <row r="58" spans="1:3">
      <c r="A58" s="87" t="s">
        <v>128</v>
      </c>
      <c r="B58" s="91">
        <v>0.52</v>
      </c>
      <c r="C58" s="91">
        <v>4.9000000000000002E-2</v>
      </c>
    </row>
    <row r="59" spans="1:3">
      <c r="A59" s="87" t="s">
        <v>129</v>
      </c>
      <c r="B59" s="91">
        <v>0.28000000000000003</v>
      </c>
      <c r="C59" s="91">
        <v>7.1999999999999995E-2</v>
      </c>
    </row>
    <row r="60" spans="1:3">
      <c r="A60" s="87" t="s">
        <v>130</v>
      </c>
      <c r="B60" s="91">
        <v>0.2</v>
      </c>
      <c r="C60" s="91">
        <v>6.8000000000000005E-2</v>
      </c>
    </row>
    <row r="61" spans="1:3">
      <c r="A61" s="86" t="s">
        <v>86</v>
      </c>
      <c r="B61" s="90">
        <f>1-SUM(B42,B46,B50,B54,B57)</f>
        <v>0.10000000000000009</v>
      </c>
      <c r="C61" s="90">
        <v>4.8000000000000001E-2</v>
      </c>
    </row>
    <row r="63" spans="1:3">
      <c r="A63" s="85" t="s">
        <v>87</v>
      </c>
      <c r="B63" s="89">
        <v>1</v>
      </c>
      <c r="C63" s="89">
        <v>4.4999999999999998E-2</v>
      </c>
    </row>
    <row r="64" spans="1:3">
      <c r="A64" s="86" t="s">
        <v>100</v>
      </c>
      <c r="B64" s="90">
        <v>0.64</v>
      </c>
      <c r="C64" s="90">
        <v>0.05</v>
      </c>
    </row>
    <row r="65" spans="1:3">
      <c r="A65" s="86" t="s">
        <v>101</v>
      </c>
      <c r="B65" s="90">
        <f>1-SUM(B64)</f>
        <v>0.36</v>
      </c>
      <c r="C65" s="90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Input Sheet</vt:lpstr>
      <vt:lpstr>ASP</vt:lpstr>
      <vt:lpstr>Republic of Ireland</vt:lpstr>
      <vt:lpstr>Sheet2</vt:lpstr>
      <vt:lpstr>Data</vt:lpstr>
      <vt:lpstr>ASP </vt:lpstr>
      <vt:lpstr>Domestic Production</vt:lpstr>
      <vt:lpstr>Supplier Side</vt:lpstr>
      <vt:lpstr>Countries</vt:lpstr>
      <vt:lpstr>Sources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Mahajan</dc:creator>
  <cp:lastModifiedBy>Rajeev Ranjan</cp:lastModifiedBy>
  <dcterms:created xsi:type="dcterms:W3CDTF">2026-04-06T11:32:50Z</dcterms:created>
  <dcterms:modified xsi:type="dcterms:W3CDTF">2026-06-25T07:11:23Z</dcterms:modified>
</cp:coreProperties>
</file>