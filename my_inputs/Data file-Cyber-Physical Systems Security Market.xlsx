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jeev Ranjan\Desktop\de-agent\"/>
    </mc:Choice>
  </mc:AlternateContent>
  <bookViews>
    <workbookView xWindow="0" yWindow="0" windowWidth="19200" windowHeight="7310"/>
  </bookViews>
  <sheets>
    <sheet name="Data" sheetId="3" r:id="rId1"/>
    <sheet name="Market Value" sheetId="4" r:id="rId2"/>
  </sheets>
  <definedNames>
    <definedName name="_xlnm._FilterDatabase" localSheetId="0" hidden="1">Data!$B$100:$C$140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" i="3" l="1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AZ1" i="3"/>
  <c r="BA1" i="3"/>
  <c r="BB1" i="3"/>
  <c r="BC1" i="3"/>
  <c r="BD1" i="3"/>
  <c r="BE1" i="3"/>
  <c r="BF1" i="3"/>
  <c r="BG1" i="3"/>
  <c r="BH1" i="3"/>
  <c r="BI1" i="3"/>
  <c r="BJ1" i="3"/>
  <c r="BK1" i="3"/>
  <c r="BL1" i="3"/>
  <c r="AI1" i="3"/>
  <c r="E144" i="3"/>
  <c r="E146" i="3" s="1"/>
  <c r="E139" i="3"/>
  <c r="E141" i="3" s="1"/>
  <c r="E122" i="3"/>
  <c r="E136" i="3" s="1"/>
  <c r="E115" i="3"/>
  <c r="E116" i="3"/>
  <c r="E117" i="3"/>
  <c r="E119" i="3"/>
  <c r="E120" i="3"/>
  <c r="E113" i="3"/>
  <c r="E112" i="3"/>
  <c r="E114" i="3" s="1"/>
  <c r="E108" i="3"/>
  <c r="E110" i="3" s="1"/>
  <c r="E103" i="3"/>
  <c r="E104" i="3"/>
  <c r="E105" i="3"/>
  <c r="E106" i="3"/>
  <c r="E102" i="3"/>
  <c r="E125" i="3" l="1"/>
  <c r="E135" i="3"/>
  <c r="E109" i="3"/>
  <c r="E123" i="3"/>
  <c r="E124" i="3"/>
  <c r="E140" i="3"/>
  <c r="E145" i="3"/>
  <c r="E127" i="3"/>
  <c r="E137" i="3"/>
  <c r="E142" i="3"/>
  <c r="E147" i="3"/>
  <c r="E118" i="3"/>
  <c r="E126" i="3"/>
  <c r="AJ58" i="3"/>
  <c r="AJ18" i="3"/>
  <c r="AZ18" i="3"/>
  <c r="AL5" i="3"/>
  <c r="AT5" i="3"/>
  <c r="BB5" i="3"/>
  <c r="BJ5" i="3"/>
  <c r="AF50" i="3"/>
  <c r="BL49" i="3" s="1"/>
  <c r="AE50" i="3"/>
  <c r="BK49" i="3" s="1"/>
  <c r="AD50" i="3"/>
  <c r="BJ49" i="3" s="1"/>
  <c r="AC50" i="3"/>
  <c r="BI49" i="3" s="1"/>
  <c r="AB50" i="3"/>
  <c r="BH49" i="3" s="1"/>
  <c r="AA50" i="3"/>
  <c r="BG49" i="3" s="1"/>
  <c r="Z50" i="3"/>
  <c r="BF49" i="3" s="1"/>
  <c r="Y50" i="3"/>
  <c r="BE49" i="3" s="1"/>
  <c r="X50" i="3"/>
  <c r="BD49" i="3" s="1"/>
  <c r="W50" i="3"/>
  <c r="BC49" i="3" s="1"/>
  <c r="V50" i="3"/>
  <c r="BB49" i="3" s="1"/>
  <c r="U50" i="3"/>
  <c r="BA49" i="3" s="1"/>
  <c r="T50" i="3"/>
  <c r="AZ49" i="3" s="1"/>
  <c r="S50" i="3"/>
  <c r="AY49" i="3" s="1"/>
  <c r="R50" i="3"/>
  <c r="AX49" i="3" s="1"/>
  <c r="Q50" i="3"/>
  <c r="AW49" i="3" s="1"/>
  <c r="P50" i="3"/>
  <c r="AV49" i="3" s="1"/>
  <c r="O50" i="3"/>
  <c r="AU49" i="3" s="1"/>
  <c r="N50" i="3"/>
  <c r="AT49" i="3" s="1"/>
  <c r="M50" i="3"/>
  <c r="AS49" i="3" s="1"/>
  <c r="L50" i="3"/>
  <c r="AR49" i="3" s="1"/>
  <c r="K50" i="3"/>
  <c r="AQ49" i="3" s="1"/>
  <c r="J50" i="3"/>
  <c r="AP49" i="3" s="1"/>
  <c r="I50" i="3"/>
  <c r="AO49" i="3" s="1"/>
  <c r="H50" i="3"/>
  <c r="AN49" i="3" s="1"/>
  <c r="G50" i="3"/>
  <c r="AM49" i="3" s="1"/>
  <c r="F50" i="3"/>
  <c r="AL49" i="3" s="1"/>
  <c r="E50" i="3"/>
  <c r="AK49" i="3" s="1"/>
  <c r="D50" i="3"/>
  <c r="AJ49" i="3" s="1"/>
  <c r="C50" i="3"/>
  <c r="AI49" i="3" s="1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AF19" i="3"/>
  <c r="BL18" i="3" s="1"/>
  <c r="AE19" i="3"/>
  <c r="BK18" i="3" s="1"/>
  <c r="AD19" i="3"/>
  <c r="BJ18" i="3" s="1"/>
  <c r="AC19" i="3"/>
  <c r="BI18" i="3" s="1"/>
  <c r="AB19" i="3"/>
  <c r="BH18" i="3" s="1"/>
  <c r="AA19" i="3"/>
  <c r="BG18" i="3" s="1"/>
  <c r="Z19" i="3"/>
  <c r="BF18" i="3" s="1"/>
  <c r="Y19" i="3"/>
  <c r="BE18" i="3" s="1"/>
  <c r="X19" i="3"/>
  <c r="BD18" i="3" s="1"/>
  <c r="W19" i="3"/>
  <c r="BC18" i="3" s="1"/>
  <c r="V19" i="3"/>
  <c r="BB18" i="3" s="1"/>
  <c r="U19" i="3"/>
  <c r="BA18" i="3" s="1"/>
  <c r="T19" i="3"/>
  <c r="S19" i="3"/>
  <c r="AY18" i="3" s="1"/>
  <c r="R19" i="3"/>
  <c r="AX18" i="3" s="1"/>
  <c r="Q19" i="3"/>
  <c r="AW18" i="3" s="1"/>
  <c r="P19" i="3"/>
  <c r="AV18" i="3" s="1"/>
  <c r="O19" i="3"/>
  <c r="AU18" i="3" s="1"/>
  <c r="N19" i="3"/>
  <c r="AT18" i="3" s="1"/>
  <c r="M19" i="3"/>
  <c r="AS18" i="3" s="1"/>
  <c r="L19" i="3"/>
  <c r="AR18" i="3" s="1"/>
  <c r="K19" i="3"/>
  <c r="AQ18" i="3" s="1"/>
  <c r="J19" i="3"/>
  <c r="AP18" i="3" s="1"/>
  <c r="I19" i="3"/>
  <c r="AO18" i="3" s="1"/>
  <c r="H19" i="3"/>
  <c r="AN18" i="3" s="1"/>
  <c r="G19" i="3"/>
  <c r="AM18" i="3" s="1"/>
  <c r="F19" i="3"/>
  <c r="AL18" i="3" s="1"/>
  <c r="E19" i="3"/>
  <c r="AK18" i="3" s="1"/>
  <c r="D19" i="3"/>
  <c r="C19" i="3"/>
  <c r="AI18" i="3" s="1"/>
  <c r="AF6" i="3"/>
  <c r="BL5" i="3" s="1"/>
  <c r="AE6" i="3"/>
  <c r="BK5" i="3" s="1"/>
  <c r="AD6" i="3"/>
  <c r="AC6" i="3"/>
  <c r="BI5" i="3" s="1"/>
  <c r="AB6" i="3"/>
  <c r="BH5" i="3" s="1"/>
  <c r="AA6" i="3"/>
  <c r="BG5" i="3" s="1"/>
  <c r="Z6" i="3"/>
  <c r="BF5" i="3" s="1"/>
  <c r="Y6" i="3"/>
  <c r="BE5" i="3" s="1"/>
  <c r="X6" i="3"/>
  <c r="BD5" i="3" s="1"/>
  <c r="W6" i="3"/>
  <c r="BC5" i="3" s="1"/>
  <c r="V6" i="3"/>
  <c r="U6" i="3"/>
  <c r="BA5" i="3" s="1"/>
  <c r="T6" i="3"/>
  <c r="AZ5" i="3" s="1"/>
  <c r="S6" i="3"/>
  <c r="AY5" i="3" s="1"/>
  <c r="R6" i="3"/>
  <c r="AX5" i="3" s="1"/>
  <c r="Q6" i="3"/>
  <c r="AW5" i="3" s="1"/>
  <c r="P6" i="3"/>
  <c r="AV5" i="3" s="1"/>
  <c r="O6" i="3"/>
  <c r="AU5" i="3" s="1"/>
  <c r="N6" i="3"/>
  <c r="M6" i="3"/>
  <c r="AS5" i="3" s="1"/>
  <c r="L6" i="3"/>
  <c r="AR5" i="3" s="1"/>
  <c r="K6" i="3"/>
  <c r="AQ5" i="3" s="1"/>
  <c r="J6" i="3"/>
  <c r="AP5" i="3" s="1"/>
  <c r="I6" i="3"/>
  <c r="AO5" i="3" s="1"/>
  <c r="H6" i="3"/>
  <c r="AN5" i="3" s="1"/>
  <c r="G6" i="3"/>
  <c r="AM5" i="3" s="1"/>
  <c r="F6" i="3"/>
  <c r="E6" i="3"/>
  <c r="AK5" i="3" s="1"/>
  <c r="D6" i="3"/>
  <c r="AJ5" i="3" s="1"/>
  <c r="C6" i="3"/>
  <c r="AI5" i="3" s="1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AF62" i="3"/>
  <c r="BL61" i="3" s="1"/>
  <c r="AE62" i="3"/>
  <c r="BK61" i="3" s="1"/>
  <c r="AD62" i="3"/>
  <c r="BJ61" i="3" s="1"/>
  <c r="AC62" i="3"/>
  <c r="BI61" i="3" s="1"/>
  <c r="AB62" i="3"/>
  <c r="BH61" i="3" s="1"/>
  <c r="AA62" i="3"/>
  <c r="BG61" i="3" s="1"/>
  <c r="Z62" i="3"/>
  <c r="BF61" i="3" s="1"/>
  <c r="Y62" i="3"/>
  <c r="BE61" i="3" s="1"/>
  <c r="X62" i="3"/>
  <c r="BD61" i="3" s="1"/>
  <c r="W62" i="3"/>
  <c r="BC61" i="3" s="1"/>
  <c r="V62" i="3"/>
  <c r="BB61" i="3" s="1"/>
  <c r="U62" i="3"/>
  <c r="BA61" i="3" s="1"/>
  <c r="T62" i="3"/>
  <c r="AZ61" i="3" s="1"/>
  <c r="S62" i="3"/>
  <c r="AY61" i="3" s="1"/>
  <c r="R62" i="3"/>
  <c r="AX61" i="3" s="1"/>
  <c r="Q62" i="3"/>
  <c r="AW61" i="3" s="1"/>
  <c r="P62" i="3"/>
  <c r="AV61" i="3" s="1"/>
  <c r="O62" i="3"/>
  <c r="AU61" i="3" s="1"/>
  <c r="N62" i="3"/>
  <c r="AT61" i="3" s="1"/>
  <c r="M62" i="3"/>
  <c r="AS61" i="3" s="1"/>
  <c r="L62" i="3"/>
  <c r="AR61" i="3" s="1"/>
  <c r="K62" i="3"/>
  <c r="AQ61" i="3" s="1"/>
  <c r="J62" i="3"/>
  <c r="AP61" i="3" s="1"/>
  <c r="I62" i="3"/>
  <c r="AO61" i="3" s="1"/>
  <c r="H62" i="3"/>
  <c r="AN61" i="3" s="1"/>
  <c r="G62" i="3"/>
  <c r="AM61" i="3" s="1"/>
  <c r="F62" i="3"/>
  <c r="AL61" i="3" s="1"/>
  <c r="E62" i="3"/>
  <c r="AK61" i="3" s="1"/>
  <c r="D62" i="3"/>
  <c r="AJ61" i="3" s="1"/>
  <c r="C62" i="3"/>
  <c r="AI61" i="3" s="1"/>
  <c r="AF59" i="3"/>
  <c r="BL58" i="3" s="1"/>
  <c r="AE59" i="3"/>
  <c r="BK58" i="3" s="1"/>
  <c r="AD59" i="3"/>
  <c r="BJ58" i="3" s="1"/>
  <c r="AC59" i="3"/>
  <c r="BI58" i="3" s="1"/>
  <c r="AB59" i="3"/>
  <c r="BH58" i="3" s="1"/>
  <c r="AA59" i="3"/>
  <c r="BG58" i="3" s="1"/>
  <c r="Z59" i="3"/>
  <c r="BF58" i="3" s="1"/>
  <c r="Y59" i="3"/>
  <c r="BE58" i="3" s="1"/>
  <c r="X59" i="3"/>
  <c r="BD58" i="3" s="1"/>
  <c r="W59" i="3"/>
  <c r="BC58" i="3" s="1"/>
  <c r="V59" i="3"/>
  <c r="BB58" i="3" s="1"/>
  <c r="U59" i="3"/>
  <c r="BA58" i="3" s="1"/>
  <c r="T59" i="3"/>
  <c r="AZ58" i="3" s="1"/>
  <c r="S59" i="3"/>
  <c r="AY58" i="3" s="1"/>
  <c r="R59" i="3"/>
  <c r="AX58" i="3" s="1"/>
  <c r="Q59" i="3"/>
  <c r="AW58" i="3" s="1"/>
  <c r="P59" i="3"/>
  <c r="AV58" i="3" s="1"/>
  <c r="O59" i="3"/>
  <c r="AU58" i="3" s="1"/>
  <c r="N59" i="3"/>
  <c r="AT58" i="3" s="1"/>
  <c r="M59" i="3"/>
  <c r="AS58" i="3" s="1"/>
  <c r="L59" i="3"/>
  <c r="AR58" i="3" s="1"/>
  <c r="K59" i="3"/>
  <c r="AQ58" i="3" s="1"/>
  <c r="J59" i="3"/>
  <c r="AP58" i="3" s="1"/>
  <c r="I59" i="3"/>
  <c r="AO58" i="3" s="1"/>
  <c r="H59" i="3"/>
  <c r="AN58" i="3" s="1"/>
  <c r="G59" i="3"/>
  <c r="AM58" i="3" s="1"/>
  <c r="F59" i="3"/>
  <c r="AL58" i="3" s="1"/>
  <c r="E59" i="3"/>
  <c r="AK58" i="3" s="1"/>
  <c r="D59" i="3"/>
  <c r="C59" i="3"/>
  <c r="AI58" i="3" s="1"/>
  <c r="AF55" i="3"/>
  <c r="BL54" i="3" s="1"/>
  <c r="AE55" i="3"/>
  <c r="BK54" i="3" s="1"/>
  <c r="AD55" i="3"/>
  <c r="BJ54" i="3" s="1"/>
  <c r="AC55" i="3"/>
  <c r="BI54" i="3" s="1"/>
  <c r="AB55" i="3"/>
  <c r="BH54" i="3" s="1"/>
  <c r="AA55" i="3"/>
  <c r="BG54" i="3" s="1"/>
  <c r="Z55" i="3"/>
  <c r="BF54" i="3" s="1"/>
  <c r="Y55" i="3"/>
  <c r="BE54" i="3" s="1"/>
  <c r="X55" i="3"/>
  <c r="BD54" i="3" s="1"/>
  <c r="W55" i="3"/>
  <c r="BC54" i="3" s="1"/>
  <c r="V55" i="3"/>
  <c r="BB54" i="3" s="1"/>
  <c r="U55" i="3"/>
  <c r="BA54" i="3" s="1"/>
  <c r="T55" i="3"/>
  <c r="AZ54" i="3" s="1"/>
  <c r="S55" i="3"/>
  <c r="AY54" i="3" s="1"/>
  <c r="R55" i="3"/>
  <c r="AX54" i="3" s="1"/>
  <c r="Q55" i="3"/>
  <c r="AW54" i="3" s="1"/>
  <c r="P55" i="3"/>
  <c r="AV54" i="3" s="1"/>
  <c r="O55" i="3"/>
  <c r="AU54" i="3" s="1"/>
  <c r="N55" i="3"/>
  <c r="AT54" i="3" s="1"/>
  <c r="M55" i="3"/>
  <c r="AS54" i="3" s="1"/>
  <c r="L55" i="3"/>
  <c r="AR54" i="3" s="1"/>
  <c r="K55" i="3"/>
  <c r="AQ54" i="3" s="1"/>
  <c r="J55" i="3"/>
  <c r="AP54" i="3" s="1"/>
  <c r="I55" i="3"/>
  <c r="AO54" i="3" s="1"/>
  <c r="H55" i="3"/>
  <c r="AN54" i="3" s="1"/>
  <c r="G55" i="3"/>
  <c r="AM54" i="3" s="1"/>
  <c r="F55" i="3"/>
  <c r="AL54" i="3" s="1"/>
  <c r="E55" i="3"/>
  <c r="AK54" i="3" s="1"/>
  <c r="D55" i="3"/>
  <c r="AJ54" i="3" s="1"/>
  <c r="C55" i="3"/>
  <c r="AI54" i="3" s="1"/>
  <c r="AF39" i="3"/>
  <c r="BL38" i="3" s="1"/>
  <c r="AE39" i="3"/>
  <c r="BK38" i="3" s="1"/>
  <c r="AD39" i="3"/>
  <c r="BJ38" i="3" s="1"/>
  <c r="AC39" i="3"/>
  <c r="BI38" i="3" s="1"/>
  <c r="AB39" i="3"/>
  <c r="BH38" i="3" s="1"/>
  <c r="AA39" i="3"/>
  <c r="BG38" i="3" s="1"/>
  <c r="Z39" i="3"/>
  <c r="BF38" i="3" s="1"/>
  <c r="Y39" i="3"/>
  <c r="BE38" i="3" s="1"/>
  <c r="X39" i="3"/>
  <c r="BD38" i="3" s="1"/>
  <c r="W39" i="3"/>
  <c r="BC38" i="3" s="1"/>
  <c r="V39" i="3"/>
  <c r="BB38" i="3" s="1"/>
  <c r="U39" i="3"/>
  <c r="BA38" i="3" s="1"/>
  <c r="T39" i="3"/>
  <c r="AZ38" i="3" s="1"/>
  <c r="S39" i="3"/>
  <c r="AY38" i="3" s="1"/>
  <c r="R39" i="3"/>
  <c r="AX38" i="3" s="1"/>
  <c r="Q39" i="3"/>
  <c r="AW38" i="3" s="1"/>
  <c r="P39" i="3"/>
  <c r="AV38" i="3" s="1"/>
  <c r="O39" i="3"/>
  <c r="AU38" i="3" s="1"/>
  <c r="N39" i="3"/>
  <c r="AT38" i="3" s="1"/>
  <c r="M39" i="3"/>
  <c r="AS38" i="3" s="1"/>
  <c r="L39" i="3"/>
  <c r="AR38" i="3" s="1"/>
  <c r="K39" i="3"/>
  <c r="AQ38" i="3" s="1"/>
  <c r="J39" i="3"/>
  <c r="AP38" i="3" s="1"/>
  <c r="I39" i="3"/>
  <c r="AO38" i="3" s="1"/>
  <c r="H39" i="3"/>
  <c r="AN38" i="3" s="1"/>
  <c r="G39" i="3"/>
  <c r="AM38" i="3" s="1"/>
  <c r="F39" i="3"/>
  <c r="AL38" i="3" s="1"/>
  <c r="E39" i="3"/>
  <c r="AK38" i="3" s="1"/>
  <c r="D39" i="3"/>
  <c r="AJ38" i="3" s="1"/>
  <c r="C39" i="3"/>
  <c r="AI38" i="3" s="1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D144" i="3"/>
  <c r="D139" i="3"/>
  <c r="D122" i="3"/>
  <c r="D112" i="3"/>
  <c r="D108" i="3"/>
  <c r="E129" i="3" l="1"/>
  <c r="E133" i="3"/>
  <c r="E130" i="3"/>
  <c r="E134" i="3"/>
  <c r="E131" i="3"/>
  <c r="E128" i="3"/>
  <c r="E132" i="3"/>
  <c r="BF46" i="3"/>
  <c r="BJ46" i="3"/>
  <c r="AJ46" i="3"/>
  <c r="AN46" i="3"/>
  <c r="AR46" i="3"/>
  <c r="AV46" i="3"/>
  <c r="AZ46" i="3"/>
  <c r="BD46" i="3"/>
  <c r="BH46" i="3"/>
  <c r="BL46" i="3"/>
  <c r="BB46" i="3"/>
  <c r="AX46" i="3"/>
  <c r="AT46" i="3"/>
  <c r="AP46" i="3"/>
  <c r="AL46" i="3"/>
  <c r="BI46" i="3"/>
  <c r="BE46" i="3"/>
  <c r="BA46" i="3"/>
  <c r="AW46" i="3"/>
  <c r="AS46" i="3"/>
  <c r="AO46" i="3"/>
  <c r="AK46" i="3"/>
  <c r="AI46" i="3"/>
  <c r="BK46" i="3"/>
  <c r="BG46" i="3"/>
  <c r="BC46" i="3"/>
  <c r="AY46" i="3"/>
  <c r="AU46" i="3"/>
  <c r="AQ46" i="3"/>
  <c r="AM46" i="3"/>
  <c r="C145" i="3"/>
  <c r="C144" i="3"/>
  <c r="C140" i="3"/>
  <c r="C139" i="3"/>
  <c r="C128" i="3"/>
  <c r="C123" i="3"/>
  <c r="C122" i="3"/>
  <c r="C112" i="3"/>
  <c r="C113" i="3"/>
  <c r="BL3" i="3"/>
  <c r="CR3" i="3" s="1"/>
  <c r="BK3" i="3"/>
  <c r="CQ3" i="3" s="1"/>
  <c r="BJ3" i="3"/>
  <c r="CP3" i="3" s="1"/>
  <c r="BI3" i="3"/>
  <c r="CO3" i="3" s="1"/>
  <c r="BH3" i="3"/>
  <c r="CN3" i="3" s="1"/>
  <c r="BG3" i="3"/>
  <c r="CM3" i="3" s="1"/>
  <c r="BF3" i="3"/>
  <c r="CL3" i="3" s="1"/>
  <c r="BE3" i="3"/>
  <c r="CK3" i="3" s="1"/>
  <c r="BD3" i="3"/>
  <c r="CJ3" i="3" s="1"/>
  <c r="BC3" i="3"/>
  <c r="CI3" i="3" s="1"/>
  <c r="BB3" i="3"/>
  <c r="CH3" i="3" s="1"/>
  <c r="BA3" i="3"/>
  <c r="CG3" i="3" s="1"/>
  <c r="AZ3" i="3"/>
  <c r="CF3" i="3" s="1"/>
  <c r="AY3" i="3"/>
  <c r="CE3" i="3" s="1"/>
  <c r="AX3" i="3"/>
  <c r="CD3" i="3" s="1"/>
  <c r="AW3" i="3"/>
  <c r="CC3" i="3" s="1"/>
  <c r="AV3" i="3"/>
  <c r="CB3" i="3" s="1"/>
  <c r="AU3" i="3"/>
  <c r="CA3" i="3" s="1"/>
  <c r="AT3" i="3"/>
  <c r="BZ3" i="3" s="1"/>
  <c r="AS3" i="3"/>
  <c r="BY3" i="3" s="1"/>
  <c r="AR3" i="3"/>
  <c r="BX3" i="3" s="1"/>
  <c r="AQ3" i="3"/>
  <c r="BW3" i="3" s="1"/>
  <c r="AP3" i="3"/>
  <c r="BV3" i="3" s="1"/>
  <c r="AO3" i="3"/>
  <c r="BU3" i="3" s="1"/>
  <c r="AN3" i="3"/>
  <c r="BT3" i="3" s="1"/>
  <c r="AM3" i="3"/>
  <c r="BS3" i="3" s="1"/>
  <c r="AL3" i="3"/>
  <c r="BR3" i="3" s="1"/>
  <c r="AK3" i="3"/>
  <c r="BQ3" i="3" s="1"/>
  <c r="AJ3" i="3"/>
  <c r="BP3" i="3" s="1"/>
  <c r="AI3" i="3"/>
  <c r="BO3" i="3" s="1"/>
  <c r="D4" i="4"/>
  <c r="G9" i="4"/>
  <c r="C109" i="3" l="1"/>
  <c r="C9" i="4"/>
  <c r="C7" i="4" s="1"/>
  <c r="C102" i="3" l="1"/>
  <c r="C108" i="3" s="1"/>
  <c r="C5" i="4"/>
  <c r="C6" i="4"/>
  <c r="C4" i="4"/>
  <c r="C8" i="4"/>
  <c r="D9" i="4" l="1"/>
</calcChain>
</file>

<file path=xl/sharedStrings.xml><?xml version="1.0" encoding="utf-8"?>
<sst xmlns="http://schemas.openxmlformats.org/spreadsheetml/2006/main" count="2030" uniqueCount="125">
  <si>
    <t>Region</t>
  </si>
  <si>
    <t>Market Name</t>
  </si>
  <si>
    <t>Segment Name in B Column Only</t>
  </si>
  <si>
    <t>Segment</t>
  </si>
  <si>
    <t>North America</t>
  </si>
  <si>
    <t>Market Share</t>
  </si>
  <si>
    <t>CAGR</t>
  </si>
  <si>
    <t>Always should start from 100th Row</t>
  </si>
  <si>
    <t>Europe</t>
  </si>
  <si>
    <t>Asia Pacific</t>
  </si>
  <si>
    <t>Global</t>
  </si>
  <si>
    <t>Graphs</t>
  </si>
  <si>
    <t>Share</t>
  </si>
  <si>
    <t>Value</t>
  </si>
  <si>
    <t>Volume</t>
  </si>
  <si>
    <t>Unit</t>
  </si>
  <si>
    <t>Regions</t>
  </si>
  <si>
    <t>Total</t>
  </si>
  <si>
    <t>Market Size</t>
  </si>
  <si>
    <t>U.S.</t>
  </si>
  <si>
    <t>Canada</t>
  </si>
  <si>
    <t>U.K.</t>
  </si>
  <si>
    <t>Germany</t>
  </si>
  <si>
    <t>Italy</t>
  </si>
  <si>
    <t>France</t>
  </si>
  <si>
    <t>Russia</t>
  </si>
  <si>
    <t>China</t>
  </si>
  <si>
    <t>India</t>
  </si>
  <si>
    <t>Japan</t>
  </si>
  <si>
    <t>Australia</t>
  </si>
  <si>
    <t>Mexico</t>
  </si>
  <si>
    <t>Rest of Europe</t>
  </si>
  <si>
    <t>Rest of Asia Pacific</t>
  </si>
  <si>
    <t>Spain</t>
  </si>
  <si>
    <t>South Korea</t>
  </si>
  <si>
    <t>ASEAN</t>
  </si>
  <si>
    <t>GCC</t>
  </si>
  <si>
    <t>South Africa</t>
  </si>
  <si>
    <t>Rest of Middle East &amp; Africa</t>
  </si>
  <si>
    <t>Brazil</t>
  </si>
  <si>
    <t>Rest of Latin America</t>
  </si>
  <si>
    <t>Latin America</t>
  </si>
  <si>
    <t>Middle East &amp; Africa</t>
  </si>
  <si>
    <t>USD Bn</t>
  </si>
  <si>
    <t>Revenue (USD Million)</t>
  </si>
  <si>
    <t>By Component</t>
  </si>
  <si>
    <t>Solution</t>
  </si>
  <si>
    <t>Asset Management and Visibility Tools</t>
  </si>
  <si>
    <t>Automated Security Testing and Assessment Tools</t>
  </si>
  <si>
    <t>Breach and Attack Simulation Tools</t>
  </si>
  <si>
    <t>Data Integrity Solutions</t>
  </si>
  <si>
    <t>Endpoint Protection Solutions</t>
  </si>
  <si>
    <t>Incident Response and Recovery Tools</t>
  </si>
  <si>
    <t>Intrusion Detection and Prevention Systems (IDPS)</t>
  </si>
  <si>
    <t>Predictive Compliance Risk Assessment Solutions</t>
  </si>
  <si>
    <t>Regulatory Compliance Management Platforms</t>
  </si>
  <si>
    <t>Secuirty Information and Event Management (SIEM)</t>
  </si>
  <si>
    <t>Secure Remote Access Solutions</t>
  </si>
  <si>
    <t>Vulnerability Management Solutions</t>
  </si>
  <si>
    <t>Services</t>
  </si>
  <si>
    <t>Compliance and Risk Management Services</t>
  </si>
  <si>
    <t>Consulting Services</t>
  </si>
  <si>
    <t>Managed Security Services (MSS)</t>
  </si>
  <si>
    <t>Others (Training and Awareness, Incident Response Services, etc.)</t>
  </si>
  <si>
    <t>By Deployment Model</t>
  </si>
  <si>
    <t>On-Premise (Appliances, Air-Gapped Infrastructure)</t>
  </si>
  <si>
    <t>Cloud-Based (Cloud-Native Platforms, Centralized Analytics)</t>
  </si>
  <si>
    <t>Edge-Based (Edge Gateways, Embedded Edge Security Modules)</t>
  </si>
  <si>
    <t>Hybrid (Edge Detection + Cloud Analytics, Distributed Architectures)</t>
  </si>
  <si>
    <t>By CPS Asset Type</t>
  </si>
  <si>
    <t>Industrial Control Systems (SCADA, PLC, DCS, RTU)</t>
  </si>
  <si>
    <t>Industrial IoT Devices (Sensors, Smart Meters, Gateways, Edge Devices)</t>
  </si>
  <si>
    <t>Autonomous Systems (Industrial Robots, Autonomous Vehicles, Drones)</t>
  </si>
  <si>
    <t>Smart Infrastructure Systems (Smart Grids, ITS, BAS, Environmental Monitoring)</t>
  </si>
  <si>
    <t>Critical Infrastructure Systems (Energy, Water, Transportation, Defense)</t>
  </si>
  <si>
    <t>By Industry Vertical</t>
  </si>
  <si>
    <t>Industrial &amp; Manufacturing</t>
  </si>
  <si>
    <t>Discrete, Process &amp; Smart Manufacturing</t>
  </si>
  <si>
    <t>Automotive (EV &amp; Autonomous Vehicle Ecosystems)</t>
  </si>
  <si>
    <t>Semiconductor &amp; Electronics Manufacturing</t>
  </si>
  <si>
    <t>Chemical</t>
  </si>
  <si>
    <t>Food &amp; Beverage</t>
  </si>
  <si>
    <t>Industrial Machinery</t>
  </si>
  <si>
    <t>Oil &amp; Gas</t>
  </si>
  <si>
    <t>Critical Infrastructure</t>
  </si>
  <si>
    <t>Energy &amp; Utilities</t>
  </si>
  <si>
    <t>Water &amp; Wastewater</t>
  </si>
  <si>
    <t>Transportation</t>
  </si>
  <si>
    <t>Air</t>
  </si>
  <si>
    <t>Rail</t>
  </si>
  <si>
    <t>Maritime</t>
  </si>
  <si>
    <t>Road</t>
  </si>
  <si>
    <t>Regulated Industries</t>
  </si>
  <si>
    <t>Healthcare (Hospitals, Providers, Medical Devices)</t>
  </si>
  <si>
    <t>Biopharma &amp; Pharmaceutical Manufacturing</t>
  </si>
  <si>
    <t>Financial Infrastructure (ATM &amp; Branch Networks)</t>
  </si>
  <si>
    <t>Built &amp; High-Security Environments</t>
  </si>
  <si>
    <t>Smart Buildings &amp; Building Automation</t>
  </si>
  <si>
    <t>Aerospace &amp; Defense</t>
  </si>
  <si>
    <t>Retail</t>
  </si>
  <si>
    <t>POS Terminals</t>
  </si>
  <si>
    <t>Vending Machines</t>
  </si>
  <si>
    <t>Smart Shelves / RFID</t>
  </si>
  <si>
    <t>Automated Warehouses</t>
  </si>
  <si>
    <t>By Organization Size</t>
  </si>
  <si>
    <t>Large enterprises</t>
  </si>
  <si>
    <t>Mid-size enterprises</t>
  </si>
  <si>
    <t xml:space="preserve">Small Enterprises </t>
  </si>
  <si>
    <t>Nordics</t>
  </si>
  <si>
    <t>Indonesia</t>
  </si>
  <si>
    <t>Malaysia</t>
  </si>
  <si>
    <t>Philippines</t>
  </si>
  <si>
    <t>Singapore</t>
  </si>
  <si>
    <t>Thailand</t>
  </si>
  <si>
    <t>Vietnam</t>
  </si>
  <si>
    <t>Rest of ASEAN</t>
  </si>
  <si>
    <t>Taiwan</t>
  </si>
  <si>
    <t>Global Cyber-Physical Systems (CPS) Security Market</t>
  </si>
  <si>
    <t>CMI_Trend_56</t>
  </si>
  <si>
    <t>CMI_Trend_38</t>
  </si>
  <si>
    <t>CMI_Trend_25</t>
  </si>
  <si>
    <t>CMI_Trend_46</t>
  </si>
  <si>
    <t>CMI_Trend_20</t>
  </si>
  <si>
    <t>CMI_Trend_52</t>
  </si>
  <si>
    <t>CMI_Trend_60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</si>
</sst>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 * #,##0.00_ ;_ * \-#,##0.00_ ;_ * &quot;-&quot;??_ ;_ @_ "/>
    <numFmt numFmtId="165" formatCode="0.0%"/>
    <numFmt numFmtId="166" formatCode="_ * #,##0.0_ ;_ * \-#,##0.0_ ;_ * &quot;-&quot;??_ ;_ @_ "/>
    <numFmt numFmtId="167" formatCode="_ * #,##0.000_ ;_ * \-#,##0.000_ ;_ * &quot;-&quot;??_ ;_ @_ "/>
    <numFmt numFmtId="168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5" fontId="0" fillId="0" borderId="0" xfId="2" applyNumberFormat="1" applyFont="1" applyFill="1" applyAlignment="1">
      <alignment horizontal="center"/>
    </xf>
    <xf numFmtId="165" fontId="0" fillId="0" borderId="0" xfId="2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5" fontId="0" fillId="0" borderId="0" xfId="2" applyNumberFormat="1" applyFont="1"/>
    <xf numFmtId="0" fontId="2" fillId="0" borderId="1" xfId="0" applyFont="1" applyBorder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7" fontId="0" fillId="0" borderId="0" xfId="1" applyNumberFormat="1" applyFont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0" fontId="2" fillId="0" borderId="1" xfId="0" applyFont="1" applyBorder="1"/>
    <xf numFmtId="165" fontId="4" fillId="2" borderId="1" xfId="0" applyNumberFormat="1" applyFont="1" applyFill="1" applyBorder="1" applyAlignment="1">
      <alignment horizontal="center"/>
    </xf>
    <xf numFmtId="10" fontId="2" fillId="0" borderId="0" xfId="2" applyNumberFormat="1" applyFont="1" applyFill="1" applyAlignment="1">
      <alignment horizontal="center" vertical="center"/>
    </xf>
    <xf numFmtId="10" fontId="1" fillId="0" borderId="0" xfId="2" applyNumberFormat="1" applyFont="1" applyFill="1" applyAlignment="1">
      <alignment horizontal="center" vertical="center"/>
    </xf>
    <xf numFmtId="165" fontId="0" fillId="0" borderId="1" xfId="2" applyNumberFormat="1" applyFon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left" indent="2"/>
    </xf>
    <xf numFmtId="0" fontId="2" fillId="4" borderId="1" xfId="0" applyFont="1" applyFill="1" applyBorder="1"/>
    <xf numFmtId="0" fontId="0" fillId="4" borderId="1" xfId="0" applyFill="1" applyBorder="1"/>
    <xf numFmtId="10" fontId="0" fillId="4" borderId="1" xfId="2" applyNumberFormat="1" applyFont="1" applyFill="1" applyBorder="1"/>
    <xf numFmtId="165" fontId="0" fillId="0" borderId="0" xfId="2" applyNumberFormat="1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165" fontId="1" fillId="0" borderId="0" xfId="2" applyNumberFormat="1" applyFont="1" applyFill="1" applyAlignment="1">
      <alignment horizontal="center" vertical="center"/>
    </xf>
    <xf numFmtId="165" fontId="2" fillId="0" borderId="0" xfId="2" applyNumberFormat="1" applyFont="1" applyAlignment="1">
      <alignment horizontal="center" vertical="center"/>
    </xf>
    <xf numFmtId="165" fontId="1" fillId="0" borderId="0" xfId="2" applyNumberFormat="1" applyFont="1" applyAlignment="1">
      <alignment horizontal="center" vertical="center"/>
    </xf>
    <xf numFmtId="10" fontId="0" fillId="0" borderId="0" xfId="0" applyNumberFormat="1"/>
    <xf numFmtId="10" fontId="2" fillId="0" borderId="1" xfId="2" applyNumberFormat="1" applyFont="1" applyBorder="1" applyAlignment="1">
      <alignment horizontal="center" vertical="center"/>
    </xf>
    <xf numFmtId="10" fontId="0" fillId="0" borderId="0" xfId="2" applyNumberFormat="1" applyFont="1"/>
    <xf numFmtId="165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9" fontId="2" fillId="0" borderId="0" xfId="0" applyNumberFormat="1" applyFont="1" applyAlignment="1">
      <alignment vertical="center"/>
    </xf>
    <xf numFmtId="165" fontId="0" fillId="4" borderId="1" xfId="2" applyNumberFormat="1" applyFont="1" applyFill="1" applyBorder="1"/>
    <xf numFmtId="168" fontId="0" fillId="0" borderId="0" xfId="0" applyNumberFormat="1"/>
    <xf numFmtId="0" fontId="0" fillId="0" borderId="0" xfId="0" applyAlignment="1">
      <alignment horizontal="left" vertical="center" indent="1"/>
    </xf>
    <xf numFmtId="9" fontId="0" fillId="0" borderId="0" xfId="0" applyNumberForma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2"/>
    </xf>
    <xf numFmtId="10" fontId="0" fillId="0" borderId="0" xfId="0" applyNumberFormat="1" applyAlignment="1">
      <alignment horizontal="right" vertical="center"/>
    </xf>
    <xf numFmtId="165" fontId="0" fillId="0" borderId="0" xfId="2" applyNumberFormat="1" applyFont="1" applyAlignment="1">
      <alignment vertical="center"/>
    </xf>
    <xf numFmtId="165" fontId="2" fillId="0" borderId="1" xfId="2" applyNumberFormat="1" applyFont="1" applyBorder="1" applyAlignment="1">
      <alignment horizontal="center" vertical="center"/>
    </xf>
    <xf numFmtId="165" fontId="0" fillId="0" borderId="0" xfId="2" applyNumberFormat="1" applyFont="1" applyAlignment="1">
      <alignment horizontal="center"/>
    </xf>
    <xf numFmtId="165" fontId="1" fillId="0" borderId="0" xfId="2" applyNumberFormat="1" applyFont="1" applyFill="1" applyAlignment="1">
      <alignment horizontal="left" vertical="center"/>
    </xf>
    <xf numFmtId="2" fontId="1" fillId="0" borderId="0" xfId="2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R147"/>
  <sheetViews>
    <sheetView tabSelected="1" zoomScale="94" zoomScaleNormal="85" workbookViewId="0">
      <pane xSplit="2" ySplit="3" topLeftCell="C4" activePane="bottomRight" state="frozen"/>
      <selection activeCell="C14" sqref="C14"/>
      <selection pane="topRight" activeCell="C14" sqref="C14"/>
      <selection pane="bottomLeft" activeCell="C14" sqref="C14"/>
      <selection pane="bottomRight" activeCell="C1" sqref="C1"/>
    </sheetView>
  </sheetViews>
  <sheetFormatPr defaultRowHeight="14.5" x14ac:dyDescent="0.35"/>
  <cols>
    <col min="2" max="2" width="23.6328125" customWidth="1"/>
    <col min="3" max="3" width="13.54296875" style="29" bestFit="1" customWidth="1"/>
    <col min="4" max="4" width="13.54296875" style="31" customWidth="1"/>
    <col min="5" max="32" width="13.54296875" customWidth="1"/>
    <col min="33" max="34" width="8.7265625" customWidth="1"/>
    <col min="35" max="35" width="13.453125" style="8" bestFit="1" customWidth="1"/>
    <col min="36" max="64" width="13.26953125" style="8" customWidth="1"/>
    <col min="68" max="70" width="9.1796875" customWidth="1"/>
  </cols>
  <sheetData>
    <row r="1" spans="1:96" x14ac:dyDescent="0.35">
      <c r="B1" t="s">
        <v>1</v>
      </c>
      <c r="C1" s="55" t="s">
        <v>117</v>
      </c>
      <c r="AI1" s="31">
        <f>VLOOKUP(AI3,$B$108:$E$147,3,0)</f>
        <v>0.13524069999999999</v>
      </c>
      <c r="AJ1" s="31">
        <f t="shared" ref="AJ1:BL1" si="0">VLOOKUP(AJ3,$B$108:$E$147,3,0)</f>
        <v>0.1482407</v>
      </c>
      <c r="AK1" s="31">
        <f t="shared" si="0"/>
        <v>0.14947250000000001</v>
      </c>
      <c r="AL1" s="31">
        <f t="shared" si="0"/>
        <v>0.16147250000000002</v>
      </c>
      <c r="AM1" s="31">
        <f t="shared" si="0"/>
        <v>0.13647250000000002</v>
      </c>
      <c r="AN1" s="31">
        <f t="shared" si="0"/>
        <v>0.16847250000000003</v>
      </c>
      <c r="AO1" s="31">
        <f t="shared" si="0"/>
        <v>0.14347250000000003</v>
      </c>
      <c r="AP1" s="31">
        <f t="shared" si="0"/>
        <v>0.11847250000000002</v>
      </c>
      <c r="AQ1" s="31">
        <f t="shared" si="0"/>
        <v>0.18147250000000001</v>
      </c>
      <c r="AR1" s="31">
        <f t="shared" si="0"/>
        <v>0.17247250000000003</v>
      </c>
      <c r="AS1" s="31">
        <f t="shared" si="0"/>
        <v>0.19349079440000005</v>
      </c>
      <c r="AT1" s="31">
        <f t="shared" si="0"/>
        <v>0.21776609440000003</v>
      </c>
      <c r="AU1" s="31">
        <f t="shared" si="0"/>
        <v>0.15049079440000004</v>
      </c>
      <c r="AV1" s="31">
        <f t="shared" si="0"/>
        <v>0.17776609440000002</v>
      </c>
      <c r="AW1" s="31">
        <f t="shared" si="0"/>
        <v>0.21782299440000005</v>
      </c>
      <c r="AX1" s="31">
        <f t="shared" si="0"/>
        <v>0.19482299440000006</v>
      </c>
      <c r="AY1" s="31">
        <f t="shared" si="0"/>
        <v>0.20682299440000007</v>
      </c>
      <c r="AZ1" s="31">
        <f t="shared" si="0"/>
        <v>0.18582299440000005</v>
      </c>
      <c r="BA1" s="31">
        <f t="shared" si="0"/>
        <v>0.20082299440000007</v>
      </c>
      <c r="BB1" s="31">
        <f t="shared" si="0"/>
        <v>0.23282299440000007</v>
      </c>
      <c r="BC1" s="31">
        <f t="shared" si="0"/>
        <v>0.20282299440000007</v>
      </c>
      <c r="BD1" s="31">
        <f t="shared" si="0"/>
        <v>0.18376609440000002</v>
      </c>
      <c r="BE1" s="31">
        <f t="shared" si="0"/>
        <v>0.17176609440000001</v>
      </c>
      <c r="BF1" s="31">
        <f t="shared" si="0"/>
        <v>0.18876609440000003</v>
      </c>
      <c r="BG1" s="31">
        <f t="shared" si="0"/>
        <v>0.1745987</v>
      </c>
      <c r="BH1" s="31">
        <f t="shared" si="0"/>
        <v>0.1455987</v>
      </c>
      <c r="BI1" s="31">
        <f t="shared" si="0"/>
        <v>0.16059870000000001</v>
      </c>
      <c r="BJ1" s="31">
        <f t="shared" si="0"/>
        <v>0.1532567</v>
      </c>
      <c r="BK1" s="31">
        <f t="shared" si="0"/>
        <v>0.14425669999999999</v>
      </c>
      <c r="BL1" s="31">
        <f t="shared" si="0"/>
        <v>0.13625669999999998</v>
      </c>
      <c r="BM1" s="19"/>
      <c r="BN1" s="19"/>
      <c r="BO1" s="18"/>
      <c r="BP1" s="19"/>
      <c r="BQ1" s="19"/>
      <c r="BR1" s="19"/>
    </row>
    <row r="2" spans="1:96" x14ac:dyDescent="0.35">
      <c r="B2" s="44"/>
      <c r="C2" s="29" t="s">
        <v>5</v>
      </c>
      <c r="AI2" s="8" t="s">
        <v>6</v>
      </c>
      <c r="BO2" t="s">
        <v>11</v>
      </c>
    </row>
    <row r="3" spans="1:96" x14ac:dyDescent="0.35">
      <c r="A3" t="s">
        <v>2</v>
      </c>
      <c r="B3" t="s">
        <v>3</v>
      </c>
      <c r="C3" s="33" t="s">
        <v>19</v>
      </c>
      <c r="D3" s="33" t="s">
        <v>20</v>
      </c>
      <c r="E3" s="33" t="s">
        <v>21</v>
      </c>
      <c r="F3" s="33" t="s">
        <v>22</v>
      </c>
      <c r="G3" s="33" t="s">
        <v>23</v>
      </c>
      <c r="H3" s="33" t="s">
        <v>24</v>
      </c>
      <c r="I3" s="33" t="s">
        <v>33</v>
      </c>
      <c r="J3" s="33" t="s">
        <v>25</v>
      </c>
      <c r="K3" s="33" t="s">
        <v>108</v>
      </c>
      <c r="L3" s="33" t="s">
        <v>31</v>
      </c>
      <c r="M3" s="33" t="s">
        <v>26</v>
      </c>
      <c r="N3" s="33" t="s">
        <v>27</v>
      </c>
      <c r="O3" s="33" t="s">
        <v>28</v>
      </c>
      <c r="P3" s="33" t="s">
        <v>34</v>
      </c>
      <c r="Q3" s="33" t="s">
        <v>109</v>
      </c>
      <c r="R3" s="33" t="s">
        <v>110</v>
      </c>
      <c r="S3" s="33" t="s">
        <v>111</v>
      </c>
      <c r="T3" s="33" t="s">
        <v>112</v>
      </c>
      <c r="U3" s="33" t="s">
        <v>113</v>
      </c>
      <c r="V3" s="33" t="s">
        <v>114</v>
      </c>
      <c r="W3" s="33" t="s">
        <v>115</v>
      </c>
      <c r="X3" s="33" t="s">
        <v>116</v>
      </c>
      <c r="Y3" s="33" t="s">
        <v>29</v>
      </c>
      <c r="Z3" s="33" t="s">
        <v>32</v>
      </c>
      <c r="AA3" s="33" t="s">
        <v>36</v>
      </c>
      <c r="AB3" s="33" t="s">
        <v>37</v>
      </c>
      <c r="AC3" s="33" t="s">
        <v>38</v>
      </c>
      <c r="AD3" s="33" t="s">
        <v>39</v>
      </c>
      <c r="AE3" s="33" t="s">
        <v>30</v>
      </c>
      <c r="AF3" s="33" t="s">
        <v>40</v>
      </c>
      <c r="AG3" s="3"/>
      <c r="AH3" s="3"/>
      <c r="AI3" s="53" t="str">
        <f t="shared" ref="AI3:BL3" si="1">C3</f>
        <v>U.S.</v>
      </c>
      <c r="AJ3" s="53" t="str">
        <f t="shared" si="1"/>
        <v>Canada</v>
      </c>
      <c r="AK3" s="53" t="str">
        <f t="shared" si="1"/>
        <v>U.K.</v>
      </c>
      <c r="AL3" s="53" t="str">
        <f t="shared" si="1"/>
        <v>Germany</v>
      </c>
      <c r="AM3" s="53" t="str">
        <f t="shared" si="1"/>
        <v>Italy</v>
      </c>
      <c r="AN3" s="53" t="str">
        <f t="shared" si="1"/>
        <v>France</v>
      </c>
      <c r="AO3" s="53" t="str">
        <f t="shared" si="1"/>
        <v>Spain</v>
      </c>
      <c r="AP3" s="53" t="str">
        <f t="shared" si="1"/>
        <v>Russia</v>
      </c>
      <c r="AQ3" s="53" t="str">
        <f t="shared" si="1"/>
        <v>Nordics</v>
      </c>
      <c r="AR3" s="53" t="str">
        <f t="shared" si="1"/>
        <v>Rest of Europe</v>
      </c>
      <c r="AS3" s="53" t="str">
        <f t="shared" si="1"/>
        <v>China</v>
      </c>
      <c r="AT3" s="53" t="str">
        <f t="shared" si="1"/>
        <v>India</v>
      </c>
      <c r="AU3" s="53" t="str">
        <f t="shared" si="1"/>
        <v>Japan</v>
      </c>
      <c r="AV3" s="53" t="str">
        <f t="shared" si="1"/>
        <v>South Korea</v>
      </c>
      <c r="AW3" s="53" t="str">
        <f t="shared" si="1"/>
        <v>Indonesia</v>
      </c>
      <c r="AX3" s="53" t="str">
        <f t="shared" si="1"/>
        <v>Malaysia</v>
      </c>
      <c r="AY3" s="53" t="str">
        <f t="shared" si="1"/>
        <v>Philippines</v>
      </c>
      <c r="AZ3" s="53" t="str">
        <f t="shared" si="1"/>
        <v>Singapore</v>
      </c>
      <c r="BA3" s="53" t="str">
        <f t="shared" si="1"/>
        <v>Thailand</v>
      </c>
      <c r="BB3" s="53" t="str">
        <f t="shared" si="1"/>
        <v>Vietnam</v>
      </c>
      <c r="BC3" s="53" t="str">
        <f t="shared" si="1"/>
        <v>Rest of ASEAN</v>
      </c>
      <c r="BD3" s="53" t="str">
        <f t="shared" si="1"/>
        <v>Taiwan</v>
      </c>
      <c r="BE3" s="53" t="str">
        <f t="shared" si="1"/>
        <v>Australia</v>
      </c>
      <c r="BF3" s="53" t="str">
        <f t="shared" si="1"/>
        <v>Rest of Asia Pacific</v>
      </c>
      <c r="BG3" s="53" t="str">
        <f t="shared" si="1"/>
        <v>GCC</v>
      </c>
      <c r="BH3" s="53" t="str">
        <f t="shared" si="1"/>
        <v>South Africa</v>
      </c>
      <c r="BI3" s="53" t="str">
        <f t="shared" si="1"/>
        <v>Rest of Middle East &amp; Africa</v>
      </c>
      <c r="BJ3" s="53" t="str">
        <f t="shared" si="1"/>
        <v>Brazil</v>
      </c>
      <c r="BK3" s="53" t="str">
        <f t="shared" si="1"/>
        <v>Mexico</v>
      </c>
      <c r="BL3" s="53" t="str">
        <f t="shared" si="1"/>
        <v>Rest of Latin America</v>
      </c>
      <c r="BM3" s="9"/>
      <c r="BN3" s="9"/>
      <c r="BO3" s="33" t="str">
        <f>AI3</f>
        <v>U.S.</v>
      </c>
      <c r="BP3" s="33" t="str">
        <f t="shared" ref="BP3:CR3" si="2">AJ3</f>
        <v>Canada</v>
      </c>
      <c r="BQ3" s="33" t="str">
        <f t="shared" si="2"/>
        <v>U.K.</v>
      </c>
      <c r="BR3" s="33" t="str">
        <f t="shared" si="2"/>
        <v>Germany</v>
      </c>
      <c r="BS3" s="33" t="str">
        <f t="shared" si="2"/>
        <v>Italy</v>
      </c>
      <c r="BT3" s="33" t="str">
        <f t="shared" si="2"/>
        <v>France</v>
      </c>
      <c r="BU3" s="33" t="str">
        <f t="shared" si="2"/>
        <v>Spain</v>
      </c>
      <c r="BV3" s="33" t="str">
        <f t="shared" si="2"/>
        <v>Russia</v>
      </c>
      <c r="BW3" s="33" t="str">
        <f t="shared" si="2"/>
        <v>Nordics</v>
      </c>
      <c r="BX3" s="33" t="str">
        <f t="shared" si="2"/>
        <v>Rest of Europe</v>
      </c>
      <c r="BY3" s="33" t="str">
        <f t="shared" si="2"/>
        <v>China</v>
      </c>
      <c r="BZ3" s="33" t="str">
        <f t="shared" si="2"/>
        <v>India</v>
      </c>
      <c r="CA3" s="33" t="str">
        <f t="shared" si="2"/>
        <v>Japan</v>
      </c>
      <c r="CB3" s="33" t="str">
        <f t="shared" si="2"/>
        <v>South Korea</v>
      </c>
      <c r="CC3" s="33" t="str">
        <f t="shared" si="2"/>
        <v>Indonesia</v>
      </c>
      <c r="CD3" s="33" t="str">
        <f t="shared" si="2"/>
        <v>Malaysia</v>
      </c>
      <c r="CE3" s="33" t="str">
        <f t="shared" si="2"/>
        <v>Philippines</v>
      </c>
      <c r="CF3" s="33" t="str">
        <f t="shared" si="2"/>
        <v>Singapore</v>
      </c>
      <c r="CG3" s="33" t="str">
        <f t="shared" si="2"/>
        <v>Thailand</v>
      </c>
      <c r="CH3" s="33" t="str">
        <f t="shared" si="2"/>
        <v>Vietnam</v>
      </c>
      <c r="CI3" s="33" t="str">
        <f t="shared" si="2"/>
        <v>Rest of ASEAN</v>
      </c>
      <c r="CJ3" s="33" t="str">
        <f t="shared" si="2"/>
        <v>Taiwan</v>
      </c>
      <c r="CK3" s="33" t="str">
        <f t="shared" si="2"/>
        <v>Australia</v>
      </c>
      <c r="CL3" s="33" t="str">
        <f t="shared" si="2"/>
        <v>Rest of Asia Pacific</v>
      </c>
      <c r="CM3" s="33" t="str">
        <f t="shared" si="2"/>
        <v>GCC</v>
      </c>
      <c r="CN3" s="33" t="str">
        <f t="shared" si="2"/>
        <v>South Africa</v>
      </c>
      <c r="CO3" s="33" t="str">
        <f t="shared" si="2"/>
        <v>Rest of Middle East &amp; Africa</v>
      </c>
      <c r="CP3" s="33" t="str">
        <f t="shared" si="2"/>
        <v>Brazil</v>
      </c>
      <c r="CQ3" s="33" t="str">
        <f t="shared" si="2"/>
        <v>Mexico</v>
      </c>
      <c r="CR3" s="33" t="str">
        <f t="shared" si="2"/>
        <v>Rest of Latin America</v>
      </c>
    </row>
    <row r="4" spans="1:96" x14ac:dyDescent="0.35">
      <c r="B4" s="37" t="s">
        <v>45</v>
      </c>
      <c r="E4" s="36"/>
      <c r="F4" s="3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37" t="s">
        <v>45</v>
      </c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N4" s="37" t="s">
        <v>45</v>
      </c>
    </row>
    <row r="5" spans="1:96" x14ac:dyDescent="0.35">
      <c r="B5" s="47" t="s">
        <v>46</v>
      </c>
      <c r="C5" s="29">
        <f t="shared" ref="C5:AF5" si="3">1-C18</f>
        <v>0.70799999999999996</v>
      </c>
      <c r="D5" s="29">
        <f t="shared" si="3"/>
        <v>0.70639999999999992</v>
      </c>
      <c r="E5" s="29">
        <f t="shared" si="3"/>
        <v>0.70290000000000008</v>
      </c>
      <c r="F5" s="29">
        <f t="shared" si="3"/>
        <v>0.70500000000000007</v>
      </c>
      <c r="G5" s="29">
        <f t="shared" si="3"/>
        <v>0.71199999999999997</v>
      </c>
      <c r="H5" s="29">
        <f t="shared" si="3"/>
        <v>0.70639999999999992</v>
      </c>
      <c r="I5" s="29">
        <f t="shared" si="3"/>
        <v>0.70240000000000002</v>
      </c>
      <c r="J5" s="29">
        <f t="shared" si="3"/>
        <v>0.7036</v>
      </c>
      <c r="K5" s="29">
        <f t="shared" si="3"/>
        <v>0.70639999999999992</v>
      </c>
      <c r="L5" s="29">
        <f t="shared" si="3"/>
        <v>0.70930000000000004</v>
      </c>
      <c r="M5" s="29">
        <f t="shared" si="3"/>
        <v>0.70429999999999993</v>
      </c>
      <c r="N5" s="29">
        <f t="shared" si="3"/>
        <v>0.70540000000000003</v>
      </c>
      <c r="O5" s="29">
        <f t="shared" si="3"/>
        <v>0.70740000000000003</v>
      </c>
      <c r="P5" s="29">
        <f t="shared" si="3"/>
        <v>0.71050000000000002</v>
      </c>
      <c r="Q5" s="29">
        <f t="shared" si="3"/>
        <v>0.70930000000000004</v>
      </c>
      <c r="R5" s="29">
        <f t="shared" si="3"/>
        <v>0.71</v>
      </c>
      <c r="S5" s="29">
        <f t="shared" si="3"/>
        <v>0.70599999999999996</v>
      </c>
      <c r="T5" s="29">
        <f t="shared" si="3"/>
        <v>0.70409999999999995</v>
      </c>
      <c r="U5" s="29">
        <f t="shared" si="3"/>
        <v>0.71189999999999998</v>
      </c>
      <c r="V5" s="29">
        <f t="shared" si="3"/>
        <v>0.70819999999999994</v>
      </c>
      <c r="W5" s="29">
        <f t="shared" si="3"/>
        <v>0.71060000000000001</v>
      </c>
      <c r="X5" s="29">
        <f t="shared" si="3"/>
        <v>0.70660000000000001</v>
      </c>
      <c r="Y5" s="29">
        <f t="shared" si="3"/>
        <v>0.70350000000000001</v>
      </c>
      <c r="Z5" s="29">
        <f t="shared" si="3"/>
        <v>0.70150000000000001</v>
      </c>
      <c r="AA5" s="29">
        <f t="shared" si="3"/>
        <v>0.70300000000000007</v>
      </c>
      <c r="AB5" s="29">
        <f t="shared" si="3"/>
        <v>0.70710000000000006</v>
      </c>
      <c r="AC5" s="29">
        <f t="shared" si="3"/>
        <v>0.71130000000000004</v>
      </c>
      <c r="AD5" s="29">
        <f t="shared" si="3"/>
        <v>0.71179999999999999</v>
      </c>
      <c r="AE5" s="29">
        <f t="shared" si="3"/>
        <v>0.70330000000000004</v>
      </c>
      <c r="AF5" s="29">
        <f t="shared" si="3"/>
        <v>0.70669999999999999</v>
      </c>
      <c r="AG5" s="29"/>
      <c r="AH5" s="47" t="s">
        <v>46</v>
      </c>
      <c r="AI5" s="10">
        <f t="shared" ref="AI5:BL5" si="4">SUMPRODUCT(AI6:AI17,C6:C17)</f>
        <v>0.1276487</v>
      </c>
      <c r="AJ5" s="10">
        <f t="shared" si="4"/>
        <v>0.14060710000000004</v>
      </c>
      <c r="AK5" s="10">
        <f t="shared" si="4"/>
        <v>0.14174789999999998</v>
      </c>
      <c r="AL5" s="10">
        <f t="shared" si="4"/>
        <v>0.15380250000000001</v>
      </c>
      <c r="AM5" s="10">
        <f t="shared" si="4"/>
        <v>0.12898450000000003</v>
      </c>
      <c r="AN5" s="10">
        <f t="shared" si="4"/>
        <v>0.16083890000000006</v>
      </c>
      <c r="AO5" s="10">
        <f t="shared" si="4"/>
        <v>0.13573489999999999</v>
      </c>
      <c r="AP5" s="10">
        <f t="shared" si="4"/>
        <v>0.11076610000000006</v>
      </c>
      <c r="AQ5" s="10">
        <f t="shared" si="4"/>
        <v>0.17383890000000002</v>
      </c>
      <c r="AR5" s="10">
        <f t="shared" si="4"/>
        <v>0.16491430000000001</v>
      </c>
      <c r="AS5" s="10">
        <f t="shared" si="4"/>
        <v>0.18580259440000008</v>
      </c>
      <c r="AT5" s="10">
        <f t="shared" si="4"/>
        <v>0.21010649440000004</v>
      </c>
      <c r="AU5" s="10">
        <f t="shared" si="4"/>
        <v>0.14288319440000002</v>
      </c>
      <c r="AV5" s="10">
        <f t="shared" si="4"/>
        <v>0.17023909440000007</v>
      </c>
      <c r="AW5" s="10">
        <f t="shared" si="4"/>
        <v>0.21026479440000001</v>
      </c>
      <c r="AX5" s="10">
        <f t="shared" si="4"/>
        <v>0.18728299440000001</v>
      </c>
      <c r="AY5" s="10">
        <f t="shared" si="4"/>
        <v>0.19917899440000009</v>
      </c>
      <c r="AZ5" s="10">
        <f t="shared" si="4"/>
        <v>0.17812959440000009</v>
      </c>
      <c r="BA5" s="10">
        <f t="shared" si="4"/>
        <v>0.19333239440000005</v>
      </c>
      <c r="BB5" s="10">
        <f t="shared" si="4"/>
        <v>0.22523619440000006</v>
      </c>
      <c r="BC5" s="10">
        <f t="shared" si="4"/>
        <v>0.19529859440000005</v>
      </c>
      <c r="BD5" s="10">
        <f t="shared" si="4"/>
        <v>0.17613769440000002</v>
      </c>
      <c r="BE5" s="10">
        <f t="shared" si="4"/>
        <v>0.16405709439999999</v>
      </c>
      <c r="BF5" s="10">
        <f t="shared" si="4"/>
        <v>0.18100509440000004</v>
      </c>
      <c r="BG5" s="10">
        <f t="shared" si="4"/>
        <v>0.16687669999999999</v>
      </c>
      <c r="BH5" s="10">
        <f t="shared" si="4"/>
        <v>0.13798329999999998</v>
      </c>
      <c r="BI5" s="10">
        <f t="shared" si="4"/>
        <v>0.15309249999999996</v>
      </c>
      <c r="BJ5" s="10">
        <f t="shared" si="4"/>
        <v>0.14576349999999996</v>
      </c>
      <c r="BK5" s="10">
        <f t="shared" si="4"/>
        <v>0.13654250000000001</v>
      </c>
      <c r="BL5" s="10">
        <f t="shared" si="4"/>
        <v>0.12863089999999996</v>
      </c>
      <c r="BM5" s="27"/>
      <c r="BN5" s="47" t="s">
        <v>46</v>
      </c>
      <c r="BO5" s="27" t="s">
        <v>118</v>
      </c>
      <c r="BP5" s="27" t="s">
        <v>123</v>
      </c>
      <c r="BQ5" s="27" t="s">
        <v>120</v>
      </c>
      <c r="BR5" s="27" t="s">
        <v>122</v>
      </c>
      <c r="BS5" s="27" t="s">
        <v>119</v>
      </c>
      <c r="BT5" s="27" t="s">
        <v>121</v>
      </c>
      <c r="BU5" s="27" t="s">
        <v>122</v>
      </c>
      <c r="BV5" s="27" t="s">
        <v>124</v>
      </c>
      <c r="BW5" s="27" t="s">
        <v>121</v>
      </c>
      <c r="BX5" s="27" t="s">
        <v>123</v>
      </c>
      <c r="BY5" s="27" t="s">
        <v>119</v>
      </c>
      <c r="BZ5" s="27" t="s">
        <v>121</v>
      </c>
      <c r="CA5" s="27" t="s">
        <v>119</v>
      </c>
      <c r="CB5" s="27" t="s">
        <v>119</v>
      </c>
      <c r="CC5" s="27" t="s">
        <v>121</v>
      </c>
      <c r="CD5" s="27" t="s">
        <v>120</v>
      </c>
      <c r="CE5" s="27" t="s">
        <v>124</v>
      </c>
      <c r="CF5" s="27" t="s">
        <v>118</v>
      </c>
      <c r="CG5" s="27" t="s">
        <v>119</v>
      </c>
      <c r="CH5" s="27" t="s">
        <v>120</v>
      </c>
      <c r="CI5" s="27" t="s">
        <v>119</v>
      </c>
      <c r="CJ5" s="27" t="s">
        <v>121</v>
      </c>
      <c r="CK5" s="27" t="s">
        <v>124</v>
      </c>
      <c r="CL5" s="27" t="s">
        <v>121</v>
      </c>
      <c r="CM5" s="27" t="s">
        <v>122</v>
      </c>
      <c r="CN5" s="27" t="s">
        <v>122</v>
      </c>
      <c r="CO5" s="27" t="s">
        <v>122</v>
      </c>
      <c r="CP5" s="27" t="s">
        <v>124</v>
      </c>
      <c r="CQ5" s="27" t="s">
        <v>119</v>
      </c>
      <c r="CR5" s="27" t="s">
        <v>119</v>
      </c>
    </row>
    <row r="6" spans="1:96" x14ac:dyDescent="0.35">
      <c r="B6" s="48" t="s">
        <v>47</v>
      </c>
      <c r="C6" s="29">
        <f t="shared" ref="C6" si="5">1-SUM(C7:C17)</f>
        <v>0.15570000000000006</v>
      </c>
      <c r="D6" s="29">
        <f t="shared" ref="D6" si="6">1-SUM(D7:D17)</f>
        <v>0.1431</v>
      </c>
      <c r="E6" s="29">
        <f t="shared" ref="E6" si="7">1-SUM(E7:E17)</f>
        <v>0.15049999999999997</v>
      </c>
      <c r="F6" s="29">
        <f t="shared" ref="F6" si="8">1-SUM(F7:F17)</f>
        <v>0.15100000000000013</v>
      </c>
      <c r="G6" s="29">
        <f t="shared" ref="G6" si="9">1-SUM(G7:G17)</f>
        <v>0.14260000000000006</v>
      </c>
      <c r="H6" s="29">
        <f t="shared" ref="H6" si="10">1-SUM(H7:H17)</f>
        <v>0.14250000000000007</v>
      </c>
      <c r="I6" s="29">
        <f t="shared" ref="I6" si="11">1-SUM(I7:I17)</f>
        <v>0.1389999999999999</v>
      </c>
      <c r="J6" s="29">
        <f t="shared" ref="J6" si="12">1-SUM(J7:J17)</f>
        <v>0.13919999999999999</v>
      </c>
      <c r="K6" s="29">
        <f t="shared" ref="K6" si="13">1-SUM(K7:K17)</f>
        <v>0.14959999999999996</v>
      </c>
      <c r="L6" s="29">
        <f t="shared" ref="L6" si="14">1-SUM(L7:L17)</f>
        <v>0.14860000000000007</v>
      </c>
      <c r="M6" s="29">
        <f t="shared" ref="M6" si="15">1-SUM(M7:M17)</f>
        <v>0.1351</v>
      </c>
      <c r="N6" s="29">
        <f t="shared" ref="N6" si="16">1-SUM(N7:N17)</f>
        <v>0.15060000000000007</v>
      </c>
      <c r="O6" s="29">
        <f t="shared" ref="O6" si="17">1-SUM(O7:O17)</f>
        <v>0.14329999999999998</v>
      </c>
      <c r="P6" s="29">
        <f t="shared" ref="P6" si="18">1-SUM(P7:P17)</f>
        <v>0.14859999999999995</v>
      </c>
      <c r="Q6" s="29">
        <f t="shared" ref="Q6" si="19">1-SUM(Q7:Q17)</f>
        <v>0.13229999999999986</v>
      </c>
      <c r="R6" s="29">
        <f t="shared" ref="R6" si="20">1-SUM(R7:R17)</f>
        <v>0.14710000000000001</v>
      </c>
      <c r="S6" s="29">
        <f t="shared" ref="S6" si="21">1-SUM(S7:S17)</f>
        <v>0.14620000000000011</v>
      </c>
      <c r="T6" s="29">
        <f t="shared" ref="T6" si="22">1-SUM(T7:T17)</f>
        <v>0.14450000000000018</v>
      </c>
      <c r="U6" s="29">
        <f t="shared" ref="U6" si="23">1-SUM(U7:U17)</f>
        <v>0.14410000000000001</v>
      </c>
      <c r="V6" s="29">
        <f t="shared" ref="V6" si="24">1-SUM(V7:V17)</f>
        <v>0.15419999999999989</v>
      </c>
      <c r="W6" s="29">
        <f t="shared" ref="W6" si="25">1-SUM(W7:W17)</f>
        <v>0.14680000000000015</v>
      </c>
      <c r="X6" s="29">
        <f t="shared" ref="X6" si="26">1-SUM(X7:X17)</f>
        <v>0.15180000000000005</v>
      </c>
      <c r="Y6" s="29">
        <f t="shared" ref="Y6" si="27">1-SUM(Y7:Y17)</f>
        <v>0.14300000000000002</v>
      </c>
      <c r="Z6" s="29">
        <f t="shared" ref="Z6" si="28">1-SUM(Z7:Z17)</f>
        <v>0.14180000000000004</v>
      </c>
      <c r="AA6" s="29">
        <f t="shared" ref="AA6" si="29">1-SUM(AA7:AA17)</f>
        <v>0.14239999999999997</v>
      </c>
      <c r="AB6" s="29">
        <f t="shared" ref="AB6" si="30">1-SUM(AB7:AB17)</f>
        <v>0.1369999999999999</v>
      </c>
      <c r="AC6" s="29">
        <f t="shared" ref="AC6" si="31">1-SUM(AC7:AC17)</f>
        <v>0.14929999999999999</v>
      </c>
      <c r="AD6" s="29">
        <f t="shared" ref="AD6" si="32">1-SUM(AD7:AD17)</f>
        <v>0.15350000000000008</v>
      </c>
      <c r="AE6" s="29">
        <f t="shared" ref="AE6" si="33">1-SUM(AE7:AE17)</f>
        <v>0.14629999999999987</v>
      </c>
      <c r="AF6" s="29">
        <f t="shared" ref="AF6" si="34">1-SUM(AF7:AF17)</f>
        <v>0.13800000000000012</v>
      </c>
      <c r="AG6" s="29"/>
      <c r="AH6" s="48" t="s">
        <v>47</v>
      </c>
      <c r="AI6" s="10">
        <v>0.13460859999999999</v>
      </c>
      <c r="AJ6" s="10">
        <v>0.14794310000000002</v>
      </c>
      <c r="AK6" s="10">
        <v>0.14888489999999999</v>
      </c>
      <c r="AL6" s="10">
        <v>0.16091819999999996</v>
      </c>
      <c r="AM6" s="10">
        <v>0.13635370000000002</v>
      </c>
      <c r="AN6" s="10">
        <v>0.16822680000000004</v>
      </c>
      <c r="AO6" s="10">
        <v>0.14286170000000001</v>
      </c>
      <c r="AP6" s="10">
        <v>0.11800310000000004</v>
      </c>
      <c r="AQ6" s="10">
        <v>0.18096899999999999</v>
      </c>
      <c r="AR6" s="10">
        <v>0.17210239999999999</v>
      </c>
      <c r="AS6" s="10">
        <v>0.19319289440000004</v>
      </c>
      <c r="AT6" s="10">
        <v>0.21711329439999999</v>
      </c>
      <c r="AU6" s="10">
        <v>0.15004769440000004</v>
      </c>
      <c r="AV6" s="10">
        <v>0.17755869440000005</v>
      </c>
      <c r="AW6" s="10">
        <v>0.21736739440000002</v>
      </c>
      <c r="AX6" s="10">
        <v>0.19477349440000002</v>
      </c>
      <c r="AY6" s="10">
        <v>0.20642229440000001</v>
      </c>
      <c r="AZ6" s="10">
        <v>0.18542869440000004</v>
      </c>
      <c r="BA6" s="10">
        <v>0.20062779440000006</v>
      </c>
      <c r="BB6" s="10">
        <v>0.23253689440000008</v>
      </c>
      <c r="BC6" s="10">
        <v>0.20248819440000002</v>
      </c>
      <c r="BD6" s="10">
        <v>0.1833820944</v>
      </c>
      <c r="BE6" s="10">
        <v>0.17103259440000002</v>
      </c>
      <c r="BF6" s="10">
        <v>0.18840699440000003</v>
      </c>
      <c r="BG6" s="10">
        <v>0.17433409999999999</v>
      </c>
      <c r="BH6" s="10">
        <v>0.14521219999999999</v>
      </c>
      <c r="BI6" s="10">
        <v>0.16055549999999996</v>
      </c>
      <c r="BJ6" s="10">
        <v>0.15289179999999994</v>
      </c>
      <c r="BK6" s="10">
        <v>0.14362629999999998</v>
      </c>
      <c r="BL6" s="10">
        <v>0.13615869999999994</v>
      </c>
      <c r="BM6" s="27"/>
      <c r="BN6" s="48" t="s">
        <v>47</v>
      </c>
      <c r="BO6" s="27" t="s">
        <v>121</v>
      </c>
      <c r="BP6" s="27" t="s">
        <v>120</v>
      </c>
      <c r="BQ6" s="27" t="s">
        <v>124</v>
      </c>
      <c r="BR6" s="27" t="s">
        <v>121</v>
      </c>
      <c r="BS6" s="27" t="s">
        <v>118</v>
      </c>
      <c r="BT6" s="27" t="s">
        <v>122</v>
      </c>
      <c r="BU6" s="27" t="s">
        <v>119</v>
      </c>
      <c r="BV6" s="27" t="s">
        <v>118</v>
      </c>
      <c r="BW6" s="27" t="s">
        <v>120</v>
      </c>
      <c r="BX6" s="27" t="s">
        <v>123</v>
      </c>
      <c r="BY6" s="27" t="s">
        <v>123</v>
      </c>
      <c r="BZ6" s="27" t="s">
        <v>118</v>
      </c>
      <c r="CA6" s="27" t="s">
        <v>118</v>
      </c>
      <c r="CB6" s="27" t="s">
        <v>118</v>
      </c>
      <c r="CC6" s="27" t="s">
        <v>118</v>
      </c>
      <c r="CD6" s="27" t="s">
        <v>121</v>
      </c>
      <c r="CE6" s="27" t="s">
        <v>118</v>
      </c>
      <c r="CF6" s="27" t="s">
        <v>120</v>
      </c>
      <c r="CG6" s="27" t="s">
        <v>123</v>
      </c>
      <c r="CH6" s="27" t="s">
        <v>122</v>
      </c>
      <c r="CI6" s="27" t="s">
        <v>118</v>
      </c>
      <c r="CJ6" s="27" t="s">
        <v>123</v>
      </c>
      <c r="CK6" s="27" t="s">
        <v>118</v>
      </c>
      <c r="CL6" s="27" t="s">
        <v>124</v>
      </c>
      <c r="CM6" s="27" t="s">
        <v>118</v>
      </c>
      <c r="CN6" s="27" t="s">
        <v>120</v>
      </c>
      <c r="CO6" s="27" t="s">
        <v>119</v>
      </c>
      <c r="CP6" s="27" t="s">
        <v>121</v>
      </c>
      <c r="CQ6" s="27" t="s">
        <v>119</v>
      </c>
      <c r="CR6" s="27" t="s">
        <v>119</v>
      </c>
    </row>
    <row r="7" spans="1:96" x14ac:dyDescent="0.35">
      <c r="B7" s="48" t="s">
        <v>48</v>
      </c>
      <c r="C7" s="29">
        <v>0.19289999999999999</v>
      </c>
      <c r="D7" s="29">
        <v>0.1903</v>
      </c>
      <c r="E7" s="29">
        <v>0.1946</v>
      </c>
      <c r="F7" s="29">
        <v>0.1913</v>
      </c>
      <c r="G7" s="29">
        <v>0.19220000000000001</v>
      </c>
      <c r="H7" s="29">
        <v>0.1925</v>
      </c>
      <c r="I7" s="29">
        <v>0.19109999999999999</v>
      </c>
      <c r="J7" s="29">
        <v>0.19600000000000001</v>
      </c>
      <c r="K7" s="29">
        <v>0.19489999999999999</v>
      </c>
      <c r="L7" s="29">
        <v>0.1971</v>
      </c>
      <c r="M7" s="29">
        <v>0.19570000000000001</v>
      </c>
      <c r="N7" s="29">
        <v>0.19289999999999999</v>
      </c>
      <c r="O7" s="29">
        <v>0.1973</v>
      </c>
      <c r="P7" s="29">
        <v>0.19670000000000001</v>
      </c>
      <c r="Q7" s="29">
        <v>0.19570000000000001</v>
      </c>
      <c r="R7" s="29">
        <v>0.19159999999999999</v>
      </c>
      <c r="S7" s="29">
        <v>0.19739999999999999</v>
      </c>
      <c r="T7" s="29">
        <v>0.1925</v>
      </c>
      <c r="U7" s="29">
        <v>0.1938</v>
      </c>
      <c r="V7" s="29">
        <v>0.19189999999999999</v>
      </c>
      <c r="W7" s="29">
        <v>0.1908</v>
      </c>
      <c r="X7" s="29">
        <v>0.19570000000000001</v>
      </c>
      <c r="Y7" s="29">
        <v>0.1933</v>
      </c>
      <c r="Z7" s="29">
        <v>0.19470000000000001</v>
      </c>
      <c r="AA7" s="29">
        <v>0.19450000000000001</v>
      </c>
      <c r="AB7" s="29">
        <v>0.19109999999999999</v>
      </c>
      <c r="AC7" s="29">
        <v>0.19589999999999999</v>
      </c>
      <c r="AD7" s="29">
        <v>0.1948</v>
      </c>
      <c r="AE7" s="29">
        <v>0.1971</v>
      </c>
      <c r="AF7" s="29">
        <v>0.19539999999999999</v>
      </c>
      <c r="AG7" s="29"/>
      <c r="AH7" s="48" t="s">
        <v>48</v>
      </c>
      <c r="AI7" s="10">
        <v>0.12760860000000002</v>
      </c>
      <c r="AJ7" s="10">
        <v>0.14094310000000004</v>
      </c>
      <c r="AK7" s="10">
        <v>0.14188490000000001</v>
      </c>
      <c r="AL7" s="10">
        <v>0.15391819999999998</v>
      </c>
      <c r="AM7" s="10">
        <v>0.12935370000000004</v>
      </c>
      <c r="AN7" s="10">
        <v>0.16122680000000006</v>
      </c>
      <c r="AO7" s="10">
        <v>0.13586170000000003</v>
      </c>
      <c r="AP7" s="10">
        <v>0.11100310000000006</v>
      </c>
      <c r="AQ7" s="10">
        <v>0.17396900000000001</v>
      </c>
      <c r="AR7" s="10">
        <v>0.16510240000000001</v>
      </c>
      <c r="AS7" s="10">
        <v>0.18619289440000006</v>
      </c>
      <c r="AT7" s="10">
        <v>0.21011329440000001</v>
      </c>
      <c r="AU7" s="10">
        <v>0.14304769440000006</v>
      </c>
      <c r="AV7" s="10">
        <v>0.17055869440000007</v>
      </c>
      <c r="AW7" s="10">
        <v>0.21036739440000005</v>
      </c>
      <c r="AX7" s="10">
        <v>0.18777349440000005</v>
      </c>
      <c r="AY7" s="10">
        <v>0.19942229440000003</v>
      </c>
      <c r="AZ7" s="10">
        <v>0.17842869440000006</v>
      </c>
      <c r="BA7" s="10">
        <v>0.19362779440000008</v>
      </c>
      <c r="BB7" s="10">
        <v>0.2255368944000001</v>
      </c>
      <c r="BC7" s="10">
        <v>0.19548819440000004</v>
      </c>
      <c r="BD7" s="10">
        <v>0.17638209440000002</v>
      </c>
      <c r="BE7" s="10">
        <v>0.16403259440000004</v>
      </c>
      <c r="BF7" s="10">
        <v>0.18140699440000005</v>
      </c>
      <c r="BG7" s="10">
        <v>0.16733410000000001</v>
      </c>
      <c r="BH7" s="10">
        <v>0.13821220000000001</v>
      </c>
      <c r="BI7" s="10">
        <v>0.15355549999999998</v>
      </c>
      <c r="BJ7" s="10">
        <v>0.14589179999999996</v>
      </c>
      <c r="BK7" s="10">
        <v>0.13662630000000001</v>
      </c>
      <c r="BL7" s="10">
        <v>0.12915869999999996</v>
      </c>
      <c r="BM7" s="27"/>
      <c r="BN7" s="48" t="s">
        <v>48</v>
      </c>
      <c r="BO7" s="27" t="s">
        <v>119</v>
      </c>
      <c r="BP7" s="27" t="s">
        <v>120</v>
      </c>
      <c r="BQ7" s="27" t="s">
        <v>121</v>
      </c>
      <c r="BR7" s="27" t="s">
        <v>123</v>
      </c>
      <c r="BS7" s="27" t="s">
        <v>118</v>
      </c>
      <c r="BT7" s="27" t="s">
        <v>118</v>
      </c>
      <c r="BU7" s="27" t="s">
        <v>124</v>
      </c>
      <c r="BV7" s="27" t="s">
        <v>120</v>
      </c>
      <c r="BW7" s="27" t="s">
        <v>118</v>
      </c>
      <c r="BX7" s="27" t="s">
        <v>121</v>
      </c>
      <c r="BY7" s="27" t="s">
        <v>124</v>
      </c>
      <c r="BZ7" s="27" t="s">
        <v>123</v>
      </c>
      <c r="CA7" s="27" t="s">
        <v>124</v>
      </c>
      <c r="CB7" s="27" t="s">
        <v>124</v>
      </c>
      <c r="CC7" s="27" t="s">
        <v>120</v>
      </c>
      <c r="CD7" s="27" t="s">
        <v>123</v>
      </c>
      <c r="CE7" s="27" t="s">
        <v>121</v>
      </c>
      <c r="CF7" s="27" t="s">
        <v>124</v>
      </c>
      <c r="CG7" s="27" t="s">
        <v>118</v>
      </c>
      <c r="CH7" s="27" t="s">
        <v>123</v>
      </c>
      <c r="CI7" s="27" t="s">
        <v>118</v>
      </c>
      <c r="CJ7" s="27" t="s">
        <v>122</v>
      </c>
      <c r="CK7" s="27" t="s">
        <v>124</v>
      </c>
      <c r="CL7" s="27" t="s">
        <v>124</v>
      </c>
      <c r="CM7" s="27" t="s">
        <v>119</v>
      </c>
      <c r="CN7" s="27" t="s">
        <v>118</v>
      </c>
      <c r="CO7" s="27" t="s">
        <v>120</v>
      </c>
      <c r="CP7" s="27" t="s">
        <v>121</v>
      </c>
      <c r="CQ7" s="27" t="s">
        <v>121</v>
      </c>
      <c r="CR7" s="27" t="s">
        <v>120</v>
      </c>
    </row>
    <row r="8" spans="1:96" x14ac:dyDescent="0.35">
      <c r="B8" s="48" t="s">
        <v>49</v>
      </c>
      <c r="C8" s="29">
        <v>4.48E-2</v>
      </c>
      <c r="D8" s="29">
        <v>4.3299999999999998E-2</v>
      </c>
      <c r="E8" s="29">
        <v>4.3299999999999998E-2</v>
      </c>
      <c r="F8" s="29">
        <v>4.1099999999999998E-2</v>
      </c>
      <c r="G8" s="29">
        <v>4.1799999999999997E-2</v>
      </c>
      <c r="H8" s="29">
        <v>4.2599999999999999E-2</v>
      </c>
      <c r="I8" s="29">
        <v>4.7300000000000002E-2</v>
      </c>
      <c r="J8" s="29">
        <v>4.4699999999999997E-2</v>
      </c>
      <c r="K8" s="29">
        <v>4.1200000000000001E-2</v>
      </c>
      <c r="L8" s="29">
        <v>4.3900000000000002E-2</v>
      </c>
      <c r="M8" s="29">
        <v>4.3499999999999997E-2</v>
      </c>
      <c r="N8" s="29">
        <v>4.3799999999999999E-2</v>
      </c>
      <c r="O8" s="29">
        <v>4.4400000000000002E-2</v>
      </c>
      <c r="P8" s="29">
        <v>4.3400000000000001E-2</v>
      </c>
      <c r="Q8" s="29">
        <v>4.7300000000000002E-2</v>
      </c>
      <c r="R8" s="29">
        <v>4.3299999999999998E-2</v>
      </c>
      <c r="S8" s="29">
        <v>4.1399999999999999E-2</v>
      </c>
      <c r="T8" s="29">
        <v>4.5900000000000003E-2</v>
      </c>
      <c r="U8" s="29">
        <v>4.7500000000000001E-2</v>
      </c>
      <c r="V8" s="29">
        <v>4.1099999999999998E-2</v>
      </c>
      <c r="W8" s="29">
        <v>4.2299999999999997E-2</v>
      </c>
      <c r="X8" s="29">
        <v>4.3799999999999999E-2</v>
      </c>
      <c r="Y8" s="29">
        <v>4.5699999999999998E-2</v>
      </c>
      <c r="Z8" s="29">
        <v>4.3200000000000002E-2</v>
      </c>
      <c r="AA8" s="29">
        <v>4.2000000000000003E-2</v>
      </c>
      <c r="AB8" s="29">
        <v>4.7399999999999998E-2</v>
      </c>
      <c r="AC8" s="29">
        <v>4.0899999999999999E-2</v>
      </c>
      <c r="AD8" s="29">
        <v>4.2999999999999997E-2</v>
      </c>
      <c r="AE8" s="29">
        <v>4.58E-2</v>
      </c>
      <c r="AF8" s="29">
        <v>4.2000000000000003E-2</v>
      </c>
      <c r="AG8" s="29"/>
      <c r="AH8" s="48" t="s">
        <v>49</v>
      </c>
      <c r="AI8" s="10">
        <v>0.16160860000000002</v>
      </c>
      <c r="AJ8" s="10">
        <v>0.17494310000000005</v>
      </c>
      <c r="AK8" s="10">
        <v>0.17588490000000001</v>
      </c>
      <c r="AL8" s="10">
        <v>0.18791819999999998</v>
      </c>
      <c r="AM8" s="10">
        <v>0.16335370000000005</v>
      </c>
      <c r="AN8" s="10">
        <v>0.19522680000000006</v>
      </c>
      <c r="AO8" s="10">
        <v>0.16986170000000003</v>
      </c>
      <c r="AP8" s="10">
        <v>0.14500310000000005</v>
      </c>
      <c r="AQ8" s="10">
        <v>0.20796900000000001</v>
      </c>
      <c r="AR8" s="10">
        <v>0.19910240000000001</v>
      </c>
      <c r="AS8" s="10">
        <v>0.22019289440000006</v>
      </c>
      <c r="AT8" s="10">
        <v>0.24411329440000001</v>
      </c>
      <c r="AU8" s="10">
        <v>0.17704769440000007</v>
      </c>
      <c r="AV8" s="10">
        <v>0.20455869440000007</v>
      </c>
      <c r="AW8" s="10">
        <v>0.24436739440000005</v>
      </c>
      <c r="AX8" s="10">
        <v>0.22177349440000005</v>
      </c>
      <c r="AY8" s="10">
        <v>0.23342229440000004</v>
      </c>
      <c r="AZ8" s="10">
        <v>0.21242869440000006</v>
      </c>
      <c r="BA8" s="10">
        <v>0.22762779440000008</v>
      </c>
      <c r="BB8" s="10">
        <v>0.25953689440000011</v>
      </c>
      <c r="BC8" s="10">
        <v>0.22948819440000004</v>
      </c>
      <c r="BD8" s="10">
        <v>0.21038209440000002</v>
      </c>
      <c r="BE8" s="10">
        <v>0.19803259440000004</v>
      </c>
      <c r="BF8" s="10">
        <v>0.21540699440000005</v>
      </c>
      <c r="BG8" s="10">
        <v>0.20133410000000002</v>
      </c>
      <c r="BH8" s="10">
        <v>0.17221220000000001</v>
      </c>
      <c r="BI8" s="10">
        <v>0.18755549999999999</v>
      </c>
      <c r="BJ8" s="10">
        <v>0.17989179999999996</v>
      </c>
      <c r="BK8" s="10">
        <v>0.17062630000000001</v>
      </c>
      <c r="BL8" s="10">
        <v>0.16315869999999996</v>
      </c>
      <c r="BM8" s="27"/>
      <c r="BN8" s="48" t="s">
        <v>49</v>
      </c>
      <c r="BO8" s="27" t="s">
        <v>118</v>
      </c>
      <c r="BP8" s="27" t="s">
        <v>121</v>
      </c>
      <c r="BQ8" s="27" t="s">
        <v>120</v>
      </c>
      <c r="BR8" s="27" t="s">
        <v>122</v>
      </c>
      <c r="BS8" s="27" t="s">
        <v>124</v>
      </c>
      <c r="BT8" s="27" t="s">
        <v>118</v>
      </c>
      <c r="BU8" s="27" t="s">
        <v>120</v>
      </c>
      <c r="BV8" s="27" t="s">
        <v>124</v>
      </c>
      <c r="BW8" s="27" t="s">
        <v>124</v>
      </c>
      <c r="BX8" s="27" t="s">
        <v>118</v>
      </c>
      <c r="BY8" s="27" t="s">
        <v>124</v>
      </c>
      <c r="BZ8" s="27" t="s">
        <v>118</v>
      </c>
      <c r="CA8" s="27" t="s">
        <v>119</v>
      </c>
      <c r="CB8" s="27" t="s">
        <v>119</v>
      </c>
      <c r="CC8" s="27" t="s">
        <v>122</v>
      </c>
      <c r="CD8" s="27" t="s">
        <v>118</v>
      </c>
      <c r="CE8" s="27" t="s">
        <v>121</v>
      </c>
      <c r="CF8" s="27" t="s">
        <v>119</v>
      </c>
      <c r="CG8" s="27" t="s">
        <v>123</v>
      </c>
      <c r="CH8" s="27" t="s">
        <v>124</v>
      </c>
      <c r="CI8" s="27" t="s">
        <v>118</v>
      </c>
      <c r="CJ8" s="27" t="s">
        <v>124</v>
      </c>
      <c r="CK8" s="27" t="s">
        <v>124</v>
      </c>
      <c r="CL8" s="27" t="s">
        <v>123</v>
      </c>
      <c r="CM8" s="27" t="s">
        <v>120</v>
      </c>
      <c r="CN8" s="27" t="s">
        <v>122</v>
      </c>
      <c r="CO8" s="27" t="s">
        <v>124</v>
      </c>
      <c r="CP8" s="27" t="s">
        <v>118</v>
      </c>
      <c r="CQ8" s="27" t="s">
        <v>124</v>
      </c>
      <c r="CR8" s="27" t="s">
        <v>121</v>
      </c>
    </row>
    <row r="9" spans="1:96" x14ac:dyDescent="0.35">
      <c r="B9" s="48" t="s">
        <v>50</v>
      </c>
      <c r="C9" s="29">
        <v>2.7400000000000001E-2</v>
      </c>
      <c r="D9" s="29">
        <v>2.7400000000000001E-2</v>
      </c>
      <c r="E9" s="29">
        <v>2.8799999999999999E-2</v>
      </c>
      <c r="F9" s="29">
        <v>2.7900000000000001E-2</v>
      </c>
      <c r="G9" s="29">
        <v>2.7199999999999998E-2</v>
      </c>
      <c r="H9" s="29">
        <v>2.9600000000000001E-2</v>
      </c>
      <c r="I9" s="29">
        <v>2.7400000000000001E-2</v>
      </c>
      <c r="J9" s="29">
        <v>2.7400000000000001E-2</v>
      </c>
      <c r="K9" s="29">
        <v>2.76E-2</v>
      </c>
      <c r="L9" s="29">
        <v>2.7099999999999999E-2</v>
      </c>
      <c r="M9" s="29">
        <v>2.92E-2</v>
      </c>
      <c r="N9" s="29">
        <v>2.6599999999999999E-2</v>
      </c>
      <c r="O9" s="29">
        <v>2.7E-2</v>
      </c>
      <c r="P9" s="29">
        <v>2.6800000000000001E-2</v>
      </c>
      <c r="Q9" s="29">
        <v>2.86E-2</v>
      </c>
      <c r="R9" s="29">
        <v>2.9100000000000001E-2</v>
      </c>
      <c r="S9" s="29">
        <v>2.7900000000000001E-2</v>
      </c>
      <c r="T9" s="29">
        <v>2.8500000000000001E-2</v>
      </c>
      <c r="U9" s="29">
        <v>2.9899999999999999E-2</v>
      </c>
      <c r="V9" s="29">
        <v>2.75E-2</v>
      </c>
      <c r="W9" s="29">
        <v>2.9600000000000001E-2</v>
      </c>
      <c r="X9" s="29">
        <v>2.7199999999999998E-2</v>
      </c>
      <c r="Y9" s="29">
        <v>2.6499999999999999E-2</v>
      </c>
      <c r="Z9" s="29">
        <v>2.9499999999999998E-2</v>
      </c>
      <c r="AA9" s="29">
        <v>2.9899999999999999E-2</v>
      </c>
      <c r="AB9" s="29">
        <v>2.9600000000000001E-2</v>
      </c>
      <c r="AC9" s="29">
        <v>2.9600000000000001E-2</v>
      </c>
      <c r="AD9" s="29">
        <v>2.7199999999999998E-2</v>
      </c>
      <c r="AE9" s="29">
        <v>2.6100000000000002E-2</v>
      </c>
      <c r="AF9" s="29">
        <v>2.8299999999999999E-2</v>
      </c>
      <c r="AG9" s="29"/>
      <c r="AH9" s="48" t="s">
        <v>50</v>
      </c>
      <c r="AI9" s="2">
        <v>9.4608600000000015E-2</v>
      </c>
      <c r="AJ9" s="2">
        <v>0.10794310000000004</v>
      </c>
      <c r="AK9" s="2">
        <v>0.10888490000000001</v>
      </c>
      <c r="AL9" s="2">
        <v>0.12091819999999998</v>
      </c>
      <c r="AM9" s="2">
        <v>9.6353700000000042E-2</v>
      </c>
      <c r="AN9" s="2">
        <v>0.12822680000000006</v>
      </c>
      <c r="AO9" s="2">
        <v>0.10286170000000003</v>
      </c>
      <c r="AP9" s="2">
        <v>7.8003100000000061E-2</v>
      </c>
      <c r="AQ9" s="2">
        <v>0.14096900000000001</v>
      </c>
      <c r="AR9" s="2">
        <v>0.13210240000000001</v>
      </c>
      <c r="AS9" s="2">
        <v>0.15319289440000006</v>
      </c>
      <c r="AT9" s="2">
        <v>0.17711329440000001</v>
      </c>
      <c r="AU9" s="2">
        <v>0.11004769440000006</v>
      </c>
      <c r="AV9" s="2">
        <v>0.13755869440000007</v>
      </c>
      <c r="AW9" s="2">
        <v>0.17736739440000004</v>
      </c>
      <c r="AX9" s="2">
        <v>0.15477349440000004</v>
      </c>
      <c r="AY9" s="2">
        <v>0.16642229440000003</v>
      </c>
      <c r="AZ9" s="2">
        <v>0.14542869440000006</v>
      </c>
      <c r="BA9" s="2">
        <v>0.16062779440000008</v>
      </c>
      <c r="BB9" s="2">
        <v>0.1925368944000001</v>
      </c>
      <c r="BC9" s="2">
        <v>0.16248819440000004</v>
      </c>
      <c r="BD9" s="2">
        <v>0.14338209440000002</v>
      </c>
      <c r="BE9" s="2">
        <v>0.13103259440000004</v>
      </c>
      <c r="BF9" s="2">
        <v>0.14840699440000005</v>
      </c>
      <c r="BG9" s="2">
        <v>0.13433410000000001</v>
      </c>
      <c r="BH9" s="2">
        <v>0.10521220000000001</v>
      </c>
      <c r="BI9" s="2">
        <v>0.12055549999999998</v>
      </c>
      <c r="BJ9" s="2">
        <v>0.11289179999999996</v>
      </c>
      <c r="BK9" s="2">
        <v>0.1036263</v>
      </c>
      <c r="BL9" s="2">
        <v>9.6158699999999958E-2</v>
      </c>
      <c r="BM9" s="2"/>
      <c r="BN9" s="48" t="s">
        <v>50</v>
      </c>
      <c r="BO9" s="27" t="s">
        <v>120</v>
      </c>
      <c r="BP9" s="27" t="s">
        <v>119</v>
      </c>
      <c r="BQ9" s="27" t="s">
        <v>121</v>
      </c>
      <c r="BR9" s="27" t="s">
        <v>120</v>
      </c>
      <c r="BS9" s="27" t="s">
        <v>121</v>
      </c>
      <c r="BT9" s="27" t="s">
        <v>123</v>
      </c>
      <c r="BU9" s="27" t="s">
        <v>118</v>
      </c>
      <c r="BV9" s="27" t="s">
        <v>123</v>
      </c>
      <c r="BW9" s="27" t="s">
        <v>121</v>
      </c>
      <c r="BX9" s="27" t="s">
        <v>122</v>
      </c>
      <c r="BY9" s="27" t="s">
        <v>120</v>
      </c>
      <c r="BZ9" s="27" t="s">
        <v>118</v>
      </c>
      <c r="CA9" s="27" t="s">
        <v>119</v>
      </c>
      <c r="CB9" s="27" t="s">
        <v>123</v>
      </c>
      <c r="CC9" s="27" t="s">
        <v>119</v>
      </c>
      <c r="CD9" s="27" t="s">
        <v>123</v>
      </c>
      <c r="CE9" s="27" t="s">
        <v>124</v>
      </c>
      <c r="CF9" s="27" t="s">
        <v>123</v>
      </c>
      <c r="CG9" s="27" t="s">
        <v>119</v>
      </c>
      <c r="CH9" s="27" t="s">
        <v>123</v>
      </c>
      <c r="CI9" s="27" t="s">
        <v>123</v>
      </c>
      <c r="CJ9" s="27" t="s">
        <v>121</v>
      </c>
      <c r="CK9" s="27" t="s">
        <v>121</v>
      </c>
      <c r="CL9" s="27" t="s">
        <v>122</v>
      </c>
      <c r="CM9" s="27" t="s">
        <v>118</v>
      </c>
      <c r="CN9" s="27" t="s">
        <v>124</v>
      </c>
      <c r="CO9" s="27" t="s">
        <v>121</v>
      </c>
      <c r="CP9" s="27" t="s">
        <v>123</v>
      </c>
      <c r="CQ9" s="27" t="s">
        <v>124</v>
      </c>
      <c r="CR9" s="27" t="s">
        <v>120</v>
      </c>
    </row>
    <row r="10" spans="1:96" x14ac:dyDescent="0.35">
      <c r="B10" s="48" t="s">
        <v>51</v>
      </c>
      <c r="C10" s="29">
        <v>6.6799999999999998E-2</v>
      </c>
      <c r="D10" s="29">
        <v>6.9500000000000006E-2</v>
      </c>
      <c r="E10" s="29">
        <v>6.6900000000000001E-2</v>
      </c>
      <c r="F10" s="29">
        <v>6.9500000000000006E-2</v>
      </c>
      <c r="G10" s="29">
        <v>6.7900000000000002E-2</v>
      </c>
      <c r="H10" s="29">
        <v>6.6000000000000003E-2</v>
      </c>
      <c r="I10" s="29">
        <v>6.8000000000000005E-2</v>
      </c>
      <c r="J10" s="29">
        <v>6.7799999999999999E-2</v>
      </c>
      <c r="K10" s="29">
        <v>6.6500000000000004E-2</v>
      </c>
      <c r="L10" s="29">
        <v>6.7699999999999996E-2</v>
      </c>
      <c r="M10" s="29">
        <v>6.9000000000000006E-2</v>
      </c>
      <c r="N10" s="29">
        <v>6.7000000000000004E-2</v>
      </c>
      <c r="O10" s="29">
        <v>6.6000000000000003E-2</v>
      </c>
      <c r="P10" s="29">
        <v>6.6600000000000006E-2</v>
      </c>
      <c r="Q10" s="29">
        <v>6.8000000000000005E-2</v>
      </c>
      <c r="R10" s="29">
        <v>6.9099999999999995E-2</v>
      </c>
      <c r="S10" s="29">
        <v>6.7799999999999999E-2</v>
      </c>
      <c r="T10" s="29">
        <v>6.9199999999999998E-2</v>
      </c>
      <c r="U10" s="29">
        <v>6.7199999999999996E-2</v>
      </c>
      <c r="V10" s="29">
        <v>6.8099999999999994E-2</v>
      </c>
      <c r="W10" s="29">
        <v>6.5600000000000006E-2</v>
      </c>
      <c r="X10" s="29">
        <v>6.88E-2</v>
      </c>
      <c r="Y10" s="29">
        <v>6.7900000000000002E-2</v>
      </c>
      <c r="Z10" s="29">
        <v>6.9000000000000006E-2</v>
      </c>
      <c r="AA10" s="29">
        <v>6.7299999999999999E-2</v>
      </c>
      <c r="AB10" s="29">
        <v>6.7100000000000007E-2</v>
      </c>
      <c r="AC10" s="29">
        <v>6.7100000000000007E-2</v>
      </c>
      <c r="AD10" s="29">
        <v>6.7599999999999993E-2</v>
      </c>
      <c r="AE10" s="29">
        <v>6.9699999999999998E-2</v>
      </c>
      <c r="AF10" s="29">
        <v>6.6600000000000006E-2</v>
      </c>
      <c r="AG10" s="29"/>
      <c r="AH10" s="48" t="s">
        <v>51</v>
      </c>
      <c r="AI10" s="2">
        <v>0.1046086</v>
      </c>
      <c r="AJ10" s="2">
        <v>0.11794310000000002</v>
      </c>
      <c r="AK10" s="2">
        <v>0.11888489999999999</v>
      </c>
      <c r="AL10" s="2">
        <v>0.13091819999999996</v>
      </c>
      <c r="AM10" s="2">
        <v>0.10635370000000002</v>
      </c>
      <c r="AN10" s="2">
        <v>0.13822680000000004</v>
      </c>
      <c r="AO10" s="2">
        <v>0.11286170000000001</v>
      </c>
      <c r="AP10" s="2">
        <v>8.8003100000000042E-2</v>
      </c>
      <c r="AQ10" s="2">
        <v>0.15096899999999999</v>
      </c>
      <c r="AR10" s="2">
        <v>0.14210239999999999</v>
      </c>
      <c r="AS10" s="2">
        <v>0.16319289440000004</v>
      </c>
      <c r="AT10" s="2">
        <v>0.18711329439999999</v>
      </c>
      <c r="AU10" s="2">
        <v>0.12004769440000004</v>
      </c>
      <c r="AV10" s="2">
        <v>0.14755869440000005</v>
      </c>
      <c r="AW10" s="2">
        <v>0.18736739440000003</v>
      </c>
      <c r="AX10" s="2">
        <v>0.16477349440000003</v>
      </c>
      <c r="AY10" s="2">
        <v>0.17642229440000001</v>
      </c>
      <c r="AZ10" s="2">
        <v>0.15542869440000004</v>
      </c>
      <c r="BA10" s="2">
        <v>0.17062779440000006</v>
      </c>
      <c r="BB10" s="2">
        <v>0.20253689440000008</v>
      </c>
      <c r="BC10" s="2">
        <v>0.17248819440000002</v>
      </c>
      <c r="BD10" s="2">
        <v>0.1533820944</v>
      </c>
      <c r="BE10" s="2">
        <v>0.14103259440000002</v>
      </c>
      <c r="BF10" s="2">
        <v>0.15840699440000003</v>
      </c>
      <c r="BG10" s="2">
        <v>0.14433409999999999</v>
      </c>
      <c r="BH10" s="2">
        <v>0.11521219999999999</v>
      </c>
      <c r="BI10" s="2">
        <v>0.13055549999999996</v>
      </c>
      <c r="BJ10" s="2">
        <v>0.12289179999999994</v>
      </c>
      <c r="BK10" s="2">
        <v>0.11362629999999999</v>
      </c>
      <c r="BL10" s="2">
        <v>0.10615869999999994</v>
      </c>
      <c r="BM10" s="2"/>
      <c r="BN10" s="48" t="s">
        <v>51</v>
      </c>
      <c r="BO10" s="27" t="s">
        <v>121</v>
      </c>
      <c r="BP10" s="27" t="s">
        <v>123</v>
      </c>
      <c r="BQ10" s="27" t="s">
        <v>122</v>
      </c>
      <c r="BR10" s="27" t="s">
        <v>120</v>
      </c>
      <c r="BS10" s="27" t="s">
        <v>121</v>
      </c>
      <c r="BT10" s="27" t="s">
        <v>123</v>
      </c>
      <c r="BU10" s="27" t="s">
        <v>121</v>
      </c>
      <c r="BV10" s="27" t="s">
        <v>121</v>
      </c>
      <c r="BW10" s="27" t="s">
        <v>122</v>
      </c>
      <c r="BX10" s="27" t="s">
        <v>123</v>
      </c>
      <c r="BY10" s="27" t="s">
        <v>120</v>
      </c>
      <c r="BZ10" s="27" t="s">
        <v>122</v>
      </c>
      <c r="CA10" s="27" t="s">
        <v>120</v>
      </c>
      <c r="CB10" s="27" t="s">
        <v>121</v>
      </c>
      <c r="CC10" s="27" t="s">
        <v>120</v>
      </c>
      <c r="CD10" s="27" t="s">
        <v>121</v>
      </c>
      <c r="CE10" s="27" t="s">
        <v>119</v>
      </c>
      <c r="CF10" s="27" t="s">
        <v>122</v>
      </c>
      <c r="CG10" s="27" t="s">
        <v>121</v>
      </c>
      <c r="CH10" s="27" t="s">
        <v>124</v>
      </c>
      <c r="CI10" s="27" t="s">
        <v>123</v>
      </c>
      <c r="CJ10" s="27" t="s">
        <v>124</v>
      </c>
      <c r="CK10" s="27" t="s">
        <v>122</v>
      </c>
      <c r="CL10" s="27" t="s">
        <v>121</v>
      </c>
      <c r="CM10" s="27" t="s">
        <v>119</v>
      </c>
      <c r="CN10" s="27" t="s">
        <v>124</v>
      </c>
      <c r="CO10" s="27" t="s">
        <v>122</v>
      </c>
      <c r="CP10" s="27" t="s">
        <v>121</v>
      </c>
      <c r="CQ10" s="27" t="s">
        <v>120</v>
      </c>
      <c r="CR10" s="27" t="s">
        <v>123</v>
      </c>
    </row>
    <row r="11" spans="1:96" x14ac:dyDescent="0.35">
      <c r="B11" s="48" t="s">
        <v>52</v>
      </c>
      <c r="C11" s="29">
        <v>0.1149</v>
      </c>
      <c r="D11" s="29">
        <v>0.11849999999999999</v>
      </c>
      <c r="E11" s="29">
        <v>0.1167</v>
      </c>
      <c r="F11" s="29">
        <v>0.1174</v>
      </c>
      <c r="G11" s="29">
        <v>0.11700000000000001</v>
      </c>
      <c r="H11" s="29">
        <v>0.1149</v>
      </c>
      <c r="I11" s="29">
        <v>0.11700000000000001</v>
      </c>
      <c r="J11" s="29">
        <v>0.11890000000000001</v>
      </c>
      <c r="K11" s="29">
        <v>0.1181</v>
      </c>
      <c r="L11" s="29">
        <v>0.11609999999999999</v>
      </c>
      <c r="M11" s="29">
        <v>0.1177</v>
      </c>
      <c r="N11" s="29">
        <v>0.1145</v>
      </c>
      <c r="O11" s="29">
        <v>0.1176</v>
      </c>
      <c r="P11" s="29">
        <v>0.1187</v>
      </c>
      <c r="Q11" s="29">
        <v>0.1152</v>
      </c>
      <c r="R11" s="29">
        <v>0.1186</v>
      </c>
      <c r="S11" s="29">
        <v>0.1166</v>
      </c>
      <c r="T11" s="29">
        <v>0.11459999999999999</v>
      </c>
      <c r="U11" s="29">
        <v>0.1162</v>
      </c>
      <c r="V11" s="29">
        <v>0.11609999999999999</v>
      </c>
      <c r="W11" s="29">
        <v>0.11749999999999999</v>
      </c>
      <c r="X11" s="29">
        <v>0.1163</v>
      </c>
      <c r="Y11" s="29">
        <v>0.1181</v>
      </c>
      <c r="Z11" s="29">
        <v>0.1182</v>
      </c>
      <c r="AA11" s="29">
        <v>0.1154</v>
      </c>
      <c r="AB11" s="29">
        <v>0.1173</v>
      </c>
      <c r="AC11" s="29">
        <v>0.1147</v>
      </c>
      <c r="AD11" s="29">
        <v>0.1181</v>
      </c>
      <c r="AE11" s="29">
        <v>0.11749999999999999</v>
      </c>
      <c r="AF11" s="29">
        <v>0.11700000000000001</v>
      </c>
      <c r="AG11" s="29"/>
      <c r="AH11" s="48" t="s">
        <v>52</v>
      </c>
      <c r="AI11" s="10">
        <v>0.13060860000000002</v>
      </c>
      <c r="AJ11" s="10">
        <v>0.14394310000000005</v>
      </c>
      <c r="AK11" s="10">
        <v>0.14488490000000001</v>
      </c>
      <c r="AL11" s="10">
        <v>0.15691819999999998</v>
      </c>
      <c r="AM11" s="10">
        <v>0.13235370000000005</v>
      </c>
      <c r="AN11" s="10">
        <v>0.16422680000000006</v>
      </c>
      <c r="AO11" s="10">
        <v>0.13886170000000003</v>
      </c>
      <c r="AP11" s="10">
        <v>0.11400310000000007</v>
      </c>
      <c r="AQ11" s="10">
        <v>0.17696900000000002</v>
      </c>
      <c r="AR11" s="10">
        <v>0.16810240000000001</v>
      </c>
      <c r="AS11" s="10">
        <v>0.18919289440000006</v>
      </c>
      <c r="AT11" s="10">
        <v>0.21311329440000001</v>
      </c>
      <c r="AU11" s="10">
        <v>0.14604769440000007</v>
      </c>
      <c r="AV11" s="10">
        <v>0.17355869440000007</v>
      </c>
      <c r="AW11" s="10">
        <v>0.21336739440000005</v>
      </c>
      <c r="AX11" s="10">
        <v>0.19077349440000005</v>
      </c>
      <c r="AY11" s="10">
        <v>0.20242229440000004</v>
      </c>
      <c r="AZ11" s="10">
        <v>0.18142869440000006</v>
      </c>
      <c r="BA11" s="10">
        <v>0.19662779440000008</v>
      </c>
      <c r="BB11" s="10">
        <v>0.22853689440000011</v>
      </c>
      <c r="BC11" s="10">
        <v>0.19848819440000004</v>
      </c>
      <c r="BD11" s="10">
        <v>0.17938209440000003</v>
      </c>
      <c r="BE11" s="10">
        <v>0.16703259440000004</v>
      </c>
      <c r="BF11" s="10">
        <v>0.18440699440000005</v>
      </c>
      <c r="BG11" s="10">
        <v>0.17033410000000002</v>
      </c>
      <c r="BH11" s="10">
        <v>0.14121220000000001</v>
      </c>
      <c r="BI11" s="10">
        <v>0.15655549999999999</v>
      </c>
      <c r="BJ11" s="10">
        <v>0.14889179999999996</v>
      </c>
      <c r="BK11" s="10">
        <v>0.13962630000000001</v>
      </c>
      <c r="BL11" s="10">
        <v>0.13215869999999996</v>
      </c>
      <c r="BM11" s="27"/>
      <c r="BN11" s="48" t="s">
        <v>52</v>
      </c>
      <c r="BO11" s="27" t="s">
        <v>121</v>
      </c>
      <c r="BP11" s="27" t="s">
        <v>119</v>
      </c>
      <c r="BQ11" s="27" t="s">
        <v>124</v>
      </c>
      <c r="BR11" s="27" t="s">
        <v>124</v>
      </c>
      <c r="BS11" s="27" t="s">
        <v>123</v>
      </c>
      <c r="BT11" s="27" t="s">
        <v>120</v>
      </c>
      <c r="BU11" s="27" t="s">
        <v>122</v>
      </c>
      <c r="BV11" s="27" t="s">
        <v>123</v>
      </c>
      <c r="BW11" s="27" t="s">
        <v>120</v>
      </c>
      <c r="BX11" s="27" t="s">
        <v>119</v>
      </c>
      <c r="BY11" s="27" t="s">
        <v>122</v>
      </c>
      <c r="BZ11" s="27" t="s">
        <v>122</v>
      </c>
      <c r="CA11" s="27" t="s">
        <v>120</v>
      </c>
      <c r="CB11" s="27" t="s">
        <v>120</v>
      </c>
      <c r="CC11" s="27" t="s">
        <v>124</v>
      </c>
      <c r="CD11" s="27" t="s">
        <v>122</v>
      </c>
      <c r="CE11" s="27" t="s">
        <v>122</v>
      </c>
      <c r="CF11" s="27" t="s">
        <v>120</v>
      </c>
      <c r="CG11" s="27" t="s">
        <v>119</v>
      </c>
      <c r="CH11" s="27" t="s">
        <v>120</v>
      </c>
      <c r="CI11" s="27" t="s">
        <v>119</v>
      </c>
      <c r="CJ11" s="27" t="s">
        <v>124</v>
      </c>
      <c r="CK11" s="27" t="s">
        <v>119</v>
      </c>
      <c r="CL11" s="27" t="s">
        <v>123</v>
      </c>
      <c r="CM11" s="27" t="s">
        <v>119</v>
      </c>
      <c r="CN11" s="27" t="s">
        <v>119</v>
      </c>
      <c r="CO11" s="27" t="s">
        <v>124</v>
      </c>
      <c r="CP11" s="27" t="s">
        <v>118</v>
      </c>
      <c r="CQ11" s="27" t="s">
        <v>122</v>
      </c>
      <c r="CR11" s="27" t="s">
        <v>119</v>
      </c>
    </row>
    <row r="12" spans="1:96" x14ac:dyDescent="0.35">
      <c r="B12" s="48" t="s">
        <v>53</v>
      </c>
      <c r="C12" s="29">
        <v>5.4300000000000001E-2</v>
      </c>
      <c r="D12" s="29">
        <v>5.79E-2</v>
      </c>
      <c r="E12" s="29">
        <v>5.5300000000000002E-2</v>
      </c>
      <c r="F12" s="29">
        <v>5.45E-2</v>
      </c>
      <c r="G12" s="29">
        <v>5.74E-2</v>
      </c>
      <c r="H12" s="29">
        <v>5.67E-2</v>
      </c>
      <c r="I12" s="29">
        <v>5.5100000000000003E-2</v>
      </c>
      <c r="J12" s="29">
        <v>5.6300000000000003E-2</v>
      </c>
      <c r="K12" s="29">
        <v>5.3600000000000002E-2</v>
      </c>
      <c r="L12" s="29">
        <v>5.8700000000000002E-2</v>
      </c>
      <c r="M12" s="29">
        <v>5.6599999999999998E-2</v>
      </c>
      <c r="N12" s="29">
        <v>5.7099999999999998E-2</v>
      </c>
      <c r="O12" s="29">
        <v>5.8700000000000002E-2</v>
      </c>
      <c r="P12" s="29">
        <v>5.5100000000000003E-2</v>
      </c>
      <c r="Q12" s="29">
        <v>5.67E-2</v>
      </c>
      <c r="R12" s="29">
        <v>5.4300000000000001E-2</v>
      </c>
      <c r="S12" s="29">
        <v>5.4199999999999998E-2</v>
      </c>
      <c r="T12" s="29">
        <v>5.5800000000000002E-2</v>
      </c>
      <c r="U12" s="29">
        <v>5.3400000000000003E-2</v>
      </c>
      <c r="V12" s="29">
        <v>5.4800000000000001E-2</v>
      </c>
      <c r="W12" s="29">
        <v>5.4899999999999997E-2</v>
      </c>
      <c r="X12" s="29">
        <v>5.5899999999999998E-2</v>
      </c>
      <c r="Y12" s="29">
        <v>5.3400000000000003E-2</v>
      </c>
      <c r="Z12" s="29">
        <v>5.8299999999999998E-2</v>
      </c>
      <c r="AA12" s="29">
        <v>5.57E-2</v>
      </c>
      <c r="AB12" s="29">
        <v>5.57E-2</v>
      </c>
      <c r="AC12" s="29">
        <v>5.5500000000000001E-2</v>
      </c>
      <c r="AD12" s="29">
        <v>5.6800000000000003E-2</v>
      </c>
      <c r="AE12" s="29">
        <v>5.5E-2</v>
      </c>
      <c r="AF12" s="29">
        <v>5.8900000000000001E-2</v>
      </c>
      <c r="AG12" s="29"/>
      <c r="AH12" s="48" t="s">
        <v>53</v>
      </c>
      <c r="AI12" s="10">
        <v>0.1116086</v>
      </c>
      <c r="AJ12" s="10">
        <v>0.12494310000000003</v>
      </c>
      <c r="AK12" s="10">
        <v>0.12588489999999999</v>
      </c>
      <c r="AL12" s="10">
        <v>0.13791819999999996</v>
      </c>
      <c r="AM12" s="10">
        <v>0.11335370000000003</v>
      </c>
      <c r="AN12" s="10">
        <v>0.14522680000000004</v>
      </c>
      <c r="AO12" s="10">
        <v>0.11986170000000002</v>
      </c>
      <c r="AP12" s="10">
        <v>9.5003100000000049E-2</v>
      </c>
      <c r="AQ12" s="10">
        <v>0.157969</v>
      </c>
      <c r="AR12" s="10">
        <v>0.1491024</v>
      </c>
      <c r="AS12" s="10">
        <v>0.17019289440000004</v>
      </c>
      <c r="AT12" s="10">
        <v>0.1941132944</v>
      </c>
      <c r="AU12" s="10">
        <v>0.12704769440000005</v>
      </c>
      <c r="AV12" s="10">
        <v>0.15455869440000006</v>
      </c>
      <c r="AW12" s="10">
        <v>0.19436739440000003</v>
      </c>
      <c r="AX12" s="10">
        <v>0.17177349440000003</v>
      </c>
      <c r="AY12" s="10">
        <v>0.18342229440000002</v>
      </c>
      <c r="AZ12" s="10">
        <v>0.16242869440000005</v>
      </c>
      <c r="BA12" s="10">
        <v>0.17762779440000007</v>
      </c>
      <c r="BB12" s="10">
        <v>0.20953689440000009</v>
      </c>
      <c r="BC12" s="10">
        <v>0.17948819440000002</v>
      </c>
      <c r="BD12" s="10">
        <v>0.16038209440000001</v>
      </c>
      <c r="BE12" s="10">
        <v>0.14803259440000002</v>
      </c>
      <c r="BF12" s="10">
        <v>0.16540699440000003</v>
      </c>
      <c r="BG12" s="10">
        <v>0.1513341</v>
      </c>
      <c r="BH12" s="10">
        <v>0.12221219999999999</v>
      </c>
      <c r="BI12" s="10">
        <v>0.13755549999999997</v>
      </c>
      <c r="BJ12" s="10">
        <v>0.12989179999999995</v>
      </c>
      <c r="BK12" s="10">
        <v>0.12062629999999999</v>
      </c>
      <c r="BL12" s="10">
        <v>0.11315869999999995</v>
      </c>
      <c r="BM12" s="27"/>
      <c r="BN12" s="48" t="s">
        <v>53</v>
      </c>
      <c r="BO12" s="27" t="s">
        <v>120</v>
      </c>
      <c r="BP12" s="27" t="s">
        <v>119</v>
      </c>
      <c r="BQ12" s="27" t="s">
        <v>122</v>
      </c>
      <c r="BR12" s="27" t="s">
        <v>123</v>
      </c>
      <c r="BS12" s="27" t="s">
        <v>120</v>
      </c>
      <c r="BT12" s="27" t="s">
        <v>120</v>
      </c>
      <c r="BU12" s="27" t="s">
        <v>124</v>
      </c>
      <c r="BV12" s="27" t="s">
        <v>124</v>
      </c>
      <c r="BW12" s="27" t="s">
        <v>123</v>
      </c>
      <c r="BX12" s="27" t="s">
        <v>122</v>
      </c>
      <c r="BY12" s="27" t="s">
        <v>122</v>
      </c>
      <c r="BZ12" s="27" t="s">
        <v>120</v>
      </c>
      <c r="CA12" s="27" t="s">
        <v>124</v>
      </c>
      <c r="CB12" s="27" t="s">
        <v>123</v>
      </c>
      <c r="CC12" s="27" t="s">
        <v>124</v>
      </c>
      <c r="CD12" s="27" t="s">
        <v>118</v>
      </c>
      <c r="CE12" s="27" t="s">
        <v>120</v>
      </c>
      <c r="CF12" s="27" t="s">
        <v>119</v>
      </c>
      <c r="CG12" s="27" t="s">
        <v>118</v>
      </c>
      <c r="CH12" s="27" t="s">
        <v>122</v>
      </c>
      <c r="CI12" s="27" t="s">
        <v>123</v>
      </c>
      <c r="CJ12" s="27" t="s">
        <v>118</v>
      </c>
      <c r="CK12" s="27" t="s">
        <v>123</v>
      </c>
      <c r="CL12" s="27" t="s">
        <v>121</v>
      </c>
      <c r="CM12" s="27" t="s">
        <v>121</v>
      </c>
      <c r="CN12" s="27" t="s">
        <v>120</v>
      </c>
      <c r="CO12" s="27" t="s">
        <v>122</v>
      </c>
      <c r="CP12" s="27" t="s">
        <v>119</v>
      </c>
      <c r="CQ12" s="27" t="s">
        <v>121</v>
      </c>
      <c r="CR12" s="27" t="s">
        <v>121</v>
      </c>
    </row>
    <row r="13" spans="1:96" x14ac:dyDescent="0.35">
      <c r="B13" s="48" t="s">
        <v>54</v>
      </c>
      <c r="C13" s="29">
        <v>8.6099999999999996E-2</v>
      </c>
      <c r="D13" s="29">
        <v>8.8099999999999998E-2</v>
      </c>
      <c r="E13" s="29">
        <v>8.5800000000000001E-2</v>
      </c>
      <c r="F13" s="29">
        <v>8.72E-2</v>
      </c>
      <c r="G13" s="29">
        <v>8.6599999999999996E-2</v>
      </c>
      <c r="H13" s="29">
        <v>8.7599999999999997E-2</v>
      </c>
      <c r="I13" s="29">
        <v>8.7499999999999994E-2</v>
      </c>
      <c r="J13" s="29">
        <v>8.3900000000000002E-2</v>
      </c>
      <c r="K13" s="29">
        <v>8.48E-2</v>
      </c>
      <c r="L13" s="29">
        <v>8.4500000000000006E-2</v>
      </c>
      <c r="M13" s="29">
        <v>8.6800000000000002E-2</v>
      </c>
      <c r="N13" s="29">
        <v>8.72E-2</v>
      </c>
      <c r="O13" s="29">
        <v>8.8099999999999998E-2</v>
      </c>
      <c r="P13" s="29">
        <v>8.3199999999999996E-2</v>
      </c>
      <c r="Q13" s="29">
        <v>8.8700000000000001E-2</v>
      </c>
      <c r="R13" s="29">
        <v>8.4900000000000003E-2</v>
      </c>
      <c r="S13" s="29">
        <v>8.6099999999999996E-2</v>
      </c>
      <c r="T13" s="29">
        <v>8.3199999999999996E-2</v>
      </c>
      <c r="U13" s="29">
        <v>8.5699999999999998E-2</v>
      </c>
      <c r="V13" s="29">
        <v>8.4199999999999997E-2</v>
      </c>
      <c r="W13" s="29">
        <v>8.6800000000000002E-2</v>
      </c>
      <c r="X13" s="29">
        <v>8.3199999999999996E-2</v>
      </c>
      <c r="Y13" s="29">
        <v>8.8800000000000004E-2</v>
      </c>
      <c r="Z13" s="29">
        <v>8.4199999999999997E-2</v>
      </c>
      <c r="AA13" s="29">
        <v>8.72E-2</v>
      </c>
      <c r="AB13" s="29">
        <v>8.7300000000000003E-2</v>
      </c>
      <c r="AC13" s="29">
        <v>8.3900000000000002E-2</v>
      </c>
      <c r="AD13" s="29">
        <v>8.4900000000000003E-2</v>
      </c>
      <c r="AE13" s="29">
        <v>8.4500000000000006E-2</v>
      </c>
      <c r="AF13" s="29">
        <v>8.5800000000000001E-2</v>
      </c>
      <c r="AG13" s="29"/>
      <c r="AH13" s="48" t="s">
        <v>54</v>
      </c>
      <c r="AI13" s="10">
        <v>0.1666086</v>
      </c>
      <c r="AJ13" s="10">
        <v>0.17994310000000002</v>
      </c>
      <c r="AK13" s="10">
        <v>0.18088489999999999</v>
      </c>
      <c r="AL13" s="10">
        <v>0.19291819999999996</v>
      </c>
      <c r="AM13" s="10">
        <v>0.16835370000000002</v>
      </c>
      <c r="AN13" s="10">
        <v>0.20022680000000004</v>
      </c>
      <c r="AO13" s="10">
        <v>0.17486170000000001</v>
      </c>
      <c r="AP13" s="10">
        <v>0.15000310000000006</v>
      </c>
      <c r="AQ13" s="10">
        <v>0.21296899999999999</v>
      </c>
      <c r="AR13" s="10">
        <v>0.20410239999999999</v>
      </c>
      <c r="AS13" s="10">
        <v>0.22519289440000004</v>
      </c>
      <c r="AT13" s="10">
        <v>0.24911329439999999</v>
      </c>
      <c r="AU13" s="10">
        <v>0.18204769440000004</v>
      </c>
      <c r="AV13" s="10">
        <v>0.20955869440000005</v>
      </c>
      <c r="AW13" s="10">
        <v>0.24936739440000003</v>
      </c>
      <c r="AX13" s="10">
        <v>0.22677349440000003</v>
      </c>
      <c r="AY13" s="10">
        <v>0.23842229440000001</v>
      </c>
      <c r="AZ13" s="10">
        <v>0.21742869440000004</v>
      </c>
      <c r="BA13" s="10">
        <v>0.23262779440000006</v>
      </c>
      <c r="BB13" s="10">
        <v>0.26453689440000006</v>
      </c>
      <c r="BC13" s="10">
        <v>0.23448819440000002</v>
      </c>
      <c r="BD13" s="10">
        <v>0.2153820944</v>
      </c>
      <c r="BE13" s="10">
        <v>0.20303259440000002</v>
      </c>
      <c r="BF13" s="10">
        <v>0.22040699440000003</v>
      </c>
      <c r="BG13" s="10">
        <v>0.20633409999999999</v>
      </c>
      <c r="BH13" s="10">
        <v>0.17721219999999999</v>
      </c>
      <c r="BI13" s="10">
        <v>0.19255549999999996</v>
      </c>
      <c r="BJ13" s="10">
        <v>0.18489179999999994</v>
      </c>
      <c r="BK13" s="10">
        <v>0.17562629999999999</v>
      </c>
      <c r="BL13" s="10">
        <v>0.16815869999999994</v>
      </c>
      <c r="BM13" s="27"/>
      <c r="BN13" s="48" t="s">
        <v>54</v>
      </c>
      <c r="BO13" s="27" t="s">
        <v>122</v>
      </c>
      <c r="BP13" s="27" t="s">
        <v>122</v>
      </c>
      <c r="BQ13" s="27" t="s">
        <v>120</v>
      </c>
      <c r="BR13" s="27" t="s">
        <v>118</v>
      </c>
      <c r="BS13" s="27" t="s">
        <v>122</v>
      </c>
      <c r="BT13" s="27" t="s">
        <v>123</v>
      </c>
      <c r="BU13" s="27" t="s">
        <v>122</v>
      </c>
      <c r="BV13" s="27" t="s">
        <v>118</v>
      </c>
      <c r="BW13" s="27" t="s">
        <v>123</v>
      </c>
      <c r="BX13" s="27" t="s">
        <v>121</v>
      </c>
      <c r="BY13" s="27" t="s">
        <v>122</v>
      </c>
      <c r="BZ13" s="27" t="s">
        <v>123</v>
      </c>
      <c r="CA13" s="27" t="s">
        <v>123</v>
      </c>
      <c r="CB13" s="27" t="s">
        <v>123</v>
      </c>
      <c r="CC13" s="27" t="s">
        <v>118</v>
      </c>
      <c r="CD13" s="27" t="s">
        <v>119</v>
      </c>
      <c r="CE13" s="27" t="s">
        <v>122</v>
      </c>
      <c r="CF13" s="27" t="s">
        <v>124</v>
      </c>
      <c r="CG13" s="27" t="s">
        <v>123</v>
      </c>
      <c r="CH13" s="27" t="s">
        <v>119</v>
      </c>
      <c r="CI13" s="27" t="s">
        <v>118</v>
      </c>
      <c r="CJ13" s="27" t="s">
        <v>120</v>
      </c>
      <c r="CK13" s="27" t="s">
        <v>118</v>
      </c>
      <c r="CL13" s="27" t="s">
        <v>118</v>
      </c>
      <c r="CM13" s="27" t="s">
        <v>118</v>
      </c>
      <c r="CN13" s="27" t="s">
        <v>123</v>
      </c>
      <c r="CO13" s="27" t="s">
        <v>120</v>
      </c>
      <c r="CP13" s="27" t="s">
        <v>122</v>
      </c>
      <c r="CQ13" s="27" t="s">
        <v>119</v>
      </c>
      <c r="CR13" s="27" t="s">
        <v>118</v>
      </c>
    </row>
    <row r="14" spans="1:96" x14ac:dyDescent="0.35">
      <c r="B14" s="48" t="s">
        <v>55</v>
      </c>
      <c r="C14" s="29">
        <v>2.0500000000000001E-2</v>
      </c>
      <c r="D14" s="29">
        <v>2.1999999999999999E-2</v>
      </c>
      <c r="E14" s="29">
        <v>2.2499999999999999E-2</v>
      </c>
      <c r="F14" s="29">
        <v>2.4500000000000001E-2</v>
      </c>
      <c r="G14" s="29">
        <v>2.3599999999999999E-2</v>
      </c>
      <c r="H14" s="29">
        <v>2.4400000000000002E-2</v>
      </c>
      <c r="I14" s="29">
        <v>2.4E-2</v>
      </c>
      <c r="J14" s="29">
        <v>2.53E-2</v>
      </c>
      <c r="K14" s="29">
        <v>2.3300000000000001E-2</v>
      </c>
      <c r="L14" s="29">
        <v>2.1299999999999999E-2</v>
      </c>
      <c r="M14" s="29">
        <v>2.4899999999999999E-2</v>
      </c>
      <c r="N14" s="29">
        <v>2.35E-2</v>
      </c>
      <c r="O14" s="29">
        <v>2.1000000000000001E-2</v>
      </c>
      <c r="P14" s="29">
        <v>2.2200000000000001E-2</v>
      </c>
      <c r="Q14" s="29">
        <v>2.4799999999999999E-2</v>
      </c>
      <c r="R14" s="29">
        <v>2.23E-2</v>
      </c>
      <c r="S14" s="29">
        <v>2.3400000000000001E-2</v>
      </c>
      <c r="T14" s="29">
        <v>2.53E-2</v>
      </c>
      <c r="U14" s="29">
        <v>2.12E-2</v>
      </c>
      <c r="V14" s="29">
        <v>2.47E-2</v>
      </c>
      <c r="W14" s="29">
        <v>2.3699999999999999E-2</v>
      </c>
      <c r="X14" s="29">
        <v>2.3599999999999999E-2</v>
      </c>
      <c r="Y14" s="29">
        <v>2.3599999999999999E-2</v>
      </c>
      <c r="Z14" s="29">
        <v>2.4E-2</v>
      </c>
      <c r="AA14" s="29">
        <v>2.1499999999999998E-2</v>
      </c>
      <c r="AB14" s="29">
        <v>2.3300000000000001E-2</v>
      </c>
      <c r="AC14" s="29">
        <v>2.2499999999999999E-2</v>
      </c>
      <c r="AD14" s="29">
        <v>2.1399999999999999E-2</v>
      </c>
      <c r="AE14" s="29">
        <v>2.41E-2</v>
      </c>
      <c r="AF14" s="29">
        <v>2.3199999999999998E-2</v>
      </c>
      <c r="AG14" s="29"/>
      <c r="AH14" s="48" t="s">
        <v>55</v>
      </c>
      <c r="AI14" s="2">
        <v>0.1376086</v>
      </c>
      <c r="AJ14" s="2">
        <v>0.15094310000000002</v>
      </c>
      <c r="AK14" s="2">
        <v>0.15188489999999999</v>
      </c>
      <c r="AL14" s="2">
        <v>0.16391819999999996</v>
      </c>
      <c r="AM14" s="2">
        <v>0.13935370000000002</v>
      </c>
      <c r="AN14" s="2">
        <v>0.17122680000000004</v>
      </c>
      <c r="AO14" s="2">
        <v>0.14586170000000001</v>
      </c>
      <c r="AP14" s="2">
        <v>0.12100310000000004</v>
      </c>
      <c r="AQ14" s="2">
        <v>0.18396899999999999</v>
      </c>
      <c r="AR14" s="2">
        <v>0.17510239999999999</v>
      </c>
      <c r="AS14" s="2">
        <v>0.19619289440000004</v>
      </c>
      <c r="AT14" s="2">
        <v>0.22011329439999999</v>
      </c>
      <c r="AU14" s="2">
        <v>0.15304769440000004</v>
      </c>
      <c r="AV14" s="2">
        <v>0.18055869440000005</v>
      </c>
      <c r="AW14" s="2">
        <v>0.22036739440000003</v>
      </c>
      <c r="AX14" s="2">
        <v>0.19777349440000003</v>
      </c>
      <c r="AY14" s="2">
        <v>0.20942229440000001</v>
      </c>
      <c r="AZ14" s="2">
        <v>0.18842869440000004</v>
      </c>
      <c r="BA14" s="2">
        <v>0.20362779440000006</v>
      </c>
      <c r="BB14" s="2">
        <v>0.23553689440000009</v>
      </c>
      <c r="BC14" s="2">
        <v>0.20548819440000002</v>
      </c>
      <c r="BD14" s="2">
        <v>0.1863820944</v>
      </c>
      <c r="BE14" s="2">
        <v>0.17403259440000002</v>
      </c>
      <c r="BF14" s="2">
        <v>0.19140699440000003</v>
      </c>
      <c r="BG14" s="2">
        <v>0.17733409999999999</v>
      </c>
      <c r="BH14" s="2">
        <v>0.14821219999999999</v>
      </c>
      <c r="BI14" s="2">
        <v>0.16355549999999996</v>
      </c>
      <c r="BJ14" s="2">
        <v>0.15589179999999994</v>
      </c>
      <c r="BK14" s="2">
        <v>0.14662629999999999</v>
      </c>
      <c r="BL14" s="2">
        <v>0.13915869999999994</v>
      </c>
      <c r="BM14" s="10"/>
      <c r="BN14" s="48" t="s">
        <v>55</v>
      </c>
      <c r="BO14" s="27" t="s">
        <v>123</v>
      </c>
      <c r="BP14" s="27" t="s">
        <v>124</v>
      </c>
      <c r="BQ14" s="27" t="s">
        <v>120</v>
      </c>
      <c r="BR14" s="27" t="s">
        <v>120</v>
      </c>
      <c r="BS14" s="27" t="s">
        <v>123</v>
      </c>
      <c r="BT14" s="27" t="s">
        <v>120</v>
      </c>
      <c r="BU14" s="27" t="s">
        <v>119</v>
      </c>
      <c r="BV14" s="27" t="s">
        <v>119</v>
      </c>
      <c r="BW14" s="27" t="s">
        <v>123</v>
      </c>
      <c r="BX14" s="27" t="s">
        <v>122</v>
      </c>
      <c r="BY14" s="27" t="s">
        <v>121</v>
      </c>
      <c r="BZ14" s="27" t="s">
        <v>121</v>
      </c>
      <c r="CA14" s="27" t="s">
        <v>120</v>
      </c>
      <c r="CB14" s="27" t="s">
        <v>119</v>
      </c>
      <c r="CC14" s="27" t="s">
        <v>118</v>
      </c>
      <c r="CD14" s="27" t="s">
        <v>124</v>
      </c>
      <c r="CE14" s="27" t="s">
        <v>119</v>
      </c>
      <c r="CF14" s="27" t="s">
        <v>123</v>
      </c>
      <c r="CG14" s="27" t="s">
        <v>120</v>
      </c>
      <c r="CH14" s="27" t="s">
        <v>122</v>
      </c>
      <c r="CI14" s="27" t="s">
        <v>119</v>
      </c>
      <c r="CJ14" s="27" t="s">
        <v>122</v>
      </c>
      <c r="CK14" s="27" t="s">
        <v>119</v>
      </c>
      <c r="CL14" s="27" t="s">
        <v>124</v>
      </c>
      <c r="CM14" s="27" t="s">
        <v>121</v>
      </c>
      <c r="CN14" s="27" t="s">
        <v>122</v>
      </c>
      <c r="CO14" s="27" t="s">
        <v>119</v>
      </c>
      <c r="CP14" s="27" t="s">
        <v>118</v>
      </c>
      <c r="CQ14" s="27" t="s">
        <v>122</v>
      </c>
      <c r="CR14" s="27" t="s">
        <v>120</v>
      </c>
    </row>
    <row r="15" spans="1:96" x14ac:dyDescent="0.35">
      <c r="B15" s="48" t="s">
        <v>56</v>
      </c>
      <c r="C15" s="29">
        <v>5.9400000000000001E-2</v>
      </c>
      <c r="D15" s="29">
        <v>6.2E-2</v>
      </c>
      <c r="E15" s="29">
        <v>5.91E-2</v>
      </c>
      <c r="F15" s="29">
        <v>5.8900000000000001E-2</v>
      </c>
      <c r="G15" s="29">
        <v>6.3200000000000006E-2</v>
      </c>
      <c r="H15" s="29">
        <v>6.3500000000000001E-2</v>
      </c>
      <c r="I15" s="29">
        <v>6.3200000000000006E-2</v>
      </c>
      <c r="J15" s="29">
        <v>6.1199999999999997E-2</v>
      </c>
      <c r="K15" s="29">
        <v>5.8799999999999998E-2</v>
      </c>
      <c r="L15" s="29">
        <v>5.9200000000000003E-2</v>
      </c>
      <c r="M15" s="29">
        <v>6.2600000000000003E-2</v>
      </c>
      <c r="N15" s="29">
        <v>5.8999999999999997E-2</v>
      </c>
      <c r="O15" s="29">
        <v>6.2E-2</v>
      </c>
      <c r="P15" s="29">
        <v>6.2399999999999997E-2</v>
      </c>
      <c r="Q15" s="29">
        <v>6.1199999999999997E-2</v>
      </c>
      <c r="R15" s="29">
        <v>6.4000000000000001E-2</v>
      </c>
      <c r="S15" s="29">
        <v>6.1499999999999999E-2</v>
      </c>
      <c r="T15" s="29">
        <v>6.1499999999999999E-2</v>
      </c>
      <c r="U15" s="29">
        <v>6.3799999999999996E-2</v>
      </c>
      <c r="V15" s="29">
        <v>6.1100000000000002E-2</v>
      </c>
      <c r="W15" s="29">
        <v>6.0999999999999999E-2</v>
      </c>
      <c r="X15" s="29">
        <v>6.0400000000000002E-2</v>
      </c>
      <c r="Y15" s="29">
        <v>6.2199999999999998E-2</v>
      </c>
      <c r="Z15" s="29">
        <v>5.8999999999999997E-2</v>
      </c>
      <c r="AA15" s="29">
        <v>6.3600000000000004E-2</v>
      </c>
      <c r="AB15" s="29">
        <v>6.3399999999999998E-2</v>
      </c>
      <c r="AC15" s="29">
        <v>6.2100000000000002E-2</v>
      </c>
      <c r="AD15" s="29">
        <v>5.9200000000000003E-2</v>
      </c>
      <c r="AE15" s="29">
        <v>5.9200000000000003E-2</v>
      </c>
      <c r="AF15" s="29">
        <v>6.4299999999999996E-2</v>
      </c>
      <c r="AG15" s="29"/>
      <c r="AH15" s="48" t="s">
        <v>56</v>
      </c>
      <c r="AI15" s="2">
        <v>7.76086E-2</v>
      </c>
      <c r="AJ15" s="2">
        <v>9.0943100000000027E-2</v>
      </c>
      <c r="AK15" s="2">
        <v>9.1884899999999992E-2</v>
      </c>
      <c r="AL15" s="2">
        <v>0.10391819999999996</v>
      </c>
      <c r="AM15" s="2">
        <v>7.9353700000000027E-2</v>
      </c>
      <c r="AN15" s="2">
        <v>0.11122680000000004</v>
      </c>
      <c r="AO15" s="2">
        <v>8.5861700000000013E-2</v>
      </c>
      <c r="AP15" s="2">
        <v>6.1003100000000046E-2</v>
      </c>
      <c r="AQ15" s="2">
        <v>0.123969</v>
      </c>
      <c r="AR15" s="2">
        <v>0.11510239999999999</v>
      </c>
      <c r="AS15" s="2">
        <v>0.13619289440000004</v>
      </c>
      <c r="AT15" s="2">
        <v>0.16011329439999999</v>
      </c>
      <c r="AU15" s="2">
        <v>9.3047694400000047E-2</v>
      </c>
      <c r="AV15" s="2">
        <v>0.12055869440000005</v>
      </c>
      <c r="AW15" s="2">
        <v>0.16036739440000003</v>
      </c>
      <c r="AX15" s="2">
        <v>0.13777349440000003</v>
      </c>
      <c r="AY15" s="2">
        <v>0.14942229440000002</v>
      </c>
      <c r="AZ15" s="2">
        <v>0.12842869440000004</v>
      </c>
      <c r="BA15" s="2">
        <v>0.14362779440000006</v>
      </c>
      <c r="BB15" s="2">
        <v>0.17553689440000009</v>
      </c>
      <c r="BC15" s="2">
        <v>0.14548819440000002</v>
      </c>
      <c r="BD15" s="2">
        <v>0.12638209440000001</v>
      </c>
      <c r="BE15" s="2">
        <v>0.11403259440000002</v>
      </c>
      <c r="BF15" s="2">
        <v>0.13140699440000003</v>
      </c>
      <c r="BG15" s="2">
        <v>0.1173341</v>
      </c>
      <c r="BH15" s="2">
        <v>8.8212199999999991E-2</v>
      </c>
      <c r="BI15" s="2">
        <v>0.10355549999999997</v>
      </c>
      <c r="BJ15" s="2">
        <v>9.5891799999999944E-2</v>
      </c>
      <c r="BK15" s="2">
        <v>8.6626299999999989E-2</v>
      </c>
      <c r="BL15" s="2">
        <v>7.9158699999999943E-2</v>
      </c>
      <c r="BM15" s="10"/>
      <c r="BN15" s="48" t="s">
        <v>56</v>
      </c>
      <c r="BO15" s="27" t="s">
        <v>124</v>
      </c>
      <c r="BP15" s="27" t="s">
        <v>123</v>
      </c>
      <c r="BQ15" s="27" t="s">
        <v>121</v>
      </c>
      <c r="BR15" s="27" t="s">
        <v>118</v>
      </c>
      <c r="BS15" s="27" t="s">
        <v>119</v>
      </c>
      <c r="BT15" s="27" t="s">
        <v>122</v>
      </c>
      <c r="BU15" s="27" t="s">
        <v>118</v>
      </c>
      <c r="BV15" s="27" t="s">
        <v>120</v>
      </c>
      <c r="BW15" s="27" t="s">
        <v>118</v>
      </c>
      <c r="BX15" s="27" t="s">
        <v>120</v>
      </c>
      <c r="BY15" s="27" t="s">
        <v>123</v>
      </c>
      <c r="BZ15" s="27" t="s">
        <v>119</v>
      </c>
      <c r="CA15" s="27" t="s">
        <v>121</v>
      </c>
      <c r="CB15" s="27" t="s">
        <v>120</v>
      </c>
      <c r="CC15" s="27" t="s">
        <v>124</v>
      </c>
      <c r="CD15" s="27" t="s">
        <v>119</v>
      </c>
      <c r="CE15" s="27" t="s">
        <v>120</v>
      </c>
      <c r="CF15" s="27" t="s">
        <v>122</v>
      </c>
      <c r="CG15" s="27" t="s">
        <v>118</v>
      </c>
      <c r="CH15" s="27" t="s">
        <v>120</v>
      </c>
      <c r="CI15" s="27" t="s">
        <v>118</v>
      </c>
      <c r="CJ15" s="27" t="s">
        <v>119</v>
      </c>
      <c r="CK15" s="27" t="s">
        <v>122</v>
      </c>
      <c r="CL15" s="27" t="s">
        <v>122</v>
      </c>
      <c r="CM15" s="27" t="s">
        <v>124</v>
      </c>
      <c r="CN15" s="27" t="s">
        <v>118</v>
      </c>
      <c r="CO15" s="27" t="s">
        <v>120</v>
      </c>
      <c r="CP15" s="27" t="s">
        <v>118</v>
      </c>
      <c r="CQ15" s="27" t="s">
        <v>120</v>
      </c>
      <c r="CR15" s="27" t="s">
        <v>119</v>
      </c>
    </row>
    <row r="16" spans="1:96" x14ac:dyDescent="0.35">
      <c r="B16" s="48" t="s">
        <v>57</v>
      </c>
      <c r="C16" s="29">
        <v>7.4800000000000005E-2</v>
      </c>
      <c r="D16" s="29">
        <v>7.0800000000000002E-2</v>
      </c>
      <c r="E16" s="29">
        <v>7.1900000000000006E-2</v>
      </c>
      <c r="F16" s="29">
        <v>7.3099999999999998E-2</v>
      </c>
      <c r="G16" s="29">
        <v>7.5700000000000003E-2</v>
      </c>
      <c r="H16" s="29">
        <v>7.3099999999999998E-2</v>
      </c>
      <c r="I16" s="29">
        <v>7.6300000000000007E-2</v>
      </c>
      <c r="J16" s="29">
        <v>7.6399999999999996E-2</v>
      </c>
      <c r="K16" s="29">
        <v>7.5300000000000006E-2</v>
      </c>
      <c r="L16" s="29">
        <v>7.2900000000000006E-2</v>
      </c>
      <c r="M16" s="29">
        <v>7.4899999999999994E-2</v>
      </c>
      <c r="N16" s="29">
        <v>7.2900000000000006E-2</v>
      </c>
      <c r="O16" s="29">
        <v>7.2300000000000003E-2</v>
      </c>
      <c r="P16" s="29">
        <v>7.2499999999999995E-2</v>
      </c>
      <c r="Q16" s="29">
        <v>7.6200000000000004E-2</v>
      </c>
      <c r="R16" s="29">
        <v>7.1099999999999997E-2</v>
      </c>
      <c r="S16" s="29">
        <v>7.5300000000000006E-2</v>
      </c>
      <c r="T16" s="29">
        <v>7.51E-2</v>
      </c>
      <c r="U16" s="29">
        <v>7.2700000000000001E-2</v>
      </c>
      <c r="V16" s="29">
        <v>7.1999999999999995E-2</v>
      </c>
      <c r="W16" s="29">
        <v>7.5899999999999995E-2</v>
      </c>
      <c r="X16" s="29">
        <v>7.1499999999999994E-2</v>
      </c>
      <c r="Y16" s="29">
        <v>7.5800000000000006E-2</v>
      </c>
      <c r="Z16" s="29">
        <v>7.0599999999999996E-2</v>
      </c>
      <c r="AA16" s="29">
        <v>7.46E-2</v>
      </c>
      <c r="AB16" s="29">
        <v>7.6200000000000004E-2</v>
      </c>
      <c r="AC16" s="29">
        <v>7.4200000000000002E-2</v>
      </c>
      <c r="AD16" s="29">
        <v>7.1999999999999995E-2</v>
      </c>
      <c r="AE16" s="29">
        <v>7.1300000000000002E-2</v>
      </c>
      <c r="AF16" s="29">
        <v>7.51E-2</v>
      </c>
      <c r="AG16" s="29"/>
      <c r="AH16" s="48" t="s">
        <v>57</v>
      </c>
      <c r="AI16" s="10">
        <v>0.1386086</v>
      </c>
      <c r="AJ16" s="10">
        <v>0.15194310000000003</v>
      </c>
      <c r="AK16" s="10">
        <v>0.15288489999999999</v>
      </c>
      <c r="AL16" s="10">
        <v>0.16491819999999996</v>
      </c>
      <c r="AM16" s="10">
        <v>0.14035370000000003</v>
      </c>
      <c r="AN16" s="10">
        <v>0.17222680000000004</v>
      </c>
      <c r="AO16" s="10">
        <v>0.14686170000000001</v>
      </c>
      <c r="AP16" s="10">
        <v>0.12200310000000004</v>
      </c>
      <c r="AQ16" s="10">
        <v>0.18496899999999999</v>
      </c>
      <c r="AR16" s="10">
        <v>0.17610239999999999</v>
      </c>
      <c r="AS16" s="10">
        <v>0.19719289440000004</v>
      </c>
      <c r="AT16" s="10">
        <v>0.22111329439999999</v>
      </c>
      <c r="AU16" s="10">
        <v>0.15404769440000005</v>
      </c>
      <c r="AV16" s="10">
        <v>0.18155869440000005</v>
      </c>
      <c r="AW16" s="10">
        <v>0.22136739440000003</v>
      </c>
      <c r="AX16" s="10">
        <v>0.19877349440000003</v>
      </c>
      <c r="AY16" s="10">
        <v>0.21042229440000002</v>
      </c>
      <c r="AZ16" s="10">
        <v>0.18942869440000004</v>
      </c>
      <c r="BA16" s="10">
        <v>0.20462779440000006</v>
      </c>
      <c r="BB16" s="10">
        <v>0.23653689440000009</v>
      </c>
      <c r="BC16" s="10">
        <v>0.20648819440000002</v>
      </c>
      <c r="BD16" s="10">
        <v>0.1873820944</v>
      </c>
      <c r="BE16" s="10">
        <v>0.17503259440000002</v>
      </c>
      <c r="BF16" s="10">
        <v>0.19240699440000003</v>
      </c>
      <c r="BG16" s="10">
        <v>0.1783341</v>
      </c>
      <c r="BH16" s="10">
        <v>0.14921219999999999</v>
      </c>
      <c r="BI16" s="10">
        <v>0.16455549999999997</v>
      </c>
      <c r="BJ16" s="10">
        <v>0.15689179999999994</v>
      </c>
      <c r="BK16" s="10">
        <v>0.14762629999999999</v>
      </c>
      <c r="BL16" s="10">
        <v>0.14015869999999994</v>
      </c>
      <c r="BM16" s="27"/>
      <c r="BN16" s="48" t="s">
        <v>57</v>
      </c>
      <c r="BO16" s="27" t="s">
        <v>119</v>
      </c>
      <c r="BP16" s="27" t="s">
        <v>123</v>
      </c>
      <c r="BQ16" s="27" t="s">
        <v>123</v>
      </c>
      <c r="BR16" s="27" t="s">
        <v>119</v>
      </c>
      <c r="BS16" s="27" t="s">
        <v>123</v>
      </c>
      <c r="BT16" s="27" t="s">
        <v>120</v>
      </c>
      <c r="BU16" s="27" t="s">
        <v>124</v>
      </c>
      <c r="BV16" s="27" t="s">
        <v>119</v>
      </c>
      <c r="BW16" s="27" t="s">
        <v>124</v>
      </c>
      <c r="BX16" s="27" t="s">
        <v>119</v>
      </c>
      <c r="BY16" s="27" t="s">
        <v>119</v>
      </c>
      <c r="BZ16" s="27" t="s">
        <v>123</v>
      </c>
      <c r="CA16" s="27" t="s">
        <v>124</v>
      </c>
      <c r="CB16" s="27" t="s">
        <v>120</v>
      </c>
      <c r="CC16" s="27" t="s">
        <v>118</v>
      </c>
      <c r="CD16" s="27" t="s">
        <v>123</v>
      </c>
      <c r="CE16" s="27" t="s">
        <v>122</v>
      </c>
      <c r="CF16" s="27" t="s">
        <v>123</v>
      </c>
      <c r="CG16" s="27" t="s">
        <v>124</v>
      </c>
      <c r="CH16" s="27" t="s">
        <v>122</v>
      </c>
      <c r="CI16" s="27" t="s">
        <v>122</v>
      </c>
      <c r="CJ16" s="27" t="s">
        <v>122</v>
      </c>
      <c r="CK16" s="27" t="s">
        <v>118</v>
      </c>
      <c r="CL16" s="27" t="s">
        <v>123</v>
      </c>
      <c r="CM16" s="27" t="s">
        <v>120</v>
      </c>
      <c r="CN16" s="27" t="s">
        <v>119</v>
      </c>
      <c r="CO16" s="27" t="s">
        <v>123</v>
      </c>
      <c r="CP16" s="27" t="s">
        <v>124</v>
      </c>
      <c r="CQ16" s="27" t="s">
        <v>118</v>
      </c>
      <c r="CR16" s="27" t="s">
        <v>124</v>
      </c>
    </row>
    <row r="17" spans="2:96" x14ac:dyDescent="0.35">
      <c r="B17" s="48" t="s">
        <v>58</v>
      </c>
      <c r="C17" s="29">
        <v>0.1024</v>
      </c>
      <c r="D17" s="29">
        <v>0.1071</v>
      </c>
      <c r="E17" s="29">
        <v>0.1046</v>
      </c>
      <c r="F17" s="29">
        <v>0.1036</v>
      </c>
      <c r="G17" s="29">
        <v>0.1048</v>
      </c>
      <c r="H17" s="29">
        <v>0.1066</v>
      </c>
      <c r="I17" s="29">
        <v>0.1041</v>
      </c>
      <c r="J17" s="29">
        <v>0.10290000000000001</v>
      </c>
      <c r="K17" s="29">
        <v>0.10630000000000001</v>
      </c>
      <c r="L17" s="29">
        <v>0.10290000000000001</v>
      </c>
      <c r="M17" s="29">
        <v>0.104</v>
      </c>
      <c r="N17" s="29">
        <v>0.10489999999999999</v>
      </c>
      <c r="O17" s="29">
        <v>0.1023</v>
      </c>
      <c r="P17" s="29">
        <v>0.1038</v>
      </c>
      <c r="Q17" s="29">
        <v>0.1053</v>
      </c>
      <c r="R17" s="29">
        <v>0.1046</v>
      </c>
      <c r="S17" s="29">
        <v>0.1022</v>
      </c>
      <c r="T17" s="29">
        <v>0.10390000000000001</v>
      </c>
      <c r="U17" s="29">
        <v>0.1045</v>
      </c>
      <c r="V17" s="29">
        <v>0.1043</v>
      </c>
      <c r="W17" s="29">
        <v>0.1051</v>
      </c>
      <c r="X17" s="29">
        <v>0.1018</v>
      </c>
      <c r="Y17" s="29">
        <v>0.1017</v>
      </c>
      <c r="Z17" s="29">
        <v>0.1075</v>
      </c>
      <c r="AA17" s="29">
        <v>0.10589999999999999</v>
      </c>
      <c r="AB17" s="29">
        <v>0.1046</v>
      </c>
      <c r="AC17" s="29">
        <v>0.1043</v>
      </c>
      <c r="AD17" s="29">
        <v>0.10150000000000001</v>
      </c>
      <c r="AE17" s="29">
        <v>0.10340000000000001</v>
      </c>
      <c r="AF17" s="29">
        <v>0.10539999999999999</v>
      </c>
      <c r="AG17" s="29"/>
      <c r="AH17" s="48" t="s">
        <v>58</v>
      </c>
      <c r="AI17" s="10">
        <v>0.11760860000000001</v>
      </c>
      <c r="AJ17" s="10">
        <v>0.13094310000000003</v>
      </c>
      <c r="AK17" s="10">
        <v>0.1318849</v>
      </c>
      <c r="AL17" s="10">
        <v>0.14391819999999997</v>
      </c>
      <c r="AM17" s="10">
        <v>0.11935370000000003</v>
      </c>
      <c r="AN17" s="10">
        <v>0.15122680000000005</v>
      </c>
      <c r="AO17" s="10">
        <v>0.12586170000000002</v>
      </c>
      <c r="AP17" s="10">
        <v>0.10100310000000005</v>
      </c>
      <c r="AQ17" s="10">
        <v>0.163969</v>
      </c>
      <c r="AR17" s="10">
        <v>0.1551024</v>
      </c>
      <c r="AS17" s="10">
        <v>0.17619289440000005</v>
      </c>
      <c r="AT17" s="10">
        <v>0.2001132944</v>
      </c>
      <c r="AU17" s="10">
        <v>0.13304769440000005</v>
      </c>
      <c r="AV17" s="10">
        <v>0.16055869440000006</v>
      </c>
      <c r="AW17" s="10">
        <v>0.20036739440000004</v>
      </c>
      <c r="AX17" s="10">
        <v>0.17777349440000004</v>
      </c>
      <c r="AY17" s="10">
        <v>0.18942229440000002</v>
      </c>
      <c r="AZ17" s="10">
        <v>0.16842869440000005</v>
      </c>
      <c r="BA17" s="10">
        <v>0.18362779440000007</v>
      </c>
      <c r="BB17" s="10">
        <v>0.2155368944000001</v>
      </c>
      <c r="BC17" s="10">
        <v>0.18548819440000003</v>
      </c>
      <c r="BD17" s="10">
        <v>0.16638209440000001</v>
      </c>
      <c r="BE17" s="10">
        <v>0.15403259440000003</v>
      </c>
      <c r="BF17" s="10">
        <v>0.17140699440000004</v>
      </c>
      <c r="BG17" s="10">
        <v>0.1573341</v>
      </c>
      <c r="BH17" s="10">
        <v>0.1282122</v>
      </c>
      <c r="BI17" s="10">
        <v>0.14355549999999997</v>
      </c>
      <c r="BJ17" s="10">
        <v>0.13589179999999995</v>
      </c>
      <c r="BK17" s="10">
        <v>0.1266263</v>
      </c>
      <c r="BL17" s="10">
        <v>0.11915869999999995</v>
      </c>
      <c r="BM17" s="27"/>
      <c r="BN17" s="48" t="s">
        <v>58</v>
      </c>
      <c r="BO17" s="27" t="s">
        <v>120</v>
      </c>
      <c r="BP17" s="27" t="s">
        <v>121</v>
      </c>
      <c r="BQ17" s="27" t="s">
        <v>119</v>
      </c>
      <c r="BR17" s="27" t="s">
        <v>122</v>
      </c>
      <c r="BS17" s="27" t="s">
        <v>120</v>
      </c>
      <c r="BT17" s="27" t="s">
        <v>123</v>
      </c>
      <c r="BU17" s="27" t="s">
        <v>118</v>
      </c>
      <c r="BV17" s="27" t="s">
        <v>119</v>
      </c>
      <c r="BW17" s="27" t="s">
        <v>123</v>
      </c>
      <c r="BX17" s="27" t="s">
        <v>124</v>
      </c>
      <c r="BY17" s="27" t="s">
        <v>120</v>
      </c>
      <c r="BZ17" s="27" t="s">
        <v>122</v>
      </c>
      <c r="CA17" s="27" t="s">
        <v>120</v>
      </c>
      <c r="CB17" s="27" t="s">
        <v>123</v>
      </c>
      <c r="CC17" s="27" t="s">
        <v>123</v>
      </c>
      <c r="CD17" s="27" t="s">
        <v>118</v>
      </c>
      <c r="CE17" s="27" t="s">
        <v>119</v>
      </c>
      <c r="CF17" s="27" t="s">
        <v>119</v>
      </c>
      <c r="CG17" s="27" t="s">
        <v>119</v>
      </c>
      <c r="CH17" s="27" t="s">
        <v>121</v>
      </c>
      <c r="CI17" s="27" t="s">
        <v>124</v>
      </c>
      <c r="CJ17" s="27" t="s">
        <v>121</v>
      </c>
      <c r="CK17" s="27" t="s">
        <v>120</v>
      </c>
      <c r="CL17" s="27" t="s">
        <v>118</v>
      </c>
      <c r="CM17" s="27" t="s">
        <v>121</v>
      </c>
      <c r="CN17" s="27" t="s">
        <v>122</v>
      </c>
      <c r="CO17" s="27" t="s">
        <v>121</v>
      </c>
      <c r="CP17" s="27" t="s">
        <v>118</v>
      </c>
      <c r="CQ17" s="27" t="s">
        <v>118</v>
      </c>
      <c r="CR17" s="27" t="s">
        <v>122</v>
      </c>
    </row>
    <row r="18" spans="2:96" x14ac:dyDescent="0.35">
      <c r="B18" s="47" t="s">
        <v>59</v>
      </c>
      <c r="C18" s="29">
        <v>0.29199999999999998</v>
      </c>
      <c r="D18" s="29">
        <v>0.29360000000000003</v>
      </c>
      <c r="E18" s="29">
        <v>0.29709999999999998</v>
      </c>
      <c r="F18" s="29">
        <v>0.29499999999999998</v>
      </c>
      <c r="G18" s="29">
        <v>0.28799999999999998</v>
      </c>
      <c r="H18" s="29">
        <v>0.29360000000000003</v>
      </c>
      <c r="I18" s="29">
        <v>0.29759999999999998</v>
      </c>
      <c r="J18" s="29">
        <v>0.2964</v>
      </c>
      <c r="K18" s="29">
        <v>0.29360000000000003</v>
      </c>
      <c r="L18" s="29">
        <v>0.29070000000000001</v>
      </c>
      <c r="M18" s="29">
        <v>0.29570000000000002</v>
      </c>
      <c r="N18" s="29">
        <v>0.29459999999999997</v>
      </c>
      <c r="O18" s="29">
        <v>0.29260000000000003</v>
      </c>
      <c r="P18" s="29">
        <v>0.28949999999999998</v>
      </c>
      <c r="Q18" s="29">
        <v>0.29070000000000001</v>
      </c>
      <c r="R18" s="29">
        <v>0.28999999999999998</v>
      </c>
      <c r="S18" s="29">
        <v>0.29399999999999998</v>
      </c>
      <c r="T18" s="29">
        <v>0.2959</v>
      </c>
      <c r="U18" s="29">
        <v>0.28810000000000002</v>
      </c>
      <c r="V18" s="29">
        <v>0.2918</v>
      </c>
      <c r="W18" s="29">
        <v>0.28939999999999999</v>
      </c>
      <c r="X18" s="29">
        <v>0.29339999999999999</v>
      </c>
      <c r="Y18" s="29">
        <v>0.29649999999999999</v>
      </c>
      <c r="Z18" s="29">
        <v>0.29849999999999999</v>
      </c>
      <c r="AA18" s="29">
        <v>0.29699999999999999</v>
      </c>
      <c r="AB18" s="29">
        <v>0.29289999999999999</v>
      </c>
      <c r="AC18" s="29">
        <v>0.28870000000000001</v>
      </c>
      <c r="AD18" s="29">
        <v>0.28820000000000001</v>
      </c>
      <c r="AE18" s="29">
        <v>0.29670000000000002</v>
      </c>
      <c r="AF18" s="29">
        <v>0.29330000000000001</v>
      </c>
      <c r="AG18" s="29"/>
      <c r="AH18" s="47" t="s">
        <v>59</v>
      </c>
      <c r="AI18" s="10">
        <f t="shared" ref="AI18:BL18" si="35">SUMPRODUCT(AI19:AI22,C19:C22)</f>
        <v>0.1536487</v>
      </c>
      <c r="AJ18" s="10">
        <f t="shared" si="35"/>
        <v>0.16660710000000001</v>
      </c>
      <c r="AK18" s="10">
        <f t="shared" si="35"/>
        <v>0.16774790000000001</v>
      </c>
      <c r="AL18" s="10">
        <f t="shared" si="35"/>
        <v>0.1798025</v>
      </c>
      <c r="AM18" s="10">
        <f t="shared" si="35"/>
        <v>0.15498450000000003</v>
      </c>
      <c r="AN18" s="10">
        <f t="shared" si="35"/>
        <v>0.18683890000000003</v>
      </c>
      <c r="AO18" s="10">
        <f t="shared" si="35"/>
        <v>0.16173489999999999</v>
      </c>
      <c r="AP18" s="10">
        <f t="shared" si="35"/>
        <v>0.13676609999999997</v>
      </c>
      <c r="AQ18" s="10">
        <f t="shared" si="35"/>
        <v>0.19983890000000004</v>
      </c>
      <c r="AR18" s="10">
        <f t="shared" si="35"/>
        <v>0.19091430000000001</v>
      </c>
      <c r="AS18" s="10">
        <f t="shared" si="35"/>
        <v>0.21180259440000004</v>
      </c>
      <c r="AT18" s="10">
        <f t="shared" si="35"/>
        <v>0.23610649440000003</v>
      </c>
      <c r="AU18" s="10">
        <f t="shared" si="35"/>
        <v>0.16888319440000005</v>
      </c>
      <c r="AV18" s="10">
        <f t="shared" si="35"/>
        <v>0.19623909440000001</v>
      </c>
      <c r="AW18" s="10">
        <f t="shared" si="35"/>
        <v>0.23626479440000003</v>
      </c>
      <c r="AX18" s="10">
        <f t="shared" si="35"/>
        <v>0.21328299440000009</v>
      </c>
      <c r="AY18" s="10">
        <f t="shared" si="35"/>
        <v>0.22517899440000003</v>
      </c>
      <c r="AZ18" s="10">
        <f t="shared" si="35"/>
        <v>0.20412959440000006</v>
      </c>
      <c r="BA18" s="10">
        <f t="shared" si="35"/>
        <v>0.21933239440000007</v>
      </c>
      <c r="BB18" s="10">
        <f t="shared" si="35"/>
        <v>0.25123619440000011</v>
      </c>
      <c r="BC18" s="10">
        <f t="shared" si="35"/>
        <v>0.22129859440000005</v>
      </c>
      <c r="BD18" s="10">
        <f t="shared" si="35"/>
        <v>0.20213769439999998</v>
      </c>
      <c r="BE18" s="10">
        <f t="shared" si="35"/>
        <v>0.19005709439999999</v>
      </c>
      <c r="BF18" s="10">
        <f t="shared" si="35"/>
        <v>0.20700509440000001</v>
      </c>
      <c r="BG18" s="10">
        <f t="shared" si="35"/>
        <v>0.19287670000000004</v>
      </c>
      <c r="BH18" s="10">
        <f t="shared" si="35"/>
        <v>0.16398329999999997</v>
      </c>
      <c r="BI18" s="10">
        <f t="shared" si="35"/>
        <v>0.17909250000000002</v>
      </c>
      <c r="BJ18" s="10">
        <f t="shared" si="35"/>
        <v>0.17176349999999996</v>
      </c>
      <c r="BK18" s="10">
        <f t="shared" si="35"/>
        <v>0.16254249999999995</v>
      </c>
      <c r="BL18" s="10">
        <f t="shared" si="35"/>
        <v>0.15463089999999999</v>
      </c>
      <c r="BM18" s="27"/>
      <c r="BN18" s="47" t="s">
        <v>59</v>
      </c>
      <c r="BO18" s="27" t="s">
        <v>120</v>
      </c>
      <c r="BP18" s="27" t="s">
        <v>122</v>
      </c>
      <c r="BQ18" s="27" t="s">
        <v>124</v>
      </c>
      <c r="BR18" s="27" t="s">
        <v>123</v>
      </c>
      <c r="BS18" s="27" t="s">
        <v>124</v>
      </c>
      <c r="BT18" s="27" t="s">
        <v>123</v>
      </c>
      <c r="BU18" s="27" t="s">
        <v>118</v>
      </c>
      <c r="BV18" s="27" t="s">
        <v>124</v>
      </c>
      <c r="BW18" s="27" t="s">
        <v>122</v>
      </c>
      <c r="BX18" s="27" t="s">
        <v>120</v>
      </c>
      <c r="BY18" s="27" t="s">
        <v>123</v>
      </c>
      <c r="BZ18" s="27" t="s">
        <v>123</v>
      </c>
      <c r="CA18" s="27" t="s">
        <v>121</v>
      </c>
      <c r="CB18" s="27" t="s">
        <v>118</v>
      </c>
      <c r="CC18" s="27" t="s">
        <v>124</v>
      </c>
      <c r="CD18" s="27" t="s">
        <v>120</v>
      </c>
      <c r="CE18" s="27" t="s">
        <v>118</v>
      </c>
      <c r="CF18" s="27" t="s">
        <v>124</v>
      </c>
      <c r="CG18" s="27" t="s">
        <v>124</v>
      </c>
      <c r="CH18" s="27" t="s">
        <v>124</v>
      </c>
      <c r="CI18" s="27" t="s">
        <v>119</v>
      </c>
      <c r="CJ18" s="27" t="s">
        <v>119</v>
      </c>
      <c r="CK18" s="27" t="s">
        <v>119</v>
      </c>
      <c r="CL18" s="27" t="s">
        <v>118</v>
      </c>
      <c r="CM18" s="27" t="s">
        <v>123</v>
      </c>
      <c r="CN18" s="27" t="s">
        <v>118</v>
      </c>
      <c r="CO18" s="27" t="s">
        <v>118</v>
      </c>
      <c r="CP18" s="27" t="s">
        <v>121</v>
      </c>
      <c r="CQ18" s="27" t="s">
        <v>118</v>
      </c>
      <c r="CR18" s="27" t="s">
        <v>120</v>
      </c>
    </row>
    <row r="19" spans="2:96" x14ac:dyDescent="0.35">
      <c r="B19" s="48" t="s">
        <v>60</v>
      </c>
      <c r="C19" s="29">
        <f t="shared" ref="C19" si="36">1-SUM(C20:C22)</f>
        <v>0.20150000000000001</v>
      </c>
      <c r="D19" s="29">
        <f t="shared" ref="D19" si="37">1-SUM(D20:D22)</f>
        <v>0.20510000000000006</v>
      </c>
      <c r="E19" s="29">
        <f t="shared" ref="E19" si="38">1-SUM(E20:E22)</f>
        <v>0.19869999999999999</v>
      </c>
      <c r="F19" s="29">
        <f t="shared" ref="F19" si="39">1-SUM(F20:F22)</f>
        <v>0.20960000000000001</v>
      </c>
      <c r="G19" s="29">
        <f t="shared" ref="G19" si="40">1-SUM(G20:G22)</f>
        <v>0.21100000000000008</v>
      </c>
      <c r="H19" s="29">
        <f t="shared" ref="H19" si="41">1-SUM(H20:H22)</f>
        <v>0.20289999999999997</v>
      </c>
      <c r="I19" s="29">
        <f t="shared" ref="I19" si="42">1-SUM(I20:I22)</f>
        <v>0.2165999999999999</v>
      </c>
      <c r="J19" s="29">
        <f t="shared" ref="J19" si="43">1-SUM(J20:J22)</f>
        <v>0.21829999999999994</v>
      </c>
      <c r="K19" s="29">
        <f t="shared" ref="K19" si="44">1-SUM(K20:K22)</f>
        <v>0.19890000000000008</v>
      </c>
      <c r="L19" s="29">
        <f t="shared" ref="L19" si="45">1-SUM(L20:L22)</f>
        <v>0.21160000000000001</v>
      </c>
      <c r="M19" s="29">
        <f t="shared" ref="M19" si="46">1-SUM(M20:M22)</f>
        <v>0.21150000000000002</v>
      </c>
      <c r="N19" s="29">
        <f t="shared" ref="N19" si="47">1-SUM(N20:N22)</f>
        <v>0.21750000000000003</v>
      </c>
      <c r="O19" s="29">
        <f t="shared" ref="O19" si="48">1-SUM(O20:O22)</f>
        <v>0.20879999999999999</v>
      </c>
      <c r="P19" s="29">
        <f t="shared" ref="P19" si="49">1-SUM(P20:P22)</f>
        <v>0.20300000000000007</v>
      </c>
      <c r="Q19" s="29">
        <f t="shared" ref="Q19" si="50">1-SUM(Q20:Q22)</f>
        <v>0.21900000000000008</v>
      </c>
      <c r="R19" s="29">
        <f t="shared" ref="R19" si="51">1-SUM(R20:R22)</f>
        <v>0.21600000000000008</v>
      </c>
      <c r="S19" s="29">
        <f t="shared" ref="S19" si="52">1-SUM(S20:S22)</f>
        <v>0.20409999999999995</v>
      </c>
      <c r="T19" s="29">
        <f t="shared" ref="T19" si="53">1-SUM(T20:T22)</f>
        <v>0.20760000000000001</v>
      </c>
      <c r="U19" s="29">
        <f t="shared" ref="U19" si="54">1-SUM(U20:U22)</f>
        <v>0.21150000000000002</v>
      </c>
      <c r="V19" s="29">
        <f t="shared" ref="V19" si="55">1-SUM(V20:V22)</f>
        <v>0.21189999999999998</v>
      </c>
      <c r="W19" s="29">
        <f t="shared" ref="W19" si="56">1-SUM(W20:W22)</f>
        <v>0.21110000000000007</v>
      </c>
      <c r="X19" s="29">
        <f t="shared" ref="X19" si="57">1-SUM(X20:X22)</f>
        <v>0.2229000000000001</v>
      </c>
      <c r="Y19" s="29">
        <f t="shared" ref="Y19" si="58">1-SUM(Y20:Y22)</f>
        <v>0.21160000000000001</v>
      </c>
      <c r="Z19" s="29">
        <f t="shared" ref="Z19" si="59">1-SUM(Z20:Z22)</f>
        <v>0.20960000000000001</v>
      </c>
      <c r="AA19" s="29">
        <f t="shared" ref="AA19" si="60">1-SUM(AA20:AA22)</f>
        <v>0.20729999999999993</v>
      </c>
      <c r="AB19" s="29">
        <f t="shared" ref="AB19" si="61">1-SUM(AB20:AB22)</f>
        <v>0.20720000000000005</v>
      </c>
      <c r="AC19" s="29">
        <f t="shared" ref="AC19" si="62">1-SUM(AC20:AC22)</f>
        <v>0.20729999999999993</v>
      </c>
      <c r="AD19" s="29">
        <f t="shared" ref="AD19" si="63">1-SUM(AD20:AD22)</f>
        <v>0.20500000000000007</v>
      </c>
      <c r="AE19" s="29">
        <f t="shared" ref="AE19" si="64">1-SUM(AE20:AE22)</f>
        <v>0.20609999999999995</v>
      </c>
      <c r="AF19" s="29">
        <f t="shared" ref="AF19" si="65">1-SUM(AF20:AF22)</f>
        <v>0.22100000000000009</v>
      </c>
      <c r="AG19" s="29"/>
      <c r="AH19" s="48" t="s">
        <v>60</v>
      </c>
      <c r="AI19" s="10">
        <v>0.158192</v>
      </c>
      <c r="AJ19" s="10">
        <v>0.17117669999999999</v>
      </c>
      <c r="AK19" s="10">
        <v>0.17228020000000002</v>
      </c>
      <c r="AL19" s="10">
        <v>0.184584</v>
      </c>
      <c r="AM19" s="10">
        <v>0.15943880000000002</v>
      </c>
      <c r="AN19" s="10">
        <v>0.19129080000000004</v>
      </c>
      <c r="AO19" s="10">
        <v>0.16645530000000003</v>
      </c>
      <c r="AP19" s="10">
        <v>0.14144909999999999</v>
      </c>
      <c r="AQ19" s="10">
        <v>0.20481730000000004</v>
      </c>
      <c r="AR19" s="10">
        <v>0.19580510000000004</v>
      </c>
      <c r="AS19" s="10">
        <v>0.21663139440000004</v>
      </c>
      <c r="AT19" s="10">
        <v>0.24084219440000001</v>
      </c>
      <c r="AU19" s="10">
        <v>0.17308059440000004</v>
      </c>
      <c r="AV19" s="10">
        <v>0.20086089440000002</v>
      </c>
      <c r="AW19" s="10">
        <v>0.2407182944</v>
      </c>
      <c r="AX19" s="10">
        <v>0.21809199440000007</v>
      </c>
      <c r="AY19" s="10">
        <v>0.22959719440000007</v>
      </c>
      <c r="AZ19" s="10">
        <v>0.20887559440000006</v>
      </c>
      <c r="BA19" s="10">
        <v>0.2240965944000001</v>
      </c>
      <c r="BB19" s="10">
        <v>0.25589559440000015</v>
      </c>
      <c r="BC19" s="10">
        <v>0.22605299440000004</v>
      </c>
      <c r="BD19" s="10">
        <v>0.20658279439999999</v>
      </c>
      <c r="BE19" s="10">
        <v>0.1946308944</v>
      </c>
      <c r="BF19" s="10">
        <v>0.21187359440000003</v>
      </c>
      <c r="BG19" s="10">
        <v>0.19725760000000003</v>
      </c>
      <c r="BH19" s="10">
        <v>0.16842519999999997</v>
      </c>
      <c r="BI19" s="10">
        <v>0.18357990000000002</v>
      </c>
      <c r="BJ19" s="10">
        <v>0.17650199999999996</v>
      </c>
      <c r="BK19" s="10">
        <v>0.16720219999999997</v>
      </c>
      <c r="BL19" s="10">
        <v>0.15907959999999999</v>
      </c>
      <c r="BM19" s="27"/>
      <c r="BN19" s="48" t="s">
        <v>60</v>
      </c>
      <c r="BO19" s="27" t="s">
        <v>120</v>
      </c>
      <c r="BP19" s="27" t="s">
        <v>118</v>
      </c>
      <c r="BQ19" s="27" t="s">
        <v>119</v>
      </c>
      <c r="BR19" s="27" t="s">
        <v>122</v>
      </c>
      <c r="BS19" s="27" t="s">
        <v>120</v>
      </c>
      <c r="BT19" s="27" t="s">
        <v>121</v>
      </c>
      <c r="BU19" s="27" t="s">
        <v>120</v>
      </c>
      <c r="BV19" s="27" t="s">
        <v>119</v>
      </c>
      <c r="BW19" s="27" t="s">
        <v>123</v>
      </c>
      <c r="BX19" s="27" t="s">
        <v>120</v>
      </c>
      <c r="BY19" s="27" t="s">
        <v>122</v>
      </c>
      <c r="BZ19" s="27" t="s">
        <v>122</v>
      </c>
      <c r="CA19" s="27" t="s">
        <v>118</v>
      </c>
      <c r="CB19" s="27" t="s">
        <v>123</v>
      </c>
      <c r="CC19" s="27" t="s">
        <v>118</v>
      </c>
      <c r="CD19" s="27" t="s">
        <v>122</v>
      </c>
      <c r="CE19" s="27" t="s">
        <v>123</v>
      </c>
      <c r="CF19" s="27" t="s">
        <v>119</v>
      </c>
      <c r="CG19" s="27" t="s">
        <v>118</v>
      </c>
      <c r="CH19" s="27" t="s">
        <v>119</v>
      </c>
      <c r="CI19" s="27" t="s">
        <v>124</v>
      </c>
      <c r="CJ19" s="27" t="s">
        <v>122</v>
      </c>
      <c r="CK19" s="27" t="s">
        <v>119</v>
      </c>
      <c r="CL19" s="27" t="s">
        <v>122</v>
      </c>
      <c r="CM19" s="27" t="s">
        <v>119</v>
      </c>
      <c r="CN19" s="27" t="s">
        <v>124</v>
      </c>
      <c r="CO19" s="27" t="s">
        <v>118</v>
      </c>
      <c r="CP19" s="27" t="s">
        <v>119</v>
      </c>
      <c r="CQ19" s="27" t="s">
        <v>123</v>
      </c>
      <c r="CR19" s="27" t="s">
        <v>118</v>
      </c>
    </row>
    <row r="20" spans="2:96" x14ac:dyDescent="0.35">
      <c r="B20" s="48" t="s">
        <v>61</v>
      </c>
      <c r="C20" s="29">
        <v>0.2301</v>
      </c>
      <c r="D20" s="29">
        <v>0.23619999999999999</v>
      </c>
      <c r="E20" s="29">
        <v>0.2331</v>
      </c>
      <c r="F20" s="29">
        <v>0.23419999999999999</v>
      </c>
      <c r="G20" s="29">
        <v>0.2311</v>
      </c>
      <c r="H20" s="29">
        <v>0.22900000000000001</v>
      </c>
      <c r="I20" s="29">
        <v>0.23680000000000001</v>
      </c>
      <c r="J20" s="29">
        <v>0.2291</v>
      </c>
      <c r="K20" s="29">
        <v>0.2384</v>
      </c>
      <c r="L20" s="29">
        <v>0.2349</v>
      </c>
      <c r="M20" s="29">
        <v>0.23580000000000001</v>
      </c>
      <c r="N20" s="29">
        <v>0.23269999999999999</v>
      </c>
      <c r="O20" s="29">
        <v>0.2303</v>
      </c>
      <c r="P20" s="29">
        <v>0.23169999999999999</v>
      </c>
      <c r="Q20" s="29">
        <v>0.22919999999999999</v>
      </c>
      <c r="R20" s="29">
        <v>0.23730000000000001</v>
      </c>
      <c r="S20" s="29">
        <v>0.23430000000000001</v>
      </c>
      <c r="T20" s="29">
        <v>0.23449999999999999</v>
      </c>
      <c r="U20" s="29">
        <v>0.23769999999999999</v>
      </c>
      <c r="V20" s="29">
        <v>0.22919999999999999</v>
      </c>
      <c r="W20" s="29">
        <v>0.23169999999999999</v>
      </c>
      <c r="X20" s="29">
        <v>0.2303</v>
      </c>
      <c r="Y20" s="29">
        <v>0.2301</v>
      </c>
      <c r="Z20" s="29">
        <v>0.2351</v>
      </c>
      <c r="AA20" s="29">
        <v>0.2331</v>
      </c>
      <c r="AB20" s="29">
        <v>0.22750000000000001</v>
      </c>
      <c r="AC20" s="29">
        <v>0.23530000000000001</v>
      </c>
      <c r="AD20" s="29">
        <v>0.23419999999999999</v>
      </c>
      <c r="AE20" s="29">
        <v>0.23630000000000001</v>
      </c>
      <c r="AF20" s="29">
        <v>0.22850000000000001</v>
      </c>
      <c r="AG20" s="29"/>
      <c r="AH20" s="48" t="s">
        <v>61</v>
      </c>
      <c r="AI20" s="10">
        <v>0.11419199999999999</v>
      </c>
      <c r="AJ20" s="10">
        <v>0.12717669999999998</v>
      </c>
      <c r="AK20" s="10">
        <v>0.12828020000000001</v>
      </c>
      <c r="AL20" s="10">
        <v>0.14058399999999999</v>
      </c>
      <c r="AM20" s="10">
        <v>0.11543880000000001</v>
      </c>
      <c r="AN20" s="10">
        <v>0.14729080000000003</v>
      </c>
      <c r="AO20" s="10">
        <v>0.12245530000000002</v>
      </c>
      <c r="AP20" s="10">
        <v>9.7449099999999983E-2</v>
      </c>
      <c r="AQ20" s="10">
        <v>0.16081730000000002</v>
      </c>
      <c r="AR20" s="10">
        <v>0.15180510000000003</v>
      </c>
      <c r="AS20" s="10">
        <v>0.17263139440000003</v>
      </c>
      <c r="AT20" s="10">
        <v>0.1968421944</v>
      </c>
      <c r="AU20" s="10">
        <v>0.12908059440000003</v>
      </c>
      <c r="AV20" s="10">
        <v>0.15686089440000001</v>
      </c>
      <c r="AW20" s="10">
        <v>0.19671829439999999</v>
      </c>
      <c r="AX20" s="10">
        <v>0.17409199440000006</v>
      </c>
      <c r="AY20" s="10">
        <v>0.18559719440000005</v>
      </c>
      <c r="AZ20" s="10">
        <v>0.16487559440000005</v>
      </c>
      <c r="BA20" s="10">
        <v>0.18009659440000009</v>
      </c>
      <c r="BB20" s="10">
        <v>0.21189559440000014</v>
      </c>
      <c r="BC20" s="10">
        <v>0.18205299440000003</v>
      </c>
      <c r="BD20" s="10">
        <v>0.16258279439999998</v>
      </c>
      <c r="BE20" s="10">
        <v>0.15063089439999999</v>
      </c>
      <c r="BF20" s="10">
        <v>0.16787359440000002</v>
      </c>
      <c r="BG20" s="10">
        <v>0.15325760000000002</v>
      </c>
      <c r="BH20" s="10">
        <v>0.12442519999999996</v>
      </c>
      <c r="BI20" s="10">
        <v>0.13957990000000001</v>
      </c>
      <c r="BJ20" s="10">
        <v>0.13250199999999995</v>
      </c>
      <c r="BK20" s="10">
        <v>0.12320219999999996</v>
      </c>
      <c r="BL20" s="10">
        <v>0.11507959999999998</v>
      </c>
      <c r="BM20" s="27"/>
      <c r="BN20" s="48" t="s">
        <v>61</v>
      </c>
      <c r="BO20" s="27" t="s">
        <v>122</v>
      </c>
      <c r="BP20" s="27" t="s">
        <v>118</v>
      </c>
      <c r="BQ20" s="27" t="s">
        <v>121</v>
      </c>
      <c r="BR20" s="27" t="s">
        <v>119</v>
      </c>
      <c r="BS20" s="27" t="s">
        <v>118</v>
      </c>
      <c r="BT20" s="27" t="s">
        <v>118</v>
      </c>
      <c r="BU20" s="27" t="s">
        <v>120</v>
      </c>
      <c r="BV20" s="27" t="s">
        <v>122</v>
      </c>
      <c r="BW20" s="27" t="s">
        <v>122</v>
      </c>
      <c r="BX20" s="27" t="s">
        <v>121</v>
      </c>
      <c r="BY20" s="27" t="s">
        <v>120</v>
      </c>
      <c r="BZ20" s="27" t="s">
        <v>120</v>
      </c>
      <c r="CA20" s="27" t="s">
        <v>122</v>
      </c>
      <c r="CB20" s="27" t="s">
        <v>121</v>
      </c>
      <c r="CC20" s="27" t="s">
        <v>120</v>
      </c>
      <c r="CD20" s="27" t="s">
        <v>124</v>
      </c>
      <c r="CE20" s="27" t="s">
        <v>124</v>
      </c>
      <c r="CF20" s="27" t="s">
        <v>118</v>
      </c>
      <c r="CG20" s="27" t="s">
        <v>118</v>
      </c>
      <c r="CH20" s="27" t="s">
        <v>121</v>
      </c>
      <c r="CI20" s="27" t="s">
        <v>122</v>
      </c>
      <c r="CJ20" s="27" t="s">
        <v>120</v>
      </c>
      <c r="CK20" s="27" t="s">
        <v>123</v>
      </c>
      <c r="CL20" s="27" t="s">
        <v>118</v>
      </c>
      <c r="CM20" s="27" t="s">
        <v>122</v>
      </c>
      <c r="CN20" s="27" t="s">
        <v>122</v>
      </c>
      <c r="CO20" s="27" t="s">
        <v>124</v>
      </c>
      <c r="CP20" s="27" t="s">
        <v>124</v>
      </c>
      <c r="CQ20" s="27" t="s">
        <v>121</v>
      </c>
      <c r="CR20" s="27" t="s">
        <v>120</v>
      </c>
    </row>
    <row r="21" spans="2:96" x14ac:dyDescent="0.35">
      <c r="B21" s="48" t="s">
        <v>62</v>
      </c>
      <c r="C21" s="29">
        <v>0.45029999999999998</v>
      </c>
      <c r="D21" s="29">
        <v>0.44950000000000001</v>
      </c>
      <c r="E21" s="29">
        <v>0.4531</v>
      </c>
      <c r="F21" s="29">
        <v>0.44190000000000002</v>
      </c>
      <c r="G21" s="29">
        <v>0.44679999999999997</v>
      </c>
      <c r="H21" s="29">
        <v>0.45100000000000001</v>
      </c>
      <c r="I21" s="29">
        <v>0.43980000000000002</v>
      </c>
      <c r="J21" s="29">
        <v>0.43719999999999998</v>
      </c>
      <c r="K21" s="29">
        <v>0.44550000000000001</v>
      </c>
      <c r="L21" s="29">
        <v>0.43869999999999998</v>
      </c>
      <c r="M21" s="29">
        <v>0.44030000000000002</v>
      </c>
      <c r="N21" s="29">
        <v>0.43769999999999998</v>
      </c>
      <c r="O21" s="29">
        <v>0.4531</v>
      </c>
      <c r="P21" s="29">
        <v>0.44829999999999998</v>
      </c>
      <c r="Q21" s="29">
        <v>0.4415</v>
      </c>
      <c r="R21" s="29">
        <v>0.4385</v>
      </c>
      <c r="S21" s="29">
        <v>0.4526</v>
      </c>
      <c r="T21" s="29">
        <v>0.44390000000000002</v>
      </c>
      <c r="U21" s="29">
        <v>0.44219999999999998</v>
      </c>
      <c r="V21" s="29">
        <v>0.4415</v>
      </c>
      <c r="W21" s="29">
        <v>0.44080000000000003</v>
      </c>
      <c r="X21" s="29">
        <v>0.43969999999999998</v>
      </c>
      <c r="Y21" s="29">
        <v>0.44369999999999998</v>
      </c>
      <c r="Z21" s="29">
        <v>0.44040000000000001</v>
      </c>
      <c r="AA21" s="29">
        <v>0.4511</v>
      </c>
      <c r="AB21" s="29">
        <v>0.44819999999999999</v>
      </c>
      <c r="AC21" s="29">
        <v>0.4496</v>
      </c>
      <c r="AD21" s="29">
        <v>0.44550000000000001</v>
      </c>
      <c r="AE21" s="29">
        <v>0.4471</v>
      </c>
      <c r="AF21" s="29">
        <v>0.44019999999999998</v>
      </c>
      <c r="AG21" s="29"/>
      <c r="AH21" s="48" t="s">
        <v>62</v>
      </c>
      <c r="AI21" s="2">
        <v>0.17819199999999999</v>
      </c>
      <c r="AJ21" s="2">
        <v>0.19117669999999998</v>
      </c>
      <c r="AK21" s="2">
        <v>0.19228020000000001</v>
      </c>
      <c r="AL21" s="2">
        <v>0.20458399999999999</v>
      </c>
      <c r="AM21" s="2">
        <v>0.17943880000000001</v>
      </c>
      <c r="AN21" s="2">
        <v>0.21129080000000003</v>
      </c>
      <c r="AO21" s="2">
        <v>0.18645530000000002</v>
      </c>
      <c r="AP21" s="2">
        <v>0.16144909999999998</v>
      </c>
      <c r="AQ21" s="2">
        <v>0.22481730000000003</v>
      </c>
      <c r="AR21" s="2">
        <v>0.21580510000000003</v>
      </c>
      <c r="AS21" s="2">
        <v>0.23663139440000003</v>
      </c>
      <c r="AT21" s="2">
        <v>0.2608421944</v>
      </c>
      <c r="AU21" s="2">
        <v>0.19308059440000003</v>
      </c>
      <c r="AV21" s="2">
        <v>0.22086089440000001</v>
      </c>
      <c r="AW21" s="2">
        <v>0.26071829439999999</v>
      </c>
      <c r="AX21" s="2">
        <v>0.23809199440000006</v>
      </c>
      <c r="AY21" s="2">
        <v>0.24959719440000006</v>
      </c>
      <c r="AZ21" s="2">
        <v>0.22887559440000005</v>
      </c>
      <c r="BA21" s="2">
        <v>0.24409659440000009</v>
      </c>
      <c r="BB21" s="2">
        <v>0.27589559440000011</v>
      </c>
      <c r="BC21" s="2">
        <v>0.24605299440000003</v>
      </c>
      <c r="BD21" s="2">
        <v>0.22658279439999998</v>
      </c>
      <c r="BE21" s="2">
        <v>0.21463089439999999</v>
      </c>
      <c r="BF21" s="2">
        <v>0.23187359440000002</v>
      </c>
      <c r="BG21" s="2">
        <v>0.21725760000000002</v>
      </c>
      <c r="BH21" s="2">
        <v>0.18842519999999996</v>
      </c>
      <c r="BI21" s="2">
        <v>0.20357990000000001</v>
      </c>
      <c r="BJ21" s="2">
        <v>0.19650199999999995</v>
      </c>
      <c r="BK21" s="2">
        <v>0.18720219999999996</v>
      </c>
      <c r="BL21" s="2">
        <v>0.17907959999999998</v>
      </c>
      <c r="BM21" s="5"/>
      <c r="BN21" s="48" t="s">
        <v>62</v>
      </c>
      <c r="BO21" s="27" t="s">
        <v>120</v>
      </c>
      <c r="BP21" s="27" t="s">
        <v>120</v>
      </c>
      <c r="BQ21" s="27" t="s">
        <v>118</v>
      </c>
      <c r="BR21" s="27" t="s">
        <v>119</v>
      </c>
      <c r="BS21" s="27" t="s">
        <v>118</v>
      </c>
      <c r="BT21" s="27" t="s">
        <v>119</v>
      </c>
      <c r="BU21" s="27" t="s">
        <v>122</v>
      </c>
      <c r="BV21" s="27" t="s">
        <v>122</v>
      </c>
      <c r="BW21" s="27" t="s">
        <v>121</v>
      </c>
      <c r="BX21" s="27" t="s">
        <v>121</v>
      </c>
      <c r="BY21" s="27" t="s">
        <v>122</v>
      </c>
      <c r="BZ21" s="27" t="s">
        <v>123</v>
      </c>
      <c r="CA21" s="27" t="s">
        <v>120</v>
      </c>
      <c r="CB21" s="27" t="s">
        <v>124</v>
      </c>
      <c r="CC21" s="27" t="s">
        <v>119</v>
      </c>
      <c r="CD21" s="27" t="s">
        <v>118</v>
      </c>
      <c r="CE21" s="27" t="s">
        <v>120</v>
      </c>
      <c r="CF21" s="27" t="s">
        <v>121</v>
      </c>
      <c r="CG21" s="27" t="s">
        <v>118</v>
      </c>
      <c r="CH21" s="27" t="s">
        <v>122</v>
      </c>
      <c r="CI21" s="27" t="s">
        <v>122</v>
      </c>
      <c r="CJ21" s="27" t="s">
        <v>121</v>
      </c>
      <c r="CK21" s="27" t="s">
        <v>122</v>
      </c>
      <c r="CL21" s="27" t="s">
        <v>124</v>
      </c>
      <c r="CM21" s="27" t="s">
        <v>121</v>
      </c>
      <c r="CN21" s="27" t="s">
        <v>121</v>
      </c>
      <c r="CO21" s="27" t="s">
        <v>122</v>
      </c>
      <c r="CP21" s="27" t="s">
        <v>118</v>
      </c>
      <c r="CQ21" s="27" t="s">
        <v>118</v>
      </c>
      <c r="CR21" s="27" t="s">
        <v>122</v>
      </c>
    </row>
    <row r="22" spans="2:96" x14ac:dyDescent="0.35">
      <c r="B22" s="48" t="s">
        <v>63</v>
      </c>
      <c r="C22" s="29">
        <v>0.1181</v>
      </c>
      <c r="D22" s="29">
        <v>0.10920000000000001</v>
      </c>
      <c r="E22" s="29">
        <v>0.11509999999999999</v>
      </c>
      <c r="F22" s="29">
        <v>0.1143</v>
      </c>
      <c r="G22" s="29">
        <v>0.1111</v>
      </c>
      <c r="H22" s="29">
        <v>0.1171</v>
      </c>
      <c r="I22" s="29">
        <v>0.10680000000000001</v>
      </c>
      <c r="J22" s="29">
        <v>0.1154</v>
      </c>
      <c r="K22" s="29">
        <v>0.1172</v>
      </c>
      <c r="L22" s="29">
        <v>0.1148</v>
      </c>
      <c r="M22" s="29">
        <v>0.1124</v>
      </c>
      <c r="N22" s="29">
        <v>0.11210000000000001</v>
      </c>
      <c r="O22" s="29">
        <v>0.10780000000000001</v>
      </c>
      <c r="P22" s="29">
        <v>0.11700000000000001</v>
      </c>
      <c r="Q22" s="29">
        <v>0.1103</v>
      </c>
      <c r="R22" s="29">
        <v>0.1082</v>
      </c>
      <c r="S22" s="29">
        <v>0.109</v>
      </c>
      <c r="T22" s="29">
        <v>0.114</v>
      </c>
      <c r="U22" s="29">
        <v>0.1086</v>
      </c>
      <c r="V22" s="29">
        <v>0.1174</v>
      </c>
      <c r="W22" s="29">
        <v>0.1164</v>
      </c>
      <c r="X22" s="29">
        <v>0.1071</v>
      </c>
      <c r="Y22" s="29">
        <v>0.11459999999999999</v>
      </c>
      <c r="Z22" s="29">
        <v>0.1149</v>
      </c>
      <c r="AA22" s="29">
        <v>0.1085</v>
      </c>
      <c r="AB22" s="29">
        <v>0.1171</v>
      </c>
      <c r="AC22" s="29">
        <v>0.10780000000000001</v>
      </c>
      <c r="AD22" s="29">
        <v>0.1153</v>
      </c>
      <c r="AE22" s="29">
        <v>0.1105</v>
      </c>
      <c r="AF22" s="29">
        <v>0.1103</v>
      </c>
      <c r="AG22" s="29"/>
      <c r="AH22" s="48" t="s">
        <v>63</v>
      </c>
      <c r="AI22" s="2">
        <v>0.129192</v>
      </c>
      <c r="AJ22" s="2">
        <v>0.14217669999999999</v>
      </c>
      <c r="AK22" s="2">
        <v>0.14328020000000002</v>
      </c>
      <c r="AL22" s="2">
        <v>0.155584</v>
      </c>
      <c r="AM22" s="2">
        <v>0.13043880000000002</v>
      </c>
      <c r="AN22" s="2">
        <v>0.16229080000000004</v>
      </c>
      <c r="AO22" s="2">
        <v>0.13745530000000003</v>
      </c>
      <c r="AP22" s="2">
        <v>0.1124491</v>
      </c>
      <c r="AQ22" s="2">
        <v>0.17581730000000004</v>
      </c>
      <c r="AR22" s="2">
        <v>0.16680510000000004</v>
      </c>
      <c r="AS22" s="2">
        <v>0.18763139440000004</v>
      </c>
      <c r="AT22" s="2">
        <v>0.21184219440000002</v>
      </c>
      <c r="AU22" s="2">
        <v>0.14408059440000004</v>
      </c>
      <c r="AV22" s="2">
        <v>0.17186089440000002</v>
      </c>
      <c r="AW22" s="2">
        <v>0.21171829440000001</v>
      </c>
      <c r="AX22" s="2">
        <v>0.18909199440000007</v>
      </c>
      <c r="AY22" s="2">
        <v>0.20059719440000007</v>
      </c>
      <c r="AZ22" s="2">
        <v>0.17987559440000006</v>
      </c>
      <c r="BA22" s="2">
        <v>0.1950965944000001</v>
      </c>
      <c r="BB22" s="2">
        <v>0.22689559440000015</v>
      </c>
      <c r="BC22" s="2">
        <v>0.19705299440000004</v>
      </c>
      <c r="BD22" s="2">
        <v>0.17758279439999999</v>
      </c>
      <c r="BE22" s="2">
        <v>0.16563089440000001</v>
      </c>
      <c r="BF22" s="2">
        <v>0.18287359440000003</v>
      </c>
      <c r="BG22" s="2">
        <v>0.16825760000000003</v>
      </c>
      <c r="BH22" s="2">
        <v>0.13942519999999997</v>
      </c>
      <c r="BI22" s="2">
        <v>0.15457990000000002</v>
      </c>
      <c r="BJ22" s="2">
        <v>0.14750199999999997</v>
      </c>
      <c r="BK22" s="2">
        <v>0.13820219999999997</v>
      </c>
      <c r="BL22" s="2">
        <v>0.13007959999999999</v>
      </c>
      <c r="BM22" s="5"/>
      <c r="BN22" s="48" t="s">
        <v>63</v>
      </c>
      <c r="BO22" s="27" t="s">
        <v>122</v>
      </c>
      <c r="BP22" s="27" t="s">
        <v>122</v>
      </c>
      <c r="BQ22" s="27" t="s">
        <v>123</v>
      </c>
      <c r="BR22" s="27" t="s">
        <v>124</v>
      </c>
      <c r="BS22" s="27" t="s">
        <v>121</v>
      </c>
      <c r="BT22" s="27" t="s">
        <v>118</v>
      </c>
      <c r="BU22" s="27" t="s">
        <v>124</v>
      </c>
      <c r="BV22" s="27" t="s">
        <v>119</v>
      </c>
      <c r="BW22" s="27" t="s">
        <v>121</v>
      </c>
      <c r="BX22" s="27" t="s">
        <v>119</v>
      </c>
      <c r="BY22" s="27" t="s">
        <v>119</v>
      </c>
      <c r="BZ22" s="27" t="s">
        <v>118</v>
      </c>
      <c r="CA22" s="27" t="s">
        <v>123</v>
      </c>
      <c r="CB22" s="27" t="s">
        <v>120</v>
      </c>
      <c r="CC22" s="27" t="s">
        <v>124</v>
      </c>
      <c r="CD22" s="27" t="s">
        <v>123</v>
      </c>
      <c r="CE22" s="27" t="s">
        <v>120</v>
      </c>
      <c r="CF22" s="27" t="s">
        <v>119</v>
      </c>
      <c r="CG22" s="27" t="s">
        <v>123</v>
      </c>
      <c r="CH22" s="27" t="s">
        <v>124</v>
      </c>
      <c r="CI22" s="27" t="s">
        <v>124</v>
      </c>
      <c r="CJ22" s="27" t="s">
        <v>119</v>
      </c>
      <c r="CK22" s="27" t="s">
        <v>121</v>
      </c>
      <c r="CL22" s="27" t="s">
        <v>124</v>
      </c>
      <c r="CM22" s="27" t="s">
        <v>121</v>
      </c>
      <c r="CN22" s="27" t="s">
        <v>124</v>
      </c>
      <c r="CO22" s="27" t="s">
        <v>121</v>
      </c>
      <c r="CP22" s="27" t="s">
        <v>124</v>
      </c>
      <c r="CQ22" s="27" t="s">
        <v>120</v>
      </c>
      <c r="CR22" s="27" t="s">
        <v>124</v>
      </c>
    </row>
    <row r="23" spans="2:96" x14ac:dyDescent="0.35"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</row>
    <row r="24" spans="2:96" x14ac:dyDescent="0.35">
      <c r="B24" s="37" t="s">
        <v>64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37" t="s">
        <v>64</v>
      </c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27"/>
      <c r="BN24" s="37" t="s">
        <v>64</v>
      </c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</row>
    <row r="25" spans="2:96" x14ac:dyDescent="0.35">
      <c r="B25" s="43" t="s">
        <v>65</v>
      </c>
      <c r="C25" s="29">
        <f t="shared" ref="C25" si="66">1-SUM(C26:C28)</f>
        <v>0.34109999999999996</v>
      </c>
      <c r="D25" s="29">
        <f t="shared" ref="D25" si="67">1-SUM(D26:D28)</f>
        <v>0.3378000000000001</v>
      </c>
      <c r="E25" s="29">
        <f t="shared" ref="E25" si="68">1-SUM(E26:E28)</f>
        <v>0.34040000000000004</v>
      </c>
      <c r="F25" s="29">
        <f t="shared" ref="F25" si="69">1-SUM(F26:F28)</f>
        <v>0.33709999999999996</v>
      </c>
      <c r="G25" s="29">
        <f t="shared" ref="G25" si="70">1-SUM(G26:G28)</f>
        <v>0.32709999999999995</v>
      </c>
      <c r="H25" s="29">
        <f t="shared" ref="H25" si="71">1-SUM(H26:H28)</f>
        <v>0.33560000000000001</v>
      </c>
      <c r="I25" s="29">
        <f t="shared" ref="I25" si="72">1-SUM(I26:I28)</f>
        <v>0.35440000000000005</v>
      </c>
      <c r="J25" s="29">
        <f t="shared" ref="J25" si="73">1-SUM(J26:J28)</f>
        <v>0.35170000000000001</v>
      </c>
      <c r="K25" s="29">
        <f t="shared" ref="K25" si="74">1-SUM(K26:K28)</f>
        <v>0.33529999999999993</v>
      </c>
      <c r="L25" s="29">
        <f t="shared" ref="L25" si="75">1-SUM(L26:L28)</f>
        <v>0.33800000000000008</v>
      </c>
      <c r="M25" s="29">
        <f t="shared" ref="M25" si="76">1-SUM(M26:M28)</f>
        <v>0.34870000000000001</v>
      </c>
      <c r="N25" s="29">
        <f t="shared" ref="N25" si="77">1-SUM(N26:N28)</f>
        <v>0.35050000000000003</v>
      </c>
      <c r="O25" s="29">
        <f t="shared" ref="O25" si="78">1-SUM(O26:O28)</f>
        <v>0.33940000000000003</v>
      </c>
      <c r="P25" s="29">
        <f t="shared" ref="P25" si="79">1-SUM(P26:P28)</f>
        <v>0.34919999999999995</v>
      </c>
      <c r="Q25" s="29">
        <f t="shared" ref="Q25" si="80">1-SUM(Q26:Q28)</f>
        <v>0.34620000000000006</v>
      </c>
      <c r="R25" s="29">
        <f t="shared" ref="R25" si="81">1-SUM(R26:R28)</f>
        <v>0.33750000000000002</v>
      </c>
      <c r="S25" s="29">
        <f t="shared" ref="S25" si="82">1-SUM(S26:S28)</f>
        <v>0.33650000000000002</v>
      </c>
      <c r="T25" s="29">
        <f t="shared" ref="T25" si="83">1-SUM(T26:T28)</f>
        <v>0.35189999999999999</v>
      </c>
      <c r="U25" s="29">
        <f t="shared" ref="U25" si="84">1-SUM(U26:U28)</f>
        <v>0.33960000000000001</v>
      </c>
      <c r="V25" s="29">
        <f t="shared" ref="V25" si="85">1-SUM(V26:V28)</f>
        <v>0.33940000000000003</v>
      </c>
      <c r="W25" s="29">
        <f t="shared" ref="W25" si="86">1-SUM(W26:W28)</f>
        <v>0.3448</v>
      </c>
      <c r="X25" s="29">
        <f t="shared" ref="X25" si="87">1-SUM(X26:X28)</f>
        <v>0.34109999999999996</v>
      </c>
      <c r="Y25" s="29">
        <f t="shared" ref="Y25" si="88">1-SUM(Y26:Y28)</f>
        <v>0.33189999999999997</v>
      </c>
      <c r="Z25" s="29">
        <f t="shared" ref="Z25" si="89">1-SUM(Z26:Z28)</f>
        <v>0.33970000000000011</v>
      </c>
      <c r="AA25" s="29">
        <f t="shared" ref="AA25" si="90">1-SUM(AA26:AA28)</f>
        <v>0.35240000000000005</v>
      </c>
      <c r="AB25" s="29">
        <f t="shared" ref="AB25" si="91">1-SUM(AB26:AB28)</f>
        <v>0.35040000000000004</v>
      </c>
      <c r="AC25" s="29">
        <f t="shared" ref="AC25" si="92">1-SUM(AC26:AC28)</f>
        <v>0.3569</v>
      </c>
      <c r="AD25" s="29">
        <f t="shared" ref="AD25" si="93">1-SUM(AD26:AD28)</f>
        <v>0.34539999999999993</v>
      </c>
      <c r="AE25" s="29">
        <f t="shared" ref="AE25" si="94">1-SUM(AE26:AE28)</f>
        <v>0.3377</v>
      </c>
      <c r="AF25" s="29">
        <f t="shared" ref="AF25" si="95">1-SUM(AF26:AF28)</f>
        <v>0.34799999999999998</v>
      </c>
      <c r="AG25" s="29"/>
      <c r="AH25" s="43" t="s">
        <v>65</v>
      </c>
      <c r="AI25" s="10">
        <v>0.10127539999999999</v>
      </c>
      <c r="AJ25" s="10">
        <v>0.1141943</v>
      </c>
      <c r="AK25" s="10">
        <v>0.1156114</v>
      </c>
      <c r="AL25" s="10">
        <v>0.12739380000000003</v>
      </c>
      <c r="AM25" s="10">
        <v>0.10192020000000004</v>
      </c>
      <c r="AN25" s="10">
        <v>0.13410510000000003</v>
      </c>
      <c r="AO25" s="10">
        <v>0.11010040000000001</v>
      </c>
      <c r="AP25" s="10">
        <v>8.4982200000000022E-2</v>
      </c>
      <c r="AQ25" s="10">
        <v>0.14721420000000002</v>
      </c>
      <c r="AR25" s="10">
        <v>0.13855830000000002</v>
      </c>
      <c r="AS25" s="10">
        <v>0.15990769440000005</v>
      </c>
      <c r="AT25" s="10">
        <v>0.18420609440000002</v>
      </c>
      <c r="AU25" s="10">
        <v>0.11651869440000004</v>
      </c>
      <c r="AV25" s="10">
        <v>0.14413199440000005</v>
      </c>
      <c r="AW25" s="10">
        <v>0.18402659440000005</v>
      </c>
      <c r="AX25" s="10">
        <v>0.16084199440000005</v>
      </c>
      <c r="AY25" s="10">
        <v>0.17261129440000006</v>
      </c>
      <c r="AZ25" s="10">
        <v>0.15240459440000007</v>
      </c>
      <c r="BA25" s="10">
        <v>0.16677339440000005</v>
      </c>
      <c r="BB25" s="10">
        <v>0.19871269440000008</v>
      </c>
      <c r="BC25" s="10">
        <v>0.16909069440000007</v>
      </c>
      <c r="BD25" s="10">
        <v>0.14978789440000004</v>
      </c>
      <c r="BE25" s="10">
        <v>0.13740339440000002</v>
      </c>
      <c r="BF25" s="10">
        <v>0.15463109440000003</v>
      </c>
      <c r="BG25" s="10">
        <v>0.14113799999999999</v>
      </c>
      <c r="BH25" s="10">
        <v>0.11198759999999999</v>
      </c>
      <c r="BI25" s="10">
        <v>0.12738990000000003</v>
      </c>
      <c r="BJ25" s="10">
        <v>0.1193746</v>
      </c>
      <c r="BK25" s="10">
        <v>0.11005939999999997</v>
      </c>
      <c r="BL25" s="10">
        <v>0.10268679999999999</v>
      </c>
      <c r="BM25" s="27"/>
      <c r="BN25" s="43" t="s">
        <v>65</v>
      </c>
      <c r="BO25" s="27" t="s">
        <v>121</v>
      </c>
      <c r="BP25" s="27" t="s">
        <v>124</v>
      </c>
      <c r="BQ25" s="27" t="s">
        <v>122</v>
      </c>
      <c r="BR25" s="27" t="s">
        <v>123</v>
      </c>
      <c r="BS25" s="27" t="s">
        <v>122</v>
      </c>
      <c r="BT25" s="27" t="s">
        <v>118</v>
      </c>
      <c r="BU25" s="27" t="s">
        <v>122</v>
      </c>
      <c r="BV25" s="27" t="s">
        <v>123</v>
      </c>
      <c r="BW25" s="27" t="s">
        <v>122</v>
      </c>
      <c r="BX25" s="27" t="s">
        <v>122</v>
      </c>
      <c r="BY25" s="27" t="s">
        <v>122</v>
      </c>
      <c r="BZ25" s="27" t="s">
        <v>123</v>
      </c>
      <c r="CA25" s="27" t="s">
        <v>119</v>
      </c>
      <c r="CB25" s="27" t="s">
        <v>120</v>
      </c>
      <c r="CC25" s="27" t="s">
        <v>122</v>
      </c>
      <c r="CD25" s="27" t="s">
        <v>122</v>
      </c>
      <c r="CE25" s="27" t="s">
        <v>124</v>
      </c>
      <c r="CF25" s="27" t="s">
        <v>118</v>
      </c>
      <c r="CG25" s="27" t="s">
        <v>119</v>
      </c>
      <c r="CH25" s="27" t="s">
        <v>124</v>
      </c>
      <c r="CI25" s="27" t="s">
        <v>120</v>
      </c>
      <c r="CJ25" s="27" t="s">
        <v>122</v>
      </c>
      <c r="CK25" s="27" t="s">
        <v>118</v>
      </c>
      <c r="CL25" s="27" t="s">
        <v>120</v>
      </c>
      <c r="CM25" s="27" t="s">
        <v>123</v>
      </c>
      <c r="CN25" s="27" t="s">
        <v>122</v>
      </c>
      <c r="CO25" s="27" t="s">
        <v>124</v>
      </c>
      <c r="CP25" s="27" t="s">
        <v>121</v>
      </c>
      <c r="CQ25" s="27" t="s">
        <v>120</v>
      </c>
      <c r="CR25" s="27" t="s">
        <v>120</v>
      </c>
    </row>
    <row r="26" spans="2:96" x14ac:dyDescent="0.35">
      <c r="B26" s="43" t="s">
        <v>66</v>
      </c>
      <c r="C26" s="29">
        <v>0.2432</v>
      </c>
      <c r="D26" s="29">
        <v>0.24709999999999999</v>
      </c>
      <c r="E26" s="29">
        <v>0.24590000000000001</v>
      </c>
      <c r="F26" s="29">
        <v>0.2442</v>
      </c>
      <c r="G26" s="29">
        <v>0.24729999999999999</v>
      </c>
      <c r="H26" s="29">
        <v>0.24959999999999999</v>
      </c>
      <c r="I26" s="29">
        <v>0.24079999999999999</v>
      </c>
      <c r="J26" s="29">
        <v>0.2445</v>
      </c>
      <c r="K26" s="29">
        <v>0.246</v>
      </c>
      <c r="L26" s="29">
        <v>0.2397</v>
      </c>
      <c r="M26" s="29">
        <v>0.2452</v>
      </c>
      <c r="N26" s="29">
        <v>0.24379999999999999</v>
      </c>
      <c r="O26" s="29">
        <v>0.24329999999999999</v>
      </c>
      <c r="P26" s="29">
        <v>0.2414</v>
      </c>
      <c r="Q26" s="29">
        <v>0.24679999999999999</v>
      </c>
      <c r="R26" s="29">
        <v>0.24349999999999999</v>
      </c>
      <c r="S26" s="29">
        <v>0.24660000000000001</v>
      </c>
      <c r="T26" s="29">
        <v>0.2417</v>
      </c>
      <c r="U26" s="29">
        <v>0.24390000000000001</v>
      </c>
      <c r="V26" s="29">
        <v>0.246</v>
      </c>
      <c r="W26" s="29">
        <v>0.24399999999999999</v>
      </c>
      <c r="X26" s="29">
        <v>0.2465</v>
      </c>
      <c r="Y26" s="29">
        <v>0.2495</v>
      </c>
      <c r="Z26" s="29">
        <v>0.2467</v>
      </c>
      <c r="AA26" s="29">
        <v>0.24079999999999999</v>
      </c>
      <c r="AB26" s="29">
        <v>0.24679999999999999</v>
      </c>
      <c r="AC26" s="29">
        <v>0.2409</v>
      </c>
      <c r="AD26" s="29">
        <v>0.24740000000000001</v>
      </c>
      <c r="AE26" s="29">
        <v>0.2485</v>
      </c>
      <c r="AF26" s="29">
        <v>0.24099999999999999</v>
      </c>
      <c r="AG26" s="29"/>
      <c r="AH26" s="43" t="s">
        <v>66</v>
      </c>
      <c r="AI26" s="10">
        <v>0.16727539999999999</v>
      </c>
      <c r="AJ26" s="10">
        <v>0.1801943</v>
      </c>
      <c r="AK26" s="10">
        <v>0.18161140000000001</v>
      </c>
      <c r="AL26" s="10">
        <v>0.19339380000000003</v>
      </c>
      <c r="AM26" s="10">
        <v>0.16792020000000005</v>
      </c>
      <c r="AN26" s="10">
        <v>0.20010510000000004</v>
      </c>
      <c r="AO26" s="10">
        <v>0.17610040000000002</v>
      </c>
      <c r="AP26" s="10">
        <v>0.15098220000000001</v>
      </c>
      <c r="AQ26" s="10">
        <v>0.21321420000000002</v>
      </c>
      <c r="AR26" s="10">
        <v>0.20455830000000003</v>
      </c>
      <c r="AS26" s="10">
        <v>0.22590769440000005</v>
      </c>
      <c r="AT26" s="10">
        <v>0.25020609440000002</v>
      </c>
      <c r="AU26" s="10">
        <v>0.18251869440000004</v>
      </c>
      <c r="AV26" s="10">
        <v>0.21013199440000005</v>
      </c>
      <c r="AW26" s="10">
        <v>0.25002659440000008</v>
      </c>
      <c r="AX26" s="10">
        <v>0.22684199440000005</v>
      </c>
      <c r="AY26" s="10">
        <v>0.23861129440000006</v>
      </c>
      <c r="AZ26" s="10">
        <v>0.21840459440000007</v>
      </c>
      <c r="BA26" s="10">
        <v>0.23277339440000006</v>
      </c>
      <c r="BB26" s="10">
        <v>0.26471269440000011</v>
      </c>
      <c r="BC26" s="10">
        <v>0.23509069440000008</v>
      </c>
      <c r="BD26" s="10">
        <v>0.21578789440000004</v>
      </c>
      <c r="BE26" s="10">
        <v>0.20340339440000002</v>
      </c>
      <c r="BF26" s="10">
        <v>0.22063109440000003</v>
      </c>
      <c r="BG26" s="10">
        <v>0.20713799999999999</v>
      </c>
      <c r="BH26" s="10">
        <v>0.1779876</v>
      </c>
      <c r="BI26" s="10">
        <v>0.19338990000000003</v>
      </c>
      <c r="BJ26" s="10">
        <v>0.1853746</v>
      </c>
      <c r="BK26" s="10">
        <v>0.17605939999999998</v>
      </c>
      <c r="BL26" s="10">
        <v>0.1686868</v>
      </c>
      <c r="BM26" s="27"/>
      <c r="BN26" s="43" t="s">
        <v>66</v>
      </c>
      <c r="BO26" s="27" t="s">
        <v>121</v>
      </c>
      <c r="BP26" s="27" t="s">
        <v>121</v>
      </c>
      <c r="BQ26" s="27" t="s">
        <v>118</v>
      </c>
      <c r="BR26" s="27" t="s">
        <v>120</v>
      </c>
      <c r="BS26" s="27" t="s">
        <v>120</v>
      </c>
      <c r="BT26" s="27" t="s">
        <v>124</v>
      </c>
      <c r="BU26" s="27" t="s">
        <v>119</v>
      </c>
      <c r="BV26" s="27" t="s">
        <v>124</v>
      </c>
      <c r="BW26" s="27" t="s">
        <v>119</v>
      </c>
      <c r="BX26" s="27" t="s">
        <v>124</v>
      </c>
      <c r="BY26" s="27" t="s">
        <v>118</v>
      </c>
      <c r="BZ26" s="27" t="s">
        <v>122</v>
      </c>
      <c r="CA26" s="27" t="s">
        <v>120</v>
      </c>
      <c r="CB26" s="27" t="s">
        <v>119</v>
      </c>
      <c r="CC26" s="27" t="s">
        <v>120</v>
      </c>
      <c r="CD26" s="27" t="s">
        <v>121</v>
      </c>
      <c r="CE26" s="27" t="s">
        <v>121</v>
      </c>
      <c r="CF26" s="27" t="s">
        <v>123</v>
      </c>
      <c r="CG26" s="27" t="s">
        <v>123</v>
      </c>
      <c r="CH26" s="27" t="s">
        <v>119</v>
      </c>
      <c r="CI26" s="27" t="s">
        <v>121</v>
      </c>
      <c r="CJ26" s="27" t="s">
        <v>118</v>
      </c>
      <c r="CK26" s="27" t="s">
        <v>119</v>
      </c>
      <c r="CL26" s="27" t="s">
        <v>120</v>
      </c>
      <c r="CM26" s="27" t="s">
        <v>119</v>
      </c>
      <c r="CN26" s="27" t="s">
        <v>122</v>
      </c>
      <c r="CO26" s="27" t="s">
        <v>122</v>
      </c>
      <c r="CP26" s="27" t="s">
        <v>122</v>
      </c>
      <c r="CQ26" s="27" t="s">
        <v>124</v>
      </c>
      <c r="CR26" s="27" t="s">
        <v>118</v>
      </c>
    </row>
    <row r="27" spans="2:96" x14ac:dyDescent="0.35">
      <c r="B27" s="43" t="s">
        <v>67</v>
      </c>
      <c r="C27" s="29">
        <v>0.15110000000000001</v>
      </c>
      <c r="D27" s="29">
        <v>0.1588</v>
      </c>
      <c r="E27" s="29">
        <v>0.16070000000000001</v>
      </c>
      <c r="F27" s="29">
        <v>0.1565</v>
      </c>
      <c r="G27" s="29">
        <v>0.1605</v>
      </c>
      <c r="H27" s="29">
        <v>0.14979999999999999</v>
      </c>
      <c r="I27" s="29">
        <v>0.14530000000000001</v>
      </c>
      <c r="J27" s="29">
        <v>0.14929999999999999</v>
      </c>
      <c r="K27" s="29">
        <v>0.15329999999999999</v>
      </c>
      <c r="L27" s="29">
        <v>0.159</v>
      </c>
      <c r="M27" s="29">
        <v>0.15290000000000001</v>
      </c>
      <c r="N27" s="29">
        <v>0.1482</v>
      </c>
      <c r="O27" s="29">
        <v>0.15529999999999999</v>
      </c>
      <c r="P27" s="29">
        <v>0.1457</v>
      </c>
      <c r="Q27" s="29">
        <v>0.14960000000000001</v>
      </c>
      <c r="R27" s="29">
        <v>0.16</v>
      </c>
      <c r="S27" s="29">
        <v>0.15310000000000001</v>
      </c>
      <c r="T27" s="29">
        <v>0.1502</v>
      </c>
      <c r="U27" s="29">
        <v>0.1512</v>
      </c>
      <c r="V27" s="29">
        <v>0.15029999999999999</v>
      </c>
      <c r="W27" s="29">
        <v>0.15429999999999999</v>
      </c>
      <c r="X27" s="29">
        <v>0.1532</v>
      </c>
      <c r="Y27" s="29">
        <v>0.15970000000000001</v>
      </c>
      <c r="Z27" s="29">
        <v>0.14879999999999999</v>
      </c>
      <c r="AA27" s="29">
        <v>0.1459</v>
      </c>
      <c r="AB27" s="29">
        <v>0.14829999999999999</v>
      </c>
      <c r="AC27" s="29">
        <v>0.1474</v>
      </c>
      <c r="AD27" s="29">
        <v>0.1477</v>
      </c>
      <c r="AE27" s="29">
        <v>0.15229999999999999</v>
      </c>
      <c r="AF27" s="29">
        <v>0.15190000000000001</v>
      </c>
      <c r="AG27" s="29"/>
      <c r="AH27" s="43" t="s">
        <v>67</v>
      </c>
      <c r="AI27" s="10">
        <v>0.13227539999999999</v>
      </c>
      <c r="AJ27" s="10">
        <v>0.1451943</v>
      </c>
      <c r="AK27" s="10">
        <v>0.1466114</v>
      </c>
      <c r="AL27" s="10">
        <v>0.15839380000000003</v>
      </c>
      <c r="AM27" s="10">
        <v>0.13292020000000004</v>
      </c>
      <c r="AN27" s="10">
        <v>0.16510510000000003</v>
      </c>
      <c r="AO27" s="10">
        <v>0.14110040000000001</v>
      </c>
      <c r="AP27" s="10">
        <v>0.11598220000000002</v>
      </c>
      <c r="AQ27" s="10">
        <v>0.17821420000000002</v>
      </c>
      <c r="AR27" s="10">
        <v>0.16955830000000002</v>
      </c>
      <c r="AS27" s="10">
        <v>0.19090769440000005</v>
      </c>
      <c r="AT27" s="10">
        <v>0.21520609440000002</v>
      </c>
      <c r="AU27" s="10">
        <v>0.14751869440000004</v>
      </c>
      <c r="AV27" s="10">
        <v>0.17513199440000005</v>
      </c>
      <c r="AW27" s="10">
        <v>0.21502659440000005</v>
      </c>
      <c r="AX27" s="10">
        <v>0.19184199440000005</v>
      </c>
      <c r="AY27" s="10">
        <v>0.20361129440000006</v>
      </c>
      <c r="AZ27" s="10">
        <v>0.18340459440000006</v>
      </c>
      <c r="BA27" s="10">
        <v>0.19777339440000005</v>
      </c>
      <c r="BB27" s="10">
        <v>0.22971269440000008</v>
      </c>
      <c r="BC27" s="10">
        <v>0.20009069440000007</v>
      </c>
      <c r="BD27" s="10">
        <v>0.18078789440000004</v>
      </c>
      <c r="BE27" s="10">
        <v>0.16840339440000002</v>
      </c>
      <c r="BF27" s="10">
        <v>0.18563109440000003</v>
      </c>
      <c r="BG27" s="10">
        <v>0.17213799999999999</v>
      </c>
      <c r="BH27" s="10">
        <v>0.14298759999999999</v>
      </c>
      <c r="BI27" s="10">
        <v>0.15838990000000003</v>
      </c>
      <c r="BJ27" s="10">
        <v>0.1503746</v>
      </c>
      <c r="BK27" s="10">
        <v>0.14105939999999997</v>
      </c>
      <c r="BL27" s="10">
        <v>0.13368679999999999</v>
      </c>
      <c r="BM27" s="27"/>
      <c r="BN27" s="43" t="s">
        <v>67</v>
      </c>
      <c r="BO27" s="27" t="s">
        <v>121</v>
      </c>
      <c r="BP27" s="27" t="s">
        <v>120</v>
      </c>
      <c r="BQ27" s="27" t="s">
        <v>120</v>
      </c>
      <c r="BR27" s="27" t="s">
        <v>119</v>
      </c>
      <c r="BS27" s="27" t="s">
        <v>123</v>
      </c>
      <c r="BT27" s="27" t="s">
        <v>118</v>
      </c>
      <c r="BU27" s="27" t="s">
        <v>118</v>
      </c>
      <c r="BV27" s="27" t="s">
        <v>120</v>
      </c>
      <c r="BW27" s="27" t="s">
        <v>119</v>
      </c>
      <c r="BX27" s="27" t="s">
        <v>122</v>
      </c>
      <c r="BY27" s="27" t="s">
        <v>124</v>
      </c>
      <c r="BZ27" s="27" t="s">
        <v>124</v>
      </c>
      <c r="CA27" s="27" t="s">
        <v>122</v>
      </c>
      <c r="CB27" s="27" t="s">
        <v>118</v>
      </c>
      <c r="CC27" s="27" t="s">
        <v>123</v>
      </c>
      <c r="CD27" s="27" t="s">
        <v>121</v>
      </c>
      <c r="CE27" s="27" t="s">
        <v>124</v>
      </c>
      <c r="CF27" s="27" t="s">
        <v>123</v>
      </c>
      <c r="CG27" s="27" t="s">
        <v>119</v>
      </c>
      <c r="CH27" s="27" t="s">
        <v>122</v>
      </c>
      <c r="CI27" s="27" t="s">
        <v>122</v>
      </c>
      <c r="CJ27" s="27" t="s">
        <v>120</v>
      </c>
      <c r="CK27" s="27" t="s">
        <v>122</v>
      </c>
      <c r="CL27" s="27" t="s">
        <v>120</v>
      </c>
      <c r="CM27" s="27" t="s">
        <v>124</v>
      </c>
      <c r="CN27" s="27" t="s">
        <v>124</v>
      </c>
      <c r="CO27" s="27" t="s">
        <v>124</v>
      </c>
      <c r="CP27" s="27" t="s">
        <v>123</v>
      </c>
      <c r="CQ27" s="27" t="s">
        <v>118</v>
      </c>
      <c r="CR27" s="27" t="s">
        <v>120</v>
      </c>
    </row>
    <row r="28" spans="2:96" x14ac:dyDescent="0.35">
      <c r="B28" s="43" t="s">
        <v>68</v>
      </c>
      <c r="C28" s="29">
        <v>0.2646</v>
      </c>
      <c r="D28" s="29">
        <v>0.25629999999999997</v>
      </c>
      <c r="E28" s="29">
        <v>0.253</v>
      </c>
      <c r="F28" s="29">
        <v>0.26219999999999999</v>
      </c>
      <c r="G28" s="29">
        <v>0.2651</v>
      </c>
      <c r="H28" s="29">
        <v>0.26500000000000001</v>
      </c>
      <c r="I28" s="29">
        <v>0.25950000000000001</v>
      </c>
      <c r="J28" s="29">
        <v>0.2545</v>
      </c>
      <c r="K28" s="29">
        <v>0.26540000000000002</v>
      </c>
      <c r="L28" s="29">
        <v>0.26329999999999998</v>
      </c>
      <c r="M28" s="29">
        <v>0.25319999999999998</v>
      </c>
      <c r="N28" s="29">
        <v>0.25750000000000001</v>
      </c>
      <c r="O28" s="29">
        <v>0.26200000000000001</v>
      </c>
      <c r="P28" s="29">
        <v>0.26369999999999999</v>
      </c>
      <c r="Q28" s="29">
        <v>0.25740000000000002</v>
      </c>
      <c r="R28" s="29">
        <v>0.25900000000000001</v>
      </c>
      <c r="S28" s="29">
        <v>0.26379999999999998</v>
      </c>
      <c r="T28" s="29">
        <v>0.25619999999999998</v>
      </c>
      <c r="U28" s="29">
        <v>0.26529999999999998</v>
      </c>
      <c r="V28" s="29">
        <v>0.26429999999999998</v>
      </c>
      <c r="W28" s="29">
        <v>0.25690000000000002</v>
      </c>
      <c r="X28" s="29">
        <v>0.25919999999999999</v>
      </c>
      <c r="Y28" s="29">
        <v>0.25890000000000002</v>
      </c>
      <c r="Z28" s="29">
        <v>0.26479999999999998</v>
      </c>
      <c r="AA28" s="29">
        <v>0.26090000000000002</v>
      </c>
      <c r="AB28" s="29">
        <v>0.2545</v>
      </c>
      <c r="AC28" s="29">
        <v>0.25480000000000003</v>
      </c>
      <c r="AD28" s="29">
        <v>0.25950000000000001</v>
      </c>
      <c r="AE28" s="29">
        <v>0.26150000000000001</v>
      </c>
      <c r="AF28" s="29">
        <v>0.2591</v>
      </c>
      <c r="AG28" s="29"/>
      <c r="AH28" s="43" t="s">
        <v>68</v>
      </c>
      <c r="AI28" s="10">
        <v>0.15127539999999998</v>
      </c>
      <c r="AJ28" s="10">
        <v>0.16419429999999999</v>
      </c>
      <c r="AK28" s="10">
        <v>0.16561139999999999</v>
      </c>
      <c r="AL28" s="10">
        <v>0.17739380000000002</v>
      </c>
      <c r="AM28" s="10">
        <v>0.15192020000000003</v>
      </c>
      <c r="AN28" s="10">
        <v>0.18410510000000002</v>
      </c>
      <c r="AO28" s="10">
        <v>0.1601004</v>
      </c>
      <c r="AP28" s="10">
        <v>0.1349822</v>
      </c>
      <c r="AQ28" s="10">
        <v>0.19721420000000001</v>
      </c>
      <c r="AR28" s="10">
        <v>0.18855830000000001</v>
      </c>
      <c r="AS28" s="10">
        <v>0.20990769440000004</v>
      </c>
      <c r="AT28" s="10">
        <v>0.23420609440000001</v>
      </c>
      <c r="AU28" s="10">
        <v>0.16651869440000003</v>
      </c>
      <c r="AV28" s="10">
        <v>0.19413199440000004</v>
      </c>
      <c r="AW28" s="10">
        <v>0.23402659440000004</v>
      </c>
      <c r="AX28" s="10">
        <v>0.21084199440000004</v>
      </c>
      <c r="AY28" s="10">
        <v>0.22261129440000005</v>
      </c>
      <c r="AZ28" s="10">
        <v>0.20240459440000005</v>
      </c>
      <c r="BA28" s="10">
        <v>0.21677339440000004</v>
      </c>
      <c r="BB28" s="10">
        <v>0.24871269440000007</v>
      </c>
      <c r="BC28" s="10">
        <v>0.21909069440000006</v>
      </c>
      <c r="BD28" s="10">
        <v>0.19978789440000003</v>
      </c>
      <c r="BE28" s="10">
        <v>0.18740339440000001</v>
      </c>
      <c r="BF28" s="10">
        <v>0.20463109440000002</v>
      </c>
      <c r="BG28" s="10">
        <v>0.19113799999999997</v>
      </c>
      <c r="BH28" s="10">
        <v>0.16198759999999998</v>
      </c>
      <c r="BI28" s="10">
        <v>0.17738990000000002</v>
      </c>
      <c r="BJ28" s="10">
        <v>0.16937459999999999</v>
      </c>
      <c r="BK28" s="10">
        <v>0.16005939999999996</v>
      </c>
      <c r="BL28" s="10">
        <v>0.15268679999999998</v>
      </c>
      <c r="BM28" s="27"/>
      <c r="BN28" s="43" t="s">
        <v>68</v>
      </c>
      <c r="BO28" s="27" t="s">
        <v>120</v>
      </c>
      <c r="BP28" s="27" t="s">
        <v>123</v>
      </c>
      <c r="BQ28" s="27" t="s">
        <v>121</v>
      </c>
      <c r="BR28" s="27" t="s">
        <v>122</v>
      </c>
      <c r="BS28" s="27" t="s">
        <v>122</v>
      </c>
      <c r="BT28" s="27" t="s">
        <v>122</v>
      </c>
      <c r="BU28" s="27" t="s">
        <v>121</v>
      </c>
      <c r="BV28" s="27" t="s">
        <v>121</v>
      </c>
      <c r="BW28" s="27" t="s">
        <v>122</v>
      </c>
      <c r="BX28" s="27" t="s">
        <v>124</v>
      </c>
      <c r="BY28" s="27" t="s">
        <v>118</v>
      </c>
      <c r="BZ28" s="27" t="s">
        <v>118</v>
      </c>
      <c r="CA28" s="27" t="s">
        <v>122</v>
      </c>
      <c r="CB28" s="27" t="s">
        <v>118</v>
      </c>
      <c r="CC28" s="27" t="s">
        <v>121</v>
      </c>
      <c r="CD28" s="27" t="s">
        <v>123</v>
      </c>
      <c r="CE28" s="27" t="s">
        <v>120</v>
      </c>
      <c r="CF28" s="27" t="s">
        <v>124</v>
      </c>
      <c r="CG28" s="27" t="s">
        <v>124</v>
      </c>
      <c r="CH28" s="27" t="s">
        <v>122</v>
      </c>
      <c r="CI28" s="27" t="s">
        <v>120</v>
      </c>
      <c r="CJ28" s="27" t="s">
        <v>119</v>
      </c>
      <c r="CK28" s="27" t="s">
        <v>118</v>
      </c>
      <c r="CL28" s="27" t="s">
        <v>123</v>
      </c>
      <c r="CM28" s="27" t="s">
        <v>123</v>
      </c>
      <c r="CN28" s="27" t="s">
        <v>121</v>
      </c>
      <c r="CO28" s="27" t="s">
        <v>121</v>
      </c>
      <c r="CP28" s="27" t="s">
        <v>124</v>
      </c>
      <c r="CQ28" s="27" t="s">
        <v>122</v>
      </c>
      <c r="CR28" s="27" t="s">
        <v>124</v>
      </c>
    </row>
    <row r="29" spans="2:96" x14ac:dyDescent="0.35">
      <c r="B29" s="38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38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27"/>
      <c r="BN29" s="38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</row>
    <row r="30" spans="2:96" x14ac:dyDescent="0.35">
      <c r="B30" s="37" t="s">
        <v>69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37" t="s">
        <v>69</v>
      </c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27"/>
      <c r="BN30" s="37" t="s">
        <v>69</v>
      </c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</row>
    <row r="31" spans="2:96" x14ac:dyDescent="0.35">
      <c r="B31" s="43" t="s">
        <v>70</v>
      </c>
      <c r="C31" s="29">
        <f t="shared" ref="C31" si="96">1-SUM(C32:C35)</f>
        <v>0.35809999999999997</v>
      </c>
      <c r="D31" s="29">
        <f t="shared" ref="D31" si="97">1-SUM(D32:D35)</f>
        <v>0.35239999999999994</v>
      </c>
      <c r="E31" s="29">
        <f t="shared" ref="E31" si="98">1-SUM(E32:E35)</f>
        <v>0.35299999999999998</v>
      </c>
      <c r="F31" s="29">
        <f t="shared" ref="F31" si="99">1-SUM(F32:F35)</f>
        <v>0.35350000000000004</v>
      </c>
      <c r="G31" s="29">
        <f t="shared" ref="G31" si="100">1-SUM(G32:G35)</f>
        <v>0.34709999999999996</v>
      </c>
      <c r="H31" s="29">
        <f t="shared" ref="H31" si="101">1-SUM(H32:H35)</f>
        <v>0.34409999999999996</v>
      </c>
      <c r="I31" s="29">
        <f t="shared" ref="I31" si="102">1-SUM(I32:I35)</f>
        <v>0.36170000000000002</v>
      </c>
      <c r="J31" s="29">
        <f t="shared" ref="J31" si="103">1-SUM(J32:J35)</f>
        <v>0.36229999999999996</v>
      </c>
      <c r="K31" s="29">
        <f t="shared" ref="K31" si="104">1-SUM(K32:K35)</f>
        <v>0.35809999999999997</v>
      </c>
      <c r="L31" s="29">
        <f t="shared" ref="L31" si="105">1-SUM(L32:L35)</f>
        <v>0.35189999999999999</v>
      </c>
      <c r="M31" s="29">
        <f t="shared" ref="M31" si="106">1-SUM(M32:M35)</f>
        <v>0.35230000000000006</v>
      </c>
      <c r="N31" s="29">
        <f t="shared" ref="N31" si="107">1-SUM(N32:N35)</f>
        <v>0.35660000000000003</v>
      </c>
      <c r="O31" s="29">
        <f t="shared" ref="O31" si="108">1-SUM(O32:O35)</f>
        <v>0.36240000000000006</v>
      </c>
      <c r="P31" s="29">
        <f t="shared" ref="P31" si="109">1-SUM(P32:P35)</f>
        <v>0.35450000000000004</v>
      </c>
      <c r="Q31" s="29">
        <f t="shared" ref="Q31" si="110">1-SUM(Q32:Q35)</f>
        <v>0.34309999999999996</v>
      </c>
      <c r="R31" s="29">
        <f t="shared" ref="R31" si="111">1-SUM(R32:R35)</f>
        <v>0.34489999999999998</v>
      </c>
      <c r="S31" s="29">
        <f t="shared" ref="S31" si="112">1-SUM(S32:S35)</f>
        <v>0.3538</v>
      </c>
      <c r="T31" s="29">
        <f t="shared" ref="T31" si="113">1-SUM(T32:T35)</f>
        <v>0.35830000000000006</v>
      </c>
      <c r="U31" s="29">
        <f t="shared" ref="U31" si="114">1-SUM(U32:U35)</f>
        <v>0.35899999999999999</v>
      </c>
      <c r="V31" s="29">
        <f t="shared" ref="V31" si="115">1-SUM(V32:V35)</f>
        <v>0.35399999999999998</v>
      </c>
      <c r="W31" s="29">
        <f t="shared" ref="W31" si="116">1-SUM(W32:W35)</f>
        <v>0.34429999999999994</v>
      </c>
      <c r="X31" s="29">
        <f t="shared" ref="X31" si="117">1-SUM(X32:X35)</f>
        <v>0.35139999999999993</v>
      </c>
      <c r="Y31" s="29">
        <f t="shared" ref="Y31" si="118">1-SUM(Y32:Y35)</f>
        <v>0.35509999999999997</v>
      </c>
      <c r="Z31" s="29">
        <f t="shared" ref="Z31" si="119">1-SUM(Z32:Z35)</f>
        <v>0.35629999999999995</v>
      </c>
      <c r="AA31" s="29">
        <f t="shared" ref="AA31" si="120">1-SUM(AA32:AA35)</f>
        <v>0.34809999999999997</v>
      </c>
      <c r="AB31" s="29">
        <f t="shared" ref="AB31" si="121">1-SUM(AB32:AB35)</f>
        <v>0.35639999999999994</v>
      </c>
      <c r="AC31" s="29">
        <f t="shared" ref="AC31" si="122">1-SUM(AC32:AC35)</f>
        <v>0.35409999999999997</v>
      </c>
      <c r="AD31" s="29">
        <f t="shared" ref="AD31" si="123">1-SUM(AD32:AD35)</f>
        <v>0.35029999999999994</v>
      </c>
      <c r="AE31" s="29">
        <f t="shared" ref="AE31" si="124">1-SUM(AE32:AE35)</f>
        <v>0.35929999999999995</v>
      </c>
      <c r="AF31" s="29">
        <f t="shared" ref="AF31" si="125">1-SUM(AF32:AF35)</f>
        <v>0.3488</v>
      </c>
      <c r="AG31" s="29"/>
      <c r="AH31" s="43" t="s">
        <v>70</v>
      </c>
      <c r="AI31" s="10">
        <v>0.11080139999999999</v>
      </c>
      <c r="AJ31" s="10">
        <v>0.12363569999999999</v>
      </c>
      <c r="AK31" s="10">
        <v>0.12454610000000002</v>
      </c>
      <c r="AL31" s="10">
        <v>0.13679220000000003</v>
      </c>
      <c r="AM31" s="10">
        <v>0.11161340000000003</v>
      </c>
      <c r="AN31" s="10">
        <v>0.14341070000000006</v>
      </c>
      <c r="AO31" s="10">
        <v>0.11905440000000003</v>
      </c>
      <c r="AP31" s="10">
        <v>9.4061500000000034E-2</v>
      </c>
      <c r="AQ31" s="10">
        <v>0.15689270000000002</v>
      </c>
      <c r="AR31" s="10">
        <v>0.14754290000000003</v>
      </c>
      <c r="AS31" s="10">
        <v>0.16871559440000003</v>
      </c>
      <c r="AT31" s="10">
        <v>0.19308609440000002</v>
      </c>
      <c r="AU31" s="10">
        <v>0.12614429440000002</v>
      </c>
      <c r="AV31" s="10">
        <v>0.1531667944</v>
      </c>
      <c r="AW31" s="10">
        <v>0.19280889440000007</v>
      </c>
      <c r="AX31" s="10">
        <v>0.16966739440000006</v>
      </c>
      <c r="AY31" s="10">
        <v>0.18221999440000006</v>
      </c>
      <c r="AZ31" s="10">
        <v>0.16135769440000003</v>
      </c>
      <c r="BA31" s="10">
        <v>0.17621859440000009</v>
      </c>
      <c r="BB31" s="10">
        <v>0.20806489440000006</v>
      </c>
      <c r="BC31" s="10">
        <v>0.17766999440000009</v>
      </c>
      <c r="BD31" s="10">
        <v>0.15909319440000003</v>
      </c>
      <c r="BE31" s="10">
        <v>0.14708659440000002</v>
      </c>
      <c r="BF31" s="10">
        <v>0.16411209440000005</v>
      </c>
      <c r="BG31" s="10">
        <v>0.14952060000000003</v>
      </c>
      <c r="BH31" s="10">
        <v>0.12098950000000003</v>
      </c>
      <c r="BI31" s="10">
        <v>0.13594829999999999</v>
      </c>
      <c r="BJ31" s="10">
        <v>0.12845219999999999</v>
      </c>
      <c r="BK31" s="10">
        <v>0.11962989999999998</v>
      </c>
      <c r="BL31" s="10">
        <v>0.1114146</v>
      </c>
      <c r="BM31" s="27"/>
      <c r="BN31" s="43" t="s">
        <v>70</v>
      </c>
      <c r="BO31" s="27" t="s">
        <v>118</v>
      </c>
      <c r="BP31" s="27" t="s">
        <v>118</v>
      </c>
      <c r="BQ31" s="27" t="s">
        <v>118</v>
      </c>
      <c r="BR31" s="27" t="s">
        <v>123</v>
      </c>
      <c r="BS31" s="27" t="s">
        <v>124</v>
      </c>
      <c r="BT31" s="27" t="s">
        <v>123</v>
      </c>
      <c r="BU31" s="27" t="s">
        <v>120</v>
      </c>
      <c r="BV31" s="27" t="s">
        <v>119</v>
      </c>
      <c r="BW31" s="27" t="s">
        <v>122</v>
      </c>
      <c r="BX31" s="27" t="s">
        <v>118</v>
      </c>
      <c r="BY31" s="27" t="s">
        <v>123</v>
      </c>
      <c r="BZ31" s="27" t="s">
        <v>121</v>
      </c>
      <c r="CA31" s="27" t="s">
        <v>118</v>
      </c>
      <c r="CB31" s="27" t="s">
        <v>122</v>
      </c>
      <c r="CC31" s="27" t="s">
        <v>121</v>
      </c>
      <c r="CD31" s="27" t="s">
        <v>121</v>
      </c>
      <c r="CE31" s="27" t="s">
        <v>119</v>
      </c>
      <c r="CF31" s="27" t="s">
        <v>124</v>
      </c>
      <c r="CG31" s="27" t="s">
        <v>121</v>
      </c>
      <c r="CH31" s="27" t="s">
        <v>121</v>
      </c>
      <c r="CI31" s="27" t="s">
        <v>123</v>
      </c>
      <c r="CJ31" s="27" t="s">
        <v>119</v>
      </c>
      <c r="CK31" s="27" t="s">
        <v>120</v>
      </c>
      <c r="CL31" s="27" t="s">
        <v>119</v>
      </c>
      <c r="CM31" s="27" t="s">
        <v>120</v>
      </c>
      <c r="CN31" s="27" t="s">
        <v>123</v>
      </c>
      <c r="CO31" s="27" t="s">
        <v>122</v>
      </c>
      <c r="CP31" s="27" t="s">
        <v>121</v>
      </c>
      <c r="CQ31" s="27" t="s">
        <v>120</v>
      </c>
      <c r="CR31" s="27" t="s">
        <v>121</v>
      </c>
    </row>
    <row r="32" spans="2:96" x14ac:dyDescent="0.35">
      <c r="B32" s="43" t="s">
        <v>71</v>
      </c>
      <c r="C32" s="29">
        <v>0.24840000000000001</v>
      </c>
      <c r="D32" s="29">
        <v>0.24629999999999999</v>
      </c>
      <c r="E32" s="29">
        <v>0.24909999999999999</v>
      </c>
      <c r="F32" s="29">
        <v>0.24610000000000001</v>
      </c>
      <c r="G32" s="29">
        <v>0.24460000000000001</v>
      </c>
      <c r="H32" s="29">
        <v>0.24709999999999999</v>
      </c>
      <c r="I32" s="29">
        <v>0.24779999999999999</v>
      </c>
      <c r="J32" s="29">
        <v>0.24360000000000001</v>
      </c>
      <c r="K32" s="29">
        <v>0.24360000000000001</v>
      </c>
      <c r="L32" s="29">
        <v>0.24399999999999999</v>
      </c>
      <c r="M32" s="29">
        <v>0.2475</v>
      </c>
      <c r="N32" s="29">
        <v>0.24440000000000001</v>
      </c>
      <c r="O32" s="29">
        <v>0.24779999999999999</v>
      </c>
      <c r="P32" s="29">
        <v>0.24490000000000001</v>
      </c>
      <c r="Q32" s="29">
        <v>0.24490000000000001</v>
      </c>
      <c r="R32" s="29">
        <v>0.2472</v>
      </c>
      <c r="S32" s="29">
        <v>0.24709999999999999</v>
      </c>
      <c r="T32" s="29">
        <v>0.2475</v>
      </c>
      <c r="U32" s="29">
        <v>0.2477</v>
      </c>
      <c r="V32" s="29">
        <v>0.24959999999999999</v>
      </c>
      <c r="W32" s="29">
        <v>0.24879999999999999</v>
      </c>
      <c r="X32" s="29">
        <v>0.24890000000000001</v>
      </c>
      <c r="Y32" s="29">
        <v>0.24590000000000001</v>
      </c>
      <c r="Z32" s="29">
        <v>0.24429999999999999</v>
      </c>
      <c r="AA32" s="29">
        <v>0.24709999999999999</v>
      </c>
      <c r="AB32" s="29">
        <v>0.24590000000000001</v>
      </c>
      <c r="AC32" s="29">
        <v>0.24590000000000001</v>
      </c>
      <c r="AD32" s="29">
        <v>0.2442</v>
      </c>
      <c r="AE32" s="29">
        <v>0.24429999999999999</v>
      </c>
      <c r="AF32" s="29">
        <v>0.24399999999999999</v>
      </c>
      <c r="AG32" s="29"/>
      <c r="AH32" s="43" t="s">
        <v>71</v>
      </c>
      <c r="AI32" s="10">
        <v>0.15680140000000001</v>
      </c>
      <c r="AJ32" s="10">
        <v>0.1696357</v>
      </c>
      <c r="AK32" s="10">
        <v>0.17054610000000003</v>
      </c>
      <c r="AL32" s="10">
        <v>0.18279220000000004</v>
      </c>
      <c r="AM32" s="10">
        <v>0.15761340000000004</v>
      </c>
      <c r="AN32" s="10">
        <v>0.18941070000000007</v>
      </c>
      <c r="AO32" s="10">
        <v>0.16505440000000005</v>
      </c>
      <c r="AP32" s="10">
        <v>0.14006150000000006</v>
      </c>
      <c r="AQ32" s="10">
        <v>0.20289270000000004</v>
      </c>
      <c r="AR32" s="10">
        <v>0.19354290000000005</v>
      </c>
      <c r="AS32" s="10">
        <v>0.21471559440000004</v>
      </c>
      <c r="AT32" s="10">
        <v>0.23908609440000003</v>
      </c>
      <c r="AU32" s="10">
        <v>0.17214429440000004</v>
      </c>
      <c r="AV32" s="10">
        <v>0.19916679440000001</v>
      </c>
      <c r="AW32" s="10">
        <v>0.23880889440000008</v>
      </c>
      <c r="AX32" s="10">
        <v>0.21566739440000007</v>
      </c>
      <c r="AY32" s="10">
        <v>0.22821999440000007</v>
      </c>
      <c r="AZ32" s="10">
        <v>0.20735769440000004</v>
      </c>
      <c r="BA32" s="10">
        <v>0.22221859440000011</v>
      </c>
      <c r="BB32" s="10">
        <v>0.25406489440000007</v>
      </c>
      <c r="BC32" s="10">
        <v>0.2236699944000001</v>
      </c>
      <c r="BD32" s="10">
        <v>0.20509319440000004</v>
      </c>
      <c r="BE32" s="10">
        <v>0.19308659440000003</v>
      </c>
      <c r="BF32" s="10">
        <v>0.21011209440000006</v>
      </c>
      <c r="BG32" s="10">
        <v>0.19552060000000004</v>
      </c>
      <c r="BH32" s="10">
        <v>0.16698950000000004</v>
      </c>
      <c r="BI32" s="10">
        <v>0.18194830000000001</v>
      </c>
      <c r="BJ32" s="10">
        <v>0.1744522</v>
      </c>
      <c r="BK32" s="10">
        <v>0.1656299</v>
      </c>
      <c r="BL32" s="10">
        <v>0.15741460000000002</v>
      </c>
      <c r="BM32" s="10"/>
      <c r="BN32" s="43" t="s">
        <v>71</v>
      </c>
      <c r="BO32" s="27" t="s">
        <v>124</v>
      </c>
      <c r="BP32" s="27" t="s">
        <v>122</v>
      </c>
      <c r="BQ32" s="27" t="s">
        <v>118</v>
      </c>
      <c r="BR32" s="27" t="s">
        <v>118</v>
      </c>
      <c r="BS32" s="27" t="s">
        <v>123</v>
      </c>
      <c r="BT32" s="27" t="s">
        <v>121</v>
      </c>
      <c r="BU32" s="27" t="s">
        <v>120</v>
      </c>
      <c r="BV32" s="27" t="s">
        <v>124</v>
      </c>
      <c r="BW32" s="27" t="s">
        <v>122</v>
      </c>
      <c r="BX32" s="27" t="s">
        <v>123</v>
      </c>
      <c r="BY32" s="27" t="s">
        <v>120</v>
      </c>
      <c r="BZ32" s="27" t="s">
        <v>119</v>
      </c>
      <c r="CA32" s="27" t="s">
        <v>118</v>
      </c>
      <c r="CB32" s="27" t="s">
        <v>120</v>
      </c>
      <c r="CC32" s="27" t="s">
        <v>118</v>
      </c>
      <c r="CD32" s="27" t="s">
        <v>118</v>
      </c>
      <c r="CE32" s="27" t="s">
        <v>123</v>
      </c>
      <c r="CF32" s="27" t="s">
        <v>119</v>
      </c>
      <c r="CG32" s="27" t="s">
        <v>122</v>
      </c>
      <c r="CH32" s="27" t="s">
        <v>122</v>
      </c>
      <c r="CI32" s="27" t="s">
        <v>122</v>
      </c>
      <c r="CJ32" s="27" t="s">
        <v>122</v>
      </c>
      <c r="CK32" s="27" t="s">
        <v>123</v>
      </c>
      <c r="CL32" s="27" t="s">
        <v>122</v>
      </c>
      <c r="CM32" s="27" t="s">
        <v>121</v>
      </c>
      <c r="CN32" s="27" t="s">
        <v>118</v>
      </c>
      <c r="CO32" s="27" t="s">
        <v>124</v>
      </c>
      <c r="CP32" s="27" t="s">
        <v>119</v>
      </c>
      <c r="CQ32" s="27" t="s">
        <v>120</v>
      </c>
      <c r="CR32" s="27" t="s">
        <v>121</v>
      </c>
    </row>
    <row r="33" spans="2:96" x14ac:dyDescent="0.35">
      <c r="B33" s="43" t="s">
        <v>72</v>
      </c>
      <c r="C33" s="29">
        <v>0.1114</v>
      </c>
      <c r="D33" s="29">
        <v>0.11210000000000001</v>
      </c>
      <c r="E33" s="29">
        <v>0.11990000000000001</v>
      </c>
      <c r="F33" s="29">
        <v>0.1171</v>
      </c>
      <c r="G33" s="29">
        <v>0.1168</v>
      </c>
      <c r="H33" s="29">
        <v>0.11899999999999999</v>
      </c>
      <c r="I33" s="29">
        <v>0.1118</v>
      </c>
      <c r="J33" s="29">
        <v>0.11550000000000001</v>
      </c>
      <c r="K33" s="29">
        <v>0.1157</v>
      </c>
      <c r="L33" s="29">
        <v>0.12130000000000001</v>
      </c>
      <c r="M33" s="29">
        <v>0.1152</v>
      </c>
      <c r="N33" s="29">
        <v>0.11940000000000001</v>
      </c>
      <c r="O33" s="29">
        <v>0.1113</v>
      </c>
      <c r="P33" s="29">
        <v>0.1135</v>
      </c>
      <c r="Q33" s="29">
        <v>0.11849999999999999</v>
      </c>
      <c r="R33" s="29">
        <v>0.1221</v>
      </c>
      <c r="S33" s="29">
        <v>0.1123</v>
      </c>
      <c r="T33" s="29">
        <v>0.1113</v>
      </c>
      <c r="U33" s="29">
        <v>0.11609999999999999</v>
      </c>
      <c r="V33" s="29">
        <v>0.1143</v>
      </c>
      <c r="W33" s="29">
        <v>0.1221</v>
      </c>
      <c r="X33" s="29">
        <v>0.1138</v>
      </c>
      <c r="Y33" s="29">
        <v>0.11409999999999999</v>
      </c>
      <c r="Z33" s="29">
        <v>0.11600000000000001</v>
      </c>
      <c r="AA33" s="29">
        <v>0.12089999999999999</v>
      </c>
      <c r="AB33" s="29">
        <v>0.1143</v>
      </c>
      <c r="AC33" s="29">
        <v>0.1168</v>
      </c>
      <c r="AD33" s="29">
        <v>0.1166</v>
      </c>
      <c r="AE33" s="29">
        <v>0.1188</v>
      </c>
      <c r="AF33" s="29">
        <v>0.1181</v>
      </c>
      <c r="AG33" s="29"/>
      <c r="AH33" s="43" t="s">
        <v>72</v>
      </c>
      <c r="AI33" s="10">
        <v>0.16880139999999999</v>
      </c>
      <c r="AJ33" s="10">
        <v>0.18163569999999998</v>
      </c>
      <c r="AK33" s="10">
        <v>0.18254610000000002</v>
      </c>
      <c r="AL33" s="10">
        <v>0.19479220000000003</v>
      </c>
      <c r="AM33" s="10">
        <v>0.16961340000000003</v>
      </c>
      <c r="AN33" s="10">
        <v>0.20141070000000005</v>
      </c>
      <c r="AO33" s="10">
        <v>0.17705440000000003</v>
      </c>
      <c r="AP33" s="10">
        <v>0.15206150000000002</v>
      </c>
      <c r="AQ33" s="10">
        <v>0.21489270000000002</v>
      </c>
      <c r="AR33" s="10">
        <v>0.20554290000000003</v>
      </c>
      <c r="AS33" s="10">
        <v>0.22671559440000003</v>
      </c>
      <c r="AT33" s="10">
        <v>0.25108609440000002</v>
      </c>
      <c r="AU33" s="10">
        <v>0.18414429440000002</v>
      </c>
      <c r="AV33" s="10">
        <v>0.2111667944</v>
      </c>
      <c r="AW33" s="10">
        <v>0.25080889440000009</v>
      </c>
      <c r="AX33" s="10">
        <v>0.22766739440000006</v>
      </c>
      <c r="AY33" s="10">
        <v>0.24021999440000005</v>
      </c>
      <c r="AZ33" s="10">
        <v>0.21935769440000003</v>
      </c>
      <c r="BA33" s="10">
        <v>0.23421859440000009</v>
      </c>
      <c r="BB33" s="10">
        <v>0.26606489440000003</v>
      </c>
      <c r="BC33" s="10">
        <v>0.23566999440000008</v>
      </c>
      <c r="BD33" s="10">
        <v>0.21709319440000002</v>
      </c>
      <c r="BE33" s="10">
        <v>0.20508659440000002</v>
      </c>
      <c r="BF33" s="10">
        <v>0.22211209440000004</v>
      </c>
      <c r="BG33" s="10">
        <v>0.20752060000000003</v>
      </c>
      <c r="BH33" s="10">
        <v>0.17898950000000002</v>
      </c>
      <c r="BI33" s="10">
        <v>0.19394829999999999</v>
      </c>
      <c r="BJ33" s="10">
        <v>0.18645219999999998</v>
      </c>
      <c r="BK33" s="10">
        <v>0.17762989999999998</v>
      </c>
      <c r="BL33" s="10">
        <v>0.1694146</v>
      </c>
      <c r="BM33" s="2"/>
      <c r="BN33" s="43" t="s">
        <v>72</v>
      </c>
      <c r="BO33" s="27" t="s">
        <v>124</v>
      </c>
      <c r="BP33" s="27" t="s">
        <v>118</v>
      </c>
      <c r="BQ33" s="27" t="s">
        <v>119</v>
      </c>
      <c r="BR33" s="27" t="s">
        <v>118</v>
      </c>
      <c r="BS33" s="27" t="s">
        <v>120</v>
      </c>
      <c r="BT33" s="27" t="s">
        <v>121</v>
      </c>
      <c r="BU33" s="27" t="s">
        <v>121</v>
      </c>
      <c r="BV33" s="27" t="s">
        <v>120</v>
      </c>
      <c r="BW33" s="27" t="s">
        <v>120</v>
      </c>
      <c r="BX33" s="27" t="s">
        <v>121</v>
      </c>
      <c r="BY33" s="27" t="s">
        <v>124</v>
      </c>
      <c r="BZ33" s="27" t="s">
        <v>119</v>
      </c>
      <c r="CA33" s="27" t="s">
        <v>121</v>
      </c>
      <c r="CB33" s="27" t="s">
        <v>123</v>
      </c>
      <c r="CC33" s="27" t="s">
        <v>120</v>
      </c>
      <c r="CD33" s="27" t="s">
        <v>119</v>
      </c>
      <c r="CE33" s="27" t="s">
        <v>123</v>
      </c>
      <c r="CF33" s="27" t="s">
        <v>119</v>
      </c>
      <c r="CG33" s="27" t="s">
        <v>123</v>
      </c>
      <c r="CH33" s="27" t="s">
        <v>122</v>
      </c>
      <c r="CI33" s="27" t="s">
        <v>121</v>
      </c>
      <c r="CJ33" s="27" t="s">
        <v>118</v>
      </c>
      <c r="CK33" s="27" t="s">
        <v>122</v>
      </c>
      <c r="CL33" s="27" t="s">
        <v>123</v>
      </c>
      <c r="CM33" s="27" t="s">
        <v>119</v>
      </c>
      <c r="CN33" s="27" t="s">
        <v>120</v>
      </c>
      <c r="CO33" s="27" t="s">
        <v>123</v>
      </c>
      <c r="CP33" s="27" t="s">
        <v>121</v>
      </c>
      <c r="CQ33" s="27" t="s">
        <v>123</v>
      </c>
      <c r="CR33" s="27" t="s">
        <v>119</v>
      </c>
    </row>
    <row r="34" spans="2:96" x14ac:dyDescent="0.35">
      <c r="B34" s="43" t="s">
        <v>73</v>
      </c>
      <c r="C34" s="29">
        <v>0.12889999999999999</v>
      </c>
      <c r="D34" s="29">
        <v>0.1353</v>
      </c>
      <c r="E34" s="29">
        <v>0.13020000000000001</v>
      </c>
      <c r="F34" s="29">
        <v>0.1288</v>
      </c>
      <c r="G34" s="29">
        <v>0.13669999999999999</v>
      </c>
      <c r="H34" s="29">
        <v>0.13589999999999999</v>
      </c>
      <c r="I34" s="29">
        <v>0.1308</v>
      </c>
      <c r="J34" s="29">
        <v>0.1293</v>
      </c>
      <c r="K34" s="29">
        <v>0.13469999999999999</v>
      </c>
      <c r="L34" s="29">
        <v>0.13489999999999999</v>
      </c>
      <c r="M34" s="29">
        <v>0.13519999999999999</v>
      </c>
      <c r="N34" s="29">
        <v>0.1288</v>
      </c>
      <c r="O34" s="29">
        <v>0.12859999999999999</v>
      </c>
      <c r="P34" s="29">
        <v>0.1358</v>
      </c>
      <c r="Q34" s="29">
        <v>0.13739999999999999</v>
      </c>
      <c r="R34" s="29">
        <v>0.13420000000000001</v>
      </c>
      <c r="S34" s="29">
        <v>0.13450000000000001</v>
      </c>
      <c r="T34" s="29">
        <v>0.1323</v>
      </c>
      <c r="U34" s="29">
        <v>0.1288</v>
      </c>
      <c r="V34" s="29">
        <v>0.13420000000000001</v>
      </c>
      <c r="W34" s="29">
        <v>0.1308</v>
      </c>
      <c r="X34" s="29">
        <v>0.12970000000000001</v>
      </c>
      <c r="Y34" s="29">
        <v>0.1376</v>
      </c>
      <c r="Z34" s="29">
        <v>0.13539999999999999</v>
      </c>
      <c r="AA34" s="29">
        <v>0.1356</v>
      </c>
      <c r="AB34" s="29">
        <v>0.1343</v>
      </c>
      <c r="AC34" s="29">
        <v>0.12870000000000001</v>
      </c>
      <c r="AD34" s="29">
        <v>0.13750000000000001</v>
      </c>
      <c r="AE34" s="29">
        <v>0.12970000000000001</v>
      </c>
      <c r="AF34" s="29">
        <v>0.1351</v>
      </c>
      <c r="AG34" s="29"/>
      <c r="AH34" s="43" t="s">
        <v>73</v>
      </c>
      <c r="AI34" s="10">
        <v>0.1438014</v>
      </c>
      <c r="AJ34" s="10">
        <v>0.15663569999999999</v>
      </c>
      <c r="AK34" s="10">
        <v>0.15754610000000002</v>
      </c>
      <c r="AL34" s="10">
        <v>0.16979220000000003</v>
      </c>
      <c r="AM34" s="10">
        <v>0.14461340000000003</v>
      </c>
      <c r="AN34" s="10">
        <v>0.17641070000000006</v>
      </c>
      <c r="AO34" s="10">
        <v>0.15205440000000003</v>
      </c>
      <c r="AP34" s="10">
        <v>0.12706150000000005</v>
      </c>
      <c r="AQ34" s="10">
        <v>0.18989270000000003</v>
      </c>
      <c r="AR34" s="10">
        <v>0.18054290000000003</v>
      </c>
      <c r="AS34" s="10">
        <v>0.20171559440000003</v>
      </c>
      <c r="AT34" s="10">
        <v>0.22608609440000002</v>
      </c>
      <c r="AU34" s="10">
        <v>0.15914429440000002</v>
      </c>
      <c r="AV34" s="10">
        <v>0.1861667944</v>
      </c>
      <c r="AW34" s="10">
        <v>0.22580889440000007</v>
      </c>
      <c r="AX34" s="10">
        <v>0.20266739440000006</v>
      </c>
      <c r="AY34" s="10">
        <v>0.21521999440000006</v>
      </c>
      <c r="AZ34" s="10">
        <v>0.19435769440000003</v>
      </c>
      <c r="BA34" s="10">
        <v>0.2092185944000001</v>
      </c>
      <c r="BB34" s="10">
        <v>0.24106489440000006</v>
      </c>
      <c r="BC34" s="10">
        <v>0.21066999440000009</v>
      </c>
      <c r="BD34" s="10">
        <v>0.19209319440000003</v>
      </c>
      <c r="BE34" s="10">
        <v>0.18008659440000002</v>
      </c>
      <c r="BF34" s="10">
        <v>0.19711209440000005</v>
      </c>
      <c r="BG34" s="10">
        <v>0.18252060000000003</v>
      </c>
      <c r="BH34" s="10">
        <v>0.15398950000000003</v>
      </c>
      <c r="BI34" s="10">
        <v>0.1689483</v>
      </c>
      <c r="BJ34" s="10">
        <v>0.16145219999999999</v>
      </c>
      <c r="BK34" s="10">
        <v>0.15262989999999999</v>
      </c>
      <c r="BL34" s="10">
        <v>0.1444146</v>
      </c>
      <c r="BM34" s="27"/>
      <c r="BN34" s="43" t="s">
        <v>73</v>
      </c>
      <c r="BO34" s="27" t="s">
        <v>119</v>
      </c>
      <c r="BP34" s="27" t="s">
        <v>124</v>
      </c>
      <c r="BQ34" s="27" t="s">
        <v>118</v>
      </c>
      <c r="BR34" s="27" t="s">
        <v>121</v>
      </c>
      <c r="BS34" s="27" t="s">
        <v>123</v>
      </c>
      <c r="BT34" s="27" t="s">
        <v>118</v>
      </c>
      <c r="BU34" s="27" t="s">
        <v>118</v>
      </c>
      <c r="BV34" s="27" t="s">
        <v>123</v>
      </c>
      <c r="BW34" s="27" t="s">
        <v>120</v>
      </c>
      <c r="BX34" s="27" t="s">
        <v>122</v>
      </c>
      <c r="BY34" s="27" t="s">
        <v>122</v>
      </c>
      <c r="BZ34" s="27" t="s">
        <v>124</v>
      </c>
      <c r="CA34" s="27" t="s">
        <v>122</v>
      </c>
      <c r="CB34" s="27" t="s">
        <v>122</v>
      </c>
      <c r="CC34" s="27" t="s">
        <v>119</v>
      </c>
      <c r="CD34" s="27" t="s">
        <v>119</v>
      </c>
      <c r="CE34" s="27" t="s">
        <v>124</v>
      </c>
      <c r="CF34" s="27" t="s">
        <v>124</v>
      </c>
      <c r="CG34" s="27" t="s">
        <v>120</v>
      </c>
      <c r="CH34" s="27" t="s">
        <v>118</v>
      </c>
      <c r="CI34" s="27" t="s">
        <v>122</v>
      </c>
      <c r="CJ34" s="27" t="s">
        <v>119</v>
      </c>
      <c r="CK34" s="27" t="s">
        <v>122</v>
      </c>
      <c r="CL34" s="27" t="s">
        <v>119</v>
      </c>
      <c r="CM34" s="27" t="s">
        <v>118</v>
      </c>
      <c r="CN34" s="27" t="s">
        <v>124</v>
      </c>
      <c r="CO34" s="27" t="s">
        <v>122</v>
      </c>
      <c r="CP34" s="27" t="s">
        <v>123</v>
      </c>
      <c r="CQ34" s="27" t="s">
        <v>118</v>
      </c>
      <c r="CR34" s="27" t="s">
        <v>119</v>
      </c>
    </row>
    <row r="35" spans="2:96" x14ac:dyDescent="0.35">
      <c r="B35" s="43" t="s">
        <v>74</v>
      </c>
      <c r="C35" s="29">
        <v>0.1532</v>
      </c>
      <c r="D35" s="29">
        <v>0.15390000000000001</v>
      </c>
      <c r="E35" s="29">
        <v>0.14779999999999999</v>
      </c>
      <c r="F35" s="29">
        <v>0.1545</v>
      </c>
      <c r="G35" s="29">
        <v>0.15479999999999999</v>
      </c>
      <c r="H35" s="29">
        <v>0.15390000000000001</v>
      </c>
      <c r="I35" s="29">
        <v>0.1479</v>
      </c>
      <c r="J35" s="29">
        <v>0.14929999999999999</v>
      </c>
      <c r="K35" s="29">
        <v>0.1479</v>
      </c>
      <c r="L35" s="29">
        <v>0.1479</v>
      </c>
      <c r="M35" s="29">
        <v>0.14979999999999999</v>
      </c>
      <c r="N35" s="29">
        <v>0.15079999999999999</v>
      </c>
      <c r="O35" s="29">
        <v>0.14990000000000001</v>
      </c>
      <c r="P35" s="29">
        <v>0.15129999999999999</v>
      </c>
      <c r="Q35" s="29">
        <v>0.15609999999999999</v>
      </c>
      <c r="R35" s="29">
        <v>0.15160000000000001</v>
      </c>
      <c r="S35" s="29">
        <v>0.15229999999999999</v>
      </c>
      <c r="T35" s="29">
        <v>0.15060000000000001</v>
      </c>
      <c r="U35" s="29">
        <v>0.1484</v>
      </c>
      <c r="V35" s="29">
        <v>0.1479</v>
      </c>
      <c r="W35" s="29">
        <v>0.154</v>
      </c>
      <c r="X35" s="29">
        <v>0.15620000000000001</v>
      </c>
      <c r="Y35" s="29">
        <v>0.14729999999999999</v>
      </c>
      <c r="Z35" s="29">
        <v>0.14799999999999999</v>
      </c>
      <c r="AA35" s="29">
        <v>0.14829999999999999</v>
      </c>
      <c r="AB35" s="29">
        <v>0.14910000000000001</v>
      </c>
      <c r="AC35" s="29">
        <v>0.1545</v>
      </c>
      <c r="AD35" s="29">
        <v>0.15140000000000001</v>
      </c>
      <c r="AE35" s="29">
        <v>0.1479</v>
      </c>
      <c r="AF35" s="29">
        <v>0.154</v>
      </c>
      <c r="AG35" s="29"/>
      <c r="AH35" s="43" t="s">
        <v>74</v>
      </c>
      <c r="AI35" s="10">
        <v>0.12580140000000001</v>
      </c>
      <c r="AJ35" s="10">
        <v>0.1386357</v>
      </c>
      <c r="AK35" s="10">
        <v>0.13954610000000003</v>
      </c>
      <c r="AL35" s="10">
        <v>0.15179220000000004</v>
      </c>
      <c r="AM35" s="10">
        <v>0.12661340000000004</v>
      </c>
      <c r="AN35" s="10">
        <v>0.15841070000000007</v>
      </c>
      <c r="AO35" s="10">
        <v>0.13405440000000005</v>
      </c>
      <c r="AP35" s="10">
        <v>0.10906150000000005</v>
      </c>
      <c r="AQ35" s="10">
        <v>0.17189270000000004</v>
      </c>
      <c r="AR35" s="10">
        <v>0.16254290000000005</v>
      </c>
      <c r="AS35" s="10">
        <v>0.18371559440000004</v>
      </c>
      <c r="AT35" s="10">
        <v>0.20808609440000003</v>
      </c>
      <c r="AU35" s="10">
        <v>0.14114429440000004</v>
      </c>
      <c r="AV35" s="10">
        <v>0.16816679440000001</v>
      </c>
      <c r="AW35" s="10">
        <v>0.20780889440000008</v>
      </c>
      <c r="AX35" s="10">
        <v>0.18466739440000007</v>
      </c>
      <c r="AY35" s="10">
        <v>0.19721999440000007</v>
      </c>
      <c r="AZ35" s="10">
        <v>0.17635769440000004</v>
      </c>
      <c r="BA35" s="10">
        <v>0.19121859440000011</v>
      </c>
      <c r="BB35" s="10">
        <v>0.22306489440000007</v>
      </c>
      <c r="BC35" s="10">
        <v>0.1926699944000001</v>
      </c>
      <c r="BD35" s="10">
        <v>0.17409319440000004</v>
      </c>
      <c r="BE35" s="10">
        <v>0.16208659440000003</v>
      </c>
      <c r="BF35" s="10">
        <v>0.17911209440000006</v>
      </c>
      <c r="BG35" s="10">
        <v>0.16452060000000004</v>
      </c>
      <c r="BH35" s="10">
        <v>0.13598950000000004</v>
      </c>
      <c r="BI35" s="10">
        <v>0.15094830000000001</v>
      </c>
      <c r="BJ35" s="10">
        <v>0.1434522</v>
      </c>
      <c r="BK35" s="10">
        <v>0.1346299</v>
      </c>
      <c r="BL35" s="10">
        <v>0.12641460000000002</v>
      </c>
      <c r="BM35" s="27"/>
      <c r="BN35" s="43" t="s">
        <v>74</v>
      </c>
      <c r="BO35" s="27" t="s">
        <v>124</v>
      </c>
      <c r="BP35" s="27" t="s">
        <v>124</v>
      </c>
      <c r="BQ35" s="27" t="s">
        <v>124</v>
      </c>
      <c r="BR35" s="27" t="s">
        <v>119</v>
      </c>
      <c r="BS35" s="27" t="s">
        <v>120</v>
      </c>
      <c r="BT35" s="27" t="s">
        <v>122</v>
      </c>
      <c r="BU35" s="27" t="s">
        <v>118</v>
      </c>
      <c r="BV35" s="27" t="s">
        <v>118</v>
      </c>
      <c r="BW35" s="27" t="s">
        <v>121</v>
      </c>
      <c r="BX35" s="27" t="s">
        <v>123</v>
      </c>
      <c r="BY35" s="27" t="s">
        <v>124</v>
      </c>
      <c r="BZ35" s="27" t="s">
        <v>121</v>
      </c>
      <c r="CA35" s="27" t="s">
        <v>120</v>
      </c>
      <c r="CB35" s="27" t="s">
        <v>119</v>
      </c>
      <c r="CC35" s="27" t="s">
        <v>122</v>
      </c>
      <c r="CD35" s="27" t="s">
        <v>118</v>
      </c>
      <c r="CE35" s="27" t="s">
        <v>122</v>
      </c>
      <c r="CF35" s="27" t="s">
        <v>119</v>
      </c>
      <c r="CG35" s="27" t="s">
        <v>120</v>
      </c>
      <c r="CH35" s="27" t="s">
        <v>120</v>
      </c>
      <c r="CI35" s="27" t="s">
        <v>119</v>
      </c>
      <c r="CJ35" s="27" t="s">
        <v>122</v>
      </c>
      <c r="CK35" s="27" t="s">
        <v>120</v>
      </c>
      <c r="CL35" s="27" t="s">
        <v>119</v>
      </c>
      <c r="CM35" s="27" t="s">
        <v>122</v>
      </c>
      <c r="CN35" s="27" t="s">
        <v>119</v>
      </c>
      <c r="CO35" s="27" t="s">
        <v>122</v>
      </c>
      <c r="CP35" s="27" t="s">
        <v>122</v>
      </c>
      <c r="CQ35" s="27" t="s">
        <v>120</v>
      </c>
      <c r="CR35" s="27" t="s">
        <v>120</v>
      </c>
    </row>
    <row r="36" spans="2:96" x14ac:dyDescent="0.35">
      <c r="B36" s="45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45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27"/>
      <c r="BN36" s="45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</row>
    <row r="37" spans="2:96" x14ac:dyDescent="0.35">
      <c r="B37" s="37" t="s">
        <v>75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37" t="s">
        <v>75</v>
      </c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27"/>
      <c r="BN37" s="37" t="s">
        <v>75</v>
      </c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</row>
    <row r="38" spans="2:96" x14ac:dyDescent="0.35">
      <c r="B38" s="47" t="s">
        <v>76</v>
      </c>
      <c r="C38" s="29">
        <f t="shared" ref="C38:AF38" si="126">1-SUM(C46,C54,C58,C61)</f>
        <v>0.41720000000000002</v>
      </c>
      <c r="D38" s="29">
        <f t="shared" si="126"/>
        <v>0.42279999999999995</v>
      </c>
      <c r="E38" s="29">
        <f t="shared" si="126"/>
        <v>0.4295000000000001</v>
      </c>
      <c r="F38" s="29">
        <f t="shared" si="126"/>
        <v>0.42759999999999998</v>
      </c>
      <c r="G38" s="29">
        <f t="shared" si="126"/>
        <v>0.42669999999999997</v>
      </c>
      <c r="H38" s="29">
        <f t="shared" si="126"/>
        <v>0.41469999999999996</v>
      </c>
      <c r="I38" s="29">
        <f t="shared" si="126"/>
        <v>0.41520000000000001</v>
      </c>
      <c r="J38" s="29">
        <f t="shared" si="126"/>
        <v>0.42230000000000001</v>
      </c>
      <c r="K38" s="29">
        <f t="shared" si="126"/>
        <v>0.41210000000000002</v>
      </c>
      <c r="L38" s="29">
        <f t="shared" si="126"/>
        <v>0.42979999999999996</v>
      </c>
      <c r="M38" s="29">
        <f t="shared" si="126"/>
        <v>0.42070000000000007</v>
      </c>
      <c r="N38" s="29">
        <f t="shared" si="126"/>
        <v>0.42800000000000005</v>
      </c>
      <c r="O38" s="29">
        <f t="shared" si="126"/>
        <v>0.43159999999999998</v>
      </c>
      <c r="P38" s="29">
        <f t="shared" si="126"/>
        <v>0.41739999999999999</v>
      </c>
      <c r="Q38" s="29">
        <f t="shared" si="126"/>
        <v>0.42809999999999993</v>
      </c>
      <c r="R38" s="29">
        <f t="shared" si="126"/>
        <v>0.41400000000000003</v>
      </c>
      <c r="S38" s="29">
        <f t="shared" si="126"/>
        <v>0.41900000000000004</v>
      </c>
      <c r="T38" s="29">
        <f t="shared" si="126"/>
        <v>0.42410000000000003</v>
      </c>
      <c r="U38" s="29">
        <f t="shared" si="126"/>
        <v>0.41999999999999993</v>
      </c>
      <c r="V38" s="29">
        <f t="shared" si="126"/>
        <v>0.40820000000000001</v>
      </c>
      <c r="W38" s="29">
        <f t="shared" si="126"/>
        <v>0.42300000000000004</v>
      </c>
      <c r="X38" s="29">
        <f t="shared" si="126"/>
        <v>0.4325</v>
      </c>
      <c r="Y38" s="29">
        <f t="shared" si="126"/>
        <v>0.43049999999999999</v>
      </c>
      <c r="Z38" s="29">
        <f t="shared" si="126"/>
        <v>0.43039999999999989</v>
      </c>
      <c r="AA38" s="29">
        <f t="shared" si="126"/>
        <v>0.4225000000000001</v>
      </c>
      <c r="AB38" s="29">
        <f t="shared" si="126"/>
        <v>0.43080000000000007</v>
      </c>
      <c r="AC38" s="29">
        <f t="shared" si="126"/>
        <v>0.42200000000000004</v>
      </c>
      <c r="AD38" s="29">
        <f t="shared" si="126"/>
        <v>0.42470000000000008</v>
      </c>
      <c r="AE38" s="29">
        <f t="shared" si="126"/>
        <v>0.42909999999999993</v>
      </c>
      <c r="AF38" s="29">
        <f t="shared" si="126"/>
        <v>0.42769999999999997</v>
      </c>
      <c r="AG38" s="29"/>
      <c r="AH38" s="47" t="s">
        <v>76</v>
      </c>
      <c r="AI38" s="10">
        <f t="shared" ref="AI38:BL38" si="127">SUMPRODUCT(AI39:AI45,C39:C45)</f>
        <v>0.12055767956999999</v>
      </c>
      <c r="AJ38" s="10">
        <f t="shared" si="127"/>
        <v>0.13407808080312</v>
      </c>
      <c r="AK38" s="10">
        <f t="shared" si="127"/>
        <v>0.13538161440687205</v>
      </c>
      <c r="AL38" s="10">
        <f t="shared" si="127"/>
        <v>0.14718372033716601</v>
      </c>
      <c r="AM38" s="10">
        <f t="shared" si="127"/>
        <v>0.12231874852499999</v>
      </c>
      <c r="AN38" s="10">
        <f t="shared" si="127"/>
        <v>0.15385977306756005</v>
      </c>
      <c r="AO38" s="10">
        <f t="shared" si="127"/>
        <v>0.12884687030026407</v>
      </c>
      <c r="AP38" s="10">
        <f t="shared" si="127"/>
        <v>0.10400233594107201</v>
      </c>
      <c r="AQ38" s="10">
        <f t="shared" si="127"/>
        <v>0.16686363032742399</v>
      </c>
      <c r="AR38" s="10">
        <f t="shared" si="127"/>
        <v>0.15835683867047501</v>
      </c>
      <c r="AS38" s="10">
        <f t="shared" si="127"/>
        <v>0.17920810279080007</v>
      </c>
      <c r="AT38" s="10">
        <f t="shared" si="127"/>
        <v>0.203816271268112</v>
      </c>
      <c r="AU38" s="10">
        <f t="shared" si="127"/>
        <v>0.13590000107807904</v>
      </c>
      <c r="AV38" s="10">
        <f t="shared" si="127"/>
        <v>0.163174559376906</v>
      </c>
      <c r="AW38" s="10">
        <f t="shared" si="127"/>
        <v>0.20339947711825013</v>
      </c>
      <c r="AX38" s="10">
        <f t="shared" si="127"/>
        <v>0.18042610605142206</v>
      </c>
      <c r="AY38" s="10">
        <f t="shared" si="127"/>
        <v>0.19200915830984006</v>
      </c>
      <c r="AZ38" s="10">
        <f t="shared" si="127"/>
        <v>0.17167597900224507</v>
      </c>
      <c r="BA38" s="10">
        <f t="shared" si="127"/>
        <v>0.18613711608632014</v>
      </c>
      <c r="BB38" s="10">
        <f t="shared" si="127"/>
        <v>0.21819734312580005</v>
      </c>
      <c r="BC38" s="10">
        <f t="shared" si="127"/>
        <v>0.18845427463773509</v>
      </c>
      <c r="BD38" s="10">
        <f t="shared" si="127"/>
        <v>0.16963651465306301</v>
      </c>
      <c r="BE38" s="10">
        <f t="shared" si="127"/>
        <v>0.15769600047347504</v>
      </c>
      <c r="BF38" s="10">
        <f t="shared" si="127"/>
        <v>0.17448362891471206</v>
      </c>
      <c r="BG38" s="10">
        <f t="shared" si="127"/>
        <v>0.16002660402524799</v>
      </c>
      <c r="BH38" s="10">
        <f t="shared" si="127"/>
        <v>0.13146960564094004</v>
      </c>
      <c r="BI38" s="10">
        <f t="shared" si="127"/>
        <v>0.14613632289914003</v>
      </c>
      <c r="BJ38" s="10">
        <f t="shared" si="127"/>
        <v>0.13882103854530001</v>
      </c>
      <c r="BK38" s="10">
        <f t="shared" si="127"/>
        <v>0.13007468264303601</v>
      </c>
      <c r="BL38" s="10">
        <f t="shared" si="127"/>
        <v>0.12176540732499999</v>
      </c>
      <c r="BM38" s="27"/>
      <c r="BN38" s="47" t="s">
        <v>76</v>
      </c>
      <c r="BO38" s="27" t="s">
        <v>123</v>
      </c>
      <c r="BP38" s="27" t="s">
        <v>123</v>
      </c>
      <c r="BQ38" s="27" t="s">
        <v>119</v>
      </c>
      <c r="BR38" s="27" t="s">
        <v>120</v>
      </c>
      <c r="BS38" s="27" t="s">
        <v>120</v>
      </c>
      <c r="BT38" s="27" t="s">
        <v>122</v>
      </c>
      <c r="BU38" s="27" t="s">
        <v>119</v>
      </c>
      <c r="BV38" s="27" t="s">
        <v>118</v>
      </c>
      <c r="BW38" s="27" t="s">
        <v>123</v>
      </c>
      <c r="BX38" s="27" t="s">
        <v>119</v>
      </c>
      <c r="BY38" s="27" t="s">
        <v>120</v>
      </c>
      <c r="BZ38" s="27" t="s">
        <v>124</v>
      </c>
      <c r="CA38" s="27" t="s">
        <v>120</v>
      </c>
      <c r="CB38" s="27" t="s">
        <v>123</v>
      </c>
      <c r="CC38" s="27" t="s">
        <v>121</v>
      </c>
      <c r="CD38" s="27" t="s">
        <v>123</v>
      </c>
      <c r="CE38" s="27" t="s">
        <v>120</v>
      </c>
      <c r="CF38" s="27" t="s">
        <v>121</v>
      </c>
      <c r="CG38" s="27" t="s">
        <v>119</v>
      </c>
      <c r="CH38" s="27" t="s">
        <v>118</v>
      </c>
      <c r="CI38" s="27" t="s">
        <v>124</v>
      </c>
      <c r="CJ38" s="27" t="s">
        <v>122</v>
      </c>
      <c r="CK38" s="27" t="s">
        <v>118</v>
      </c>
      <c r="CL38" s="27" t="s">
        <v>120</v>
      </c>
      <c r="CM38" s="27" t="s">
        <v>123</v>
      </c>
      <c r="CN38" s="27" t="s">
        <v>121</v>
      </c>
      <c r="CO38" s="27" t="s">
        <v>118</v>
      </c>
      <c r="CP38" s="27" t="s">
        <v>119</v>
      </c>
      <c r="CQ38" s="27" t="s">
        <v>124</v>
      </c>
      <c r="CR38" s="27" t="s">
        <v>119</v>
      </c>
    </row>
    <row r="39" spans="2:96" x14ac:dyDescent="0.35">
      <c r="B39" s="48" t="s">
        <v>77</v>
      </c>
      <c r="C39" s="29">
        <f t="shared" ref="C39" si="128">1-SUM(C40:C45)</f>
        <v>0.2572000000000001</v>
      </c>
      <c r="D39" s="29">
        <f t="shared" ref="D39" si="129">1-SUM(D40:D45)</f>
        <v>0.25870000000000004</v>
      </c>
      <c r="E39" s="29">
        <f t="shared" ref="E39" si="130">1-SUM(E40:E45)</f>
        <v>0.26150000000000007</v>
      </c>
      <c r="F39" s="29">
        <f t="shared" ref="F39" si="131">1-SUM(F40:F45)</f>
        <v>0.26329999999999998</v>
      </c>
      <c r="G39" s="29">
        <f t="shared" ref="G39" si="132">1-SUM(G40:G45)</f>
        <v>0.25509999999999999</v>
      </c>
      <c r="H39" s="29">
        <f t="shared" ref="H39" si="133">1-SUM(H40:H45)</f>
        <v>0.26910000000000012</v>
      </c>
      <c r="I39" s="29">
        <f t="shared" ref="I39" si="134">1-SUM(I40:I45)</f>
        <v>0.26300000000000001</v>
      </c>
      <c r="J39" s="29">
        <f t="shared" ref="J39" si="135">1-SUM(J40:J45)</f>
        <v>0.24919999999999998</v>
      </c>
      <c r="K39" s="29">
        <f t="shared" ref="K39" si="136">1-SUM(K40:K45)</f>
        <v>0.27439999999999987</v>
      </c>
      <c r="L39" s="29">
        <f t="shared" ref="L39" si="137">1-SUM(L40:L45)</f>
        <v>0.25419999999999998</v>
      </c>
      <c r="M39" s="29">
        <f t="shared" ref="M39" si="138">1-SUM(M40:M45)</f>
        <v>0.25120000000000009</v>
      </c>
      <c r="N39" s="29">
        <f t="shared" ref="N39" si="139">1-SUM(N40:N45)</f>
        <v>0.26489999999999991</v>
      </c>
      <c r="O39" s="29">
        <f t="shared" ref="O39" si="140">1-SUM(O40:O45)</f>
        <v>0.26559999999999995</v>
      </c>
      <c r="P39" s="29">
        <f t="shared" ref="P39" si="141">1-SUM(P40:P45)</f>
        <v>0.26290000000000002</v>
      </c>
      <c r="Q39" s="29">
        <f t="shared" ref="Q39" si="142">1-SUM(Q40:Q45)</f>
        <v>0.25580000000000003</v>
      </c>
      <c r="R39" s="29">
        <f t="shared" ref="R39" si="143">1-SUM(R40:R45)</f>
        <v>0.25349999999999995</v>
      </c>
      <c r="S39" s="29">
        <f t="shared" ref="S39" si="144">1-SUM(S40:S45)</f>
        <v>0.25780000000000003</v>
      </c>
      <c r="T39" s="29">
        <f t="shared" ref="T39" si="145">1-SUM(T40:T45)</f>
        <v>0.25970000000000004</v>
      </c>
      <c r="U39" s="29">
        <f t="shared" ref="U39" si="146">1-SUM(U40:U45)</f>
        <v>0.25750000000000006</v>
      </c>
      <c r="V39" s="29">
        <f t="shared" ref="V39" si="147">1-SUM(V40:V45)</f>
        <v>0.25960000000000005</v>
      </c>
      <c r="W39" s="29">
        <f t="shared" ref="W39" si="148">1-SUM(W40:W45)</f>
        <v>0.26119999999999999</v>
      </c>
      <c r="X39" s="29">
        <f t="shared" ref="X39" si="149">1-SUM(X40:X45)</f>
        <v>0.2632000000000001</v>
      </c>
      <c r="Y39" s="29">
        <f t="shared" ref="Y39" si="150">1-SUM(Y40:Y45)</f>
        <v>0.24990000000000001</v>
      </c>
      <c r="Z39" s="29">
        <f t="shared" ref="Z39" si="151">1-SUM(Z40:Z45)</f>
        <v>0.27059999999999995</v>
      </c>
      <c r="AA39" s="29">
        <f t="shared" ref="AA39" si="152">1-SUM(AA40:AA45)</f>
        <v>0.27440000000000009</v>
      </c>
      <c r="AB39" s="29">
        <f t="shared" ref="AB39" si="153">1-SUM(AB40:AB45)</f>
        <v>0.26730000000000009</v>
      </c>
      <c r="AC39" s="29">
        <f t="shared" ref="AC39" si="154">1-SUM(AC40:AC45)</f>
        <v>0.24749999999999994</v>
      </c>
      <c r="AD39" s="29">
        <f t="shared" ref="AD39" si="155">1-SUM(AD40:AD45)</f>
        <v>0.26149999999999995</v>
      </c>
      <c r="AE39" s="29">
        <f t="shared" ref="AE39" si="156">1-SUM(AE40:AE45)</f>
        <v>0.25470000000000004</v>
      </c>
      <c r="AF39" s="29">
        <f t="shared" ref="AF39" si="157">1-SUM(AF40:AF45)</f>
        <v>0.26629999999999998</v>
      </c>
      <c r="AG39" s="29"/>
      <c r="AH39" s="48" t="s">
        <v>77</v>
      </c>
      <c r="AI39" s="10">
        <v>0.11103337956999998</v>
      </c>
      <c r="AJ39" s="10">
        <v>0.12400818080312001</v>
      </c>
      <c r="AK39" s="10">
        <v>0.12562491440687201</v>
      </c>
      <c r="AL39" s="10">
        <v>0.13756722033716601</v>
      </c>
      <c r="AM39" s="10">
        <v>0.11235254852500001</v>
      </c>
      <c r="AN39" s="10">
        <v>0.14449717306756002</v>
      </c>
      <c r="AO39" s="10">
        <v>0.11937177030026405</v>
      </c>
      <c r="AP39" s="10">
        <v>9.4231835941071998E-2</v>
      </c>
      <c r="AQ39" s="10">
        <v>0.15721313032742398</v>
      </c>
      <c r="AR39" s="10">
        <v>0.14832543867047504</v>
      </c>
      <c r="AS39" s="10">
        <v>0.16920940279080005</v>
      </c>
      <c r="AT39" s="10">
        <v>0.19365787126811201</v>
      </c>
      <c r="AU39" s="10">
        <v>0.12670040107807903</v>
      </c>
      <c r="AV39" s="10">
        <v>0.15371275937690601</v>
      </c>
      <c r="AW39" s="10">
        <v>0.19389307711825007</v>
      </c>
      <c r="AX39" s="10">
        <v>0.17062470605142205</v>
      </c>
      <c r="AY39" s="10">
        <v>0.18271205830984005</v>
      </c>
      <c r="AZ39" s="10">
        <v>0.16175367900224505</v>
      </c>
      <c r="BA39" s="10">
        <v>0.1766102160863201</v>
      </c>
      <c r="BB39" s="10">
        <v>0.20842764312580006</v>
      </c>
      <c r="BC39" s="10">
        <v>0.17897347463773508</v>
      </c>
      <c r="BD39" s="10">
        <v>0.15978191465306302</v>
      </c>
      <c r="BE39" s="10">
        <v>0.14783290047347503</v>
      </c>
      <c r="BF39" s="10">
        <v>0.16480642891471206</v>
      </c>
      <c r="BG39" s="10">
        <v>0.15062950402524797</v>
      </c>
      <c r="BH39" s="10">
        <v>0.12180010564094002</v>
      </c>
      <c r="BI39" s="10">
        <v>0.13630132289914001</v>
      </c>
      <c r="BJ39" s="10">
        <v>0.12924253854530002</v>
      </c>
      <c r="BK39" s="10">
        <v>0.12014858264303599</v>
      </c>
      <c r="BL39" s="10">
        <v>0.11204270732499996</v>
      </c>
      <c r="BM39" s="27"/>
      <c r="BN39" s="48" t="s">
        <v>77</v>
      </c>
      <c r="BO39" s="27" t="s">
        <v>124</v>
      </c>
      <c r="BP39" s="27" t="s">
        <v>119</v>
      </c>
      <c r="BQ39" s="27" t="s">
        <v>122</v>
      </c>
      <c r="BR39" s="27" t="s">
        <v>123</v>
      </c>
      <c r="BS39" s="27" t="s">
        <v>124</v>
      </c>
      <c r="BT39" s="27" t="s">
        <v>122</v>
      </c>
      <c r="BU39" s="27" t="s">
        <v>120</v>
      </c>
      <c r="BV39" s="27" t="s">
        <v>123</v>
      </c>
      <c r="BW39" s="27" t="s">
        <v>119</v>
      </c>
      <c r="BX39" s="27" t="s">
        <v>119</v>
      </c>
      <c r="BY39" s="27" t="s">
        <v>121</v>
      </c>
      <c r="BZ39" s="27" t="s">
        <v>121</v>
      </c>
      <c r="CA39" s="27" t="s">
        <v>119</v>
      </c>
      <c r="CB39" s="27" t="s">
        <v>120</v>
      </c>
      <c r="CC39" s="27" t="s">
        <v>120</v>
      </c>
      <c r="CD39" s="27" t="s">
        <v>122</v>
      </c>
      <c r="CE39" s="27" t="s">
        <v>118</v>
      </c>
      <c r="CF39" s="27" t="s">
        <v>118</v>
      </c>
      <c r="CG39" s="27" t="s">
        <v>123</v>
      </c>
      <c r="CH39" s="27" t="s">
        <v>120</v>
      </c>
      <c r="CI39" s="27" t="s">
        <v>120</v>
      </c>
      <c r="CJ39" s="27" t="s">
        <v>123</v>
      </c>
      <c r="CK39" s="27" t="s">
        <v>122</v>
      </c>
      <c r="CL39" s="27" t="s">
        <v>122</v>
      </c>
      <c r="CM39" s="27" t="s">
        <v>120</v>
      </c>
      <c r="CN39" s="27" t="s">
        <v>124</v>
      </c>
      <c r="CO39" s="27" t="s">
        <v>120</v>
      </c>
      <c r="CP39" s="27" t="s">
        <v>122</v>
      </c>
      <c r="CQ39" s="27" t="s">
        <v>124</v>
      </c>
      <c r="CR39" s="27" t="s">
        <v>121</v>
      </c>
    </row>
    <row r="40" spans="2:96" x14ac:dyDescent="0.35">
      <c r="B40" s="48" t="s">
        <v>78</v>
      </c>
      <c r="C40" s="29">
        <v>0.16309999999999999</v>
      </c>
      <c r="D40" s="29">
        <v>0.16739999999999999</v>
      </c>
      <c r="E40" s="29">
        <v>0.16270000000000001</v>
      </c>
      <c r="F40" s="29">
        <v>0.16370000000000001</v>
      </c>
      <c r="G40" s="29">
        <v>0.16520000000000001</v>
      </c>
      <c r="H40" s="29">
        <v>0.16450000000000001</v>
      </c>
      <c r="I40" s="29">
        <v>0.16339999999999999</v>
      </c>
      <c r="J40" s="29">
        <v>0.1673</v>
      </c>
      <c r="K40" s="29">
        <v>0.16250000000000001</v>
      </c>
      <c r="L40" s="29">
        <v>0.1676</v>
      </c>
      <c r="M40" s="29">
        <v>0.1646</v>
      </c>
      <c r="N40" s="29">
        <v>0.16750000000000001</v>
      </c>
      <c r="O40" s="29">
        <v>0.1615</v>
      </c>
      <c r="P40" s="29">
        <v>0.16370000000000001</v>
      </c>
      <c r="Q40" s="29">
        <v>0.1653</v>
      </c>
      <c r="R40" s="29">
        <v>0.16350000000000001</v>
      </c>
      <c r="S40" s="29">
        <v>0.16300000000000001</v>
      </c>
      <c r="T40" s="29">
        <v>0.1666</v>
      </c>
      <c r="U40" s="29">
        <v>0.1623</v>
      </c>
      <c r="V40" s="29">
        <v>0.1676</v>
      </c>
      <c r="W40" s="29">
        <v>0.16270000000000001</v>
      </c>
      <c r="X40" s="29">
        <v>0.16589999999999999</v>
      </c>
      <c r="Y40" s="29">
        <v>0.16719999999999999</v>
      </c>
      <c r="Z40" s="29">
        <v>0.16200000000000001</v>
      </c>
      <c r="AA40" s="29">
        <v>0.16139999999999999</v>
      </c>
      <c r="AB40" s="29">
        <v>0.16439999999999999</v>
      </c>
      <c r="AC40" s="29">
        <v>0.1653</v>
      </c>
      <c r="AD40" s="29">
        <v>0.16289999999999999</v>
      </c>
      <c r="AE40" s="29">
        <v>0.16750000000000001</v>
      </c>
      <c r="AF40" s="29">
        <v>0.16470000000000001</v>
      </c>
      <c r="AG40" s="29"/>
      <c r="AH40" s="48" t="s">
        <v>78</v>
      </c>
      <c r="AI40" s="10">
        <v>0.17503337956999998</v>
      </c>
      <c r="AJ40" s="10">
        <v>0.18800818080312001</v>
      </c>
      <c r="AK40" s="10">
        <v>0.18962491440687201</v>
      </c>
      <c r="AL40" s="10">
        <v>0.20156722033716601</v>
      </c>
      <c r="AM40" s="10">
        <v>0.17635254852500001</v>
      </c>
      <c r="AN40" s="10">
        <v>0.20849717306756002</v>
      </c>
      <c r="AO40" s="10">
        <v>0.18337177030026405</v>
      </c>
      <c r="AP40" s="10">
        <v>0.15823183594107199</v>
      </c>
      <c r="AQ40" s="10">
        <v>0.22121313032742398</v>
      </c>
      <c r="AR40" s="10">
        <v>0.21232543867047504</v>
      </c>
      <c r="AS40" s="10">
        <v>0.23320940279080005</v>
      </c>
      <c r="AT40" s="10">
        <v>0.25765787126811202</v>
      </c>
      <c r="AU40" s="10">
        <v>0.19070040107807903</v>
      </c>
      <c r="AV40" s="10">
        <v>0.21771275937690601</v>
      </c>
      <c r="AW40" s="10">
        <v>0.25789307711825005</v>
      </c>
      <c r="AX40" s="10">
        <v>0.23462470605142205</v>
      </c>
      <c r="AY40" s="10">
        <v>0.24671205830984005</v>
      </c>
      <c r="AZ40" s="10">
        <v>0.22575367900224505</v>
      </c>
      <c r="BA40" s="10">
        <v>0.24061021608632011</v>
      </c>
      <c r="BB40" s="10">
        <v>0.27242764312580003</v>
      </c>
      <c r="BC40" s="10">
        <v>0.24297347463773508</v>
      </c>
      <c r="BD40" s="10">
        <v>0.22378191465306302</v>
      </c>
      <c r="BE40" s="10">
        <v>0.21183290047347503</v>
      </c>
      <c r="BF40" s="10">
        <v>0.22880642891471206</v>
      </c>
      <c r="BG40" s="10">
        <v>0.21462950402524797</v>
      </c>
      <c r="BH40" s="10">
        <v>0.18580010564094002</v>
      </c>
      <c r="BI40" s="10">
        <v>0.20030132289914002</v>
      </c>
      <c r="BJ40" s="10">
        <v>0.19324253854530002</v>
      </c>
      <c r="BK40" s="10">
        <v>0.18414858264303599</v>
      </c>
      <c r="BL40" s="10">
        <v>0.17604270732499996</v>
      </c>
      <c r="BM40" s="27"/>
      <c r="BN40" s="48" t="s">
        <v>78</v>
      </c>
      <c r="BO40" s="27" t="s">
        <v>124</v>
      </c>
      <c r="BP40" s="27" t="s">
        <v>120</v>
      </c>
      <c r="BQ40" s="27" t="s">
        <v>124</v>
      </c>
      <c r="BR40" s="27" t="s">
        <v>120</v>
      </c>
      <c r="BS40" s="27" t="s">
        <v>124</v>
      </c>
      <c r="BT40" s="27" t="s">
        <v>121</v>
      </c>
      <c r="BU40" s="27" t="s">
        <v>118</v>
      </c>
      <c r="BV40" s="27" t="s">
        <v>124</v>
      </c>
      <c r="BW40" s="27" t="s">
        <v>118</v>
      </c>
      <c r="BX40" s="27" t="s">
        <v>121</v>
      </c>
      <c r="BY40" s="27" t="s">
        <v>124</v>
      </c>
      <c r="BZ40" s="27" t="s">
        <v>123</v>
      </c>
      <c r="CA40" s="27" t="s">
        <v>123</v>
      </c>
      <c r="CB40" s="27" t="s">
        <v>124</v>
      </c>
      <c r="CC40" s="27" t="s">
        <v>124</v>
      </c>
      <c r="CD40" s="27" t="s">
        <v>124</v>
      </c>
      <c r="CE40" s="27" t="s">
        <v>122</v>
      </c>
      <c r="CF40" s="27" t="s">
        <v>124</v>
      </c>
      <c r="CG40" s="27" t="s">
        <v>122</v>
      </c>
      <c r="CH40" s="27" t="s">
        <v>123</v>
      </c>
      <c r="CI40" s="27" t="s">
        <v>120</v>
      </c>
      <c r="CJ40" s="27" t="s">
        <v>124</v>
      </c>
      <c r="CK40" s="27" t="s">
        <v>123</v>
      </c>
      <c r="CL40" s="27" t="s">
        <v>124</v>
      </c>
      <c r="CM40" s="27" t="s">
        <v>119</v>
      </c>
      <c r="CN40" s="27" t="s">
        <v>118</v>
      </c>
      <c r="CO40" s="27" t="s">
        <v>118</v>
      </c>
      <c r="CP40" s="27" t="s">
        <v>121</v>
      </c>
      <c r="CQ40" s="27" t="s">
        <v>120</v>
      </c>
      <c r="CR40" s="27" t="s">
        <v>122</v>
      </c>
    </row>
    <row r="41" spans="2:96" x14ac:dyDescent="0.35">
      <c r="B41" s="48" t="s">
        <v>79</v>
      </c>
      <c r="C41" s="29">
        <v>0.1143</v>
      </c>
      <c r="D41" s="29">
        <v>0.1154</v>
      </c>
      <c r="E41" s="29">
        <v>0.11550000000000001</v>
      </c>
      <c r="F41" s="29">
        <v>0.1167</v>
      </c>
      <c r="G41" s="29">
        <v>0.11849999999999999</v>
      </c>
      <c r="H41" s="29">
        <v>0.10879999999999999</v>
      </c>
      <c r="I41" s="29">
        <v>0.112</v>
      </c>
      <c r="J41" s="29">
        <v>0.114</v>
      </c>
      <c r="K41" s="29">
        <v>0.11609999999999999</v>
      </c>
      <c r="L41" s="29">
        <v>0.1144</v>
      </c>
      <c r="M41" s="29">
        <v>0.1183</v>
      </c>
      <c r="N41" s="29">
        <v>0.1182</v>
      </c>
      <c r="O41" s="29">
        <v>0.1104</v>
      </c>
      <c r="P41" s="29">
        <v>0.11459999999999999</v>
      </c>
      <c r="Q41" s="29">
        <v>0.1137</v>
      </c>
      <c r="R41" s="29">
        <v>0.11700000000000001</v>
      </c>
      <c r="S41" s="29">
        <v>0.10879999999999999</v>
      </c>
      <c r="T41" s="29">
        <v>0.11749999999999999</v>
      </c>
      <c r="U41" s="29">
        <v>0.1143</v>
      </c>
      <c r="V41" s="29">
        <v>0.1157</v>
      </c>
      <c r="W41" s="29">
        <v>0.11749999999999999</v>
      </c>
      <c r="X41" s="29">
        <v>0.11609999999999999</v>
      </c>
      <c r="Y41" s="29">
        <v>0.1168</v>
      </c>
      <c r="Z41" s="29">
        <v>0.1134</v>
      </c>
      <c r="AA41" s="29">
        <v>0.11</v>
      </c>
      <c r="AB41" s="29">
        <v>0.1144</v>
      </c>
      <c r="AC41" s="29">
        <v>0.1183</v>
      </c>
      <c r="AD41" s="29">
        <v>0.1138</v>
      </c>
      <c r="AE41" s="29">
        <v>0.1177</v>
      </c>
      <c r="AF41" s="29">
        <v>0.1153</v>
      </c>
      <c r="AG41" s="29"/>
      <c r="AH41" s="48" t="s">
        <v>79</v>
      </c>
      <c r="AI41" s="10">
        <v>0.14603337956999998</v>
      </c>
      <c r="AJ41" s="10">
        <v>0.15900818080312001</v>
      </c>
      <c r="AK41" s="10">
        <v>0.16062491440687202</v>
      </c>
      <c r="AL41" s="10">
        <v>0.17256722033716601</v>
      </c>
      <c r="AM41" s="10">
        <v>0.14735254852500002</v>
      </c>
      <c r="AN41" s="10">
        <v>0.17949717306756002</v>
      </c>
      <c r="AO41" s="10">
        <v>0.15437177030026406</v>
      </c>
      <c r="AP41" s="10">
        <v>0.12923183594107202</v>
      </c>
      <c r="AQ41" s="10">
        <v>0.19221313032742399</v>
      </c>
      <c r="AR41" s="10">
        <v>0.18332543867047504</v>
      </c>
      <c r="AS41" s="10">
        <v>0.20420940279080005</v>
      </c>
      <c r="AT41" s="10">
        <v>0.22865787126811202</v>
      </c>
      <c r="AU41" s="10">
        <v>0.16170040107807904</v>
      </c>
      <c r="AV41" s="10">
        <v>0.18871275937690601</v>
      </c>
      <c r="AW41" s="10">
        <v>0.22889307711825008</v>
      </c>
      <c r="AX41" s="10">
        <v>0.20562470605142205</v>
      </c>
      <c r="AY41" s="10">
        <v>0.21771205830984006</v>
      </c>
      <c r="AZ41" s="10">
        <v>0.19675367900224505</v>
      </c>
      <c r="BA41" s="10">
        <v>0.21161021608632011</v>
      </c>
      <c r="BB41" s="10">
        <v>0.24342764312580006</v>
      </c>
      <c r="BC41" s="10">
        <v>0.21397347463773508</v>
      </c>
      <c r="BD41" s="10">
        <v>0.19478191465306302</v>
      </c>
      <c r="BE41" s="10">
        <v>0.18283290047347503</v>
      </c>
      <c r="BF41" s="10">
        <v>0.19980642891471206</v>
      </c>
      <c r="BG41" s="10">
        <v>0.18562950402524797</v>
      </c>
      <c r="BH41" s="10">
        <v>0.15680010564094002</v>
      </c>
      <c r="BI41" s="10">
        <v>0.17130132289914002</v>
      </c>
      <c r="BJ41" s="10">
        <v>0.16424253854530002</v>
      </c>
      <c r="BK41" s="10">
        <v>0.15514858264303599</v>
      </c>
      <c r="BL41" s="10">
        <v>0.14704270732499997</v>
      </c>
      <c r="BM41" s="27"/>
      <c r="BN41" s="48" t="s">
        <v>79</v>
      </c>
      <c r="BO41" s="27" t="s">
        <v>120</v>
      </c>
      <c r="BP41" s="27" t="s">
        <v>124</v>
      </c>
      <c r="BQ41" s="27" t="s">
        <v>121</v>
      </c>
      <c r="BR41" s="27" t="s">
        <v>119</v>
      </c>
      <c r="BS41" s="27" t="s">
        <v>123</v>
      </c>
      <c r="BT41" s="27" t="s">
        <v>124</v>
      </c>
      <c r="BU41" s="27" t="s">
        <v>120</v>
      </c>
      <c r="BV41" s="27" t="s">
        <v>119</v>
      </c>
      <c r="BW41" s="27" t="s">
        <v>121</v>
      </c>
      <c r="BX41" s="27" t="s">
        <v>119</v>
      </c>
      <c r="BY41" s="27" t="s">
        <v>118</v>
      </c>
      <c r="BZ41" s="27" t="s">
        <v>119</v>
      </c>
      <c r="CA41" s="27" t="s">
        <v>121</v>
      </c>
      <c r="CB41" s="27" t="s">
        <v>118</v>
      </c>
      <c r="CC41" s="27" t="s">
        <v>120</v>
      </c>
      <c r="CD41" s="27" t="s">
        <v>118</v>
      </c>
      <c r="CE41" s="27" t="s">
        <v>123</v>
      </c>
      <c r="CF41" s="27" t="s">
        <v>122</v>
      </c>
      <c r="CG41" s="27" t="s">
        <v>118</v>
      </c>
      <c r="CH41" s="27" t="s">
        <v>123</v>
      </c>
      <c r="CI41" s="27" t="s">
        <v>120</v>
      </c>
      <c r="CJ41" s="27" t="s">
        <v>124</v>
      </c>
      <c r="CK41" s="27" t="s">
        <v>121</v>
      </c>
      <c r="CL41" s="27" t="s">
        <v>118</v>
      </c>
      <c r="CM41" s="27" t="s">
        <v>119</v>
      </c>
      <c r="CN41" s="27" t="s">
        <v>118</v>
      </c>
      <c r="CO41" s="27" t="s">
        <v>123</v>
      </c>
      <c r="CP41" s="27" t="s">
        <v>118</v>
      </c>
      <c r="CQ41" s="27" t="s">
        <v>123</v>
      </c>
      <c r="CR41" s="27" t="s">
        <v>119</v>
      </c>
    </row>
    <row r="42" spans="2:96" x14ac:dyDescent="0.35">
      <c r="B42" s="48" t="s">
        <v>80</v>
      </c>
      <c r="C42" s="29">
        <v>0.105</v>
      </c>
      <c r="D42" s="29">
        <v>0.1018</v>
      </c>
      <c r="E42" s="29">
        <v>0.1009</v>
      </c>
      <c r="F42" s="29">
        <v>0.1061</v>
      </c>
      <c r="G42" s="29">
        <v>0.10100000000000001</v>
      </c>
      <c r="H42" s="29">
        <v>0.10680000000000001</v>
      </c>
      <c r="I42" s="29">
        <v>0.1057</v>
      </c>
      <c r="J42" s="29">
        <v>0.1028</v>
      </c>
      <c r="K42" s="29">
        <v>0.1031</v>
      </c>
      <c r="L42" s="29">
        <v>0.10349999999999999</v>
      </c>
      <c r="M42" s="29">
        <v>0.10489999999999999</v>
      </c>
      <c r="N42" s="29">
        <v>0.1003</v>
      </c>
      <c r="O42" s="29">
        <v>0.10340000000000001</v>
      </c>
      <c r="P42" s="29">
        <v>0.107</v>
      </c>
      <c r="Q42" s="29">
        <v>0.1066</v>
      </c>
      <c r="R42" s="29">
        <v>0.1032</v>
      </c>
      <c r="S42" s="29">
        <v>0.1072</v>
      </c>
      <c r="T42" s="29">
        <v>0.1032</v>
      </c>
      <c r="U42" s="29">
        <v>0.1033</v>
      </c>
      <c r="V42" s="29">
        <v>0.1019</v>
      </c>
      <c r="W42" s="29">
        <v>0.10639999999999999</v>
      </c>
      <c r="X42" s="29">
        <v>0.1045</v>
      </c>
      <c r="Y42" s="29">
        <v>0.1067</v>
      </c>
      <c r="Z42" s="29">
        <v>0.1002</v>
      </c>
      <c r="AA42" s="29">
        <v>0.10249999999999999</v>
      </c>
      <c r="AB42" s="29">
        <v>0.10390000000000001</v>
      </c>
      <c r="AC42" s="29">
        <v>0.1023</v>
      </c>
      <c r="AD42" s="29">
        <v>0.104</v>
      </c>
      <c r="AE42" s="29">
        <v>0.1</v>
      </c>
      <c r="AF42" s="29">
        <v>0.107</v>
      </c>
      <c r="AG42" s="29"/>
      <c r="AH42" s="48" t="s">
        <v>80</v>
      </c>
      <c r="AI42" s="10">
        <v>9.6033379569999994E-2</v>
      </c>
      <c r="AJ42" s="10">
        <v>0.10900818080312003</v>
      </c>
      <c r="AK42" s="10">
        <v>0.11062491440687203</v>
      </c>
      <c r="AL42" s="10">
        <v>0.12256722033716602</v>
      </c>
      <c r="AM42" s="10">
        <v>9.7352548525000027E-2</v>
      </c>
      <c r="AN42" s="10">
        <v>0.12949717306756003</v>
      </c>
      <c r="AO42" s="10">
        <v>0.10437177030026407</v>
      </c>
      <c r="AP42" s="10">
        <v>7.9231835941072012E-2</v>
      </c>
      <c r="AQ42" s="10">
        <v>0.142213130327424</v>
      </c>
      <c r="AR42" s="10">
        <v>0.13332543867047505</v>
      </c>
      <c r="AS42" s="10">
        <v>0.15420940279080006</v>
      </c>
      <c r="AT42" s="10">
        <v>0.17865787126811203</v>
      </c>
      <c r="AU42" s="10">
        <v>0.11170040107807905</v>
      </c>
      <c r="AV42" s="10">
        <v>0.13871275937690603</v>
      </c>
      <c r="AW42" s="10">
        <v>0.17889307711825009</v>
      </c>
      <c r="AX42" s="10">
        <v>0.15562470605142206</v>
      </c>
      <c r="AY42" s="10">
        <v>0.16771205830984007</v>
      </c>
      <c r="AZ42" s="10">
        <v>0.14675367900224506</v>
      </c>
      <c r="BA42" s="10">
        <v>0.16161021608632012</v>
      </c>
      <c r="BB42" s="10">
        <v>0.19342764312580008</v>
      </c>
      <c r="BC42" s="10">
        <v>0.16397347463773509</v>
      </c>
      <c r="BD42" s="10">
        <v>0.14478191465306303</v>
      </c>
      <c r="BE42" s="10">
        <v>0.13283290047347504</v>
      </c>
      <c r="BF42" s="10">
        <v>0.14980642891471208</v>
      </c>
      <c r="BG42" s="10">
        <v>0.13562950402524798</v>
      </c>
      <c r="BH42" s="10">
        <v>0.10680010564094003</v>
      </c>
      <c r="BI42" s="10">
        <v>0.12130132289914003</v>
      </c>
      <c r="BJ42" s="10">
        <v>0.11424253854530003</v>
      </c>
      <c r="BK42" s="10">
        <v>0.105148582643036</v>
      </c>
      <c r="BL42" s="10">
        <v>9.7042707324999977E-2</v>
      </c>
      <c r="BM42" s="27"/>
      <c r="BN42" s="48" t="s">
        <v>80</v>
      </c>
      <c r="BO42" s="27" t="s">
        <v>124</v>
      </c>
      <c r="BP42" s="27" t="s">
        <v>124</v>
      </c>
      <c r="BQ42" s="27" t="s">
        <v>121</v>
      </c>
      <c r="BR42" s="27" t="s">
        <v>121</v>
      </c>
      <c r="BS42" s="27" t="s">
        <v>121</v>
      </c>
      <c r="BT42" s="27" t="s">
        <v>122</v>
      </c>
      <c r="BU42" s="27" t="s">
        <v>120</v>
      </c>
      <c r="BV42" s="27" t="s">
        <v>118</v>
      </c>
      <c r="BW42" s="27" t="s">
        <v>119</v>
      </c>
      <c r="BX42" s="27" t="s">
        <v>119</v>
      </c>
      <c r="BY42" s="27" t="s">
        <v>120</v>
      </c>
      <c r="BZ42" s="27" t="s">
        <v>120</v>
      </c>
      <c r="CA42" s="27" t="s">
        <v>118</v>
      </c>
      <c r="CB42" s="27" t="s">
        <v>124</v>
      </c>
      <c r="CC42" s="27" t="s">
        <v>124</v>
      </c>
      <c r="CD42" s="27" t="s">
        <v>122</v>
      </c>
      <c r="CE42" s="27" t="s">
        <v>124</v>
      </c>
      <c r="CF42" s="27" t="s">
        <v>120</v>
      </c>
      <c r="CG42" s="27" t="s">
        <v>123</v>
      </c>
      <c r="CH42" s="27" t="s">
        <v>121</v>
      </c>
      <c r="CI42" s="27" t="s">
        <v>123</v>
      </c>
      <c r="CJ42" s="27" t="s">
        <v>119</v>
      </c>
      <c r="CK42" s="27" t="s">
        <v>124</v>
      </c>
      <c r="CL42" s="27" t="s">
        <v>122</v>
      </c>
      <c r="CM42" s="27" t="s">
        <v>122</v>
      </c>
      <c r="CN42" s="27" t="s">
        <v>121</v>
      </c>
      <c r="CO42" s="27" t="s">
        <v>119</v>
      </c>
      <c r="CP42" s="27" t="s">
        <v>119</v>
      </c>
      <c r="CQ42" s="27" t="s">
        <v>124</v>
      </c>
      <c r="CR42" s="27" t="s">
        <v>119</v>
      </c>
    </row>
    <row r="43" spans="2:96" x14ac:dyDescent="0.35">
      <c r="B43" s="48" t="s">
        <v>81</v>
      </c>
      <c r="C43" s="29">
        <v>9.7799999999999998E-2</v>
      </c>
      <c r="D43" s="29">
        <v>9.4700000000000006E-2</v>
      </c>
      <c r="E43" s="29">
        <v>9.7799999999999998E-2</v>
      </c>
      <c r="F43" s="29">
        <v>9.6699999999999994E-2</v>
      </c>
      <c r="G43" s="29">
        <v>9.2799999999999994E-2</v>
      </c>
      <c r="H43" s="29">
        <v>9.1999999999999998E-2</v>
      </c>
      <c r="I43" s="29">
        <v>9.4700000000000006E-2</v>
      </c>
      <c r="J43" s="29">
        <v>9.6699999999999994E-2</v>
      </c>
      <c r="K43" s="29">
        <v>9.1200000000000003E-2</v>
      </c>
      <c r="L43" s="29">
        <v>9.7100000000000006E-2</v>
      </c>
      <c r="M43" s="29">
        <v>9.7299999999999998E-2</v>
      </c>
      <c r="N43" s="29">
        <v>9.5500000000000002E-2</v>
      </c>
      <c r="O43" s="29">
        <v>9.1999999999999998E-2</v>
      </c>
      <c r="P43" s="29">
        <v>9.2299999999999993E-2</v>
      </c>
      <c r="Q43" s="29">
        <v>9.5899999999999999E-2</v>
      </c>
      <c r="R43" s="29">
        <v>9.8100000000000007E-2</v>
      </c>
      <c r="S43" s="29">
        <v>9.1700000000000004E-2</v>
      </c>
      <c r="T43" s="29">
        <v>9.6199999999999994E-2</v>
      </c>
      <c r="U43" s="29">
        <v>9.7100000000000006E-2</v>
      </c>
      <c r="V43" s="29">
        <v>9.5699999999999993E-2</v>
      </c>
      <c r="W43" s="29">
        <v>9.3100000000000002E-2</v>
      </c>
      <c r="X43" s="29">
        <v>9.5699999999999993E-2</v>
      </c>
      <c r="Y43" s="29">
        <v>9.4500000000000001E-2</v>
      </c>
      <c r="Z43" s="29">
        <v>9.6500000000000002E-2</v>
      </c>
      <c r="AA43" s="29">
        <v>9.7900000000000001E-2</v>
      </c>
      <c r="AB43" s="29">
        <v>9.7299999999999998E-2</v>
      </c>
      <c r="AC43" s="29">
        <v>9.64E-2</v>
      </c>
      <c r="AD43" s="29">
        <v>9.4E-2</v>
      </c>
      <c r="AE43" s="29">
        <v>9.64E-2</v>
      </c>
      <c r="AF43" s="29">
        <v>9.2700000000000005E-2</v>
      </c>
      <c r="AG43" s="29"/>
      <c r="AH43" s="48" t="s">
        <v>81</v>
      </c>
      <c r="AI43" s="10">
        <v>0.11503337956999998</v>
      </c>
      <c r="AJ43" s="10">
        <v>0.12800818080312001</v>
      </c>
      <c r="AK43" s="10">
        <v>0.12962491440687202</v>
      </c>
      <c r="AL43" s="10">
        <v>0.14156722033716601</v>
      </c>
      <c r="AM43" s="10">
        <v>0.11635254852500002</v>
      </c>
      <c r="AN43" s="10">
        <v>0.14849717306756002</v>
      </c>
      <c r="AO43" s="10">
        <v>0.12337177030026406</v>
      </c>
      <c r="AP43" s="10">
        <v>9.8231835941072002E-2</v>
      </c>
      <c r="AQ43" s="10">
        <v>0.16121313032742399</v>
      </c>
      <c r="AR43" s="10">
        <v>0.15232543867047504</v>
      </c>
      <c r="AS43" s="10">
        <v>0.17320940279080005</v>
      </c>
      <c r="AT43" s="10">
        <v>0.19765787126811202</v>
      </c>
      <c r="AU43" s="10">
        <v>0.13070040107807904</v>
      </c>
      <c r="AV43" s="10">
        <v>0.15771275937690601</v>
      </c>
      <c r="AW43" s="10">
        <v>0.19789307711825008</v>
      </c>
      <c r="AX43" s="10">
        <v>0.17462470605142205</v>
      </c>
      <c r="AY43" s="10">
        <v>0.18671205830984006</v>
      </c>
      <c r="AZ43" s="10">
        <v>0.16575367900224505</v>
      </c>
      <c r="BA43" s="10">
        <v>0.18061021608632011</v>
      </c>
      <c r="BB43" s="10">
        <v>0.21242764312580006</v>
      </c>
      <c r="BC43" s="10">
        <v>0.18297347463773508</v>
      </c>
      <c r="BD43" s="10">
        <v>0.16378191465306302</v>
      </c>
      <c r="BE43" s="10">
        <v>0.15183290047347503</v>
      </c>
      <c r="BF43" s="10">
        <v>0.16880642891471206</v>
      </c>
      <c r="BG43" s="10">
        <v>0.15462950402524797</v>
      </c>
      <c r="BH43" s="10">
        <v>0.12580010564094002</v>
      </c>
      <c r="BI43" s="10">
        <v>0.14030132289914002</v>
      </c>
      <c r="BJ43" s="10">
        <v>0.13324253854530002</v>
      </c>
      <c r="BK43" s="10">
        <v>0.12414858264303599</v>
      </c>
      <c r="BL43" s="10">
        <v>0.11604270732499997</v>
      </c>
      <c r="BM43" s="27"/>
      <c r="BN43" s="48" t="s">
        <v>81</v>
      </c>
      <c r="BO43" s="27" t="s">
        <v>122</v>
      </c>
      <c r="BP43" s="27" t="s">
        <v>121</v>
      </c>
      <c r="BQ43" s="27" t="s">
        <v>118</v>
      </c>
      <c r="BR43" s="27" t="s">
        <v>118</v>
      </c>
      <c r="BS43" s="27" t="s">
        <v>118</v>
      </c>
      <c r="BT43" s="27" t="s">
        <v>121</v>
      </c>
      <c r="BU43" s="27" t="s">
        <v>118</v>
      </c>
      <c r="BV43" s="27" t="s">
        <v>120</v>
      </c>
      <c r="BW43" s="27" t="s">
        <v>118</v>
      </c>
      <c r="BX43" s="27" t="s">
        <v>124</v>
      </c>
      <c r="BY43" s="27" t="s">
        <v>123</v>
      </c>
      <c r="BZ43" s="27" t="s">
        <v>124</v>
      </c>
      <c r="CA43" s="27" t="s">
        <v>118</v>
      </c>
      <c r="CB43" s="27" t="s">
        <v>121</v>
      </c>
      <c r="CC43" s="27" t="s">
        <v>122</v>
      </c>
      <c r="CD43" s="27" t="s">
        <v>118</v>
      </c>
      <c r="CE43" s="27" t="s">
        <v>122</v>
      </c>
      <c r="CF43" s="27" t="s">
        <v>119</v>
      </c>
      <c r="CG43" s="27" t="s">
        <v>120</v>
      </c>
      <c r="CH43" s="27" t="s">
        <v>119</v>
      </c>
      <c r="CI43" s="27" t="s">
        <v>124</v>
      </c>
      <c r="CJ43" s="27" t="s">
        <v>124</v>
      </c>
      <c r="CK43" s="27" t="s">
        <v>121</v>
      </c>
      <c r="CL43" s="27" t="s">
        <v>122</v>
      </c>
      <c r="CM43" s="27" t="s">
        <v>119</v>
      </c>
      <c r="CN43" s="27" t="s">
        <v>121</v>
      </c>
      <c r="CO43" s="27" t="s">
        <v>119</v>
      </c>
      <c r="CP43" s="27" t="s">
        <v>119</v>
      </c>
      <c r="CQ43" s="27" t="s">
        <v>122</v>
      </c>
      <c r="CR43" s="27" t="s">
        <v>123</v>
      </c>
    </row>
    <row r="44" spans="2:96" x14ac:dyDescent="0.35">
      <c r="B44" s="48" t="s">
        <v>82</v>
      </c>
      <c r="C44" s="29">
        <v>7.6600000000000001E-2</v>
      </c>
      <c r="D44" s="29">
        <v>8.1500000000000003E-2</v>
      </c>
      <c r="E44" s="29">
        <v>8.0100000000000005E-2</v>
      </c>
      <c r="F44" s="29">
        <v>7.0199999999999999E-2</v>
      </c>
      <c r="G44" s="29">
        <v>8.3099999999999993E-2</v>
      </c>
      <c r="H44" s="29">
        <v>7.3800000000000004E-2</v>
      </c>
      <c r="I44" s="29">
        <v>7.6600000000000001E-2</v>
      </c>
      <c r="J44" s="29">
        <v>8.0500000000000002E-2</v>
      </c>
      <c r="K44" s="29">
        <v>7.2599999999999998E-2</v>
      </c>
      <c r="L44" s="29">
        <v>8.2299999999999998E-2</v>
      </c>
      <c r="M44" s="29">
        <v>8.3799999999999999E-2</v>
      </c>
      <c r="N44" s="29">
        <v>7.4700000000000003E-2</v>
      </c>
      <c r="O44" s="29">
        <v>7.7299999999999994E-2</v>
      </c>
      <c r="P44" s="29">
        <v>7.2900000000000006E-2</v>
      </c>
      <c r="Q44" s="29">
        <v>7.3800000000000004E-2</v>
      </c>
      <c r="R44" s="29">
        <v>8.1500000000000003E-2</v>
      </c>
      <c r="S44" s="29">
        <v>8.3400000000000002E-2</v>
      </c>
      <c r="T44" s="29">
        <v>7.3800000000000004E-2</v>
      </c>
      <c r="U44" s="29">
        <v>7.9399999999999998E-2</v>
      </c>
      <c r="V44" s="29">
        <v>7.0999999999999994E-2</v>
      </c>
      <c r="W44" s="29">
        <v>7.1800000000000003E-2</v>
      </c>
      <c r="X44" s="29">
        <v>7.3599999999999999E-2</v>
      </c>
      <c r="Y44" s="29">
        <v>7.8899999999999998E-2</v>
      </c>
      <c r="Z44" s="29">
        <v>7.8100000000000003E-2</v>
      </c>
      <c r="AA44" s="29">
        <v>7.3200000000000001E-2</v>
      </c>
      <c r="AB44" s="29">
        <v>7.1099999999999997E-2</v>
      </c>
      <c r="AC44" s="29">
        <v>8.1600000000000006E-2</v>
      </c>
      <c r="AD44" s="29">
        <v>7.9699999999999993E-2</v>
      </c>
      <c r="AE44" s="29">
        <v>7.5499999999999998E-2</v>
      </c>
      <c r="AF44" s="29">
        <v>7.3800000000000004E-2</v>
      </c>
      <c r="AG44" s="29"/>
      <c r="AH44" s="48" t="s">
        <v>82</v>
      </c>
      <c r="AI44" s="10">
        <v>0.12303337956999999</v>
      </c>
      <c r="AJ44" s="10">
        <v>0.13600818080312002</v>
      </c>
      <c r="AK44" s="10">
        <v>0.13762491440687202</v>
      </c>
      <c r="AL44" s="10">
        <v>0.14956722033716602</v>
      </c>
      <c r="AM44" s="10">
        <v>0.12435254852500002</v>
      </c>
      <c r="AN44" s="10">
        <v>0.15649717306756003</v>
      </c>
      <c r="AO44" s="10">
        <v>0.13137177030026406</v>
      </c>
      <c r="AP44" s="10">
        <v>0.10623183594107201</v>
      </c>
      <c r="AQ44" s="10">
        <v>0.16921313032742399</v>
      </c>
      <c r="AR44" s="10">
        <v>0.16032543867047505</v>
      </c>
      <c r="AS44" s="10">
        <v>0.18120940279080006</v>
      </c>
      <c r="AT44" s="10">
        <v>0.20565787126811202</v>
      </c>
      <c r="AU44" s="10">
        <v>0.13870040107807904</v>
      </c>
      <c r="AV44" s="10">
        <v>0.16571275937690602</v>
      </c>
      <c r="AW44" s="10">
        <v>0.20589307711825008</v>
      </c>
      <c r="AX44" s="10">
        <v>0.18262470605142206</v>
      </c>
      <c r="AY44" s="10">
        <v>0.19471205830984006</v>
      </c>
      <c r="AZ44" s="10">
        <v>0.17375367900224506</v>
      </c>
      <c r="BA44" s="10">
        <v>0.18861021608632011</v>
      </c>
      <c r="BB44" s="10">
        <v>0.22042764312580007</v>
      </c>
      <c r="BC44" s="10">
        <v>0.19097347463773509</v>
      </c>
      <c r="BD44" s="10">
        <v>0.17178191465306303</v>
      </c>
      <c r="BE44" s="10">
        <v>0.15983290047347504</v>
      </c>
      <c r="BF44" s="10">
        <v>0.17680642891471207</v>
      </c>
      <c r="BG44" s="10">
        <v>0.16262950402524798</v>
      </c>
      <c r="BH44" s="10">
        <v>0.13380010564094003</v>
      </c>
      <c r="BI44" s="10">
        <v>0.14830132289914003</v>
      </c>
      <c r="BJ44" s="10">
        <v>0.14124253854530003</v>
      </c>
      <c r="BK44" s="10">
        <v>0.132148582643036</v>
      </c>
      <c r="BL44" s="10">
        <v>0.12404270732499997</v>
      </c>
      <c r="BM44" s="27"/>
      <c r="BN44" s="48" t="s">
        <v>82</v>
      </c>
      <c r="BO44" s="27" t="s">
        <v>123</v>
      </c>
      <c r="BP44" s="27" t="s">
        <v>124</v>
      </c>
      <c r="BQ44" s="27" t="s">
        <v>118</v>
      </c>
      <c r="BR44" s="27" t="s">
        <v>123</v>
      </c>
      <c r="BS44" s="27" t="s">
        <v>122</v>
      </c>
      <c r="BT44" s="27" t="s">
        <v>118</v>
      </c>
      <c r="BU44" s="27" t="s">
        <v>118</v>
      </c>
      <c r="BV44" s="27" t="s">
        <v>124</v>
      </c>
      <c r="BW44" s="27" t="s">
        <v>124</v>
      </c>
      <c r="BX44" s="27" t="s">
        <v>118</v>
      </c>
      <c r="BY44" s="27" t="s">
        <v>123</v>
      </c>
      <c r="BZ44" s="27" t="s">
        <v>121</v>
      </c>
      <c r="CA44" s="27" t="s">
        <v>122</v>
      </c>
      <c r="CB44" s="27" t="s">
        <v>121</v>
      </c>
      <c r="CC44" s="27" t="s">
        <v>120</v>
      </c>
      <c r="CD44" s="27" t="s">
        <v>119</v>
      </c>
      <c r="CE44" s="27" t="s">
        <v>123</v>
      </c>
      <c r="CF44" s="27" t="s">
        <v>123</v>
      </c>
      <c r="CG44" s="27" t="s">
        <v>124</v>
      </c>
      <c r="CH44" s="27" t="s">
        <v>118</v>
      </c>
      <c r="CI44" s="27" t="s">
        <v>122</v>
      </c>
      <c r="CJ44" s="27" t="s">
        <v>118</v>
      </c>
      <c r="CK44" s="27" t="s">
        <v>119</v>
      </c>
      <c r="CL44" s="27" t="s">
        <v>118</v>
      </c>
      <c r="CM44" s="27" t="s">
        <v>119</v>
      </c>
      <c r="CN44" s="27" t="s">
        <v>121</v>
      </c>
      <c r="CO44" s="27" t="s">
        <v>124</v>
      </c>
      <c r="CP44" s="27" t="s">
        <v>120</v>
      </c>
      <c r="CQ44" s="27" t="s">
        <v>121</v>
      </c>
      <c r="CR44" s="27" t="s">
        <v>119</v>
      </c>
    </row>
    <row r="45" spans="2:96" x14ac:dyDescent="0.35">
      <c r="B45" s="48" t="s">
        <v>83</v>
      </c>
      <c r="C45" s="29">
        <v>0.186</v>
      </c>
      <c r="D45" s="29">
        <v>0.18049999999999999</v>
      </c>
      <c r="E45" s="29">
        <v>0.18149999999999999</v>
      </c>
      <c r="F45" s="29">
        <v>0.18329999999999999</v>
      </c>
      <c r="G45" s="29">
        <v>0.18429999999999999</v>
      </c>
      <c r="H45" s="29">
        <v>0.185</v>
      </c>
      <c r="I45" s="29">
        <v>0.18459999999999999</v>
      </c>
      <c r="J45" s="29">
        <v>0.1895</v>
      </c>
      <c r="K45" s="29">
        <v>0.18010000000000001</v>
      </c>
      <c r="L45" s="29">
        <v>0.18090000000000001</v>
      </c>
      <c r="M45" s="29">
        <v>0.1799</v>
      </c>
      <c r="N45" s="29">
        <v>0.1789</v>
      </c>
      <c r="O45" s="29">
        <v>0.1898</v>
      </c>
      <c r="P45" s="29">
        <v>0.18659999999999999</v>
      </c>
      <c r="Q45" s="29">
        <v>0.18890000000000001</v>
      </c>
      <c r="R45" s="29">
        <v>0.1832</v>
      </c>
      <c r="S45" s="29">
        <v>0.18809999999999999</v>
      </c>
      <c r="T45" s="29">
        <v>0.183</v>
      </c>
      <c r="U45" s="29">
        <v>0.18609999999999999</v>
      </c>
      <c r="V45" s="29">
        <v>0.1885</v>
      </c>
      <c r="W45" s="29">
        <v>0.18729999999999999</v>
      </c>
      <c r="X45" s="29">
        <v>0.18099999999999999</v>
      </c>
      <c r="Y45" s="29">
        <v>0.186</v>
      </c>
      <c r="Z45" s="29">
        <v>0.1792</v>
      </c>
      <c r="AA45" s="29">
        <v>0.18060000000000001</v>
      </c>
      <c r="AB45" s="29">
        <v>0.18160000000000001</v>
      </c>
      <c r="AC45" s="29">
        <v>0.18859999999999999</v>
      </c>
      <c r="AD45" s="29">
        <v>0.18410000000000001</v>
      </c>
      <c r="AE45" s="29">
        <v>0.18820000000000001</v>
      </c>
      <c r="AF45" s="29">
        <v>0.1802</v>
      </c>
      <c r="AG45" s="29"/>
      <c r="AH45" s="48" t="s">
        <v>83</v>
      </c>
      <c r="AI45" s="10">
        <v>8.6033379569999985E-2</v>
      </c>
      <c r="AJ45" s="10">
        <v>9.9008180803120016E-2</v>
      </c>
      <c r="AK45" s="10">
        <v>0.10062491440687202</v>
      </c>
      <c r="AL45" s="10">
        <v>0.11256722033716601</v>
      </c>
      <c r="AM45" s="10">
        <v>8.7352548525000018E-2</v>
      </c>
      <c r="AN45" s="10">
        <v>0.11949717306756003</v>
      </c>
      <c r="AO45" s="10">
        <v>9.4371770300264057E-2</v>
      </c>
      <c r="AP45" s="10">
        <v>6.9231835941072004E-2</v>
      </c>
      <c r="AQ45" s="10">
        <v>0.13221313032742399</v>
      </c>
      <c r="AR45" s="10">
        <v>0.12332543867047505</v>
      </c>
      <c r="AS45" s="10">
        <v>0.14420940279080005</v>
      </c>
      <c r="AT45" s="10">
        <v>0.16865787126811202</v>
      </c>
      <c r="AU45" s="10">
        <v>0.10170040107807904</v>
      </c>
      <c r="AV45" s="10">
        <v>0.12871275937690602</v>
      </c>
      <c r="AW45" s="10">
        <v>0.16889307711825008</v>
      </c>
      <c r="AX45" s="10">
        <v>0.14562470605142205</v>
      </c>
      <c r="AY45" s="10">
        <v>0.15771205830984006</v>
      </c>
      <c r="AZ45" s="10">
        <v>0.13675367900224505</v>
      </c>
      <c r="BA45" s="10">
        <v>0.15161021608632011</v>
      </c>
      <c r="BB45" s="10">
        <v>0.18342764312580007</v>
      </c>
      <c r="BC45" s="10">
        <v>0.15397347463773509</v>
      </c>
      <c r="BD45" s="10">
        <v>0.13478191465306302</v>
      </c>
      <c r="BE45" s="10">
        <v>0.12283290047347503</v>
      </c>
      <c r="BF45" s="10">
        <v>0.13980642891471207</v>
      </c>
      <c r="BG45" s="10">
        <v>0.12562950402524797</v>
      </c>
      <c r="BH45" s="10">
        <v>9.6800105640940021E-2</v>
      </c>
      <c r="BI45" s="10">
        <v>0.11130132289914002</v>
      </c>
      <c r="BJ45" s="10">
        <v>0.10424253854530002</v>
      </c>
      <c r="BK45" s="10">
        <v>9.5148582643035995E-2</v>
      </c>
      <c r="BL45" s="10">
        <v>8.7042707324999968E-2</v>
      </c>
      <c r="BM45" s="27"/>
      <c r="BN45" s="48" t="s">
        <v>83</v>
      </c>
      <c r="BO45" s="27" t="s">
        <v>120</v>
      </c>
      <c r="BP45" s="27" t="s">
        <v>118</v>
      </c>
      <c r="BQ45" s="27" t="s">
        <v>119</v>
      </c>
      <c r="BR45" s="27" t="s">
        <v>124</v>
      </c>
      <c r="BS45" s="27" t="s">
        <v>121</v>
      </c>
      <c r="BT45" s="27" t="s">
        <v>120</v>
      </c>
      <c r="BU45" s="27" t="s">
        <v>124</v>
      </c>
      <c r="BV45" s="27" t="s">
        <v>120</v>
      </c>
      <c r="BW45" s="27" t="s">
        <v>120</v>
      </c>
      <c r="BX45" s="27" t="s">
        <v>122</v>
      </c>
      <c r="BY45" s="27" t="s">
        <v>122</v>
      </c>
      <c r="BZ45" s="27" t="s">
        <v>119</v>
      </c>
      <c r="CA45" s="27" t="s">
        <v>118</v>
      </c>
      <c r="CB45" s="27" t="s">
        <v>123</v>
      </c>
      <c r="CC45" s="27" t="s">
        <v>122</v>
      </c>
      <c r="CD45" s="27" t="s">
        <v>119</v>
      </c>
      <c r="CE45" s="27" t="s">
        <v>123</v>
      </c>
      <c r="CF45" s="27" t="s">
        <v>119</v>
      </c>
      <c r="CG45" s="27" t="s">
        <v>122</v>
      </c>
      <c r="CH45" s="27" t="s">
        <v>120</v>
      </c>
      <c r="CI45" s="27" t="s">
        <v>121</v>
      </c>
      <c r="CJ45" s="27" t="s">
        <v>119</v>
      </c>
      <c r="CK45" s="27" t="s">
        <v>118</v>
      </c>
      <c r="CL45" s="27" t="s">
        <v>120</v>
      </c>
      <c r="CM45" s="27" t="s">
        <v>118</v>
      </c>
      <c r="CN45" s="27" t="s">
        <v>119</v>
      </c>
      <c r="CO45" s="27" t="s">
        <v>124</v>
      </c>
      <c r="CP45" s="27" t="s">
        <v>118</v>
      </c>
      <c r="CQ45" s="27" t="s">
        <v>123</v>
      </c>
      <c r="CR45" s="27" t="s">
        <v>120</v>
      </c>
    </row>
    <row r="46" spans="2:96" x14ac:dyDescent="0.35">
      <c r="B46" s="47" t="s">
        <v>84</v>
      </c>
      <c r="C46" s="29">
        <v>0.27529999999999999</v>
      </c>
      <c r="D46" s="29">
        <v>0.26850000000000002</v>
      </c>
      <c r="E46" s="29">
        <v>0.26869999999999999</v>
      </c>
      <c r="F46" s="29">
        <v>0.26629999999999998</v>
      </c>
      <c r="G46" s="29">
        <v>0.27</v>
      </c>
      <c r="H46" s="29">
        <v>0.27400000000000002</v>
      </c>
      <c r="I46" s="29">
        <v>0.26979999999999998</v>
      </c>
      <c r="J46" s="29">
        <v>0.2712</v>
      </c>
      <c r="K46" s="29">
        <v>0.27310000000000001</v>
      </c>
      <c r="L46" s="29">
        <v>0.27350000000000002</v>
      </c>
      <c r="M46" s="29">
        <v>0.26600000000000001</v>
      </c>
      <c r="N46" s="29">
        <v>0.26629999999999998</v>
      </c>
      <c r="O46" s="29">
        <v>0.27329999999999999</v>
      </c>
      <c r="P46" s="29">
        <v>0.27379999999999999</v>
      </c>
      <c r="Q46" s="29">
        <v>0.26650000000000001</v>
      </c>
      <c r="R46" s="29">
        <v>0.27379999999999999</v>
      </c>
      <c r="S46" s="29">
        <v>0.26960000000000001</v>
      </c>
      <c r="T46" s="29">
        <v>0.27129999999999999</v>
      </c>
      <c r="U46" s="29">
        <v>0.27279999999999999</v>
      </c>
      <c r="V46" s="29">
        <v>0.27300000000000002</v>
      </c>
      <c r="W46" s="29">
        <v>0.26650000000000001</v>
      </c>
      <c r="X46" s="29">
        <v>0.27129999999999999</v>
      </c>
      <c r="Y46" s="29">
        <v>0.26629999999999998</v>
      </c>
      <c r="Z46" s="29">
        <v>0.26590000000000003</v>
      </c>
      <c r="AA46" s="29">
        <v>0.26819999999999999</v>
      </c>
      <c r="AB46" s="29">
        <v>0.26669999999999999</v>
      </c>
      <c r="AC46" s="29">
        <v>0.2727</v>
      </c>
      <c r="AD46" s="29">
        <v>0.26929999999999998</v>
      </c>
      <c r="AE46" s="29">
        <v>0.26919999999999999</v>
      </c>
      <c r="AF46" s="29">
        <v>0.27500000000000002</v>
      </c>
      <c r="AG46" s="29"/>
      <c r="AH46" s="47" t="s">
        <v>84</v>
      </c>
      <c r="AI46" s="10">
        <f t="shared" ref="AI46:BL46" si="158">SUMPRODUCT(AI47:AI49,C47:C49)</f>
        <v>0.15495077957</v>
      </c>
      <c r="AJ46" s="10">
        <f t="shared" si="158"/>
        <v>0.16779558928312005</v>
      </c>
      <c r="AK46" s="10">
        <f t="shared" si="158"/>
        <v>0.16935174184687204</v>
      </c>
      <c r="AL46" s="10">
        <f t="shared" si="158"/>
        <v>0.18123754351716606</v>
      </c>
      <c r="AM46" s="10">
        <f t="shared" si="158"/>
        <v>0.15602105102500005</v>
      </c>
      <c r="AN46" s="10">
        <f t="shared" si="158"/>
        <v>0.18841977712756003</v>
      </c>
      <c r="AO46" s="10">
        <f t="shared" si="158"/>
        <v>0.16311260362026408</v>
      </c>
      <c r="AP46" s="10">
        <f t="shared" si="158"/>
        <v>0.13791546938107202</v>
      </c>
      <c r="AQ46" s="10">
        <f t="shared" si="158"/>
        <v>0.200893715287424</v>
      </c>
      <c r="AR46" s="10">
        <f t="shared" si="158"/>
        <v>0.19195100982047508</v>
      </c>
      <c r="AS46" s="10">
        <f t="shared" si="158"/>
        <v>0.21295726399080006</v>
      </c>
      <c r="AT46" s="10">
        <f t="shared" si="158"/>
        <v>0.23738563702811205</v>
      </c>
      <c r="AU46" s="10">
        <f t="shared" si="158"/>
        <v>0.17052297744807909</v>
      </c>
      <c r="AV46" s="10">
        <f t="shared" si="158"/>
        <v>0.19741519700690605</v>
      </c>
      <c r="AW46" s="10">
        <f t="shared" si="158"/>
        <v>0.23788488661825008</v>
      </c>
      <c r="AX46" s="10">
        <f t="shared" si="158"/>
        <v>0.2143907928614221</v>
      </c>
      <c r="AY46" s="10">
        <f t="shared" si="158"/>
        <v>0.22655382540984009</v>
      </c>
      <c r="AZ46" s="10">
        <f t="shared" si="158"/>
        <v>0.20553983535224507</v>
      </c>
      <c r="BA46" s="10">
        <f t="shared" si="158"/>
        <v>0.22042330418632014</v>
      </c>
      <c r="BB46" s="10">
        <f t="shared" si="158"/>
        <v>0.25244168852580012</v>
      </c>
      <c r="BC46" s="10">
        <f t="shared" si="158"/>
        <v>0.22265517704773513</v>
      </c>
      <c r="BD46" s="10">
        <f t="shared" si="158"/>
        <v>0.20371409514306307</v>
      </c>
      <c r="BE46" s="10">
        <f t="shared" si="158"/>
        <v>0.19146143722347506</v>
      </c>
      <c r="BF46" s="10">
        <f t="shared" si="158"/>
        <v>0.20865430723471212</v>
      </c>
      <c r="BG46" s="10">
        <f t="shared" si="158"/>
        <v>0.194642555385248</v>
      </c>
      <c r="BH46" s="10">
        <f t="shared" si="158"/>
        <v>0.16566617744094003</v>
      </c>
      <c r="BI46" s="10">
        <f t="shared" si="158"/>
        <v>0.18026812469914005</v>
      </c>
      <c r="BJ46" s="10">
        <f t="shared" si="158"/>
        <v>0.17307191754530005</v>
      </c>
      <c r="BK46" s="10">
        <f t="shared" si="158"/>
        <v>0.16391104381303603</v>
      </c>
      <c r="BL46" s="10">
        <f t="shared" si="158"/>
        <v>0.15604658272499999</v>
      </c>
      <c r="BM46" s="27"/>
      <c r="BN46" s="47" t="s">
        <v>84</v>
      </c>
      <c r="BO46" s="27" t="s">
        <v>122</v>
      </c>
      <c r="BP46" s="27" t="s">
        <v>119</v>
      </c>
      <c r="BQ46" s="27" t="s">
        <v>119</v>
      </c>
      <c r="BR46" s="27" t="s">
        <v>123</v>
      </c>
      <c r="BS46" s="27" t="s">
        <v>120</v>
      </c>
      <c r="BT46" s="27" t="s">
        <v>120</v>
      </c>
      <c r="BU46" s="27" t="s">
        <v>120</v>
      </c>
      <c r="BV46" s="27" t="s">
        <v>121</v>
      </c>
      <c r="BW46" s="27" t="s">
        <v>124</v>
      </c>
      <c r="BX46" s="27" t="s">
        <v>122</v>
      </c>
      <c r="BY46" s="27" t="s">
        <v>120</v>
      </c>
      <c r="BZ46" s="27" t="s">
        <v>118</v>
      </c>
      <c r="CA46" s="27" t="s">
        <v>123</v>
      </c>
      <c r="CB46" s="27" t="s">
        <v>118</v>
      </c>
      <c r="CC46" s="27" t="s">
        <v>120</v>
      </c>
      <c r="CD46" s="27" t="s">
        <v>119</v>
      </c>
      <c r="CE46" s="27" t="s">
        <v>120</v>
      </c>
      <c r="CF46" s="27" t="s">
        <v>124</v>
      </c>
      <c r="CG46" s="27" t="s">
        <v>122</v>
      </c>
      <c r="CH46" s="27" t="s">
        <v>122</v>
      </c>
      <c r="CI46" s="27" t="s">
        <v>122</v>
      </c>
      <c r="CJ46" s="27" t="s">
        <v>122</v>
      </c>
      <c r="CK46" s="27" t="s">
        <v>122</v>
      </c>
      <c r="CL46" s="27" t="s">
        <v>124</v>
      </c>
      <c r="CM46" s="27" t="s">
        <v>123</v>
      </c>
      <c r="CN46" s="27" t="s">
        <v>124</v>
      </c>
      <c r="CO46" s="27" t="s">
        <v>121</v>
      </c>
      <c r="CP46" s="27" t="s">
        <v>124</v>
      </c>
      <c r="CQ46" s="27" t="s">
        <v>121</v>
      </c>
      <c r="CR46" s="27" t="s">
        <v>118</v>
      </c>
    </row>
    <row r="47" spans="2:96" x14ac:dyDescent="0.35">
      <c r="B47" s="48" t="s">
        <v>85</v>
      </c>
      <c r="C47" s="29">
        <f>1-SUM(C48:C49)</f>
        <v>0.48199999999999998</v>
      </c>
      <c r="D47" s="29">
        <f t="shared" ref="D47:AF47" si="159">1-SUM(D48:D49)</f>
        <v>0.47799999999999998</v>
      </c>
      <c r="E47" s="29">
        <f t="shared" si="159"/>
        <v>0.48180000000000001</v>
      </c>
      <c r="F47" s="29">
        <f t="shared" si="159"/>
        <v>0.47330000000000005</v>
      </c>
      <c r="G47" s="29">
        <f t="shared" si="159"/>
        <v>0.47709999999999997</v>
      </c>
      <c r="H47" s="29">
        <f t="shared" si="159"/>
        <v>0.48280000000000001</v>
      </c>
      <c r="I47" s="29">
        <f t="shared" si="159"/>
        <v>0.47699999999999998</v>
      </c>
      <c r="J47" s="29">
        <f t="shared" si="159"/>
        <v>0.47530000000000006</v>
      </c>
      <c r="K47" s="29">
        <f t="shared" si="159"/>
        <v>0.47740000000000005</v>
      </c>
      <c r="L47" s="29">
        <f t="shared" si="159"/>
        <v>0.47670000000000001</v>
      </c>
      <c r="M47" s="29">
        <f t="shared" si="159"/>
        <v>0.47489999999999999</v>
      </c>
      <c r="N47" s="29">
        <f t="shared" si="159"/>
        <v>0.48040000000000005</v>
      </c>
      <c r="O47" s="29">
        <f t="shared" si="159"/>
        <v>0.47740000000000005</v>
      </c>
      <c r="P47" s="29">
        <f t="shared" si="159"/>
        <v>0.47860000000000003</v>
      </c>
      <c r="Q47" s="29">
        <f t="shared" si="159"/>
        <v>0.48709999999999998</v>
      </c>
      <c r="R47" s="29">
        <f t="shared" si="159"/>
        <v>0.47970000000000002</v>
      </c>
      <c r="S47" s="29">
        <f t="shared" si="159"/>
        <v>0.47650000000000003</v>
      </c>
      <c r="T47" s="29">
        <f t="shared" si="159"/>
        <v>0.48130000000000006</v>
      </c>
      <c r="U47" s="29">
        <f t="shared" si="159"/>
        <v>0.48680000000000001</v>
      </c>
      <c r="V47" s="29">
        <f t="shared" si="159"/>
        <v>0.48940000000000006</v>
      </c>
      <c r="W47" s="29">
        <f t="shared" si="159"/>
        <v>0.47870000000000001</v>
      </c>
      <c r="X47" s="29">
        <f t="shared" si="159"/>
        <v>0.48310000000000008</v>
      </c>
      <c r="Y47" s="29">
        <f t="shared" si="159"/>
        <v>0.47409999999999997</v>
      </c>
      <c r="Z47" s="29">
        <f t="shared" si="159"/>
        <v>0.47960000000000003</v>
      </c>
      <c r="AA47" s="29">
        <f t="shared" si="159"/>
        <v>0.48180000000000001</v>
      </c>
      <c r="AB47" s="29">
        <f t="shared" si="159"/>
        <v>0.47919999999999996</v>
      </c>
      <c r="AC47" s="29">
        <f t="shared" si="159"/>
        <v>0.48760000000000003</v>
      </c>
      <c r="AD47" s="29">
        <f t="shared" si="159"/>
        <v>0.48089999999999999</v>
      </c>
      <c r="AE47" s="29">
        <f t="shared" si="159"/>
        <v>0.48360000000000003</v>
      </c>
      <c r="AF47" s="29">
        <f t="shared" si="159"/>
        <v>0.48780000000000001</v>
      </c>
      <c r="AG47" s="29"/>
      <c r="AH47" s="48" t="s">
        <v>85</v>
      </c>
      <c r="AI47" s="10">
        <v>0.16633207957000001</v>
      </c>
      <c r="AJ47" s="10">
        <v>0.17930688080312004</v>
      </c>
      <c r="AK47" s="10">
        <v>0.18092361440687205</v>
      </c>
      <c r="AL47" s="10">
        <v>0.19286592033716604</v>
      </c>
      <c r="AM47" s="10">
        <v>0.16765124852500005</v>
      </c>
      <c r="AN47" s="10">
        <v>0.19979587306756005</v>
      </c>
      <c r="AO47" s="10">
        <v>0.17467047030026409</v>
      </c>
      <c r="AP47" s="10">
        <v>0.14953053594107202</v>
      </c>
      <c r="AQ47" s="10">
        <v>0.21251183032742402</v>
      </c>
      <c r="AR47" s="10">
        <v>0.20362413867047507</v>
      </c>
      <c r="AS47" s="10">
        <v>0.22450810279080008</v>
      </c>
      <c r="AT47" s="10">
        <v>0.24895657126811205</v>
      </c>
      <c r="AU47" s="10">
        <v>0.18199910107807907</v>
      </c>
      <c r="AV47" s="10">
        <v>0.20901145937690604</v>
      </c>
      <c r="AW47" s="10">
        <v>0.24919177711825011</v>
      </c>
      <c r="AX47" s="10">
        <v>0.22592340605142208</v>
      </c>
      <c r="AY47" s="10">
        <v>0.23801075830984009</v>
      </c>
      <c r="AZ47" s="10">
        <v>0.21705237900224508</v>
      </c>
      <c r="BA47" s="10">
        <v>0.23190891608632014</v>
      </c>
      <c r="BB47" s="10">
        <v>0.26372634312580012</v>
      </c>
      <c r="BC47" s="10">
        <v>0.23427217463773511</v>
      </c>
      <c r="BD47" s="10">
        <v>0.21508061465306305</v>
      </c>
      <c r="BE47" s="10">
        <v>0.20313160047347506</v>
      </c>
      <c r="BF47" s="10">
        <v>0.22010512891471209</v>
      </c>
      <c r="BG47" s="10">
        <v>0.205928204025248</v>
      </c>
      <c r="BH47" s="10">
        <v>0.17709880564094005</v>
      </c>
      <c r="BI47" s="10">
        <v>0.19160002289914005</v>
      </c>
      <c r="BJ47" s="10">
        <v>0.18454123854530005</v>
      </c>
      <c r="BK47" s="10">
        <v>0.17544728264303602</v>
      </c>
      <c r="BL47" s="10">
        <v>0.167341407325</v>
      </c>
      <c r="BM47" s="27"/>
      <c r="BN47" s="48" t="s">
        <v>85</v>
      </c>
      <c r="BO47" s="27" t="s">
        <v>119</v>
      </c>
      <c r="BP47" s="27" t="s">
        <v>121</v>
      </c>
      <c r="BQ47" s="27" t="s">
        <v>123</v>
      </c>
      <c r="BR47" s="27" t="s">
        <v>119</v>
      </c>
      <c r="BS47" s="27" t="s">
        <v>121</v>
      </c>
      <c r="BT47" s="27" t="s">
        <v>120</v>
      </c>
      <c r="BU47" s="27" t="s">
        <v>124</v>
      </c>
      <c r="BV47" s="27" t="s">
        <v>122</v>
      </c>
      <c r="BW47" s="27" t="s">
        <v>123</v>
      </c>
      <c r="BX47" s="27" t="s">
        <v>124</v>
      </c>
      <c r="BY47" s="27" t="s">
        <v>123</v>
      </c>
      <c r="BZ47" s="27" t="s">
        <v>121</v>
      </c>
      <c r="CA47" s="27" t="s">
        <v>122</v>
      </c>
      <c r="CB47" s="27" t="s">
        <v>119</v>
      </c>
      <c r="CC47" s="27" t="s">
        <v>118</v>
      </c>
      <c r="CD47" s="27" t="s">
        <v>122</v>
      </c>
      <c r="CE47" s="27" t="s">
        <v>124</v>
      </c>
      <c r="CF47" s="27" t="s">
        <v>123</v>
      </c>
      <c r="CG47" s="27" t="s">
        <v>122</v>
      </c>
      <c r="CH47" s="27" t="s">
        <v>122</v>
      </c>
      <c r="CI47" s="27" t="s">
        <v>122</v>
      </c>
      <c r="CJ47" s="27" t="s">
        <v>124</v>
      </c>
      <c r="CK47" s="27" t="s">
        <v>124</v>
      </c>
      <c r="CL47" s="27" t="s">
        <v>121</v>
      </c>
      <c r="CM47" s="27" t="s">
        <v>124</v>
      </c>
      <c r="CN47" s="27" t="s">
        <v>121</v>
      </c>
      <c r="CO47" s="27" t="s">
        <v>122</v>
      </c>
      <c r="CP47" s="27" t="s">
        <v>118</v>
      </c>
      <c r="CQ47" s="27" t="s">
        <v>119</v>
      </c>
      <c r="CR47" s="27" t="s">
        <v>123</v>
      </c>
    </row>
    <row r="48" spans="2:96" x14ac:dyDescent="0.35">
      <c r="B48" s="48" t="s">
        <v>86</v>
      </c>
      <c r="C48" s="29">
        <v>0.1459</v>
      </c>
      <c r="D48" s="29">
        <v>0.1444</v>
      </c>
      <c r="E48" s="29">
        <v>0.1484</v>
      </c>
      <c r="F48" s="29">
        <v>0.14849999999999999</v>
      </c>
      <c r="G48" s="29">
        <v>0.1454</v>
      </c>
      <c r="H48" s="29">
        <v>0.1449</v>
      </c>
      <c r="I48" s="29">
        <v>0.1479</v>
      </c>
      <c r="J48" s="29">
        <v>0.14749999999999999</v>
      </c>
      <c r="K48" s="29">
        <v>0.1454</v>
      </c>
      <c r="L48" s="29">
        <v>0.14860000000000001</v>
      </c>
      <c r="M48" s="29">
        <v>0.14829999999999999</v>
      </c>
      <c r="N48" s="29">
        <v>0.14699999999999999</v>
      </c>
      <c r="O48" s="29">
        <v>0.1447</v>
      </c>
      <c r="P48" s="29">
        <v>0.14849999999999999</v>
      </c>
      <c r="Q48" s="29">
        <v>0.1454</v>
      </c>
      <c r="R48" s="29">
        <v>0.14660000000000001</v>
      </c>
      <c r="S48" s="29">
        <v>0.14649999999999999</v>
      </c>
      <c r="T48" s="29">
        <v>0.1472</v>
      </c>
      <c r="U48" s="29">
        <v>0.14419999999999999</v>
      </c>
      <c r="V48" s="29">
        <v>0.14360000000000001</v>
      </c>
      <c r="W48" s="29">
        <v>0.14599999999999999</v>
      </c>
      <c r="X48" s="29">
        <v>0.14419999999999999</v>
      </c>
      <c r="Y48" s="29">
        <v>0.1484</v>
      </c>
      <c r="Z48" s="29">
        <v>0.14480000000000001</v>
      </c>
      <c r="AA48" s="29">
        <v>0.14380000000000001</v>
      </c>
      <c r="AB48" s="29">
        <v>0.14380000000000001</v>
      </c>
      <c r="AC48" s="29">
        <v>0.1459</v>
      </c>
      <c r="AD48" s="29">
        <v>0.14510000000000001</v>
      </c>
      <c r="AE48" s="29">
        <v>0.14369999999999999</v>
      </c>
      <c r="AF48" s="29">
        <v>0.1452</v>
      </c>
      <c r="AG48" s="29"/>
      <c r="AH48" s="48" t="s">
        <v>86</v>
      </c>
      <c r="AI48" s="10">
        <v>0.13933207957000002</v>
      </c>
      <c r="AJ48" s="10">
        <v>0.15230688080312005</v>
      </c>
      <c r="AK48" s="10">
        <v>0.15392361440687205</v>
      </c>
      <c r="AL48" s="10">
        <v>0.16586592033716605</v>
      </c>
      <c r="AM48" s="10">
        <v>0.14065124852500005</v>
      </c>
      <c r="AN48" s="10">
        <v>0.17279587306756006</v>
      </c>
      <c r="AO48" s="10">
        <v>0.14767047030026409</v>
      </c>
      <c r="AP48" s="10">
        <v>0.12253053594107204</v>
      </c>
      <c r="AQ48" s="10">
        <v>0.18551183032742402</v>
      </c>
      <c r="AR48" s="10">
        <v>0.17662413867047508</v>
      </c>
      <c r="AS48" s="10">
        <v>0.19750810279080008</v>
      </c>
      <c r="AT48" s="10">
        <v>0.22195657126811205</v>
      </c>
      <c r="AU48" s="10">
        <v>0.15499910107807907</v>
      </c>
      <c r="AV48" s="10">
        <v>0.18201145937690605</v>
      </c>
      <c r="AW48" s="10">
        <v>0.22219177711825011</v>
      </c>
      <c r="AX48" s="10">
        <v>0.19892340605142209</v>
      </c>
      <c r="AY48" s="10">
        <v>0.21101075830984009</v>
      </c>
      <c r="AZ48" s="10">
        <v>0.19005237900224509</v>
      </c>
      <c r="BA48" s="10">
        <v>0.20490891608632014</v>
      </c>
      <c r="BB48" s="10">
        <v>0.2367263431258001</v>
      </c>
      <c r="BC48" s="10">
        <v>0.20727217463773512</v>
      </c>
      <c r="BD48" s="10">
        <v>0.18808061465306306</v>
      </c>
      <c r="BE48" s="10">
        <v>0.17613160047347506</v>
      </c>
      <c r="BF48" s="10">
        <v>0.1931051289147121</v>
      </c>
      <c r="BG48" s="10">
        <v>0.17892820402524801</v>
      </c>
      <c r="BH48" s="10">
        <v>0.15009880564094005</v>
      </c>
      <c r="BI48" s="10">
        <v>0.16460002289914005</v>
      </c>
      <c r="BJ48" s="10">
        <v>0.15754123854530006</v>
      </c>
      <c r="BK48" s="10">
        <v>0.14844728264303603</v>
      </c>
      <c r="BL48" s="10">
        <v>0.140341407325</v>
      </c>
      <c r="BM48" s="27"/>
      <c r="BN48" s="48" t="s">
        <v>86</v>
      </c>
      <c r="BO48" s="27" t="s">
        <v>123</v>
      </c>
      <c r="BP48" s="27" t="s">
        <v>121</v>
      </c>
      <c r="BQ48" s="27" t="s">
        <v>123</v>
      </c>
      <c r="BR48" s="27" t="s">
        <v>121</v>
      </c>
      <c r="BS48" s="27" t="s">
        <v>124</v>
      </c>
      <c r="BT48" s="27" t="s">
        <v>119</v>
      </c>
      <c r="BU48" s="27" t="s">
        <v>123</v>
      </c>
      <c r="BV48" s="27" t="s">
        <v>124</v>
      </c>
      <c r="BW48" s="27" t="s">
        <v>124</v>
      </c>
      <c r="BX48" s="27" t="s">
        <v>118</v>
      </c>
      <c r="BY48" s="27" t="s">
        <v>123</v>
      </c>
      <c r="BZ48" s="27" t="s">
        <v>121</v>
      </c>
      <c r="CA48" s="27" t="s">
        <v>121</v>
      </c>
      <c r="CB48" s="27" t="s">
        <v>119</v>
      </c>
      <c r="CC48" s="27" t="s">
        <v>121</v>
      </c>
      <c r="CD48" s="27" t="s">
        <v>119</v>
      </c>
      <c r="CE48" s="27" t="s">
        <v>120</v>
      </c>
      <c r="CF48" s="27" t="s">
        <v>120</v>
      </c>
      <c r="CG48" s="27" t="s">
        <v>122</v>
      </c>
      <c r="CH48" s="27" t="s">
        <v>121</v>
      </c>
      <c r="CI48" s="27" t="s">
        <v>123</v>
      </c>
      <c r="CJ48" s="27" t="s">
        <v>119</v>
      </c>
      <c r="CK48" s="27" t="s">
        <v>118</v>
      </c>
      <c r="CL48" s="27" t="s">
        <v>122</v>
      </c>
      <c r="CM48" s="27" t="s">
        <v>119</v>
      </c>
      <c r="CN48" s="27" t="s">
        <v>124</v>
      </c>
      <c r="CO48" s="27" t="s">
        <v>124</v>
      </c>
      <c r="CP48" s="27" t="s">
        <v>119</v>
      </c>
      <c r="CQ48" s="27" t="s">
        <v>118</v>
      </c>
      <c r="CR48" s="27" t="s">
        <v>123</v>
      </c>
    </row>
    <row r="49" spans="2:96" x14ac:dyDescent="0.35">
      <c r="B49" s="48" t="s">
        <v>87</v>
      </c>
      <c r="C49" s="29">
        <v>0.37209999999999999</v>
      </c>
      <c r="D49" s="29">
        <v>0.37759999999999999</v>
      </c>
      <c r="E49" s="29">
        <v>0.36980000000000002</v>
      </c>
      <c r="F49" s="29">
        <v>0.37819999999999998</v>
      </c>
      <c r="G49" s="29">
        <v>0.3775</v>
      </c>
      <c r="H49" s="29">
        <v>0.37230000000000002</v>
      </c>
      <c r="I49" s="29">
        <v>0.37509999999999999</v>
      </c>
      <c r="J49" s="29">
        <v>0.37719999999999998</v>
      </c>
      <c r="K49" s="29">
        <v>0.37719999999999998</v>
      </c>
      <c r="L49" s="29">
        <v>0.37469999999999998</v>
      </c>
      <c r="M49" s="29">
        <v>0.37680000000000002</v>
      </c>
      <c r="N49" s="29">
        <v>0.37259999999999999</v>
      </c>
      <c r="O49" s="29">
        <v>0.37790000000000001</v>
      </c>
      <c r="P49" s="29">
        <v>0.37290000000000001</v>
      </c>
      <c r="Q49" s="29">
        <v>0.36749999999999999</v>
      </c>
      <c r="R49" s="29">
        <v>0.37369999999999998</v>
      </c>
      <c r="S49" s="29">
        <v>0.377</v>
      </c>
      <c r="T49" s="29">
        <v>0.3715</v>
      </c>
      <c r="U49" s="29">
        <v>0.36899999999999999</v>
      </c>
      <c r="V49" s="29">
        <v>0.36699999999999999</v>
      </c>
      <c r="W49" s="29">
        <v>0.37530000000000002</v>
      </c>
      <c r="X49" s="29">
        <v>0.37269999999999998</v>
      </c>
      <c r="Y49" s="29">
        <v>0.3775</v>
      </c>
      <c r="Z49" s="29">
        <v>0.37559999999999999</v>
      </c>
      <c r="AA49" s="29">
        <v>0.37440000000000001</v>
      </c>
      <c r="AB49" s="29">
        <v>0.377</v>
      </c>
      <c r="AC49" s="29">
        <v>0.36649999999999999</v>
      </c>
      <c r="AD49" s="29">
        <v>0.374</v>
      </c>
      <c r="AE49" s="29">
        <v>0.37269999999999998</v>
      </c>
      <c r="AF49" s="29">
        <v>0.36699999999999999</v>
      </c>
      <c r="AG49" s="29"/>
      <c r="AH49" s="48" t="s">
        <v>87</v>
      </c>
      <c r="AI49" s="10">
        <f t="shared" ref="AI49:BL49" si="160">SUMPRODUCT(AI50:AI53,C50:C53)</f>
        <v>0.14633207957000002</v>
      </c>
      <c r="AJ49" s="10">
        <f t="shared" si="160"/>
        <v>0.15914668080312006</v>
      </c>
      <c r="AK49" s="10">
        <f t="shared" si="160"/>
        <v>0.16046641440687204</v>
      </c>
      <c r="AL49" s="10">
        <f t="shared" si="160"/>
        <v>0.17272082033716607</v>
      </c>
      <c r="AM49" s="10">
        <f t="shared" si="160"/>
        <v>0.14724224852500006</v>
      </c>
      <c r="AN49" s="10">
        <f t="shared" si="160"/>
        <v>0.17974807306756005</v>
      </c>
      <c r="AO49" s="10">
        <f t="shared" si="160"/>
        <v>0.15450367030026407</v>
      </c>
      <c r="AP49" s="10">
        <f t="shared" si="160"/>
        <v>0.12929573594107202</v>
      </c>
      <c r="AQ49" s="10">
        <f t="shared" si="160"/>
        <v>0.19211863032742399</v>
      </c>
      <c r="AR49" s="10">
        <f t="shared" si="160"/>
        <v>0.18317863867047507</v>
      </c>
      <c r="AS49" s="10">
        <f t="shared" si="160"/>
        <v>0.20447960279080007</v>
      </c>
      <c r="AT49" s="10">
        <f t="shared" si="160"/>
        <v>0.22855417126811201</v>
      </c>
      <c r="AU49" s="10">
        <f t="shared" si="160"/>
        <v>0.16196940107807906</v>
      </c>
      <c r="AV49" s="10">
        <f t="shared" si="160"/>
        <v>0.18866615937690603</v>
      </c>
      <c r="AW49" s="10">
        <f t="shared" si="160"/>
        <v>0.22910717711825007</v>
      </c>
      <c r="AX49" s="10">
        <f t="shared" si="160"/>
        <v>0.20565470605142211</v>
      </c>
      <c r="AY49" s="10">
        <f t="shared" si="160"/>
        <v>0.21811305830984007</v>
      </c>
      <c r="AZ49" s="10">
        <f t="shared" si="160"/>
        <v>0.19676127900224508</v>
      </c>
      <c r="BA49" s="10">
        <f t="shared" si="160"/>
        <v>0.21133381608632013</v>
      </c>
      <c r="BB49" s="10">
        <f t="shared" si="160"/>
        <v>0.24354254312580004</v>
      </c>
      <c r="BC49" s="10">
        <f t="shared" si="160"/>
        <v>0.21382187463773514</v>
      </c>
      <c r="BD49" s="10">
        <f t="shared" si="160"/>
        <v>0.19502931465306306</v>
      </c>
      <c r="BE49" s="10">
        <f t="shared" si="160"/>
        <v>0.18283130047347507</v>
      </c>
      <c r="BF49" s="10">
        <f t="shared" si="160"/>
        <v>0.20002732891471212</v>
      </c>
      <c r="BG49" s="10">
        <f t="shared" si="160"/>
        <v>0.18615510402524799</v>
      </c>
      <c r="BH49" s="10">
        <f t="shared" si="160"/>
        <v>0.15707220564094004</v>
      </c>
      <c r="BI49" s="10">
        <f t="shared" si="160"/>
        <v>0.17142922289914003</v>
      </c>
      <c r="BJ49" s="10">
        <f t="shared" si="160"/>
        <v>0.16434973854530005</v>
      </c>
      <c r="BK49" s="10">
        <f t="shared" si="160"/>
        <v>0.15490438264303602</v>
      </c>
      <c r="BL49" s="10">
        <f t="shared" si="160"/>
        <v>0.147247607325</v>
      </c>
      <c r="BM49" s="27"/>
      <c r="BN49" s="48" t="s">
        <v>87</v>
      </c>
      <c r="BO49" s="27" t="s">
        <v>118</v>
      </c>
      <c r="BP49" s="27" t="s">
        <v>122</v>
      </c>
      <c r="BQ49" s="27" t="s">
        <v>124</v>
      </c>
      <c r="BR49" s="27" t="s">
        <v>123</v>
      </c>
      <c r="BS49" s="27" t="s">
        <v>118</v>
      </c>
      <c r="BT49" s="27" t="s">
        <v>122</v>
      </c>
      <c r="BU49" s="27" t="s">
        <v>121</v>
      </c>
      <c r="BV49" s="27" t="s">
        <v>119</v>
      </c>
      <c r="BW49" s="27" t="s">
        <v>122</v>
      </c>
      <c r="BX49" s="27" t="s">
        <v>123</v>
      </c>
      <c r="BY49" s="27" t="s">
        <v>120</v>
      </c>
      <c r="BZ49" s="27" t="s">
        <v>123</v>
      </c>
      <c r="CA49" s="27" t="s">
        <v>118</v>
      </c>
      <c r="CB49" s="27" t="s">
        <v>120</v>
      </c>
      <c r="CC49" s="27" t="s">
        <v>118</v>
      </c>
      <c r="CD49" s="27" t="s">
        <v>124</v>
      </c>
      <c r="CE49" s="27" t="s">
        <v>118</v>
      </c>
      <c r="CF49" s="27" t="s">
        <v>120</v>
      </c>
      <c r="CG49" s="27" t="s">
        <v>118</v>
      </c>
      <c r="CH49" s="27" t="s">
        <v>119</v>
      </c>
      <c r="CI49" s="27" t="s">
        <v>124</v>
      </c>
      <c r="CJ49" s="27" t="s">
        <v>118</v>
      </c>
      <c r="CK49" s="27" t="s">
        <v>124</v>
      </c>
      <c r="CL49" s="27" t="s">
        <v>118</v>
      </c>
      <c r="CM49" s="27" t="s">
        <v>120</v>
      </c>
      <c r="CN49" s="27" t="s">
        <v>121</v>
      </c>
      <c r="CO49" s="27" t="s">
        <v>121</v>
      </c>
      <c r="CP49" s="27" t="s">
        <v>120</v>
      </c>
      <c r="CQ49" s="27" t="s">
        <v>120</v>
      </c>
      <c r="CR49" s="27" t="s">
        <v>118</v>
      </c>
    </row>
    <row r="50" spans="2:96" x14ac:dyDescent="0.35">
      <c r="B50" s="49" t="s">
        <v>88</v>
      </c>
      <c r="C50" s="29">
        <f>1-SUM(C51:C53)</f>
        <v>0.1826000000000001</v>
      </c>
      <c r="D50" s="29">
        <f t="shared" ref="D50:AF50" si="161">1-SUM(D51:D53)</f>
        <v>0.18100000000000005</v>
      </c>
      <c r="E50" s="29">
        <f t="shared" si="161"/>
        <v>0.19809999999999994</v>
      </c>
      <c r="F50" s="29">
        <f t="shared" si="161"/>
        <v>0.18730000000000002</v>
      </c>
      <c r="G50" s="29">
        <f t="shared" si="161"/>
        <v>0.19230000000000003</v>
      </c>
      <c r="H50" s="29">
        <f t="shared" si="161"/>
        <v>0.18409999999999993</v>
      </c>
      <c r="I50" s="29">
        <f t="shared" si="161"/>
        <v>0.18889999999999996</v>
      </c>
      <c r="J50" s="29">
        <f t="shared" si="161"/>
        <v>0.18679999999999997</v>
      </c>
      <c r="K50" s="29">
        <f t="shared" si="161"/>
        <v>0.18819999999999992</v>
      </c>
      <c r="L50" s="29">
        <f t="shared" si="161"/>
        <v>0.19520000000000004</v>
      </c>
      <c r="M50" s="29">
        <f t="shared" si="161"/>
        <v>0.18290000000000006</v>
      </c>
      <c r="N50" s="29">
        <f t="shared" si="161"/>
        <v>0.19589999999999996</v>
      </c>
      <c r="O50" s="29">
        <f t="shared" si="161"/>
        <v>0.18269999999999997</v>
      </c>
      <c r="P50" s="29">
        <f t="shared" si="161"/>
        <v>0.18709999999999993</v>
      </c>
      <c r="Q50" s="29">
        <f t="shared" si="161"/>
        <v>0.17979999999999996</v>
      </c>
      <c r="R50" s="29">
        <f t="shared" si="161"/>
        <v>0.18910000000000005</v>
      </c>
      <c r="S50" s="29">
        <f t="shared" si="161"/>
        <v>0.17769999999999997</v>
      </c>
      <c r="T50" s="29">
        <f t="shared" si="161"/>
        <v>0.19269999999999998</v>
      </c>
      <c r="U50" s="29">
        <f t="shared" si="161"/>
        <v>0.19650000000000001</v>
      </c>
      <c r="V50" s="29">
        <f t="shared" si="161"/>
        <v>0.18809999999999993</v>
      </c>
      <c r="W50" s="29">
        <f t="shared" si="161"/>
        <v>0.19300000000000006</v>
      </c>
      <c r="X50" s="29">
        <f t="shared" si="161"/>
        <v>0.18020000000000003</v>
      </c>
      <c r="Y50" s="29">
        <f t="shared" si="161"/>
        <v>0.18619999999999992</v>
      </c>
      <c r="Z50" s="29">
        <f t="shared" si="161"/>
        <v>0.18640000000000001</v>
      </c>
      <c r="AA50" s="29">
        <f t="shared" si="161"/>
        <v>0.16999999999999993</v>
      </c>
      <c r="AB50" s="29">
        <f t="shared" si="161"/>
        <v>0.18410000000000004</v>
      </c>
      <c r="AC50" s="29">
        <f t="shared" si="161"/>
        <v>0.18240000000000001</v>
      </c>
      <c r="AD50" s="29">
        <f t="shared" si="161"/>
        <v>0.18510000000000004</v>
      </c>
      <c r="AE50" s="29">
        <f t="shared" si="161"/>
        <v>0.1976</v>
      </c>
      <c r="AF50" s="29">
        <f t="shared" si="161"/>
        <v>0.18069999999999997</v>
      </c>
      <c r="AG50" s="29"/>
      <c r="AH50" s="49" t="s">
        <v>88</v>
      </c>
      <c r="AI50" s="10">
        <v>0.12617777957000001</v>
      </c>
      <c r="AJ50" s="10">
        <v>0.13915258080312004</v>
      </c>
      <c r="AK50" s="10">
        <v>0.14076931440687204</v>
      </c>
      <c r="AL50" s="10">
        <v>0.15271162033716604</v>
      </c>
      <c r="AM50" s="10">
        <v>0.12749694852500004</v>
      </c>
      <c r="AN50" s="10">
        <v>0.15964157306756005</v>
      </c>
      <c r="AO50" s="10">
        <v>0.13451617030026408</v>
      </c>
      <c r="AP50" s="10">
        <v>0.10937623594107203</v>
      </c>
      <c r="AQ50" s="10">
        <v>0.17235753032742401</v>
      </c>
      <c r="AR50" s="10">
        <v>0.16346983867047507</v>
      </c>
      <c r="AS50" s="10">
        <v>0.18435380279080008</v>
      </c>
      <c r="AT50" s="10">
        <v>0.20880227126811204</v>
      </c>
      <c r="AU50" s="10">
        <v>0.14184480107807906</v>
      </c>
      <c r="AV50" s="10">
        <v>0.16885715937690604</v>
      </c>
      <c r="AW50" s="10">
        <v>0.2090374771182501</v>
      </c>
      <c r="AX50" s="10">
        <v>0.18576910605142208</v>
      </c>
      <c r="AY50" s="10">
        <v>0.19785645830984008</v>
      </c>
      <c r="AZ50" s="10">
        <v>0.17689807900224508</v>
      </c>
      <c r="BA50" s="10">
        <v>0.19175461608632013</v>
      </c>
      <c r="BB50" s="10">
        <v>0.22357204312580009</v>
      </c>
      <c r="BC50" s="10">
        <v>0.19411787463773511</v>
      </c>
      <c r="BD50" s="10">
        <v>0.17492631465306305</v>
      </c>
      <c r="BE50" s="10">
        <v>0.16297730047347506</v>
      </c>
      <c r="BF50" s="10">
        <v>0.17995082891471209</v>
      </c>
      <c r="BG50" s="10">
        <v>0.165773904025248</v>
      </c>
      <c r="BH50" s="10">
        <v>0.13694450564094005</v>
      </c>
      <c r="BI50" s="10">
        <v>0.15144572289914005</v>
      </c>
      <c r="BJ50" s="10">
        <v>0.14438693854530005</v>
      </c>
      <c r="BK50" s="10">
        <v>0.13529298264303602</v>
      </c>
      <c r="BL50" s="10">
        <v>0.12718710732499999</v>
      </c>
      <c r="BM50" s="27"/>
      <c r="BN50" s="49" t="s">
        <v>88</v>
      </c>
      <c r="BO50" s="27" t="s">
        <v>122</v>
      </c>
      <c r="BP50" s="27" t="s">
        <v>121</v>
      </c>
      <c r="BQ50" s="27" t="s">
        <v>118</v>
      </c>
      <c r="BR50" s="27" t="s">
        <v>122</v>
      </c>
      <c r="BS50" s="27" t="s">
        <v>122</v>
      </c>
      <c r="BT50" s="27" t="s">
        <v>122</v>
      </c>
      <c r="BU50" s="27" t="s">
        <v>120</v>
      </c>
      <c r="BV50" s="27" t="s">
        <v>120</v>
      </c>
      <c r="BW50" s="27" t="s">
        <v>122</v>
      </c>
      <c r="BX50" s="27" t="s">
        <v>119</v>
      </c>
      <c r="BY50" s="27" t="s">
        <v>124</v>
      </c>
      <c r="BZ50" s="27" t="s">
        <v>121</v>
      </c>
      <c r="CA50" s="27" t="s">
        <v>118</v>
      </c>
      <c r="CB50" s="27" t="s">
        <v>120</v>
      </c>
      <c r="CC50" s="27" t="s">
        <v>119</v>
      </c>
      <c r="CD50" s="27" t="s">
        <v>118</v>
      </c>
      <c r="CE50" s="27" t="s">
        <v>122</v>
      </c>
      <c r="CF50" s="27" t="s">
        <v>118</v>
      </c>
      <c r="CG50" s="27" t="s">
        <v>123</v>
      </c>
      <c r="CH50" s="27" t="s">
        <v>124</v>
      </c>
      <c r="CI50" s="27" t="s">
        <v>122</v>
      </c>
      <c r="CJ50" s="27" t="s">
        <v>120</v>
      </c>
      <c r="CK50" s="27" t="s">
        <v>124</v>
      </c>
      <c r="CL50" s="27" t="s">
        <v>124</v>
      </c>
      <c r="CM50" s="27" t="s">
        <v>122</v>
      </c>
      <c r="CN50" s="27" t="s">
        <v>120</v>
      </c>
      <c r="CO50" s="27" t="s">
        <v>124</v>
      </c>
      <c r="CP50" s="27" t="s">
        <v>120</v>
      </c>
      <c r="CQ50" s="27" t="s">
        <v>123</v>
      </c>
      <c r="CR50" s="27" t="s">
        <v>119</v>
      </c>
    </row>
    <row r="51" spans="2:96" x14ac:dyDescent="0.35">
      <c r="B51" s="49" t="s">
        <v>89</v>
      </c>
      <c r="C51" s="29">
        <v>0.23849999999999999</v>
      </c>
      <c r="D51" s="29">
        <v>0.2283</v>
      </c>
      <c r="E51" s="29">
        <v>0.23350000000000001</v>
      </c>
      <c r="F51" s="29">
        <v>0.2394</v>
      </c>
      <c r="G51" s="29">
        <v>0.23449999999999999</v>
      </c>
      <c r="H51" s="29">
        <v>0.23530000000000001</v>
      </c>
      <c r="I51" s="29">
        <v>0.23350000000000001</v>
      </c>
      <c r="J51" s="29">
        <v>0.23449999999999999</v>
      </c>
      <c r="K51" s="29">
        <v>0.22850000000000001</v>
      </c>
      <c r="L51" s="29">
        <v>0.22720000000000001</v>
      </c>
      <c r="M51" s="29">
        <v>0.23</v>
      </c>
      <c r="N51" s="29">
        <v>0.22789999999999999</v>
      </c>
      <c r="O51" s="29">
        <v>0.2316</v>
      </c>
      <c r="P51" s="29">
        <v>0.23280000000000001</v>
      </c>
      <c r="Q51" s="29">
        <v>0.23350000000000001</v>
      </c>
      <c r="R51" s="29">
        <v>0.23139999999999999</v>
      </c>
      <c r="S51" s="29">
        <v>0.23599999999999999</v>
      </c>
      <c r="T51" s="29">
        <v>0.23699999999999999</v>
      </c>
      <c r="U51" s="29">
        <v>0.22700000000000001</v>
      </c>
      <c r="V51" s="29">
        <v>0.2321</v>
      </c>
      <c r="W51" s="29">
        <v>0.22839999999999999</v>
      </c>
      <c r="X51" s="29">
        <v>0.2286</v>
      </c>
      <c r="Y51" s="29">
        <v>0.2344</v>
      </c>
      <c r="Z51" s="29">
        <v>0.22950000000000001</v>
      </c>
      <c r="AA51" s="29">
        <v>0.23719999999999999</v>
      </c>
      <c r="AB51" s="29">
        <v>0.23810000000000001</v>
      </c>
      <c r="AC51" s="29">
        <v>0.2369</v>
      </c>
      <c r="AD51" s="29">
        <v>0.23419999999999999</v>
      </c>
      <c r="AE51" s="29">
        <v>0.2278</v>
      </c>
      <c r="AF51" s="29">
        <v>0.2273</v>
      </c>
      <c r="AG51" s="29"/>
      <c r="AH51" s="49" t="s">
        <v>89</v>
      </c>
      <c r="AI51" s="10">
        <v>0.15517777957000001</v>
      </c>
      <c r="AJ51" s="10">
        <v>0.16815258080312004</v>
      </c>
      <c r="AK51" s="10">
        <v>0.16976931440687204</v>
      </c>
      <c r="AL51" s="10">
        <v>0.18171162033716604</v>
      </c>
      <c r="AM51" s="10">
        <v>0.15649694852500004</v>
      </c>
      <c r="AN51" s="10">
        <v>0.18864157306756005</v>
      </c>
      <c r="AO51" s="10">
        <v>0.16351617030026408</v>
      </c>
      <c r="AP51" s="10">
        <v>0.13837623594107201</v>
      </c>
      <c r="AQ51" s="10">
        <v>0.20135753032742401</v>
      </c>
      <c r="AR51" s="10">
        <v>0.19246983867047507</v>
      </c>
      <c r="AS51" s="10">
        <v>0.21335380279080007</v>
      </c>
      <c r="AT51" s="10">
        <v>0.23780227126811204</v>
      </c>
      <c r="AU51" s="10">
        <v>0.17084480107807906</v>
      </c>
      <c r="AV51" s="10">
        <v>0.19785715937690604</v>
      </c>
      <c r="AW51" s="10">
        <v>0.2380374771182501</v>
      </c>
      <c r="AX51" s="10">
        <v>0.21476910605142208</v>
      </c>
      <c r="AY51" s="10">
        <v>0.22685645830984008</v>
      </c>
      <c r="AZ51" s="10">
        <v>0.20589807900224508</v>
      </c>
      <c r="BA51" s="10">
        <v>0.22075461608632013</v>
      </c>
      <c r="BB51" s="10">
        <v>0.25257204312580006</v>
      </c>
      <c r="BC51" s="10">
        <v>0.22311787463773511</v>
      </c>
      <c r="BD51" s="10">
        <v>0.20392631465306305</v>
      </c>
      <c r="BE51" s="10">
        <v>0.19197730047347505</v>
      </c>
      <c r="BF51" s="10">
        <v>0.20895082891471209</v>
      </c>
      <c r="BG51" s="10">
        <v>0.194773904025248</v>
      </c>
      <c r="BH51" s="10">
        <v>0.16594450564094004</v>
      </c>
      <c r="BI51" s="10">
        <v>0.18044572289914004</v>
      </c>
      <c r="BJ51" s="10">
        <v>0.17338693854530005</v>
      </c>
      <c r="BK51" s="10">
        <v>0.16429298264303602</v>
      </c>
      <c r="BL51" s="10">
        <v>0.15618710732499999</v>
      </c>
      <c r="BM51" s="27"/>
      <c r="BN51" s="49" t="s">
        <v>89</v>
      </c>
      <c r="BO51" s="27" t="s">
        <v>122</v>
      </c>
      <c r="BP51" s="27" t="s">
        <v>118</v>
      </c>
      <c r="BQ51" s="27" t="s">
        <v>121</v>
      </c>
      <c r="BR51" s="27" t="s">
        <v>118</v>
      </c>
      <c r="BS51" s="27" t="s">
        <v>124</v>
      </c>
      <c r="BT51" s="27" t="s">
        <v>119</v>
      </c>
      <c r="BU51" s="27" t="s">
        <v>123</v>
      </c>
      <c r="BV51" s="27" t="s">
        <v>119</v>
      </c>
      <c r="BW51" s="27" t="s">
        <v>119</v>
      </c>
      <c r="BX51" s="27" t="s">
        <v>120</v>
      </c>
      <c r="BY51" s="27" t="s">
        <v>122</v>
      </c>
      <c r="BZ51" s="27" t="s">
        <v>120</v>
      </c>
      <c r="CA51" s="27" t="s">
        <v>119</v>
      </c>
      <c r="CB51" s="27" t="s">
        <v>119</v>
      </c>
      <c r="CC51" s="27" t="s">
        <v>123</v>
      </c>
      <c r="CD51" s="27" t="s">
        <v>118</v>
      </c>
      <c r="CE51" s="27" t="s">
        <v>119</v>
      </c>
      <c r="CF51" s="27" t="s">
        <v>120</v>
      </c>
      <c r="CG51" s="27" t="s">
        <v>119</v>
      </c>
      <c r="CH51" s="27" t="s">
        <v>123</v>
      </c>
      <c r="CI51" s="27" t="s">
        <v>122</v>
      </c>
      <c r="CJ51" s="27" t="s">
        <v>119</v>
      </c>
      <c r="CK51" s="27" t="s">
        <v>123</v>
      </c>
      <c r="CL51" s="27" t="s">
        <v>121</v>
      </c>
      <c r="CM51" s="27" t="s">
        <v>123</v>
      </c>
      <c r="CN51" s="27" t="s">
        <v>123</v>
      </c>
      <c r="CO51" s="27" t="s">
        <v>122</v>
      </c>
      <c r="CP51" s="27" t="s">
        <v>123</v>
      </c>
      <c r="CQ51" s="27" t="s">
        <v>124</v>
      </c>
      <c r="CR51" s="27" t="s">
        <v>118</v>
      </c>
    </row>
    <row r="52" spans="2:96" x14ac:dyDescent="0.35">
      <c r="B52" s="49" t="s">
        <v>90</v>
      </c>
      <c r="C52" s="29">
        <v>0.2014</v>
      </c>
      <c r="D52" s="29">
        <v>0.2097</v>
      </c>
      <c r="E52" s="29">
        <v>0.2</v>
      </c>
      <c r="F52" s="29">
        <v>0.20080000000000001</v>
      </c>
      <c r="G52" s="29">
        <v>0.20449999999999999</v>
      </c>
      <c r="H52" s="29">
        <v>0.20180000000000001</v>
      </c>
      <c r="I52" s="29">
        <v>0.20069999999999999</v>
      </c>
      <c r="J52" s="29">
        <v>0.2049</v>
      </c>
      <c r="K52" s="29">
        <v>0.20930000000000001</v>
      </c>
      <c r="L52" s="29">
        <v>0.20369999999999999</v>
      </c>
      <c r="M52" s="29">
        <v>0.20330000000000001</v>
      </c>
      <c r="N52" s="29">
        <v>0.20150000000000001</v>
      </c>
      <c r="O52" s="29">
        <v>0.20330000000000001</v>
      </c>
      <c r="P52" s="29">
        <v>0.20830000000000001</v>
      </c>
      <c r="Q52" s="29">
        <v>0.20780000000000001</v>
      </c>
      <c r="R52" s="29">
        <v>0.20399999999999999</v>
      </c>
      <c r="S52" s="29">
        <v>0.20380000000000001</v>
      </c>
      <c r="T52" s="29">
        <v>0.2</v>
      </c>
      <c r="U52" s="29">
        <v>0.2064</v>
      </c>
      <c r="V52" s="29">
        <v>0.20230000000000001</v>
      </c>
      <c r="W52" s="29">
        <v>0.20599999999999999</v>
      </c>
      <c r="X52" s="29">
        <v>0.20710000000000001</v>
      </c>
      <c r="Y52" s="29">
        <v>0.20760000000000001</v>
      </c>
      <c r="Z52" s="29">
        <v>0.20119999999999999</v>
      </c>
      <c r="AA52" s="29">
        <v>0.2079</v>
      </c>
      <c r="AB52" s="29">
        <v>0.20069999999999999</v>
      </c>
      <c r="AC52" s="29">
        <v>0.2072</v>
      </c>
      <c r="AD52" s="29">
        <v>0.2054</v>
      </c>
      <c r="AE52" s="29">
        <v>0.2041</v>
      </c>
      <c r="AF52" s="29">
        <v>0.20810000000000001</v>
      </c>
      <c r="AG52" s="29"/>
      <c r="AH52" s="49" t="s">
        <v>90</v>
      </c>
      <c r="AI52" s="10">
        <v>0.12817777957000001</v>
      </c>
      <c r="AJ52" s="10">
        <v>0.14115258080312004</v>
      </c>
      <c r="AK52" s="10">
        <v>0.14276931440687204</v>
      </c>
      <c r="AL52" s="10">
        <v>0.15471162033716604</v>
      </c>
      <c r="AM52" s="10">
        <v>0.12949694852500004</v>
      </c>
      <c r="AN52" s="10">
        <v>0.16164157306756005</v>
      </c>
      <c r="AO52" s="10">
        <v>0.13651617030026408</v>
      </c>
      <c r="AP52" s="10">
        <v>0.11137623594107203</v>
      </c>
      <c r="AQ52" s="10">
        <v>0.17435753032742402</v>
      </c>
      <c r="AR52" s="10">
        <v>0.16546983867047507</v>
      </c>
      <c r="AS52" s="10">
        <v>0.18635380279080008</v>
      </c>
      <c r="AT52" s="10">
        <v>0.21080227126811205</v>
      </c>
      <c r="AU52" s="10">
        <v>0.14384480107807907</v>
      </c>
      <c r="AV52" s="10">
        <v>0.17085715937690604</v>
      </c>
      <c r="AW52" s="10">
        <v>0.21103747711825011</v>
      </c>
      <c r="AX52" s="10">
        <v>0.18776910605142208</v>
      </c>
      <c r="AY52" s="10">
        <v>0.19985645830984008</v>
      </c>
      <c r="AZ52" s="10">
        <v>0.17889807900224508</v>
      </c>
      <c r="BA52" s="10">
        <v>0.19375461608632014</v>
      </c>
      <c r="BB52" s="10">
        <v>0.22557204312580009</v>
      </c>
      <c r="BC52" s="10">
        <v>0.19611787463773511</v>
      </c>
      <c r="BD52" s="10">
        <v>0.17692631465306305</v>
      </c>
      <c r="BE52" s="10">
        <v>0.16497730047347506</v>
      </c>
      <c r="BF52" s="10">
        <v>0.18195082891471209</v>
      </c>
      <c r="BG52" s="10">
        <v>0.167773904025248</v>
      </c>
      <c r="BH52" s="10">
        <v>0.13894450564094005</v>
      </c>
      <c r="BI52" s="10">
        <v>0.15344572289914005</v>
      </c>
      <c r="BJ52" s="10">
        <v>0.14638693854530005</v>
      </c>
      <c r="BK52" s="10">
        <v>0.13729298264303602</v>
      </c>
      <c r="BL52" s="10">
        <v>0.12918710732499999</v>
      </c>
      <c r="BM52" s="27"/>
      <c r="BN52" s="49" t="s">
        <v>90</v>
      </c>
      <c r="BO52" s="27" t="s">
        <v>124</v>
      </c>
      <c r="BP52" s="27" t="s">
        <v>121</v>
      </c>
      <c r="BQ52" s="27" t="s">
        <v>120</v>
      </c>
      <c r="BR52" s="27" t="s">
        <v>122</v>
      </c>
      <c r="BS52" s="27" t="s">
        <v>124</v>
      </c>
      <c r="BT52" s="27" t="s">
        <v>118</v>
      </c>
      <c r="BU52" s="27" t="s">
        <v>120</v>
      </c>
      <c r="BV52" s="27" t="s">
        <v>119</v>
      </c>
      <c r="BW52" s="27" t="s">
        <v>121</v>
      </c>
      <c r="BX52" s="27" t="s">
        <v>119</v>
      </c>
      <c r="BY52" s="27" t="s">
        <v>124</v>
      </c>
      <c r="BZ52" s="27" t="s">
        <v>121</v>
      </c>
      <c r="CA52" s="27" t="s">
        <v>124</v>
      </c>
      <c r="CB52" s="27" t="s">
        <v>122</v>
      </c>
      <c r="CC52" s="27" t="s">
        <v>122</v>
      </c>
      <c r="CD52" s="27" t="s">
        <v>119</v>
      </c>
      <c r="CE52" s="27" t="s">
        <v>122</v>
      </c>
      <c r="CF52" s="27" t="s">
        <v>124</v>
      </c>
      <c r="CG52" s="27" t="s">
        <v>123</v>
      </c>
      <c r="CH52" s="27" t="s">
        <v>121</v>
      </c>
      <c r="CI52" s="27" t="s">
        <v>123</v>
      </c>
      <c r="CJ52" s="27" t="s">
        <v>121</v>
      </c>
      <c r="CK52" s="27" t="s">
        <v>124</v>
      </c>
      <c r="CL52" s="27" t="s">
        <v>123</v>
      </c>
      <c r="CM52" s="27" t="s">
        <v>124</v>
      </c>
      <c r="CN52" s="27" t="s">
        <v>119</v>
      </c>
      <c r="CO52" s="27" t="s">
        <v>122</v>
      </c>
      <c r="CP52" s="27" t="s">
        <v>121</v>
      </c>
      <c r="CQ52" s="27" t="s">
        <v>120</v>
      </c>
      <c r="CR52" s="27" t="s">
        <v>121</v>
      </c>
    </row>
    <row r="53" spans="2:96" x14ac:dyDescent="0.35">
      <c r="B53" s="49" t="s">
        <v>91</v>
      </c>
      <c r="C53" s="29">
        <v>0.3775</v>
      </c>
      <c r="D53" s="29">
        <v>0.38100000000000001</v>
      </c>
      <c r="E53" s="29">
        <v>0.36840000000000001</v>
      </c>
      <c r="F53" s="29">
        <v>0.3725</v>
      </c>
      <c r="G53" s="29">
        <v>0.36870000000000003</v>
      </c>
      <c r="H53" s="29">
        <v>0.37880000000000003</v>
      </c>
      <c r="I53" s="29">
        <v>0.37690000000000001</v>
      </c>
      <c r="J53" s="29">
        <v>0.37380000000000002</v>
      </c>
      <c r="K53" s="29">
        <v>0.374</v>
      </c>
      <c r="L53" s="29">
        <v>0.37390000000000001</v>
      </c>
      <c r="M53" s="29">
        <v>0.38379999999999997</v>
      </c>
      <c r="N53" s="29">
        <v>0.37469999999999998</v>
      </c>
      <c r="O53" s="29">
        <v>0.38240000000000002</v>
      </c>
      <c r="P53" s="29">
        <v>0.37180000000000002</v>
      </c>
      <c r="Q53" s="29">
        <v>0.37890000000000001</v>
      </c>
      <c r="R53" s="29">
        <v>0.3755</v>
      </c>
      <c r="S53" s="29">
        <v>0.38250000000000001</v>
      </c>
      <c r="T53" s="29">
        <v>0.37030000000000002</v>
      </c>
      <c r="U53" s="29">
        <v>0.37009999999999998</v>
      </c>
      <c r="V53" s="29">
        <v>0.3775</v>
      </c>
      <c r="W53" s="29">
        <v>0.37259999999999999</v>
      </c>
      <c r="X53" s="29">
        <v>0.3841</v>
      </c>
      <c r="Y53" s="29">
        <v>0.37180000000000002</v>
      </c>
      <c r="Z53" s="29">
        <v>0.38290000000000002</v>
      </c>
      <c r="AA53" s="29">
        <v>0.38490000000000002</v>
      </c>
      <c r="AB53" s="29">
        <v>0.37709999999999999</v>
      </c>
      <c r="AC53" s="29">
        <v>0.3735</v>
      </c>
      <c r="AD53" s="29">
        <v>0.37530000000000002</v>
      </c>
      <c r="AE53" s="29">
        <v>0.3705</v>
      </c>
      <c r="AF53" s="29">
        <v>0.38390000000000002</v>
      </c>
      <c r="AG53" s="29"/>
      <c r="AH53" s="49" t="s">
        <v>91</v>
      </c>
      <c r="AI53" s="10">
        <v>0.16017777957000001</v>
      </c>
      <c r="AJ53" s="10">
        <v>0.17315258080312004</v>
      </c>
      <c r="AK53" s="10">
        <v>0.17476931440687204</v>
      </c>
      <c r="AL53" s="10">
        <v>0.18671162033716604</v>
      </c>
      <c r="AM53" s="10">
        <v>0.16149694852500004</v>
      </c>
      <c r="AN53" s="10">
        <v>0.19364157306756005</v>
      </c>
      <c r="AO53" s="10">
        <v>0.16851617030026408</v>
      </c>
      <c r="AP53" s="10">
        <v>0.14337623594107202</v>
      </c>
      <c r="AQ53" s="10">
        <v>0.20635753032742402</v>
      </c>
      <c r="AR53" s="10">
        <v>0.19746983867047507</v>
      </c>
      <c r="AS53" s="10">
        <v>0.21835380279080008</v>
      </c>
      <c r="AT53" s="10">
        <v>0.24280227126811205</v>
      </c>
      <c r="AU53" s="10">
        <v>0.17584480107807907</v>
      </c>
      <c r="AV53" s="10">
        <v>0.20285715937690604</v>
      </c>
      <c r="AW53" s="10">
        <v>0.24303747711825011</v>
      </c>
      <c r="AX53" s="10">
        <v>0.21976910605142208</v>
      </c>
      <c r="AY53" s="10">
        <v>0.23185645830984009</v>
      </c>
      <c r="AZ53" s="10">
        <v>0.21089807900224508</v>
      </c>
      <c r="BA53" s="10">
        <v>0.22575461608632014</v>
      </c>
      <c r="BB53" s="10">
        <v>0.25757204312580007</v>
      </c>
      <c r="BC53" s="10">
        <v>0.22811787463773511</v>
      </c>
      <c r="BD53" s="10">
        <v>0.20892631465306305</v>
      </c>
      <c r="BE53" s="10">
        <v>0.19697730047347506</v>
      </c>
      <c r="BF53" s="10">
        <v>0.21395082891471209</v>
      </c>
      <c r="BG53" s="10">
        <v>0.199773904025248</v>
      </c>
      <c r="BH53" s="10">
        <v>0.17094450564094005</v>
      </c>
      <c r="BI53" s="10">
        <v>0.18544572289914005</v>
      </c>
      <c r="BJ53" s="10">
        <v>0.17838693854530005</v>
      </c>
      <c r="BK53" s="10">
        <v>0.16929298264303602</v>
      </c>
      <c r="BL53" s="10">
        <v>0.161187107325</v>
      </c>
      <c r="BM53" s="27"/>
      <c r="BN53" s="49" t="s">
        <v>91</v>
      </c>
      <c r="BO53" s="27" t="s">
        <v>120</v>
      </c>
      <c r="BP53" s="27" t="s">
        <v>124</v>
      </c>
      <c r="BQ53" s="27" t="s">
        <v>123</v>
      </c>
      <c r="BR53" s="27" t="s">
        <v>122</v>
      </c>
      <c r="BS53" s="27" t="s">
        <v>120</v>
      </c>
      <c r="BT53" s="27" t="s">
        <v>121</v>
      </c>
      <c r="BU53" s="27" t="s">
        <v>121</v>
      </c>
      <c r="BV53" s="27" t="s">
        <v>121</v>
      </c>
      <c r="BW53" s="27" t="s">
        <v>124</v>
      </c>
      <c r="BX53" s="27" t="s">
        <v>123</v>
      </c>
      <c r="BY53" s="27" t="s">
        <v>120</v>
      </c>
      <c r="BZ53" s="27" t="s">
        <v>120</v>
      </c>
      <c r="CA53" s="27" t="s">
        <v>122</v>
      </c>
      <c r="CB53" s="27" t="s">
        <v>123</v>
      </c>
      <c r="CC53" s="27" t="s">
        <v>122</v>
      </c>
      <c r="CD53" s="27" t="s">
        <v>123</v>
      </c>
      <c r="CE53" s="27" t="s">
        <v>118</v>
      </c>
      <c r="CF53" s="27" t="s">
        <v>119</v>
      </c>
      <c r="CG53" s="27" t="s">
        <v>123</v>
      </c>
      <c r="CH53" s="27" t="s">
        <v>121</v>
      </c>
      <c r="CI53" s="27" t="s">
        <v>123</v>
      </c>
      <c r="CJ53" s="27" t="s">
        <v>121</v>
      </c>
      <c r="CK53" s="27" t="s">
        <v>124</v>
      </c>
      <c r="CL53" s="27" t="s">
        <v>122</v>
      </c>
      <c r="CM53" s="27" t="s">
        <v>120</v>
      </c>
      <c r="CN53" s="27" t="s">
        <v>121</v>
      </c>
      <c r="CO53" s="27" t="s">
        <v>123</v>
      </c>
      <c r="CP53" s="27" t="s">
        <v>120</v>
      </c>
      <c r="CQ53" s="27" t="s">
        <v>123</v>
      </c>
      <c r="CR53" s="27" t="s">
        <v>119</v>
      </c>
    </row>
    <row r="54" spans="2:96" x14ac:dyDescent="0.35">
      <c r="B54" s="47" t="s">
        <v>92</v>
      </c>
      <c r="C54" s="29">
        <v>0.1489</v>
      </c>
      <c r="D54" s="29">
        <v>0.14810000000000001</v>
      </c>
      <c r="E54" s="29">
        <v>0.151</v>
      </c>
      <c r="F54" s="29">
        <v>0.15</v>
      </c>
      <c r="G54" s="29">
        <v>0.1545</v>
      </c>
      <c r="H54" s="29">
        <v>0.15559999999999999</v>
      </c>
      <c r="I54" s="29">
        <v>0.15670000000000001</v>
      </c>
      <c r="J54" s="29">
        <v>0.15379999999999999</v>
      </c>
      <c r="K54" s="29">
        <v>0.15740000000000001</v>
      </c>
      <c r="L54" s="29">
        <v>0.14810000000000001</v>
      </c>
      <c r="M54" s="29">
        <v>0.1555</v>
      </c>
      <c r="N54" s="29">
        <v>0.15160000000000001</v>
      </c>
      <c r="O54" s="29">
        <v>0.15</v>
      </c>
      <c r="P54" s="29">
        <v>0.1573</v>
      </c>
      <c r="Q54" s="29">
        <v>0.1535</v>
      </c>
      <c r="R54" s="29">
        <v>0.1552</v>
      </c>
      <c r="S54" s="29">
        <v>0.15709999999999999</v>
      </c>
      <c r="T54" s="29">
        <v>0.15049999999999999</v>
      </c>
      <c r="U54" s="29">
        <v>0.1565</v>
      </c>
      <c r="V54" s="29">
        <v>0.15459999999999999</v>
      </c>
      <c r="W54" s="29">
        <v>0.15379999999999999</v>
      </c>
      <c r="X54" s="29">
        <v>0.1512</v>
      </c>
      <c r="Y54" s="29">
        <v>0.154</v>
      </c>
      <c r="Z54" s="29">
        <v>0.154</v>
      </c>
      <c r="AA54" s="29">
        <v>0.15479999999999999</v>
      </c>
      <c r="AB54" s="29">
        <v>0.1502</v>
      </c>
      <c r="AC54" s="29">
        <v>0.15060000000000001</v>
      </c>
      <c r="AD54" s="29">
        <v>0.15770000000000001</v>
      </c>
      <c r="AE54" s="29">
        <v>0.15690000000000001</v>
      </c>
      <c r="AF54" s="29">
        <v>0.15110000000000001</v>
      </c>
      <c r="AG54" s="29"/>
      <c r="AH54" s="47" t="s">
        <v>92</v>
      </c>
      <c r="AI54" s="10">
        <f t="shared" ref="AI54:BL54" si="162">SUMPRODUCT(AI55:AI57,C55:C57)</f>
        <v>0.14255767956999996</v>
      </c>
      <c r="AJ54" s="10">
        <f t="shared" si="162"/>
        <v>0.15608398080311997</v>
      </c>
      <c r="AK54" s="10">
        <f t="shared" si="162"/>
        <v>0.15712021440687196</v>
      </c>
      <c r="AL54" s="10">
        <f t="shared" si="162"/>
        <v>0.16953722033716595</v>
      </c>
      <c r="AM54" s="10">
        <f t="shared" si="162"/>
        <v>0.144253548525</v>
      </c>
      <c r="AN54" s="10">
        <f t="shared" si="162"/>
        <v>0.17606867306755997</v>
      </c>
      <c r="AO54" s="10">
        <f t="shared" si="162"/>
        <v>0.15111297030026399</v>
      </c>
      <c r="AP54" s="10">
        <f t="shared" si="162"/>
        <v>0.12630503594107195</v>
      </c>
      <c r="AQ54" s="10">
        <f t="shared" si="162"/>
        <v>0.18902793032742393</v>
      </c>
      <c r="AR54" s="10">
        <f t="shared" si="162"/>
        <v>0.18022003867047504</v>
      </c>
      <c r="AS54" s="10">
        <f t="shared" si="162"/>
        <v>0.20119760279080001</v>
      </c>
      <c r="AT54" s="10">
        <f t="shared" si="162"/>
        <v>0.22583797126811198</v>
      </c>
      <c r="AU54" s="10">
        <f t="shared" si="162"/>
        <v>0.15855610107807899</v>
      </c>
      <c r="AV54" s="10">
        <f t="shared" si="162"/>
        <v>0.18549175937690598</v>
      </c>
      <c r="AW54" s="10">
        <f t="shared" si="162"/>
        <v>0.22569077711825</v>
      </c>
      <c r="AX54" s="10">
        <f t="shared" si="162"/>
        <v>0.20224060605142197</v>
      </c>
      <c r="AY54" s="10">
        <f t="shared" si="162"/>
        <v>0.21483735830984002</v>
      </c>
      <c r="AZ54" s="10">
        <f t="shared" si="162"/>
        <v>0.19379587900224499</v>
      </c>
      <c r="BA54" s="10">
        <f t="shared" si="162"/>
        <v>0.20862261608632007</v>
      </c>
      <c r="BB54" s="10">
        <f t="shared" si="162"/>
        <v>0.24000304312580004</v>
      </c>
      <c r="BC54" s="10">
        <f t="shared" si="162"/>
        <v>0.21101797463773503</v>
      </c>
      <c r="BD54" s="10">
        <f t="shared" si="162"/>
        <v>0.19121231465306299</v>
      </c>
      <c r="BE54" s="10">
        <f t="shared" si="162"/>
        <v>0.17951910047347497</v>
      </c>
      <c r="BF54" s="10">
        <f t="shared" si="162"/>
        <v>0.19678542891471201</v>
      </c>
      <c r="BG54" s="10">
        <f t="shared" si="162"/>
        <v>0.18279220402524793</v>
      </c>
      <c r="BH54" s="10">
        <f t="shared" si="162"/>
        <v>0.15359320564093998</v>
      </c>
      <c r="BI54" s="10">
        <f t="shared" si="162"/>
        <v>0.16814322289913997</v>
      </c>
      <c r="BJ54" s="10">
        <f t="shared" si="162"/>
        <v>0.16102503854529998</v>
      </c>
      <c r="BK54" s="10">
        <f t="shared" si="162"/>
        <v>0.15231158264303596</v>
      </c>
      <c r="BL54" s="10">
        <f t="shared" si="162"/>
        <v>0.14407800732499992</v>
      </c>
      <c r="BN54" s="47" t="s">
        <v>92</v>
      </c>
      <c r="BO54" s="27" t="s">
        <v>119</v>
      </c>
      <c r="BP54" s="27" t="s">
        <v>124</v>
      </c>
      <c r="BQ54" s="27" t="s">
        <v>124</v>
      </c>
      <c r="BR54" s="27" t="s">
        <v>122</v>
      </c>
      <c r="BS54" s="27" t="s">
        <v>122</v>
      </c>
      <c r="BT54" s="27" t="s">
        <v>122</v>
      </c>
      <c r="BU54" s="27" t="s">
        <v>118</v>
      </c>
      <c r="BV54" s="27" t="s">
        <v>122</v>
      </c>
      <c r="BW54" s="27" t="s">
        <v>122</v>
      </c>
      <c r="BX54" s="27" t="s">
        <v>123</v>
      </c>
      <c r="BY54" s="27" t="s">
        <v>119</v>
      </c>
      <c r="BZ54" s="27" t="s">
        <v>120</v>
      </c>
      <c r="CA54" s="27" t="s">
        <v>118</v>
      </c>
      <c r="CB54" s="27" t="s">
        <v>122</v>
      </c>
      <c r="CC54" s="27" t="s">
        <v>120</v>
      </c>
      <c r="CD54" s="27" t="s">
        <v>118</v>
      </c>
      <c r="CE54" s="27" t="s">
        <v>124</v>
      </c>
      <c r="CF54" s="27" t="s">
        <v>124</v>
      </c>
      <c r="CG54" s="27" t="s">
        <v>120</v>
      </c>
      <c r="CH54" s="27" t="s">
        <v>124</v>
      </c>
      <c r="CI54" s="27" t="s">
        <v>119</v>
      </c>
      <c r="CJ54" s="27" t="s">
        <v>122</v>
      </c>
      <c r="CK54" s="27" t="s">
        <v>118</v>
      </c>
      <c r="CL54" s="27" t="s">
        <v>123</v>
      </c>
      <c r="CM54" s="27" t="s">
        <v>120</v>
      </c>
      <c r="CN54" s="27" t="s">
        <v>123</v>
      </c>
      <c r="CO54" s="27" t="s">
        <v>123</v>
      </c>
      <c r="CP54" s="27" t="s">
        <v>122</v>
      </c>
      <c r="CQ54" s="27" t="s">
        <v>120</v>
      </c>
      <c r="CR54" s="27" t="s">
        <v>121</v>
      </c>
    </row>
    <row r="55" spans="2:96" x14ac:dyDescent="0.35">
      <c r="B55" s="48" t="s">
        <v>93</v>
      </c>
      <c r="C55" s="29">
        <f t="shared" ref="C55" si="163">1-SUM(C56:C57)</f>
        <v>0.46730000000000005</v>
      </c>
      <c r="D55" s="29">
        <f t="shared" ref="D55" si="164">1-SUM(D56:D57)</f>
        <v>0.48129999999999995</v>
      </c>
      <c r="E55" s="29">
        <f t="shared" ref="E55" si="165">1-SUM(E56:E57)</f>
        <v>0.46629999999999994</v>
      </c>
      <c r="F55" s="29">
        <f t="shared" ref="F55" si="166">1-SUM(F56:F57)</f>
        <v>0.47909999999999997</v>
      </c>
      <c r="G55" s="29">
        <f t="shared" ref="G55" si="167">1-SUM(G56:G57)</f>
        <v>0.47760000000000002</v>
      </c>
      <c r="H55" s="29">
        <f t="shared" ref="H55" si="168">1-SUM(H56:H57)</f>
        <v>0.46809999999999996</v>
      </c>
      <c r="I55" s="29">
        <f t="shared" ref="I55" si="169">1-SUM(I56:I57)</f>
        <v>0.47389999999999999</v>
      </c>
      <c r="J55" s="29">
        <f t="shared" ref="J55" si="170">1-SUM(J56:J57)</f>
        <v>0.47940000000000005</v>
      </c>
      <c r="K55" s="29">
        <f t="shared" ref="K55" si="171">1-SUM(K56:K57)</f>
        <v>0.47530000000000006</v>
      </c>
      <c r="L55" s="29">
        <f t="shared" ref="L55" si="172">1-SUM(L56:L57)</f>
        <v>0.47500000000000009</v>
      </c>
      <c r="M55" s="29">
        <f t="shared" ref="M55" si="173">1-SUM(M56:M57)</f>
        <v>0.47740000000000005</v>
      </c>
      <c r="N55" s="29">
        <f t="shared" ref="N55" si="174">1-SUM(N56:N57)</f>
        <v>0.48350000000000004</v>
      </c>
      <c r="O55" s="29">
        <f t="shared" ref="O55" si="175">1-SUM(O56:O57)</f>
        <v>0.47489999999999999</v>
      </c>
      <c r="P55" s="29">
        <f t="shared" ref="P55" si="176">1-SUM(P56:P57)</f>
        <v>0.47209999999999996</v>
      </c>
      <c r="Q55" s="29">
        <f t="shared" ref="Q55" si="177">1-SUM(Q56:Q57)</f>
        <v>0.47439999999999993</v>
      </c>
      <c r="R55" s="29">
        <f t="shared" ref="R55" si="178">1-SUM(R56:R57)</f>
        <v>0.47019999999999995</v>
      </c>
      <c r="S55" s="29">
        <f t="shared" ref="S55" si="179">1-SUM(S56:S57)</f>
        <v>0.48130000000000006</v>
      </c>
      <c r="T55" s="29">
        <f t="shared" ref="T55" si="180">1-SUM(T56:T57)</f>
        <v>0.48039999999999994</v>
      </c>
      <c r="U55" s="29">
        <f t="shared" ref="U55" si="181">1-SUM(U56:U57)</f>
        <v>0.47870000000000001</v>
      </c>
      <c r="V55" s="29">
        <f t="shared" ref="V55" si="182">1-SUM(V56:V57)</f>
        <v>0.47019999999999995</v>
      </c>
      <c r="W55" s="29">
        <f t="shared" ref="W55" si="183">1-SUM(W56:W57)</f>
        <v>0.47960000000000003</v>
      </c>
      <c r="X55" s="29">
        <f t="shared" ref="X55" si="184">1-SUM(X56:X57)</f>
        <v>0.46520000000000006</v>
      </c>
      <c r="Y55" s="29">
        <f t="shared" ref="Y55" si="185">1-SUM(Y56:Y57)</f>
        <v>0.47040000000000004</v>
      </c>
      <c r="Z55" s="29">
        <f t="shared" ref="Z55" si="186">1-SUM(Z56:Z57)</f>
        <v>0.47909999999999997</v>
      </c>
      <c r="AA55" s="29">
        <f t="shared" ref="AA55" si="187">1-SUM(AA56:AA57)</f>
        <v>0.4829</v>
      </c>
      <c r="AB55" s="29">
        <f t="shared" ref="AB55" si="188">1-SUM(AB56:AB57)</f>
        <v>0.47450000000000003</v>
      </c>
      <c r="AC55" s="29">
        <f t="shared" ref="AC55" si="189">1-SUM(AC56:AC57)</f>
        <v>0.47370000000000001</v>
      </c>
      <c r="AD55" s="29">
        <f t="shared" ref="AD55" si="190">1-SUM(AD56:AD57)</f>
        <v>0.47310000000000008</v>
      </c>
      <c r="AE55" s="29">
        <f t="shared" ref="AE55" si="191">1-SUM(AE56:AE57)</f>
        <v>0.48260000000000003</v>
      </c>
      <c r="AF55" s="29">
        <f t="shared" ref="AF55" si="192">1-SUM(AF56:AF57)</f>
        <v>0.47829999999999995</v>
      </c>
      <c r="AG55" s="29"/>
      <c r="AH55" s="48" t="s">
        <v>93</v>
      </c>
      <c r="AI55" s="10">
        <v>0.16223897956999994</v>
      </c>
      <c r="AJ55" s="10">
        <v>0.17521378080311997</v>
      </c>
      <c r="AK55" s="10">
        <v>0.17683051440687197</v>
      </c>
      <c r="AL55" s="10">
        <v>0.18877282033716597</v>
      </c>
      <c r="AM55" s="10">
        <v>0.16355814852499997</v>
      </c>
      <c r="AN55" s="10">
        <v>0.19570277306755998</v>
      </c>
      <c r="AO55" s="10">
        <v>0.17057737030026401</v>
      </c>
      <c r="AP55" s="10">
        <v>0.14543743594107195</v>
      </c>
      <c r="AQ55" s="10">
        <v>0.20841873032742395</v>
      </c>
      <c r="AR55" s="10">
        <v>0.199531038670475</v>
      </c>
      <c r="AS55" s="10">
        <v>0.22041500279080001</v>
      </c>
      <c r="AT55" s="10">
        <v>0.24486347126811198</v>
      </c>
      <c r="AU55" s="10">
        <v>0.177906001078079</v>
      </c>
      <c r="AV55" s="10">
        <v>0.20491835937690597</v>
      </c>
      <c r="AW55" s="10">
        <v>0.24509867711825004</v>
      </c>
      <c r="AX55" s="10">
        <v>0.22183030605142201</v>
      </c>
      <c r="AY55" s="10">
        <v>0.23391765830984002</v>
      </c>
      <c r="AZ55" s="10">
        <v>0.21295927900224501</v>
      </c>
      <c r="BA55" s="10">
        <v>0.22781581608632007</v>
      </c>
      <c r="BB55" s="10">
        <v>0.25963324312580005</v>
      </c>
      <c r="BC55" s="10">
        <v>0.23017907463773504</v>
      </c>
      <c r="BD55" s="10">
        <v>0.21098751465306298</v>
      </c>
      <c r="BE55" s="10">
        <v>0.19903850047347499</v>
      </c>
      <c r="BF55" s="10">
        <v>0.21601202891471202</v>
      </c>
      <c r="BG55" s="10">
        <v>0.20183510402524793</v>
      </c>
      <c r="BH55" s="10">
        <v>0.17300570564093998</v>
      </c>
      <c r="BI55" s="10">
        <v>0.18750692289913998</v>
      </c>
      <c r="BJ55" s="10">
        <v>0.18044813854529998</v>
      </c>
      <c r="BK55" s="10">
        <v>0.17135418264303595</v>
      </c>
      <c r="BL55" s="10">
        <v>0.16324830732499993</v>
      </c>
      <c r="BN55" s="48" t="s">
        <v>93</v>
      </c>
      <c r="BO55" s="27" t="s">
        <v>122</v>
      </c>
      <c r="BP55" s="27" t="s">
        <v>120</v>
      </c>
      <c r="BQ55" s="27" t="s">
        <v>121</v>
      </c>
      <c r="BR55" s="27" t="s">
        <v>119</v>
      </c>
      <c r="BS55" s="27" t="s">
        <v>120</v>
      </c>
      <c r="BT55" s="27" t="s">
        <v>120</v>
      </c>
      <c r="BU55" s="27" t="s">
        <v>123</v>
      </c>
      <c r="BV55" s="27" t="s">
        <v>124</v>
      </c>
      <c r="BW55" s="27" t="s">
        <v>124</v>
      </c>
      <c r="BX55" s="27" t="s">
        <v>121</v>
      </c>
      <c r="BY55" s="27" t="s">
        <v>118</v>
      </c>
      <c r="BZ55" s="27" t="s">
        <v>122</v>
      </c>
      <c r="CA55" s="27" t="s">
        <v>119</v>
      </c>
      <c r="CB55" s="27" t="s">
        <v>123</v>
      </c>
      <c r="CC55" s="27" t="s">
        <v>123</v>
      </c>
      <c r="CD55" s="27" t="s">
        <v>118</v>
      </c>
      <c r="CE55" s="27" t="s">
        <v>121</v>
      </c>
      <c r="CF55" s="27" t="s">
        <v>121</v>
      </c>
      <c r="CG55" s="27" t="s">
        <v>119</v>
      </c>
      <c r="CH55" s="27" t="s">
        <v>120</v>
      </c>
      <c r="CI55" s="27" t="s">
        <v>119</v>
      </c>
      <c r="CJ55" s="27" t="s">
        <v>121</v>
      </c>
      <c r="CK55" s="27" t="s">
        <v>124</v>
      </c>
      <c r="CL55" s="27" t="s">
        <v>119</v>
      </c>
      <c r="CM55" s="27" t="s">
        <v>124</v>
      </c>
      <c r="CN55" s="27" t="s">
        <v>124</v>
      </c>
      <c r="CO55" s="27" t="s">
        <v>122</v>
      </c>
      <c r="CP55" s="27" t="s">
        <v>122</v>
      </c>
      <c r="CQ55" s="27" t="s">
        <v>122</v>
      </c>
      <c r="CR55" s="27" t="s">
        <v>120</v>
      </c>
    </row>
    <row r="56" spans="2:96" x14ac:dyDescent="0.35">
      <c r="B56" s="48" t="s">
        <v>94</v>
      </c>
      <c r="C56" s="29">
        <v>0.2505</v>
      </c>
      <c r="D56" s="29">
        <v>0.2462</v>
      </c>
      <c r="E56" s="29">
        <v>0.2515</v>
      </c>
      <c r="F56" s="29">
        <v>0.24560000000000001</v>
      </c>
      <c r="G56" s="29">
        <v>0.24540000000000001</v>
      </c>
      <c r="H56" s="29">
        <v>0.25130000000000002</v>
      </c>
      <c r="I56" s="29">
        <v>0.24560000000000001</v>
      </c>
      <c r="J56" s="29">
        <v>0.25159999999999999</v>
      </c>
      <c r="K56" s="29">
        <v>0.24640000000000001</v>
      </c>
      <c r="L56" s="29">
        <v>0.25259999999999999</v>
      </c>
      <c r="M56" s="29">
        <v>0.25180000000000002</v>
      </c>
      <c r="N56" s="29">
        <v>0.2467</v>
      </c>
      <c r="O56" s="29">
        <v>0.25030000000000002</v>
      </c>
      <c r="P56" s="29">
        <v>0.25340000000000001</v>
      </c>
      <c r="Q56" s="29">
        <v>0.24790000000000001</v>
      </c>
      <c r="R56" s="29">
        <v>0.24809999999999999</v>
      </c>
      <c r="S56" s="29">
        <v>0.2495</v>
      </c>
      <c r="T56" s="29">
        <v>0.24660000000000001</v>
      </c>
      <c r="U56" s="29">
        <v>0.24959999999999999</v>
      </c>
      <c r="V56" s="29">
        <v>0.24540000000000001</v>
      </c>
      <c r="W56" s="29">
        <v>0.24909999999999999</v>
      </c>
      <c r="X56" s="29">
        <v>0.25040000000000001</v>
      </c>
      <c r="Y56" s="29">
        <v>0.25219999999999998</v>
      </c>
      <c r="Z56" s="29">
        <v>0.2462</v>
      </c>
      <c r="AA56" s="29">
        <v>0.24729999999999999</v>
      </c>
      <c r="AB56" s="29">
        <v>0.24729999999999999</v>
      </c>
      <c r="AC56" s="29">
        <v>0.25290000000000001</v>
      </c>
      <c r="AD56" s="29">
        <v>0.25069999999999998</v>
      </c>
      <c r="AE56" s="29">
        <v>0.2482</v>
      </c>
      <c r="AF56" s="29">
        <v>0.25230000000000002</v>
      </c>
      <c r="AG56" s="29"/>
      <c r="AH56" s="48" t="s">
        <v>94</v>
      </c>
      <c r="AI56" s="10">
        <v>0.13323897956999994</v>
      </c>
      <c r="AJ56" s="10">
        <v>0.14621378080311997</v>
      </c>
      <c r="AK56" s="10">
        <v>0.14783051440687198</v>
      </c>
      <c r="AL56" s="10">
        <v>0.15977282033716597</v>
      </c>
      <c r="AM56" s="10">
        <v>0.13455814852499998</v>
      </c>
      <c r="AN56" s="10">
        <v>0.16670277306755998</v>
      </c>
      <c r="AO56" s="10">
        <v>0.14157737030026402</v>
      </c>
      <c r="AP56" s="10">
        <v>0.11643743594107196</v>
      </c>
      <c r="AQ56" s="10">
        <v>0.17941873032742395</v>
      </c>
      <c r="AR56" s="10">
        <v>0.170531038670475</v>
      </c>
      <c r="AS56" s="10">
        <v>0.19141500279080001</v>
      </c>
      <c r="AT56" s="10">
        <v>0.21586347126811198</v>
      </c>
      <c r="AU56" s="10">
        <v>0.148906001078079</v>
      </c>
      <c r="AV56" s="10">
        <v>0.17591835937690598</v>
      </c>
      <c r="AW56" s="10">
        <v>0.21609867711825004</v>
      </c>
      <c r="AX56" s="10">
        <v>0.19283030605142201</v>
      </c>
      <c r="AY56" s="10">
        <v>0.20491765830984002</v>
      </c>
      <c r="AZ56" s="10">
        <v>0.18395927900224501</v>
      </c>
      <c r="BA56" s="10">
        <v>0.19881581608632007</v>
      </c>
      <c r="BB56" s="10">
        <v>0.23063324312580002</v>
      </c>
      <c r="BC56" s="10">
        <v>0.20117907463773504</v>
      </c>
      <c r="BD56" s="10">
        <v>0.18198751465306298</v>
      </c>
      <c r="BE56" s="10">
        <v>0.17003850047347499</v>
      </c>
      <c r="BF56" s="10">
        <v>0.18701202891471203</v>
      </c>
      <c r="BG56" s="10">
        <v>0.17283510402524793</v>
      </c>
      <c r="BH56" s="10">
        <v>0.14400570564093998</v>
      </c>
      <c r="BI56" s="10">
        <v>0.15850692289913998</v>
      </c>
      <c r="BJ56" s="10">
        <v>0.15144813854529998</v>
      </c>
      <c r="BK56" s="10">
        <v>0.14235418264303595</v>
      </c>
      <c r="BL56" s="10">
        <v>0.13424830732499993</v>
      </c>
      <c r="BN56" s="48" t="s">
        <v>94</v>
      </c>
      <c r="BO56" s="27" t="s">
        <v>118</v>
      </c>
      <c r="BP56" s="27" t="s">
        <v>121</v>
      </c>
      <c r="BQ56" s="27" t="s">
        <v>121</v>
      </c>
      <c r="BR56" s="27" t="s">
        <v>119</v>
      </c>
      <c r="BS56" s="27" t="s">
        <v>119</v>
      </c>
      <c r="BT56" s="27" t="s">
        <v>123</v>
      </c>
      <c r="BU56" s="27" t="s">
        <v>120</v>
      </c>
      <c r="BV56" s="27" t="s">
        <v>122</v>
      </c>
      <c r="BW56" s="27" t="s">
        <v>121</v>
      </c>
      <c r="BX56" s="27" t="s">
        <v>120</v>
      </c>
      <c r="BY56" s="27" t="s">
        <v>118</v>
      </c>
      <c r="BZ56" s="27" t="s">
        <v>121</v>
      </c>
      <c r="CA56" s="27" t="s">
        <v>118</v>
      </c>
      <c r="CB56" s="27" t="s">
        <v>120</v>
      </c>
      <c r="CC56" s="27" t="s">
        <v>121</v>
      </c>
      <c r="CD56" s="27" t="s">
        <v>118</v>
      </c>
      <c r="CE56" s="27" t="s">
        <v>124</v>
      </c>
      <c r="CF56" s="27" t="s">
        <v>123</v>
      </c>
      <c r="CG56" s="27" t="s">
        <v>122</v>
      </c>
      <c r="CH56" s="27" t="s">
        <v>121</v>
      </c>
      <c r="CI56" s="27" t="s">
        <v>123</v>
      </c>
      <c r="CJ56" s="27" t="s">
        <v>119</v>
      </c>
      <c r="CK56" s="27" t="s">
        <v>121</v>
      </c>
      <c r="CL56" s="27" t="s">
        <v>121</v>
      </c>
      <c r="CM56" s="27" t="s">
        <v>124</v>
      </c>
      <c r="CN56" s="27" t="s">
        <v>122</v>
      </c>
      <c r="CO56" s="27" t="s">
        <v>122</v>
      </c>
      <c r="CP56" s="27" t="s">
        <v>124</v>
      </c>
      <c r="CQ56" s="27" t="s">
        <v>118</v>
      </c>
      <c r="CR56" s="27" t="s">
        <v>123</v>
      </c>
    </row>
    <row r="57" spans="2:96" x14ac:dyDescent="0.35">
      <c r="B57" s="48" t="s">
        <v>95</v>
      </c>
      <c r="C57" s="29">
        <v>0.28220000000000001</v>
      </c>
      <c r="D57" s="29">
        <v>0.27250000000000002</v>
      </c>
      <c r="E57" s="29">
        <v>0.28220000000000001</v>
      </c>
      <c r="F57" s="29">
        <v>0.27529999999999999</v>
      </c>
      <c r="G57" s="29">
        <v>0.27700000000000002</v>
      </c>
      <c r="H57" s="29">
        <v>0.28060000000000002</v>
      </c>
      <c r="I57" s="29">
        <v>0.28050000000000003</v>
      </c>
      <c r="J57" s="29">
        <v>0.26900000000000002</v>
      </c>
      <c r="K57" s="29">
        <v>0.27829999999999999</v>
      </c>
      <c r="L57" s="29">
        <v>0.27239999999999998</v>
      </c>
      <c r="M57" s="29">
        <v>0.27079999999999999</v>
      </c>
      <c r="N57" s="29">
        <v>0.26979999999999998</v>
      </c>
      <c r="O57" s="29">
        <v>0.27479999999999999</v>
      </c>
      <c r="P57" s="29">
        <v>0.27450000000000002</v>
      </c>
      <c r="Q57" s="29">
        <v>0.2777</v>
      </c>
      <c r="R57" s="29">
        <v>0.28170000000000001</v>
      </c>
      <c r="S57" s="29">
        <v>0.26919999999999999</v>
      </c>
      <c r="T57" s="29">
        <v>0.27300000000000002</v>
      </c>
      <c r="U57" s="29">
        <v>0.2717</v>
      </c>
      <c r="V57" s="29">
        <v>0.28439999999999999</v>
      </c>
      <c r="W57" s="29">
        <v>0.27129999999999999</v>
      </c>
      <c r="X57" s="29">
        <v>0.28439999999999999</v>
      </c>
      <c r="Y57" s="29">
        <v>0.27739999999999998</v>
      </c>
      <c r="Z57" s="29">
        <v>0.2747</v>
      </c>
      <c r="AA57" s="29">
        <v>0.26979999999999998</v>
      </c>
      <c r="AB57" s="29">
        <v>0.2782</v>
      </c>
      <c r="AC57" s="29">
        <v>0.27339999999999998</v>
      </c>
      <c r="AD57" s="29">
        <v>0.2762</v>
      </c>
      <c r="AE57" s="29">
        <v>0.26919999999999999</v>
      </c>
      <c r="AF57" s="29">
        <v>0.26939999999999997</v>
      </c>
      <c r="AG57" s="29"/>
      <c r="AH57" s="48" t="s">
        <v>95</v>
      </c>
      <c r="AI57" s="10">
        <v>0.11823897956999993</v>
      </c>
      <c r="AJ57" s="10">
        <v>0.13121378080311996</v>
      </c>
      <c r="AK57" s="10">
        <v>0.13283051440687196</v>
      </c>
      <c r="AL57" s="10">
        <v>0.14477282033716596</v>
      </c>
      <c r="AM57" s="10">
        <v>0.11955814852499996</v>
      </c>
      <c r="AN57" s="10">
        <v>0.15170277306755997</v>
      </c>
      <c r="AO57" s="10">
        <v>0.126577370300264</v>
      </c>
      <c r="AP57" s="10">
        <v>0.10143743594107195</v>
      </c>
      <c r="AQ57" s="10">
        <v>0.16441873032742393</v>
      </c>
      <c r="AR57" s="10">
        <v>0.15553103867047499</v>
      </c>
      <c r="AS57" s="10">
        <v>0.1764150027908</v>
      </c>
      <c r="AT57" s="10">
        <v>0.20086347126811196</v>
      </c>
      <c r="AU57" s="10">
        <v>0.13390600107807898</v>
      </c>
      <c r="AV57" s="10">
        <v>0.16091835937690596</v>
      </c>
      <c r="AW57" s="10">
        <v>0.20109867711825002</v>
      </c>
      <c r="AX57" s="10">
        <v>0.177830306051422</v>
      </c>
      <c r="AY57" s="10">
        <v>0.18991765830984</v>
      </c>
      <c r="AZ57" s="10">
        <v>0.168959279002245</v>
      </c>
      <c r="BA57" s="10">
        <v>0.18381581608632006</v>
      </c>
      <c r="BB57" s="10">
        <v>0.21563324312580001</v>
      </c>
      <c r="BC57" s="10">
        <v>0.18617907463773503</v>
      </c>
      <c r="BD57" s="10">
        <v>0.16698751465306297</v>
      </c>
      <c r="BE57" s="10">
        <v>0.15503850047347498</v>
      </c>
      <c r="BF57" s="10">
        <v>0.17201202891471201</v>
      </c>
      <c r="BG57" s="10">
        <v>0.15783510402524792</v>
      </c>
      <c r="BH57" s="10">
        <v>0.12900570564093997</v>
      </c>
      <c r="BI57" s="10">
        <v>0.14350692289913997</v>
      </c>
      <c r="BJ57" s="10">
        <v>0.13644813854529997</v>
      </c>
      <c r="BK57" s="10">
        <v>0.12735418264303594</v>
      </c>
      <c r="BL57" s="10">
        <v>0.11924830732499991</v>
      </c>
      <c r="BN57" s="48" t="s">
        <v>95</v>
      </c>
      <c r="BO57" s="27" t="s">
        <v>124</v>
      </c>
      <c r="BP57" s="27" t="s">
        <v>122</v>
      </c>
      <c r="BQ57" s="27" t="s">
        <v>123</v>
      </c>
      <c r="BR57" s="27" t="s">
        <v>119</v>
      </c>
      <c r="BS57" s="27" t="s">
        <v>123</v>
      </c>
      <c r="BT57" s="27" t="s">
        <v>123</v>
      </c>
      <c r="BU57" s="27" t="s">
        <v>123</v>
      </c>
      <c r="BV57" s="27" t="s">
        <v>118</v>
      </c>
      <c r="BW57" s="27" t="s">
        <v>119</v>
      </c>
      <c r="BX57" s="27" t="s">
        <v>121</v>
      </c>
      <c r="BY57" s="27" t="s">
        <v>120</v>
      </c>
      <c r="BZ57" s="27" t="s">
        <v>118</v>
      </c>
      <c r="CA57" s="27" t="s">
        <v>119</v>
      </c>
      <c r="CB57" s="27" t="s">
        <v>121</v>
      </c>
      <c r="CC57" s="27" t="s">
        <v>123</v>
      </c>
      <c r="CD57" s="27" t="s">
        <v>118</v>
      </c>
      <c r="CE57" s="27" t="s">
        <v>123</v>
      </c>
      <c r="CF57" s="27" t="s">
        <v>119</v>
      </c>
      <c r="CG57" s="27" t="s">
        <v>122</v>
      </c>
      <c r="CH57" s="27" t="s">
        <v>124</v>
      </c>
      <c r="CI57" s="27" t="s">
        <v>122</v>
      </c>
      <c r="CJ57" s="27" t="s">
        <v>123</v>
      </c>
      <c r="CK57" s="27" t="s">
        <v>121</v>
      </c>
      <c r="CL57" s="27" t="s">
        <v>122</v>
      </c>
      <c r="CM57" s="27" t="s">
        <v>124</v>
      </c>
      <c r="CN57" s="27" t="s">
        <v>124</v>
      </c>
      <c r="CO57" s="27" t="s">
        <v>119</v>
      </c>
      <c r="CP57" s="27" t="s">
        <v>119</v>
      </c>
      <c r="CQ57" s="27" t="s">
        <v>121</v>
      </c>
      <c r="CR57" s="27" t="s">
        <v>119</v>
      </c>
    </row>
    <row r="58" spans="2:96" x14ac:dyDescent="0.35">
      <c r="B58" s="47" t="s">
        <v>96</v>
      </c>
      <c r="C58" s="29">
        <v>9.7199999999999995E-2</v>
      </c>
      <c r="D58" s="29">
        <v>9.7199999999999995E-2</v>
      </c>
      <c r="E58" s="29">
        <v>8.8099999999999998E-2</v>
      </c>
      <c r="F58" s="29">
        <v>9.35E-2</v>
      </c>
      <c r="G58" s="29">
        <v>8.7400000000000005E-2</v>
      </c>
      <c r="H58" s="29">
        <v>8.8400000000000006E-2</v>
      </c>
      <c r="I58" s="29">
        <v>9.5000000000000001E-2</v>
      </c>
      <c r="J58" s="29">
        <v>9.3600000000000003E-2</v>
      </c>
      <c r="K58" s="29">
        <v>9.2299999999999993E-2</v>
      </c>
      <c r="L58" s="29">
        <v>8.8599999999999998E-2</v>
      </c>
      <c r="M58" s="29">
        <v>9.5899999999999999E-2</v>
      </c>
      <c r="N58" s="29">
        <v>9.1300000000000006E-2</v>
      </c>
      <c r="O58" s="29">
        <v>8.4000000000000005E-2</v>
      </c>
      <c r="P58" s="29">
        <v>8.7900000000000006E-2</v>
      </c>
      <c r="Q58" s="29">
        <v>8.9599999999999999E-2</v>
      </c>
      <c r="R58" s="29">
        <v>9.1600000000000001E-2</v>
      </c>
      <c r="S58" s="29">
        <v>9.2100000000000001E-2</v>
      </c>
      <c r="T58" s="29">
        <v>8.8200000000000001E-2</v>
      </c>
      <c r="U58" s="29">
        <v>9.0700000000000003E-2</v>
      </c>
      <c r="V58" s="29">
        <v>9.7699999999999995E-2</v>
      </c>
      <c r="W58" s="29">
        <v>8.9800000000000005E-2</v>
      </c>
      <c r="X58" s="29">
        <v>8.4500000000000006E-2</v>
      </c>
      <c r="Y58" s="29">
        <v>0.09</v>
      </c>
      <c r="Z58" s="29">
        <v>8.9599999999999999E-2</v>
      </c>
      <c r="AA58" s="29">
        <v>8.9599999999999999E-2</v>
      </c>
      <c r="AB58" s="29">
        <v>8.7599999999999997E-2</v>
      </c>
      <c r="AC58" s="29">
        <v>9.4100000000000003E-2</v>
      </c>
      <c r="AD58" s="29">
        <v>8.7599999999999997E-2</v>
      </c>
      <c r="AE58" s="29">
        <v>8.3500000000000005E-2</v>
      </c>
      <c r="AF58" s="29">
        <v>8.6300000000000002E-2</v>
      </c>
      <c r="AG58" s="29"/>
      <c r="AH58" s="47" t="s">
        <v>96</v>
      </c>
      <c r="AI58" s="10">
        <f t="shared" ref="AI58:BL58" si="193">SUMPRODUCT(AI59:AI60,C59:C60)</f>
        <v>0.14555767956999993</v>
      </c>
      <c r="AJ58" s="10">
        <f t="shared" si="193"/>
        <v>0.15827518080311997</v>
      </c>
      <c r="AK58" s="10">
        <f t="shared" si="193"/>
        <v>0.16002831440687199</v>
      </c>
      <c r="AL58" s="10">
        <f t="shared" si="193"/>
        <v>0.17218142033716596</v>
      </c>
      <c r="AM58" s="10">
        <f t="shared" si="193"/>
        <v>0.14692024852499999</v>
      </c>
      <c r="AN58" s="10">
        <f t="shared" si="193"/>
        <v>0.17878277306755996</v>
      </c>
      <c r="AO58" s="10">
        <f t="shared" si="193"/>
        <v>0.15407897030026402</v>
      </c>
      <c r="AP58" s="10">
        <f t="shared" si="193"/>
        <v>0.12846783594107195</v>
      </c>
      <c r="AQ58" s="10">
        <f t="shared" si="193"/>
        <v>0.19192033032742395</v>
      </c>
      <c r="AR58" s="10">
        <f t="shared" si="193"/>
        <v>0.182852838670475</v>
      </c>
      <c r="AS58" s="10">
        <f t="shared" si="193"/>
        <v>0.20397550279080001</v>
      </c>
      <c r="AT58" s="10">
        <f t="shared" si="193"/>
        <v>0.22805817126811198</v>
      </c>
      <c r="AU58" s="10">
        <f t="shared" si="193"/>
        <v>0.16150680107807899</v>
      </c>
      <c r="AV58" s="10">
        <f t="shared" si="193"/>
        <v>0.18797975937690597</v>
      </c>
      <c r="AW58" s="10">
        <f t="shared" si="193"/>
        <v>0.22873047711825001</v>
      </c>
      <c r="AX58" s="10">
        <f t="shared" si="193"/>
        <v>0.204913406051422</v>
      </c>
      <c r="AY58" s="10">
        <f t="shared" si="193"/>
        <v>0.21759595830984002</v>
      </c>
      <c r="AZ58" s="10">
        <f t="shared" si="193"/>
        <v>0.19626247900224503</v>
      </c>
      <c r="BA58" s="10">
        <f t="shared" si="193"/>
        <v>0.21092061608632007</v>
      </c>
      <c r="BB58" s="10">
        <f t="shared" si="193"/>
        <v>0.24306664312580004</v>
      </c>
      <c r="BC58" s="10">
        <f t="shared" si="193"/>
        <v>0.21357217463773503</v>
      </c>
      <c r="BD58" s="10">
        <f t="shared" si="193"/>
        <v>0.19459451465306299</v>
      </c>
      <c r="BE58" s="10">
        <f t="shared" si="193"/>
        <v>0.18200380047347497</v>
      </c>
      <c r="BF58" s="10">
        <f t="shared" si="193"/>
        <v>0.19933382891471202</v>
      </c>
      <c r="BG58" s="10">
        <f t="shared" si="193"/>
        <v>0.18505150402524792</v>
      </c>
      <c r="BH58" s="10">
        <f t="shared" si="193"/>
        <v>0.15620350564093999</v>
      </c>
      <c r="BI58" s="10">
        <f t="shared" si="193"/>
        <v>0.17073262289913999</v>
      </c>
      <c r="BJ58" s="10">
        <f t="shared" si="193"/>
        <v>0.16351883854529997</v>
      </c>
      <c r="BK58" s="10">
        <f t="shared" si="193"/>
        <v>0.15454888264303596</v>
      </c>
      <c r="BL58" s="10">
        <f t="shared" si="193"/>
        <v>0.14685220732499993</v>
      </c>
      <c r="BN58" s="47" t="s">
        <v>96</v>
      </c>
      <c r="BO58" s="27" t="s">
        <v>122</v>
      </c>
      <c r="BP58" s="27" t="s">
        <v>119</v>
      </c>
      <c r="BQ58" s="27" t="s">
        <v>121</v>
      </c>
      <c r="BR58" s="27" t="s">
        <v>118</v>
      </c>
      <c r="BS58" s="27" t="s">
        <v>122</v>
      </c>
      <c r="BT58" s="27" t="s">
        <v>122</v>
      </c>
      <c r="BU58" s="27" t="s">
        <v>123</v>
      </c>
      <c r="BV58" s="27" t="s">
        <v>119</v>
      </c>
      <c r="BW58" s="27" t="s">
        <v>119</v>
      </c>
      <c r="BX58" s="27" t="s">
        <v>119</v>
      </c>
      <c r="BY58" s="27" t="s">
        <v>123</v>
      </c>
      <c r="BZ58" s="27" t="s">
        <v>118</v>
      </c>
      <c r="CA58" s="27" t="s">
        <v>124</v>
      </c>
      <c r="CB58" s="27" t="s">
        <v>122</v>
      </c>
      <c r="CC58" s="27" t="s">
        <v>123</v>
      </c>
      <c r="CD58" s="27" t="s">
        <v>124</v>
      </c>
      <c r="CE58" s="27" t="s">
        <v>122</v>
      </c>
      <c r="CF58" s="27" t="s">
        <v>123</v>
      </c>
      <c r="CG58" s="27" t="s">
        <v>120</v>
      </c>
      <c r="CH58" s="27" t="s">
        <v>121</v>
      </c>
      <c r="CI58" s="27" t="s">
        <v>122</v>
      </c>
      <c r="CJ58" s="27" t="s">
        <v>120</v>
      </c>
      <c r="CK58" s="27" t="s">
        <v>119</v>
      </c>
      <c r="CL58" s="27" t="s">
        <v>120</v>
      </c>
      <c r="CM58" s="27" t="s">
        <v>124</v>
      </c>
      <c r="CN58" s="27" t="s">
        <v>123</v>
      </c>
      <c r="CO58" s="27" t="s">
        <v>124</v>
      </c>
      <c r="CP58" s="27" t="s">
        <v>124</v>
      </c>
      <c r="CQ58" s="27" t="s">
        <v>123</v>
      </c>
      <c r="CR58" s="27" t="s">
        <v>121</v>
      </c>
    </row>
    <row r="59" spans="2:96" x14ac:dyDescent="0.35">
      <c r="B59" s="48" t="s">
        <v>97</v>
      </c>
      <c r="C59" s="29">
        <f t="shared" ref="C59" si="194">1-C60</f>
        <v>0.5544</v>
      </c>
      <c r="D59" s="29">
        <f t="shared" ref="D59" si="195">1-D60</f>
        <v>0.54610000000000003</v>
      </c>
      <c r="E59" s="29">
        <f t="shared" ref="E59" si="196">1-E60</f>
        <v>0.55049999999999999</v>
      </c>
      <c r="F59" s="29">
        <f t="shared" ref="F59" si="197">1-F60</f>
        <v>0.55730000000000002</v>
      </c>
      <c r="G59" s="29">
        <f t="shared" ref="G59" si="198">1-G60</f>
        <v>0.55580000000000007</v>
      </c>
      <c r="H59" s="29">
        <f t="shared" ref="H59" si="199">1-H60</f>
        <v>0.54669999999999996</v>
      </c>
      <c r="I59" s="29">
        <f t="shared" ref="I59" si="200">1-I60</f>
        <v>0.56030000000000002</v>
      </c>
      <c r="J59" s="29">
        <f t="shared" ref="J59" si="201">1-J60</f>
        <v>0.54509999999999992</v>
      </c>
      <c r="K59" s="29">
        <f t="shared" ref="K59" si="202">1-K60</f>
        <v>0.56030000000000002</v>
      </c>
      <c r="L59" s="29">
        <f t="shared" ref="L59" si="203">1-L60</f>
        <v>0.55449999999999999</v>
      </c>
      <c r="M59" s="29">
        <f t="shared" ref="M59" si="204">1-M60</f>
        <v>0.56220000000000003</v>
      </c>
      <c r="N59" s="29">
        <f t="shared" ref="N59" si="205">1-N60</f>
        <v>0.5504</v>
      </c>
      <c r="O59" s="29">
        <f t="shared" ref="O59" si="206">1-O60</f>
        <v>0.5635</v>
      </c>
      <c r="P59" s="29">
        <f t="shared" ref="P59" si="207">1-P60</f>
        <v>0.54610000000000003</v>
      </c>
      <c r="Q59" s="29">
        <f t="shared" ref="Q59" si="208">1-Q60</f>
        <v>0.5645</v>
      </c>
      <c r="R59" s="29">
        <f t="shared" ref="R59" si="209">1-R60</f>
        <v>0.54679999999999995</v>
      </c>
      <c r="S59" s="29">
        <f t="shared" ref="S59" si="210">1-S60</f>
        <v>0.56600000000000006</v>
      </c>
      <c r="T59" s="29">
        <f t="shared" ref="T59" si="211">1-T60</f>
        <v>0.55390000000000006</v>
      </c>
      <c r="U59" s="29">
        <f t="shared" ref="U59" si="212">1-U60</f>
        <v>0.54749999999999999</v>
      </c>
      <c r="V59" s="29">
        <f t="shared" ref="V59" si="213">1-V60</f>
        <v>0.55810000000000004</v>
      </c>
      <c r="W59" s="29">
        <f t="shared" ref="W59" si="214">1-W60</f>
        <v>0.55679999999999996</v>
      </c>
      <c r="X59" s="29">
        <f t="shared" ref="X59" si="215">1-X60</f>
        <v>0.56369999999999998</v>
      </c>
      <c r="Y59" s="29">
        <f t="shared" ref="Y59" si="216">1-Y60</f>
        <v>0.54299999999999993</v>
      </c>
      <c r="Z59" s="29">
        <f t="shared" ref="Z59" si="217">1-Z60</f>
        <v>0.55449999999999999</v>
      </c>
      <c r="AA59" s="29">
        <f t="shared" ref="AA59" si="218">1-AA60</f>
        <v>0.55109999999999992</v>
      </c>
      <c r="AB59" s="29">
        <f t="shared" ref="AB59" si="219">1-AB60</f>
        <v>0.55049999999999999</v>
      </c>
      <c r="AC59" s="29">
        <f t="shared" ref="AC59" si="220">1-AC60</f>
        <v>0.5514</v>
      </c>
      <c r="AD59" s="29">
        <f t="shared" ref="AD59" si="221">1-AD60</f>
        <v>0.5464</v>
      </c>
      <c r="AE59" s="29">
        <f t="shared" ref="AE59" si="222">1-AE60</f>
        <v>0.5504</v>
      </c>
      <c r="AF59" s="29">
        <f t="shared" ref="AF59" si="223">1-AF60</f>
        <v>0.56359999999999999</v>
      </c>
      <c r="AG59" s="29"/>
      <c r="AH59" s="48" t="s">
        <v>97</v>
      </c>
      <c r="AI59" s="10">
        <v>0.15937127956999994</v>
      </c>
      <c r="AJ59" s="10">
        <v>0.17234608080311997</v>
      </c>
      <c r="AK59" s="10">
        <v>0.17396281440687197</v>
      </c>
      <c r="AL59" s="10">
        <v>0.18590512033716597</v>
      </c>
      <c r="AM59" s="10">
        <v>0.16069044852499997</v>
      </c>
      <c r="AN59" s="10">
        <v>0.19283507306755998</v>
      </c>
      <c r="AO59" s="10">
        <v>0.16770967030026401</v>
      </c>
      <c r="AP59" s="10">
        <v>0.14256973594107197</v>
      </c>
      <c r="AQ59" s="10">
        <v>0.20555103032742394</v>
      </c>
      <c r="AR59" s="10">
        <v>0.196663338670475</v>
      </c>
      <c r="AS59" s="10">
        <v>0.21754730279080001</v>
      </c>
      <c r="AT59" s="10">
        <v>0.24199577126811198</v>
      </c>
      <c r="AU59" s="10">
        <v>0.17503830107807899</v>
      </c>
      <c r="AV59" s="10">
        <v>0.20205065937690597</v>
      </c>
      <c r="AW59" s="10">
        <v>0.24223097711825003</v>
      </c>
      <c r="AX59" s="10">
        <v>0.21896260605142201</v>
      </c>
      <c r="AY59" s="10">
        <v>0.23104995830984001</v>
      </c>
      <c r="AZ59" s="10">
        <v>0.21009157900224501</v>
      </c>
      <c r="BA59" s="10">
        <v>0.22494811608632007</v>
      </c>
      <c r="BB59" s="10">
        <v>0.25676554312580002</v>
      </c>
      <c r="BC59" s="10">
        <v>0.22731137463773504</v>
      </c>
      <c r="BD59" s="10">
        <v>0.20811981465306298</v>
      </c>
      <c r="BE59" s="10">
        <v>0.19617080047347499</v>
      </c>
      <c r="BF59" s="10">
        <v>0.21314432891471202</v>
      </c>
      <c r="BG59" s="10">
        <v>0.19896740402524793</v>
      </c>
      <c r="BH59" s="10">
        <v>0.17013800564093998</v>
      </c>
      <c r="BI59" s="10">
        <v>0.18463922289913998</v>
      </c>
      <c r="BJ59" s="10">
        <v>0.17758043854529998</v>
      </c>
      <c r="BK59" s="10">
        <v>0.16848648264303595</v>
      </c>
      <c r="BL59" s="10">
        <v>0.16038060732499992</v>
      </c>
      <c r="BN59" s="48" t="s">
        <v>97</v>
      </c>
      <c r="BO59" s="27" t="s">
        <v>120</v>
      </c>
      <c r="BP59" s="27" t="s">
        <v>122</v>
      </c>
      <c r="BQ59" s="27" t="s">
        <v>118</v>
      </c>
      <c r="BR59" s="27" t="s">
        <v>120</v>
      </c>
      <c r="BS59" s="27" t="s">
        <v>123</v>
      </c>
      <c r="BT59" s="27" t="s">
        <v>122</v>
      </c>
      <c r="BU59" s="27" t="s">
        <v>123</v>
      </c>
      <c r="BV59" s="27" t="s">
        <v>120</v>
      </c>
      <c r="BW59" s="27" t="s">
        <v>123</v>
      </c>
      <c r="BX59" s="27" t="s">
        <v>120</v>
      </c>
      <c r="BY59" s="27" t="s">
        <v>121</v>
      </c>
      <c r="BZ59" s="27" t="s">
        <v>122</v>
      </c>
      <c r="CA59" s="27" t="s">
        <v>121</v>
      </c>
      <c r="CB59" s="27" t="s">
        <v>123</v>
      </c>
      <c r="CC59" s="27" t="s">
        <v>118</v>
      </c>
      <c r="CD59" s="27" t="s">
        <v>120</v>
      </c>
      <c r="CE59" s="27" t="s">
        <v>122</v>
      </c>
      <c r="CF59" s="27" t="s">
        <v>118</v>
      </c>
      <c r="CG59" s="27" t="s">
        <v>118</v>
      </c>
      <c r="CH59" s="27" t="s">
        <v>123</v>
      </c>
      <c r="CI59" s="27" t="s">
        <v>122</v>
      </c>
      <c r="CJ59" s="27" t="s">
        <v>120</v>
      </c>
      <c r="CK59" s="27" t="s">
        <v>118</v>
      </c>
      <c r="CL59" s="27" t="s">
        <v>121</v>
      </c>
      <c r="CM59" s="27" t="s">
        <v>121</v>
      </c>
      <c r="CN59" s="27" t="s">
        <v>121</v>
      </c>
      <c r="CO59" s="27" t="s">
        <v>123</v>
      </c>
      <c r="CP59" s="27" t="s">
        <v>119</v>
      </c>
      <c r="CQ59" s="27" t="s">
        <v>123</v>
      </c>
      <c r="CR59" s="27" t="s">
        <v>118</v>
      </c>
    </row>
    <row r="60" spans="2:96" x14ac:dyDescent="0.35">
      <c r="B60" s="48" t="s">
        <v>98</v>
      </c>
      <c r="C60" s="29">
        <v>0.4456</v>
      </c>
      <c r="D60" s="29">
        <v>0.45390000000000003</v>
      </c>
      <c r="E60" s="29">
        <v>0.44950000000000001</v>
      </c>
      <c r="F60" s="29">
        <v>0.44269999999999998</v>
      </c>
      <c r="G60" s="29">
        <v>0.44419999999999998</v>
      </c>
      <c r="H60" s="29">
        <v>0.45329999999999998</v>
      </c>
      <c r="I60" s="29">
        <v>0.43969999999999998</v>
      </c>
      <c r="J60" s="29">
        <v>0.45490000000000003</v>
      </c>
      <c r="K60" s="29">
        <v>0.43969999999999998</v>
      </c>
      <c r="L60" s="29">
        <v>0.44550000000000001</v>
      </c>
      <c r="M60" s="29">
        <v>0.43780000000000002</v>
      </c>
      <c r="N60" s="29">
        <v>0.4496</v>
      </c>
      <c r="O60" s="29">
        <v>0.4365</v>
      </c>
      <c r="P60" s="29">
        <v>0.45390000000000003</v>
      </c>
      <c r="Q60" s="29">
        <v>0.4355</v>
      </c>
      <c r="R60" s="29">
        <v>0.45319999999999999</v>
      </c>
      <c r="S60" s="29">
        <v>0.434</v>
      </c>
      <c r="T60" s="29">
        <v>0.4461</v>
      </c>
      <c r="U60" s="29">
        <v>0.45250000000000001</v>
      </c>
      <c r="V60" s="29">
        <v>0.44190000000000002</v>
      </c>
      <c r="W60" s="29">
        <v>0.44319999999999998</v>
      </c>
      <c r="X60" s="29">
        <v>0.43630000000000002</v>
      </c>
      <c r="Y60" s="29">
        <v>0.45700000000000002</v>
      </c>
      <c r="Z60" s="29">
        <v>0.44550000000000001</v>
      </c>
      <c r="AA60" s="29">
        <v>0.44890000000000002</v>
      </c>
      <c r="AB60" s="29">
        <v>0.44950000000000001</v>
      </c>
      <c r="AC60" s="29">
        <v>0.4486</v>
      </c>
      <c r="AD60" s="29">
        <v>0.4536</v>
      </c>
      <c r="AE60" s="29">
        <v>0.4496</v>
      </c>
      <c r="AF60" s="29">
        <v>0.43640000000000001</v>
      </c>
      <c r="AG60" s="29"/>
      <c r="AH60" s="48" t="s">
        <v>98</v>
      </c>
      <c r="AI60" s="10">
        <v>0.12837127956999994</v>
      </c>
      <c r="AJ60" s="10">
        <v>0.14134608080311997</v>
      </c>
      <c r="AK60" s="10">
        <v>0.14296281440687197</v>
      </c>
      <c r="AL60" s="10">
        <v>0.15490512033716597</v>
      </c>
      <c r="AM60" s="10">
        <v>0.12969044852499997</v>
      </c>
      <c r="AN60" s="10">
        <v>0.16183507306755998</v>
      </c>
      <c r="AO60" s="10">
        <v>0.13670967030026401</v>
      </c>
      <c r="AP60" s="10">
        <v>0.11156973594107196</v>
      </c>
      <c r="AQ60" s="10">
        <v>0.17455103032742394</v>
      </c>
      <c r="AR60" s="10">
        <v>0.165663338670475</v>
      </c>
      <c r="AS60" s="10">
        <v>0.18654730279080001</v>
      </c>
      <c r="AT60" s="10">
        <v>0.21099577126811198</v>
      </c>
      <c r="AU60" s="10">
        <v>0.144038301078079</v>
      </c>
      <c r="AV60" s="10">
        <v>0.17105065937690597</v>
      </c>
      <c r="AW60" s="10">
        <v>0.21123097711825004</v>
      </c>
      <c r="AX60" s="10">
        <v>0.18796260605142201</v>
      </c>
      <c r="AY60" s="10">
        <v>0.20004995830984001</v>
      </c>
      <c r="AZ60" s="10">
        <v>0.17909157900224501</v>
      </c>
      <c r="BA60" s="10">
        <v>0.19394811608632007</v>
      </c>
      <c r="BB60" s="10">
        <v>0.22576554312580002</v>
      </c>
      <c r="BC60" s="10">
        <v>0.19631137463773504</v>
      </c>
      <c r="BD60" s="10">
        <v>0.17711981465306298</v>
      </c>
      <c r="BE60" s="10">
        <v>0.16517080047347499</v>
      </c>
      <c r="BF60" s="10">
        <v>0.18214432891471202</v>
      </c>
      <c r="BG60" s="10">
        <v>0.16796740402524793</v>
      </c>
      <c r="BH60" s="10">
        <v>0.13913800564093998</v>
      </c>
      <c r="BI60" s="10">
        <v>0.15363922289913998</v>
      </c>
      <c r="BJ60" s="10">
        <v>0.14658043854529998</v>
      </c>
      <c r="BK60" s="10">
        <v>0.13748648264303595</v>
      </c>
      <c r="BL60" s="10">
        <v>0.12938060732499992</v>
      </c>
      <c r="BN60" s="48" t="s">
        <v>98</v>
      </c>
      <c r="BO60" s="27" t="s">
        <v>118</v>
      </c>
      <c r="BP60" s="27" t="s">
        <v>118</v>
      </c>
      <c r="BQ60" s="27" t="s">
        <v>118</v>
      </c>
      <c r="BR60" s="27" t="s">
        <v>120</v>
      </c>
      <c r="BS60" s="27" t="s">
        <v>120</v>
      </c>
      <c r="BT60" s="27" t="s">
        <v>123</v>
      </c>
      <c r="BU60" s="27" t="s">
        <v>123</v>
      </c>
      <c r="BV60" s="27" t="s">
        <v>124</v>
      </c>
      <c r="BW60" s="27" t="s">
        <v>119</v>
      </c>
      <c r="BX60" s="27" t="s">
        <v>118</v>
      </c>
      <c r="BY60" s="27" t="s">
        <v>121</v>
      </c>
      <c r="BZ60" s="27" t="s">
        <v>120</v>
      </c>
      <c r="CA60" s="27" t="s">
        <v>118</v>
      </c>
      <c r="CB60" s="27" t="s">
        <v>121</v>
      </c>
      <c r="CC60" s="27" t="s">
        <v>124</v>
      </c>
      <c r="CD60" s="27" t="s">
        <v>121</v>
      </c>
      <c r="CE60" s="27" t="s">
        <v>121</v>
      </c>
      <c r="CF60" s="27" t="s">
        <v>121</v>
      </c>
      <c r="CG60" s="27" t="s">
        <v>119</v>
      </c>
      <c r="CH60" s="27" t="s">
        <v>121</v>
      </c>
      <c r="CI60" s="27" t="s">
        <v>123</v>
      </c>
      <c r="CJ60" s="27" t="s">
        <v>119</v>
      </c>
      <c r="CK60" s="27" t="s">
        <v>121</v>
      </c>
      <c r="CL60" s="27" t="s">
        <v>119</v>
      </c>
      <c r="CM60" s="27" t="s">
        <v>124</v>
      </c>
      <c r="CN60" s="27" t="s">
        <v>123</v>
      </c>
      <c r="CO60" s="27" t="s">
        <v>118</v>
      </c>
      <c r="CP60" s="27" t="s">
        <v>123</v>
      </c>
      <c r="CQ60" s="27" t="s">
        <v>118</v>
      </c>
      <c r="CR60" s="27" t="s">
        <v>120</v>
      </c>
    </row>
    <row r="61" spans="2:96" x14ac:dyDescent="0.35">
      <c r="B61" s="47" t="s">
        <v>99</v>
      </c>
      <c r="C61" s="29">
        <v>6.1400000000000003E-2</v>
      </c>
      <c r="D61" s="29">
        <v>6.3399999999999998E-2</v>
      </c>
      <c r="E61" s="29">
        <v>6.2700000000000006E-2</v>
      </c>
      <c r="F61" s="29">
        <v>6.2600000000000003E-2</v>
      </c>
      <c r="G61" s="29">
        <v>6.1400000000000003E-2</v>
      </c>
      <c r="H61" s="29">
        <v>6.7299999999999999E-2</v>
      </c>
      <c r="I61" s="29">
        <v>6.3299999999999995E-2</v>
      </c>
      <c r="J61" s="29">
        <v>5.91E-2</v>
      </c>
      <c r="K61" s="29">
        <v>6.5100000000000005E-2</v>
      </c>
      <c r="L61" s="29">
        <v>0.06</v>
      </c>
      <c r="M61" s="29">
        <v>6.1899999999999997E-2</v>
      </c>
      <c r="N61" s="29">
        <v>6.2799999999999995E-2</v>
      </c>
      <c r="O61" s="29">
        <v>6.1100000000000002E-2</v>
      </c>
      <c r="P61" s="29">
        <v>6.3600000000000004E-2</v>
      </c>
      <c r="Q61" s="29">
        <v>6.2300000000000001E-2</v>
      </c>
      <c r="R61" s="29">
        <v>6.54E-2</v>
      </c>
      <c r="S61" s="29">
        <v>6.2199999999999998E-2</v>
      </c>
      <c r="T61" s="29">
        <v>6.59E-2</v>
      </c>
      <c r="U61" s="29">
        <v>0.06</v>
      </c>
      <c r="V61" s="29">
        <v>6.6500000000000004E-2</v>
      </c>
      <c r="W61" s="29">
        <v>6.6900000000000001E-2</v>
      </c>
      <c r="X61" s="29">
        <v>6.0499999999999998E-2</v>
      </c>
      <c r="Y61" s="29">
        <v>5.9200000000000003E-2</v>
      </c>
      <c r="Z61" s="29">
        <v>6.0100000000000001E-2</v>
      </c>
      <c r="AA61" s="29">
        <v>6.4899999999999999E-2</v>
      </c>
      <c r="AB61" s="29">
        <v>6.4699999999999994E-2</v>
      </c>
      <c r="AC61" s="29">
        <v>6.0600000000000001E-2</v>
      </c>
      <c r="AD61" s="29">
        <v>6.0699999999999997E-2</v>
      </c>
      <c r="AE61" s="29">
        <v>6.13E-2</v>
      </c>
      <c r="AF61" s="29">
        <v>5.9900000000000002E-2</v>
      </c>
      <c r="AG61" s="29"/>
      <c r="AH61" s="47" t="s">
        <v>99</v>
      </c>
      <c r="AI61" s="10">
        <f t="shared" ref="AI61:BL61" si="224">SUMPRODUCT(AI62:AI65,C62:C65)</f>
        <v>0.11255767956999994</v>
      </c>
      <c r="AJ61" s="10">
        <f t="shared" si="224"/>
        <v>0.12616698080312</v>
      </c>
      <c r="AK61" s="10">
        <f t="shared" si="224"/>
        <v>0.12755401440687197</v>
      </c>
      <c r="AL61" s="10">
        <f t="shared" si="224"/>
        <v>0.13967472033716599</v>
      </c>
      <c r="AM61" s="10">
        <f t="shared" si="224"/>
        <v>0.11442024852499999</v>
      </c>
      <c r="AN61" s="10">
        <f t="shared" si="224"/>
        <v>0.14619837306756001</v>
      </c>
      <c r="AO61" s="10">
        <f t="shared" si="224"/>
        <v>0.12086247030026402</v>
      </c>
      <c r="AP61" s="10">
        <f t="shared" si="224"/>
        <v>9.6435435941071984E-2</v>
      </c>
      <c r="AQ61" s="10">
        <f t="shared" si="224"/>
        <v>0.15939603032742394</v>
      </c>
      <c r="AR61" s="10">
        <f t="shared" si="224"/>
        <v>0.15034633867047503</v>
      </c>
      <c r="AS61" s="10">
        <f t="shared" si="224"/>
        <v>0.17130590279080005</v>
      </c>
      <c r="AT61" s="10">
        <f t="shared" si="224"/>
        <v>0.195194071268112</v>
      </c>
      <c r="AU61" s="10">
        <f t="shared" si="224"/>
        <v>0.12900880107807899</v>
      </c>
      <c r="AV61" s="10">
        <f t="shared" si="224"/>
        <v>0.155715059376906</v>
      </c>
      <c r="AW61" s="10">
        <f t="shared" si="224"/>
        <v>0.19604447711825007</v>
      </c>
      <c r="AX61" s="10">
        <f t="shared" si="224"/>
        <v>0.17230240605142202</v>
      </c>
      <c r="AY61" s="10">
        <f t="shared" si="224"/>
        <v>0.18489885830984004</v>
      </c>
      <c r="AZ61" s="10">
        <f t="shared" si="224"/>
        <v>0.16351477900224504</v>
      </c>
      <c r="BA61" s="10">
        <f t="shared" si="224"/>
        <v>0.17889981608632005</v>
      </c>
      <c r="BB61" s="10">
        <f t="shared" si="224"/>
        <v>0.21031844312580003</v>
      </c>
      <c r="BC61" s="10">
        <f t="shared" si="224"/>
        <v>0.18140337463773507</v>
      </c>
      <c r="BD61" s="10">
        <f t="shared" si="224"/>
        <v>0.16158891465306299</v>
      </c>
      <c r="BE61" s="10">
        <f t="shared" si="224"/>
        <v>0.14975510047347501</v>
      </c>
      <c r="BF61" s="10">
        <f t="shared" si="224"/>
        <v>0.16675362891471204</v>
      </c>
      <c r="BG61" s="10">
        <f t="shared" si="224"/>
        <v>0.15265760402524797</v>
      </c>
      <c r="BH61" s="10">
        <f t="shared" si="224"/>
        <v>0.12403860564093999</v>
      </c>
      <c r="BI61" s="10">
        <f t="shared" si="224"/>
        <v>0.13831262289913998</v>
      </c>
      <c r="BJ61" s="10">
        <f t="shared" si="224"/>
        <v>0.1313548385453</v>
      </c>
      <c r="BK61" s="10">
        <f t="shared" si="224"/>
        <v>0.12258208264303595</v>
      </c>
      <c r="BL61" s="10">
        <f t="shared" si="224"/>
        <v>0.11387800732499995</v>
      </c>
      <c r="BN61" s="47" t="s">
        <v>99</v>
      </c>
      <c r="BO61" s="27" t="s">
        <v>120</v>
      </c>
      <c r="BP61" s="27" t="s">
        <v>123</v>
      </c>
      <c r="BQ61" s="27" t="s">
        <v>124</v>
      </c>
      <c r="BR61" s="27" t="s">
        <v>124</v>
      </c>
      <c r="BS61" s="27" t="s">
        <v>122</v>
      </c>
      <c r="BT61" s="27" t="s">
        <v>120</v>
      </c>
      <c r="BU61" s="27" t="s">
        <v>121</v>
      </c>
      <c r="BV61" s="27" t="s">
        <v>119</v>
      </c>
      <c r="BW61" s="27" t="s">
        <v>118</v>
      </c>
      <c r="BX61" s="27" t="s">
        <v>121</v>
      </c>
      <c r="BY61" s="27" t="s">
        <v>124</v>
      </c>
      <c r="BZ61" s="27" t="s">
        <v>124</v>
      </c>
      <c r="CA61" s="27" t="s">
        <v>124</v>
      </c>
      <c r="CB61" s="27" t="s">
        <v>119</v>
      </c>
      <c r="CC61" s="27" t="s">
        <v>118</v>
      </c>
      <c r="CD61" s="27" t="s">
        <v>122</v>
      </c>
      <c r="CE61" s="27" t="s">
        <v>120</v>
      </c>
      <c r="CF61" s="27" t="s">
        <v>121</v>
      </c>
      <c r="CG61" s="27" t="s">
        <v>124</v>
      </c>
      <c r="CH61" s="27" t="s">
        <v>120</v>
      </c>
      <c r="CI61" s="27" t="s">
        <v>123</v>
      </c>
      <c r="CJ61" s="27" t="s">
        <v>122</v>
      </c>
      <c r="CK61" s="27" t="s">
        <v>121</v>
      </c>
      <c r="CL61" s="27" t="s">
        <v>118</v>
      </c>
      <c r="CM61" s="27" t="s">
        <v>124</v>
      </c>
      <c r="CN61" s="27" t="s">
        <v>119</v>
      </c>
      <c r="CO61" s="27" t="s">
        <v>118</v>
      </c>
      <c r="CP61" s="27" t="s">
        <v>118</v>
      </c>
      <c r="CQ61" s="27" t="s">
        <v>118</v>
      </c>
      <c r="CR61" s="27" t="s">
        <v>121</v>
      </c>
    </row>
    <row r="62" spans="2:96" x14ac:dyDescent="0.35">
      <c r="B62" s="48" t="s">
        <v>100</v>
      </c>
      <c r="C62" s="29">
        <f t="shared" ref="C62" si="225">1-SUM(C63:C65)</f>
        <v>0.37009999999999998</v>
      </c>
      <c r="D62" s="29">
        <f t="shared" ref="D62" si="226">1-SUM(D63:D65)</f>
        <v>0.35760000000000003</v>
      </c>
      <c r="E62" s="29">
        <f t="shared" ref="E62" si="227">1-SUM(E63:E65)</f>
        <v>0.36080000000000001</v>
      </c>
      <c r="F62" s="29">
        <f t="shared" ref="F62" si="228">1-SUM(F63:F65)</f>
        <v>0.35939999999999994</v>
      </c>
      <c r="G62" s="29">
        <f t="shared" ref="G62" si="229">1-SUM(G63:G65)</f>
        <v>0.35970000000000002</v>
      </c>
      <c r="H62" s="29">
        <f t="shared" ref="H62" si="230">1-SUM(H63:H65)</f>
        <v>0.36519999999999997</v>
      </c>
      <c r="I62" s="29">
        <f t="shared" ref="I62" si="231">1-SUM(I63:I65)</f>
        <v>0.37070000000000003</v>
      </c>
      <c r="J62" s="29">
        <f t="shared" ref="J62" si="232">1-SUM(J63:J65)</f>
        <v>0.35780000000000001</v>
      </c>
      <c r="K62" s="29">
        <f t="shared" ref="K62" si="233">1-SUM(K63:K65)</f>
        <v>0.35799999999999998</v>
      </c>
      <c r="L62" s="29">
        <f t="shared" ref="L62" si="234">1-SUM(L63:L65)</f>
        <v>0.36250000000000004</v>
      </c>
      <c r="M62" s="29">
        <f t="shared" ref="M62" si="235">1-SUM(M63:M65)</f>
        <v>0.3629</v>
      </c>
      <c r="N62" s="29">
        <f t="shared" ref="N62" si="236">1-SUM(N63:N65)</f>
        <v>0.36820000000000008</v>
      </c>
      <c r="O62" s="29">
        <f t="shared" ref="O62" si="237">1-SUM(O63:O65)</f>
        <v>0.35749999999999993</v>
      </c>
      <c r="P62" s="29">
        <f t="shared" ref="P62" si="238">1-SUM(P63:P65)</f>
        <v>0.36060000000000003</v>
      </c>
      <c r="Q62" s="29">
        <f t="shared" ref="Q62" si="239">1-SUM(Q63:Q65)</f>
        <v>0.36250000000000004</v>
      </c>
      <c r="R62" s="29">
        <f t="shared" ref="R62" si="240">1-SUM(R63:R65)</f>
        <v>0.36870000000000003</v>
      </c>
      <c r="S62" s="29">
        <f t="shared" ref="S62" si="241">1-SUM(S63:S65)</f>
        <v>0.35960000000000003</v>
      </c>
      <c r="T62" s="29">
        <f t="shared" ref="T62" si="242">1-SUM(T63:T65)</f>
        <v>0.36729999999999996</v>
      </c>
      <c r="U62" s="29">
        <f t="shared" ref="U62" si="243">1-SUM(U63:U65)</f>
        <v>0.35929999999999995</v>
      </c>
      <c r="V62" s="29">
        <f t="shared" ref="V62" si="244">1-SUM(V63:V65)</f>
        <v>0.36160000000000003</v>
      </c>
      <c r="W62" s="29">
        <f t="shared" ref="W62" si="245">1-SUM(W63:W65)</f>
        <v>0.35599999999999998</v>
      </c>
      <c r="X62" s="29">
        <f t="shared" ref="X62" si="246">1-SUM(X63:X65)</f>
        <v>0.3669</v>
      </c>
      <c r="Y62" s="29">
        <f t="shared" ref="Y62" si="247">1-SUM(Y63:Y65)</f>
        <v>0.36219999999999997</v>
      </c>
      <c r="Z62" s="29">
        <f t="shared" ref="Z62" si="248">1-SUM(Z63:Z65)</f>
        <v>0.36119999999999997</v>
      </c>
      <c r="AA62" s="29">
        <f t="shared" ref="AA62" si="249">1-SUM(AA63:AA65)</f>
        <v>0.36230000000000007</v>
      </c>
      <c r="AB62" s="29">
        <f t="shared" ref="AB62" si="250">1-SUM(AB63:AB65)</f>
        <v>0.3589</v>
      </c>
      <c r="AC62" s="29">
        <f t="shared" ref="AC62" si="251">1-SUM(AC63:AC65)</f>
        <v>0.35909999999999997</v>
      </c>
      <c r="AD62" s="29">
        <f t="shared" ref="AD62" si="252">1-SUM(AD63:AD65)</f>
        <v>0.35860000000000003</v>
      </c>
      <c r="AE62" s="29">
        <f t="shared" ref="AE62" si="253">1-SUM(AE63:AE65)</f>
        <v>0.35739999999999994</v>
      </c>
      <c r="AF62" s="29">
        <f t="shared" ref="AF62" si="254">1-SUM(AF63:AF65)</f>
        <v>0.36559999999999993</v>
      </c>
      <c r="AG62" s="29"/>
      <c r="AH62" s="48" t="s">
        <v>100</v>
      </c>
      <c r="AI62" s="10">
        <v>7.8972779569999957E-2</v>
      </c>
      <c r="AJ62" s="10">
        <v>9.1947580803119988E-2</v>
      </c>
      <c r="AK62" s="10">
        <v>9.356431440687199E-2</v>
      </c>
      <c r="AL62" s="10">
        <v>0.10550662033716598</v>
      </c>
      <c r="AM62" s="10">
        <v>8.029194852499999E-2</v>
      </c>
      <c r="AN62" s="10">
        <v>0.11243657306756</v>
      </c>
      <c r="AO62" s="10">
        <v>8.7311170300264029E-2</v>
      </c>
      <c r="AP62" s="10">
        <v>6.2171235941071976E-2</v>
      </c>
      <c r="AQ62" s="10">
        <v>0.12515253032742396</v>
      </c>
      <c r="AR62" s="10">
        <v>0.11626483867047502</v>
      </c>
      <c r="AS62" s="10">
        <v>0.13714880279080002</v>
      </c>
      <c r="AT62" s="10">
        <v>0.16159727126811199</v>
      </c>
      <c r="AU62" s="10">
        <v>9.4639801078079011E-2</v>
      </c>
      <c r="AV62" s="10">
        <v>0.12165215937690599</v>
      </c>
      <c r="AW62" s="10">
        <v>0.16183247711825005</v>
      </c>
      <c r="AX62" s="10">
        <v>0.13856410605142203</v>
      </c>
      <c r="AY62" s="10">
        <v>0.15065145830984003</v>
      </c>
      <c r="AZ62" s="10">
        <v>0.12969307900224503</v>
      </c>
      <c r="BA62" s="10">
        <v>0.14454961608632008</v>
      </c>
      <c r="BB62" s="10">
        <v>0.17636704312580004</v>
      </c>
      <c r="BC62" s="10">
        <v>0.14691287463773506</v>
      </c>
      <c r="BD62" s="10">
        <v>0.127721314653063</v>
      </c>
      <c r="BE62" s="10">
        <v>0.115772300473475</v>
      </c>
      <c r="BF62" s="10">
        <v>0.13274582891471204</v>
      </c>
      <c r="BG62" s="10">
        <v>0.11856890402524795</v>
      </c>
      <c r="BH62" s="10">
        <v>8.9739505640939993E-2</v>
      </c>
      <c r="BI62" s="10">
        <v>0.10424072289913999</v>
      </c>
      <c r="BJ62" s="10">
        <v>9.7181938545299995E-2</v>
      </c>
      <c r="BK62" s="10">
        <v>8.8087982643035967E-2</v>
      </c>
      <c r="BL62" s="10">
        <v>7.998210732499994E-2</v>
      </c>
      <c r="BN62" s="48" t="s">
        <v>100</v>
      </c>
      <c r="BO62" s="27" t="s">
        <v>119</v>
      </c>
      <c r="BP62" s="27" t="s">
        <v>120</v>
      </c>
      <c r="BQ62" s="27" t="s">
        <v>121</v>
      </c>
      <c r="BR62" s="27" t="s">
        <v>118</v>
      </c>
      <c r="BS62" s="27" t="s">
        <v>123</v>
      </c>
      <c r="BT62" s="27" t="s">
        <v>124</v>
      </c>
      <c r="BU62" s="27" t="s">
        <v>120</v>
      </c>
      <c r="BV62" s="27" t="s">
        <v>118</v>
      </c>
      <c r="BW62" s="27" t="s">
        <v>122</v>
      </c>
      <c r="BX62" s="27" t="s">
        <v>121</v>
      </c>
      <c r="BY62" s="27" t="s">
        <v>118</v>
      </c>
      <c r="BZ62" s="27" t="s">
        <v>119</v>
      </c>
      <c r="CA62" s="27" t="s">
        <v>119</v>
      </c>
      <c r="CB62" s="27" t="s">
        <v>123</v>
      </c>
      <c r="CC62" s="27" t="s">
        <v>118</v>
      </c>
      <c r="CD62" s="27" t="s">
        <v>123</v>
      </c>
      <c r="CE62" s="27" t="s">
        <v>124</v>
      </c>
      <c r="CF62" s="27" t="s">
        <v>120</v>
      </c>
      <c r="CG62" s="27" t="s">
        <v>121</v>
      </c>
      <c r="CH62" s="27" t="s">
        <v>124</v>
      </c>
      <c r="CI62" s="27" t="s">
        <v>122</v>
      </c>
      <c r="CJ62" s="27" t="s">
        <v>119</v>
      </c>
      <c r="CK62" s="27" t="s">
        <v>124</v>
      </c>
      <c r="CL62" s="27" t="s">
        <v>118</v>
      </c>
      <c r="CM62" s="27" t="s">
        <v>120</v>
      </c>
      <c r="CN62" s="27" t="s">
        <v>121</v>
      </c>
      <c r="CO62" s="27" t="s">
        <v>118</v>
      </c>
      <c r="CP62" s="27" t="s">
        <v>122</v>
      </c>
      <c r="CQ62" s="27" t="s">
        <v>121</v>
      </c>
      <c r="CR62" s="27" t="s">
        <v>119</v>
      </c>
    </row>
    <row r="63" spans="2:96" x14ac:dyDescent="0.35">
      <c r="B63" s="48" t="s">
        <v>101</v>
      </c>
      <c r="C63" s="29">
        <v>0.1384</v>
      </c>
      <c r="D63" s="29">
        <v>0.1414</v>
      </c>
      <c r="E63" s="29">
        <v>0.1419</v>
      </c>
      <c r="F63" s="29">
        <v>0.14019999999999999</v>
      </c>
      <c r="G63" s="29">
        <v>0.14130000000000001</v>
      </c>
      <c r="H63" s="29">
        <v>0.14119999999999999</v>
      </c>
      <c r="I63" s="29">
        <v>0.1381</v>
      </c>
      <c r="J63" s="29">
        <v>0.14099999999999999</v>
      </c>
      <c r="K63" s="29">
        <v>0.14130000000000001</v>
      </c>
      <c r="L63" s="29">
        <v>0.13830000000000001</v>
      </c>
      <c r="M63" s="29">
        <v>0.1356</v>
      </c>
      <c r="N63" s="29">
        <v>0.14119999999999999</v>
      </c>
      <c r="O63" s="29">
        <v>0.13850000000000001</v>
      </c>
      <c r="P63" s="29">
        <v>0.14130000000000001</v>
      </c>
      <c r="Q63" s="29">
        <v>0.13439999999999999</v>
      </c>
      <c r="R63" s="29">
        <v>0.13589999999999999</v>
      </c>
      <c r="S63" s="29">
        <v>0.13769999999999999</v>
      </c>
      <c r="T63" s="29">
        <v>0.13650000000000001</v>
      </c>
      <c r="U63" s="29">
        <v>0.13689999999999999</v>
      </c>
      <c r="V63" s="29">
        <v>0.1421</v>
      </c>
      <c r="W63" s="29">
        <v>0.13850000000000001</v>
      </c>
      <c r="X63" s="29">
        <v>0.1356</v>
      </c>
      <c r="Y63" s="29">
        <v>0.13950000000000001</v>
      </c>
      <c r="Z63" s="29">
        <v>0.14180000000000001</v>
      </c>
      <c r="AA63" s="29">
        <v>0.13619999999999999</v>
      </c>
      <c r="AB63" s="29">
        <v>0.13730000000000001</v>
      </c>
      <c r="AC63" s="29">
        <v>0.14219999999999999</v>
      </c>
      <c r="AD63" s="29">
        <v>0.14199999999999999</v>
      </c>
      <c r="AE63" s="29">
        <v>0.13519999999999999</v>
      </c>
      <c r="AF63" s="29">
        <v>0.1358</v>
      </c>
      <c r="AG63" s="29"/>
      <c r="AH63" s="48" t="s">
        <v>101</v>
      </c>
      <c r="AI63" s="54">
        <v>0.10497277956999995</v>
      </c>
      <c r="AJ63" s="54">
        <v>0.11794758080311998</v>
      </c>
      <c r="AK63" s="54">
        <v>0.11956431440687199</v>
      </c>
      <c r="AL63" s="54">
        <v>0.13150662033716598</v>
      </c>
      <c r="AM63" s="54">
        <v>0.10629194852499999</v>
      </c>
      <c r="AN63" s="54">
        <v>0.13843657306755999</v>
      </c>
      <c r="AO63" s="54">
        <v>0.11331117030026402</v>
      </c>
      <c r="AP63" s="54">
        <v>8.8171235941071971E-2</v>
      </c>
      <c r="AQ63" s="54">
        <v>0.15115253032742396</v>
      </c>
      <c r="AR63" s="54">
        <v>0.14226483867047501</v>
      </c>
      <c r="AS63" s="54">
        <v>0.16314880279080002</v>
      </c>
      <c r="AT63" s="54">
        <v>0.18759727126811199</v>
      </c>
      <c r="AU63" s="54">
        <v>0.12063980107807901</v>
      </c>
      <c r="AV63" s="54">
        <v>0.14765215937690598</v>
      </c>
      <c r="AW63" s="54">
        <v>0.18783247711825005</v>
      </c>
      <c r="AX63" s="54">
        <v>0.16456410605142202</v>
      </c>
      <c r="AY63" s="54">
        <v>0.17665145830984003</v>
      </c>
      <c r="AZ63" s="54">
        <v>0.15569307900224502</v>
      </c>
      <c r="BA63" s="54">
        <v>0.17054961608632008</v>
      </c>
      <c r="BB63" s="54">
        <v>0.20236704312580003</v>
      </c>
      <c r="BC63" s="54">
        <v>0.17291287463773505</v>
      </c>
      <c r="BD63" s="54">
        <v>0.15372131465306299</v>
      </c>
      <c r="BE63" s="54">
        <v>0.141772300473475</v>
      </c>
      <c r="BF63" s="54">
        <v>0.15874582891471203</v>
      </c>
      <c r="BG63" s="54">
        <v>0.14456890402524794</v>
      </c>
      <c r="BH63" s="54">
        <v>0.11573950564093999</v>
      </c>
      <c r="BI63" s="54">
        <v>0.13024072289913999</v>
      </c>
      <c r="BJ63" s="54">
        <v>0.12318193854529999</v>
      </c>
      <c r="BK63" s="54">
        <v>0.11408798264303596</v>
      </c>
      <c r="BL63" s="54">
        <v>0.10598210732499994</v>
      </c>
      <c r="BN63" s="48" t="s">
        <v>101</v>
      </c>
      <c r="BO63" s="27" t="s">
        <v>120</v>
      </c>
      <c r="BP63" s="27" t="s">
        <v>122</v>
      </c>
      <c r="BQ63" s="27" t="s">
        <v>119</v>
      </c>
      <c r="BR63" s="27" t="s">
        <v>121</v>
      </c>
      <c r="BS63" s="27" t="s">
        <v>118</v>
      </c>
      <c r="BT63" s="27" t="s">
        <v>121</v>
      </c>
      <c r="BU63" s="27" t="s">
        <v>121</v>
      </c>
      <c r="BV63" s="27" t="s">
        <v>124</v>
      </c>
      <c r="BW63" s="27" t="s">
        <v>119</v>
      </c>
      <c r="BX63" s="27" t="s">
        <v>121</v>
      </c>
      <c r="BY63" s="27" t="s">
        <v>123</v>
      </c>
      <c r="BZ63" s="27" t="s">
        <v>122</v>
      </c>
      <c r="CA63" s="27" t="s">
        <v>119</v>
      </c>
      <c r="CB63" s="27" t="s">
        <v>119</v>
      </c>
      <c r="CC63" s="27" t="s">
        <v>121</v>
      </c>
      <c r="CD63" s="27" t="s">
        <v>124</v>
      </c>
      <c r="CE63" s="27" t="s">
        <v>118</v>
      </c>
      <c r="CF63" s="27" t="s">
        <v>119</v>
      </c>
      <c r="CG63" s="27" t="s">
        <v>118</v>
      </c>
      <c r="CH63" s="27" t="s">
        <v>122</v>
      </c>
      <c r="CI63" s="27" t="s">
        <v>123</v>
      </c>
      <c r="CJ63" s="27" t="s">
        <v>122</v>
      </c>
      <c r="CK63" s="27" t="s">
        <v>123</v>
      </c>
      <c r="CL63" s="27" t="s">
        <v>118</v>
      </c>
      <c r="CM63" s="27" t="s">
        <v>123</v>
      </c>
      <c r="CN63" s="27" t="s">
        <v>118</v>
      </c>
      <c r="CO63" s="27" t="s">
        <v>123</v>
      </c>
      <c r="CP63" s="27" t="s">
        <v>120</v>
      </c>
      <c r="CQ63" s="27" t="s">
        <v>122</v>
      </c>
      <c r="CR63" s="27" t="s">
        <v>120</v>
      </c>
    </row>
    <row r="64" spans="2:96" x14ac:dyDescent="0.35">
      <c r="B64" s="48" t="s">
        <v>102</v>
      </c>
      <c r="C64" s="29">
        <v>0.16350000000000001</v>
      </c>
      <c r="D64" s="29">
        <v>0.16819999999999999</v>
      </c>
      <c r="E64" s="29">
        <v>0.1681</v>
      </c>
      <c r="F64" s="29">
        <v>0.16689999999999999</v>
      </c>
      <c r="G64" s="29">
        <v>0.1653</v>
      </c>
      <c r="H64" s="29">
        <v>0.1658</v>
      </c>
      <c r="I64" s="29">
        <v>0.16389999999999999</v>
      </c>
      <c r="J64" s="29">
        <v>0.16539999999999999</v>
      </c>
      <c r="K64" s="29">
        <v>0.1651</v>
      </c>
      <c r="L64" s="29">
        <v>0.1641</v>
      </c>
      <c r="M64" s="29">
        <v>0.16450000000000001</v>
      </c>
      <c r="N64" s="29">
        <v>0.1636</v>
      </c>
      <c r="O64" s="29">
        <v>0.16639999999999999</v>
      </c>
      <c r="P64" s="29">
        <v>0.16569999999999999</v>
      </c>
      <c r="Q64" s="29">
        <v>0.1658</v>
      </c>
      <c r="R64" s="29">
        <v>0.1661</v>
      </c>
      <c r="S64" s="29">
        <v>0.16739999999999999</v>
      </c>
      <c r="T64" s="29">
        <v>0.1651</v>
      </c>
      <c r="U64" s="29">
        <v>0.16400000000000001</v>
      </c>
      <c r="V64" s="29">
        <v>0.1666</v>
      </c>
      <c r="W64" s="29">
        <v>0.16489999999999999</v>
      </c>
      <c r="X64" s="29">
        <v>0.16619999999999999</v>
      </c>
      <c r="Y64" s="29">
        <v>0.16880000000000001</v>
      </c>
      <c r="Z64" s="29">
        <v>0.16539999999999999</v>
      </c>
      <c r="AA64" s="29">
        <v>0.1701</v>
      </c>
      <c r="AB64" s="29">
        <v>0.1681</v>
      </c>
      <c r="AC64" s="29">
        <v>0.16930000000000001</v>
      </c>
      <c r="AD64" s="29">
        <v>0.1653</v>
      </c>
      <c r="AE64" s="29">
        <v>0.1673</v>
      </c>
      <c r="AF64" s="29">
        <v>0.16950000000000001</v>
      </c>
      <c r="AG64" s="29"/>
      <c r="AH64" s="48" t="s">
        <v>102</v>
      </c>
      <c r="AI64" s="10">
        <v>0.12997277956999995</v>
      </c>
      <c r="AJ64" s="10">
        <v>0.14294758080311998</v>
      </c>
      <c r="AK64" s="10">
        <v>0.14456431440687198</v>
      </c>
      <c r="AL64" s="10">
        <v>0.15650662033716597</v>
      </c>
      <c r="AM64" s="10">
        <v>0.13129194852499998</v>
      </c>
      <c r="AN64" s="10">
        <v>0.16343657306755999</v>
      </c>
      <c r="AO64" s="10">
        <v>0.13831117030026402</v>
      </c>
      <c r="AP64" s="10">
        <v>0.11317123594107197</v>
      </c>
      <c r="AQ64" s="10">
        <v>0.17615253032742395</v>
      </c>
      <c r="AR64" s="10">
        <v>0.16726483867047501</v>
      </c>
      <c r="AS64" s="10">
        <v>0.18814880279080001</v>
      </c>
      <c r="AT64" s="10">
        <v>0.21259727126811198</v>
      </c>
      <c r="AU64" s="10">
        <v>0.145639801078079</v>
      </c>
      <c r="AV64" s="10">
        <v>0.17265215937690598</v>
      </c>
      <c r="AW64" s="10">
        <v>0.21283247711825004</v>
      </c>
      <c r="AX64" s="10">
        <v>0.18956410605142202</v>
      </c>
      <c r="AY64" s="10">
        <v>0.20165145830984002</v>
      </c>
      <c r="AZ64" s="10">
        <v>0.18069307900224502</v>
      </c>
      <c r="BA64" s="10">
        <v>0.19554961608632007</v>
      </c>
      <c r="BB64" s="10">
        <v>0.22736704312580003</v>
      </c>
      <c r="BC64" s="10">
        <v>0.19791287463773505</v>
      </c>
      <c r="BD64" s="10">
        <v>0.17872131465306298</v>
      </c>
      <c r="BE64" s="10">
        <v>0.16677230047347499</v>
      </c>
      <c r="BF64" s="10">
        <v>0.18374582891471203</v>
      </c>
      <c r="BG64" s="10">
        <v>0.16956890402524794</v>
      </c>
      <c r="BH64" s="10">
        <v>0.14073950564093998</v>
      </c>
      <c r="BI64" s="10">
        <v>0.15524072289913998</v>
      </c>
      <c r="BJ64" s="10">
        <v>0.14818193854529998</v>
      </c>
      <c r="BK64" s="10">
        <v>0.13908798264303596</v>
      </c>
      <c r="BL64" s="10">
        <v>0.13098210732499993</v>
      </c>
      <c r="BN64" s="48" t="s">
        <v>102</v>
      </c>
      <c r="BO64" s="27" t="s">
        <v>123</v>
      </c>
      <c r="BP64" s="27" t="s">
        <v>124</v>
      </c>
      <c r="BQ64" s="27" t="s">
        <v>123</v>
      </c>
      <c r="BR64" s="27" t="s">
        <v>120</v>
      </c>
      <c r="BS64" s="27" t="s">
        <v>120</v>
      </c>
      <c r="BT64" s="27" t="s">
        <v>118</v>
      </c>
      <c r="BU64" s="27" t="s">
        <v>120</v>
      </c>
      <c r="BV64" s="27" t="s">
        <v>123</v>
      </c>
      <c r="BW64" s="27" t="s">
        <v>124</v>
      </c>
      <c r="BX64" s="27" t="s">
        <v>123</v>
      </c>
      <c r="BY64" s="27" t="s">
        <v>118</v>
      </c>
      <c r="BZ64" s="27" t="s">
        <v>119</v>
      </c>
      <c r="CA64" s="27" t="s">
        <v>118</v>
      </c>
      <c r="CB64" s="27" t="s">
        <v>120</v>
      </c>
      <c r="CC64" s="27" t="s">
        <v>120</v>
      </c>
      <c r="CD64" s="27" t="s">
        <v>118</v>
      </c>
      <c r="CE64" s="27" t="s">
        <v>119</v>
      </c>
      <c r="CF64" s="27" t="s">
        <v>122</v>
      </c>
      <c r="CG64" s="27" t="s">
        <v>123</v>
      </c>
      <c r="CH64" s="27" t="s">
        <v>123</v>
      </c>
      <c r="CI64" s="27" t="s">
        <v>119</v>
      </c>
      <c r="CJ64" s="27" t="s">
        <v>122</v>
      </c>
      <c r="CK64" s="27" t="s">
        <v>123</v>
      </c>
      <c r="CL64" s="27" t="s">
        <v>120</v>
      </c>
      <c r="CM64" s="27" t="s">
        <v>118</v>
      </c>
      <c r="CN64" s="27" t="s">
        <v>124</v>
      </c>
      <c r="CO64" s="27" t="s">
        <v>118</v>
      </c>
      <c r="CP64" s="27" t="s">
        <v>119</v>
      </c>
      <c r="CQ64" s="27" t="s">
        <v>119</v>
      </c>
      <c r="CR64" s="27" t="s">
        <v>123</v>
      </c>
    </row>
    <row r="65" spans="2:96" x14ac:dyDescent="0.35">
      <c r="B65" s="48" t="s">
        <v>103</v>
      </c>
      <c r="C65" s="29">
        <v>0.32800000000000001</v>
      </c>
      <c r="D65" s="29">
        <v>0.33279999999999998</v>
      </c>
      <c r="E65" s="29">
        <v>0.32919999999999999</v>
      </c>
      <c r="F65" s="29">
        <v>0.33350000000000002</v>
      </c>
      <c r="G65" s="29">
        <v>0.3337</v>
      </c>
      <c r="H65" s="29">
        <v>0.32779999999999998</v>
      </c>
      <c r="I65" s="29">
        <v>0.32729999999999998</v>
      </c>
      <c r="J65" s="29">
        <v>0.33579999999999999</v>
      </c>
      <c r="K65" s="29">
        <v>0.33560000000000001</v>
      </c>
      <c r="L65" s="29">
        <v>0.33510000000000001</v>
      </c>
      <c r="M65" s="29">
        <v>0.33700000000000002</v>
      </c>
      <c r="N65" s="29">
        <v>0.32700000000000001</v>
      </c>
      <c r="O65" s="29">
        <v>0.33760000000000001</v>
      </c>
      <c r="P65" s="29">
        <v>0.33239999999999997</v>
      </c>
      <c r="Q65" s="29">
        <v>0.33729999999999999</v>
      </c>
      <c r="R65" s="29">
        <v>0.32929999999999998</v>
      </c>
      <c r="S65" s="29">
        <v>0.33529999999999999</v>
      </c>
      <c r="T65" s="29">
        <v>0.33110000000000001</v>
      </c>
      <c r="U65" s="29">
        <v>0.33979999999999999</v>
      </c>
      <c r="V65" s="29">
        <v>0.32969999999999999</v>
      </c>
      <c r="W65" s="29">
        <v>0.34060000000000001</v>
      </c>
      <c r="X65" s="29">
        <v>0.33129999999999998</v>
      </c>
      <c r="Y65" s="29">
        <v>0.32950000000000002</v>
      </c>
      <c r="Z65" s="29">
        <v>0.33160000000000001</v>
      </c>
      <c r="AA65" s="29">
        <v>0.33139999999999997</v>
      </c>
      <c r="AB65" s="29">
        <v>0.3357</v>
      </c>
      <c r="AC65" s="29">
        <v>0.32940000000000003</v>
      </c>
      <c r="AD65" s="29">
        <v>0.33410000000000001</v>
      </c>
      <c r="AE65" s="29">
        <v>0.34010000000000001</v>
      </c>
      <c r="AF65" s="29">
        <v>0.3291</v>
      </c>
      <c r="AG65" s="29"/>
      <c r="AH65" s="48" t="s">
        <v>103</v>
      </c>
      <c r="AI65" s="10">
        <v>0.14497277956999996</v>
      </c>
      <c r="AJ65" s="10">
        <v>0.15794758080311999</v>
      </c>
      <c r="AK65" s="10">
        <v>0.15956431440687199</v>
      </c>
      <c r="AL65" s="10">
        <v>0.17150662033716599</v>
      </c>
      <c r="AM65" s="10">
        <v>0.14629194852499999</v>
      </c>
      <c r="AN65" s="10">
        <v>0.17843657306756</v>
      </c>
      <c r="AO65" s="10">
        <v>0.15331117030026403</v>
      </c>
      <c r="AP65" s="10">
        <v>0.12817123594107199</v>
      </c>
      <c r="AQ65" s="10">
        <v>0.19115253032742396</v>
      </c>
      <c r="AR65" s="10">
        <v>0.18226483867047502</v>
      </c>
      <c r="AS65" s="10">
        <v>0.20314880279080003</v>
      </c>
      <c r="AT65" s="10">
        <v>0.22759727126811199</v>
      </c>
      <c r="AU65" s="10">
        <v>0.16063980107807901</v>
      </c>
      <c r="AV65" s="10">
        <v>0.18765215937690599</v>
      </c>
      <c r="AW65" s="10">
        <v>0.22783247711825005</v>
      </c>
      <c r="AX65" s="10">
        <v>0.20456410605142203</v>
      </c>
      <c r="AY65" s="10">
        <v>0.21665145830984003</v>
      </c>
      <c r="AZ65" s="10">
        <v>0.19569307900224503</v>
      </c>
      <c r="BA65" s="10">
        <v>0.21054961608632008</v>
      </c>
      <c r="BB65" s="10">
        <v>0.24236704312580004</v>
      </c>
      <c r="BC65" s="10">
        <v>0.21291287463773506</v>
      </c>
      <c r="BD65" s="10">
        <v>0.193721314653063</v>
      </c>
      <c r="BE65" s="10">
        <v>0.18177230047347501</v>
      </c>
      <c r="BF65" s="10">
        <v>0.19874582891471204</v>
      </c>
      <c r="BG65" s="10">
        <v>0.18456890402524795</v>
      </c>
      <c r="BH65" s="10">
        <v>0.15573950564094</v>
      </c>
      <c r="BI65" s="10">
        <v>0.17024072289914</v>
      </c>
      <c r="BJ65" s="10">
        <v>0.1631819385453</v>
      </c>
      <c r="BK65" s="10">
        <v>0.15408798264303597</v>
      </c>
      <c r="BL65" s="10">
        <v>0.14598210732499994</v>
      </c>
      <c r="BN65" s="48" t="s">
        <v>103</v>
      </c>
      <c r="BO65" s="27" t="s">
        <v>124</v>
      </c>
      <c r="BP65" s="27" t="s">
        <v>123</v>
      </c>
      <c r="BQ65" s="27" t="s">
        <v>124</v>
      </c>
      <c r="BR65" s="27" t="s">
        <v>124</v>
      </c>
      <c r="BS65" s="27" t="s">
        <v>120</v>
      </c>
      <c r="BT65" s="27" t="s">
        <v>121</v>
      </c>
      <c r="BU65" s="27" t="s">
        <v>124</v>
      </c>
      <c r="BV65" s="27" t="s">
        <v>120</v>
      </c>
      <c r="BW65" s="27" t="s">
        <v>118</v>
      </c>
      <c r="BX65" s="27" t="s">
        <v>120</v>
      </c>
      <c r="BY65" s="27" t="s">
        <v>119</v>
      </c>
      <c r="BZ65" s="27" t="s">
        <v>124</v>
      </c>
      <c r="CA65" s="27" t="s">
        <v>121</v>
      </c>
      <c r="CB65" s="27" t="s">
        <v>121</v>
      </c>
      <c r="CC65" s="27" t="s">
        <v>124</v>
      </c>
      <c r="CD65" s="27" t="s">
        <v>118</v>
      </c>
      <c r="CE65" s="27" t="s">
        <v>124</v>
      </c>
      <c r="CF65" s="27" t="s">
        <v>118</v>
      </c>
      <c r="CG65" s="27" t="s">
        <v>123</v>
      </c>
      <c r="CH65" s="27" t="s">
        <v>121</v>
      </c>
      <c r="CI65" s="27" t="s">
        <v>123</v>
      </c>
      <c r="CJ65" s="27" t="s">
        <v>123</v>
      </c>
      <c r="CK65" s="27" t="s">
        <v>118</v>
      </c>
      <c r="CL65" s="27" t="s">
        <v>120</v>
      </c>
      <c r="CM65" s="27" t="s">
        <v>118</v>
      </c>
      <c r="CN65" s="27" t="s">
        <v>120</v>
      </c>
      <c r="CO65" s="27" t="s">
        <v>120</v>
      </c>
      <c r="CP65" s="27" t="s">
        <v>121</v>
      </c>
      <c r="CQ65" s="27" t="s">
        <v>122</v>
      </c>
      <c r="CR65" s="27" t="s">
        <v>118</v>
      </c>
    </row>
    <row r="66" spans="2:96" x14ac:dyDescent="0.35"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</row>
    <row r="67" spans="2:96" x14ac:dyDescent="0.35">
      <c r="B67" s="37" t="s">
        <v>104</v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37" t="s">
        <v>104</v>
      </c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N67" s="37" t="s">
        <v>104</v>
      </c>
    </row>
    <row r="68" spans="2:96" x14ac:dyDescent="0.35">
      <c r="B68" s="43" t="s">
        <v>105</v>
      </c>
      <c r="C68" s="29">
        <f t="shared" ref="C68" si="255">1-SUM(C69:C70)</f>
        <v>0.62419999999999998</v>
      </c>
      <c r="D68" s="29">
        <f t="shared" ref="D68" si="256">1-SUM(D69:D70)</f>
        <v>0.624</v>
      </c>
      <c r="E68" s="29">
        <f t="shared" ref="E68" si="257">1-SUM(E69:E70)</f>
        <v>0.61850000000000005</v>
      </c>
      <c r="F68" s="29">
        <f t="shared" ref="F68" si="258">1-SUM(F69:F70)</f>
        <v>0.62420000000000009</v>
      </c>
      <c r="G68" s="29">
        <f t="shared" ref="G68" si="259">1-SUM(G69:G70)</f>
        <v>0.63429999999999997</v>
      </c>
      <c r="H68" s="29">
        <f t="shared" ref="H68" si="260">1-SUM(H69:H70)</f>
        <v>0.62960000000000005</v>
      </c>
      <c r="I68" s="29">
        <f t="shared" ref="I68" si="261">1-SUM(I69:I70)</f>
        <v>0.62780000000000002</v>
      </c>
      <c r="J68" s="29">
        <f t="shared" ref="J68" si="262">1-SUM(J69:J70)</f>
        <v>0.62250000000000005</v>
      </c>
      <c r="K68" s="29">
        <f t="shared" ref="K68" si="263">1-SUM(K69:K70)</f>
        <v>0.62719999999999998</v>
      </c>
      <c r="L68" s="29">
        <f t="shared" ref="L68" si="264">1-SUM(L69:L70)</f>
        <v>0.62670000000000003</v>
      </c>
      <c r="M68" s="29">
        <f t="shared" ref="M68" si="265">1-SUM(M69:M70)</f>
        <v>0.63400000000000001</v>
      </c>
      <c r="N68" s="29">
        <f t="shared" ref="N68" si="266">1-SUM(N69:N70)</f>
        <v>0.62180000000000002</v>
      </c>
      <c r="O68" s="29">
        <f t="shared" ref="O68" si="267">1-SUM(O69:O70)</f>
        <v>0.63119999999999998</v>
      </c>
      <c r="P68" s="29">
        <f t="shared" ref="P68" si="268">1-SUM(P69:P70)</f>
        <v>0.62690000000000001</v>
      </c>
      <c r="Q68" s="29">
        <f t="shared" ref="Q68" si="269">1-SUM(Q69:Q70)</f>
        <v>0.62929999999999997</v>
      </c>
      <c r="R68" s="29">
        <f t="shared" ref="R68" si="270">1-SUM(R69:R70)</f>
        <v>0.62359999999999993</v>
      </c>
      <c r="S68" s="29">
        <f t="shared" ref="S68" si="271">1-SUM(S69:S70)</f>
        <v>0.62390000000000001</v>
      </c>
      <c r="T68" s="29">
        <f t="shared" ref="T68" si="272">1-SUM(T69:T70)</f>
        <v>0.63019999999999998</v>
      </c>
      <c r="U68" s="29">
        <f t="shared" ref="U68" si="273">1-SUM(U69:U70)</f>
        <v>0.62470000000000003</v>
      </c>
      <c r="V68" s="29">
        <f t="shared" ref="V68" si="274">1-SUM(V69:V70)</f>
        <v>0.63449999999999995</v>
      </c>
      <c r="W68" s="29">
        <f t="shared" ref="W68" si="275">1-SUM(W69:W70)</f>
        <v>0.61519999999999997</v>
      </c>
      <c r="X68" s="29">
        <f t="shared" ref="X68" si="276">1-SUM(X69:X70)</f>
        <v>0.6341</v>
      </c>
      <c r="Y68" s="29">
        <f t="shared" ref="Y68" si="277">1-SUM(Y69:Y70)</f>
        <v>0.61979999999999991</v>
      </c>
      <c r="Z68" s="29">
        <f t="shared" ref="Z68" si="278">1-SUM(Z69:Z70)</f>
        <v>0.629</v>
      </c>
      <c r="AA68" s="29">
        <f t="shared" ref="AA68" si="279">1-SUM(AA69:AA70)</f>
        <v>0.63270000000000004</v>
      </c>
      <c r="AB68" s="29">
        <f t="shared" ref="AB68" si="280">1-SUM(AB69:AB70)</f>
        <v>0.62009999999999998</v>
      </c>
      <c r="AC68" s="29">
        <f t="shared" ref="AC68" si="281">1-SUM(AC69:AC70)</f>
        <v>0.62749999999999995</v>
      </c>
      <c r="AD68" s="29">
        <f t="shared" ref="AD68" si="282">1-SUM(AD69:AD70)</f>
        <v>0.62349999999999994</v>
      </c>
      <c r="AE68" s="29">
        <f t="shared" ref="AE68" si="283">1-SUM(AE69:AE70)</f>
        <v>0.62729999999999997</v>
      </c>
      <c r="AF68" s="29">
        <f t="shared" ref="AF68" si="284">1-SUM(AF69:AF70)</f>
        <v>0.62380000000000002</v>
      </c>
      <c r="AG68" s="29"/>
      <c r="AH68" s="43" t="s">
        <v>105</v>
      </c>
      <c r="AI68" s="31">
        <v>0.12727589999999997</v>
      </c>
      <c r="AJ68" s="31">
        <v>0.14027430000000002</v>
      </c>
      <c r="AK68" s="31">
        <v>0.1414725</v>
      </c>
      <c r="AL68" s="31">
        <v>0.15350610000000001</v>
      </c>
      <c r="AM68" s="31">
        <v>0.12870290000000004</v>
      </c>
      <c r="AN68" s="31">
        <v>0.16069490000000003</v>
      </c>
      <c r="AO68" s="31">
        <v>0.13553970000000004</v>
      </c>
      <c r="AP68" s="31">
        <v>0.11044690000000003</v>
      </c>
      <c r="AQ68" s="31">
        <v>0.17363410000000001</v>
      </c>
      <c r="AR68" s="31">
        <v>0.16457170000000002</v>
      </c>
      <c r="AS68" s="31">
        <v>0.18576759440000004</v>
      </c>
      <c r="AT68" s="31">
        <v>0.20986369440000002</v>
      </c>
      <c r="AU68" s="31">
        <v>0.14262999440000007</v>
      </c>
      <c r="AV68" s="31">
        <v>0.16982529440000002</v>
      </c>
      <c r="AW68" s="31">
        <v>0.20992859440000008</v>
      </c>
      <c r="AX68" s="31">
        <v>0.18692059440000006</v>
      </c>
      <c r="AY68" s="31">
        <v>0.1989237944000001</v>
      </c>
      <c r="AZ68" s="31">
        <v>0.17801019440000004</v>
      </c>
      <c r="BA68" s="31">
        <v>0.19293819440000007</v>
      </c>
      <c r="BB68" s="31">
        <v>0.22507259440000008</v>
      </c>
      <c r="BC68" s="31">
        <v>0.19472859440000007</v>
      </c>
      <c r="BD68" s="31">
        <v>0.17602369440000001</v>
      </c>
      <c r="BE68" s="31">
        <v>0.16379809440000001</v>
      </c>
      <c r="BF68" s="31">
        <v>0.18086689440000003</v>
      </c>
      <c r="BG68" s="31">
        <v>0.16677790000000001</v>
      </c>
      <c r="BH68" s="31">
        <v>0.13762750000000001</v>
      </c>
      <c r="BI68" s="31">
        <v>0.15266430000000003</v>
      </c>
      <c r="BJ68" s="31">
        <v>0.14532710000000001</v>
      </c>
      <c r="BK68" s="31">
        <v>0.13642309999999999</v>
      </c>
      <c r="BL68" s="31">
        <v>0.1282855</v>
      </c>
      <c r="BN68" s="43" t="s">
        <v>105</v>
      </c>
      <c r="BO68" s="27" t="s">
        <v>124</v>
      </c>
      <c r="BP68" s="27" t="s">
        <v>119</v>
      </c>
      <c r="BQ68" s="27" t="s">
        <v>122</v>
      </c>
      <c r="BR68" s="27" t="s">
        <v>122</v>
      </c>
      <c r="BS68" s="27" t="s">
        <v>120</v>
      </c>
      <c r="BT68" s="27" t="s">
        <v>119</v>
      </c>
      <c r="BU68" s="27" t="s">
        <v>118</v>
      </c>
      <c r="BV68" s="27" t="s">
        <v>118</v>
      </c>
      <c r="BW68" s="27" t="s">
        <v>122</v>
      </c>
      <c r="BX68" s="27" t="s">
        <v>121</v>
      </c>
      <c r="BY68" s="27" t="s">
        <v>123</v>
      </c>
      <c r="BZ68" s="27" t="s">
        <v>119</v>
      </c>
      <c r="CA68" s="27" t="s">
        <v>120</v>
      </c>
      <c r="CB68" s="27" t="s">
        <v>122</v>
      </c>
      <c r="CC68" s="27" t="s">
        <v>118</v>
      </c>
      <c r="CD68" s="27" t="s">
        <v>120</v>
      </c>
      <c r="CE68" s="27" t="s">
        <v>121</v>
      </c>
      <c r="CF68" s="27" t="s">
        <v>123</v>
      </c>
      <c r="CG68" s="27" t="s">
        <v>121</v>
      </c>
      <c r="CH68" s="27" t="s">
        <v>121</v>
      </c>
      <c r="CI68" s="27" t="s">
        <v>119</v>
      </c>
      <c r="CJ68" s="27" t="s">
        <v>122</v>
      </c>
      <c r="CK68" s="27" t="s">
        <v>118</v>
      </c>
      <c r="CL68" s="27" t="s">
        <v>120</v>
      </c>
      <c r="CM68" s="27" t="s">
        <v>121</v>
      </c>
      <c r="CN68" s="27" t="s">
        <v>124</v>
      </c>
      <c r="CO68" s="27" t="s">
        <v>123</v>
      </c>
      <c r="CP68" s="27" t="s">
        <v>119</v>
      </c>
      <c r="CQ68" s="27" t="s">
        <v>123</v>
      </c>
      <c r="CR68" s="27" t="s">
        <v>123</v>
      </c>
    </row>
    <row r="69" spans="2:96" x14ac:dyDescent="0.35">
      <c r="B69" s="43" t="s">
        <v>106</v>
      </c>
      <c r="C69" s="29">
        <v>0.25380000000000003</v>
      </c>
      <c r="D69" s="29">
        <v>0.25409999999999999</v>
      </c>
      <c r="E69" s="29">
        <v>0.26300000000000001</v>
      </c>
      <c r="F69" s="29">
        <v>0.25369999999999998</v>
      </c>
      <c r="G69" s="29">
        <v>0.24579999999999999</v>
      </c>
      <c r="H69" s="29">
        <v>0.25469999999999998</v>
      </c>
      <c r="I69" s="29">
        <v>0.24859999999999999</v>
      </c>
      <c r="J69" s="29">
        <v>0.25340000000000001</v>
      </c>
      <c r="K69" s="29">
        <v>0.25569999999999998</v>
      </c>
      <c r="L69" s="29">
        <v>0.25280000000000002</v>
      </c>
      <c r="M69" s="29">
        <v>0.24929999999999999</v>
      </c>
      <c r="N69" s="29">
        <v>0.26250000000000001</v>
      </c>
      <c r="O69" s="29">
        <v>0.24629999999999999</v>
      </c>
      <c r="P69" s="29">
        <v>0.24990000000000001</v>
      </c>
      <c r="Q69" s="29">
        <v>0.248</v>
      </c>
      <c r="R69" s="29">
        <v>0.25890000000000002</v>
      </c>
      <c r="S69" s="29">
        <v>0.25850000000000001</v>
      </c>
      <c r="T69" s="29">
        <v>0.25130000000000002</v>
      </c>
      <c r="U69" s="29">
        <v>0.25779999999999997</v>
      </c>
      <c r="V69" s="29">
        <v>0.24660000000000001</v>
      </c>
      <c r="W69" s="29">
        <v>0.26369999999999999</v>
      </c>
      <c r="X69" s="29">
        <v>0.24790000000000001</v>
      </c>
      <c r="Y69" s="29">
        <v>0.26240000000000002</v>
      </c>
      <c r="Z69" s="29">
        <v>0.24829999999999999</v>
      </c>
      <c r="AA69" s="29">
        <v>0.24579999999999999</v>
      </c>
      <c r="AB69" s="29">
        <v>0.2616</v>
      </c>
      <c r="AC69" s="29">
        <v>0.24909999999999999</v>
      </c>
      <c r="AD69" s="29">
        <v>0.25740000000000002</v>
      </c>
      <c r="AE69" s="29">
        <v>0.25580000000000003</v>
      </c>
      <c r="AF69" s="29">
        <v>0.25419999999999998</v>
      </c>
      <c r="AG69" s="29"/>
      <c r="AH69" s="43" t="s">
        <v>106</v>
      </c>
      <c r="AI69" s="31">
        <v>0.14327589999999996</v>
      </c>
      <c r="AJ69" s="31">
        <v>0.1562743</v>
      </c>
      <c r="AK69" s="31">
        <v>0.15747249999999999</v>
      </c>
      <c r="AL69" s="31">
        <v>0.16950609999999999</v>
      </c>
      <c r="AM69" s="31">
        <v>0.14470290000000002</v>
      </c>
      <c r="AN69" s="31">
        <v>0.17669490000000002</v>
      </c>
      <c r="AO69" s="31">
        <v>0.15153970000000003</v>
      </c>
      <c r="AP69" s="31">
        <v>0.12644690000000003</v>
      </c>
      <c r="AQ69" s="31">
        <v>0.1896341</v>
      </c>
      <c r="AR69" s="31">
        <v>0.1805717</v>
      </c>
      <c r="AS69" s="31">
        <v>0.20176759440000003</v>
      </c>
      <c r="AT69" s="31">
        <v>0.22586369440000001</v>
      </c>
      <c r="AU69" s="31">
        <v>0.15862999440000006</v>
      </c>
      <c r="AV69" s="31">
        <v>0.18582529440000001</v>
      </c>
      <c r="AW69" s="31">
        <v>0.22592859440000007</v>
      </c>
      <c r="AX69" s="31">
        <v>0.20292059440000004</v>
      </c>
      <c r="AY69" s="31">
        <v>0.21492379440000009</v>
      </c>
      <c r="AZ69" s="31">
        <v>0.19401019440000003</v>
      </c>
      <c r="BA69" s="31">
        <v>0.20893819440000005</v>
      </c>
      <c r="BB69" s="31">
        <v>0.24107259440000006</v>
      </c>
      <c r="BC69" s="31">
        <v>0.21072859440000005</v>
      </c>
      <c r="BD69" s="31">
        <v>0.1920236944</v>
      </c>
      <c r="BE69" s="31">
        <v>0.1797980944</v>
      </c>
      <c r="BF69" s="31">
        <v>0.19686689440000002</v>
      </c>
      <c r="BG69" s="31">
        <v>0.18277789999999999</v>
      </c>
      <c r="BH69" s="31">
        <v>0.1536275</v>
      </c>
      <c r="BI69" s="31">
        <v>0.16866430000000002</v>
      </c>
      <c r="BJ69" s="31">
        <v>0.1613271</v>
      </c>
      <c r="BK69" s="31">
        <v>0.15242309999999998</v>
      </c>
      <c r="BL69" s="31">
        <v>0.14428549999999998</v>
      </c>
      <c r="BN69" s="43" t="s">
        <v>106</v>
      </c>
      <c r="BO69" s="27" t="s">
        <v>124</v>
      </c>
      <c r="BP69" s="27" t="s">
        <v>123</v>
      </c>
      <c r="BQ69" s="27" t="s">
        <v>123</v>
      </c>
      <c r="BR69" s="27" t="s">
        <v>119</v>
      </c>
      <c r="BS69" s="27" t="s">
        <v>123</v>
      </c>
      <c r="BT69" s="27" t="s">
        <v>118</v>
      </c>
      <c r="BU69" s="27" t="s">
        <v>119</v>
      </c>
      <c r="BV69" s="27" t="s">
        <v>120</v>
      </c>
      <c r="BW69" s="27" t="s">
        <v>123</v>
      </c>
      <c r="BX69" s="27" t="s">
        <v>120</v>
      </c>
      <c r="BY69" s="27" t="s">
        <v>122</v>
      </c>
      <c r="BZ69" s="27" t="s">
        <v>119</v>
      </c>
      <c r="CA69" s="27" t="s">
        <v>119</v>
      </c>
      <c r="CB69" s="27" t="s">
        <v>124</v>
      </c>
      <c r="CC69" s="27" t="s">
        <v>121</v>
      </c>
      <c r="CD69" s="27" t="s">
        <v>123</v>
      </c>
      <c r="CE69" s="27" t="s">
        <v>118</v>
      </c>
      <c r="CF69" s="27" t="s">
        <v>121</v>
      </c>
      <c r="CG69" s="27" t="s">
        <v>121</v>
      </c>
      <c r="CH69" s="27" t="s">
        <v>119</v>
      </c>
      <c r="CI69" s="27" t="s">
        <v>118</v>
      </c>
      <c r="CJ69" s="27" t="s">
        <v>124</v>
      </c>
      <c r="CK69" s="27" t="s">
        <v>124</v>
      </c>
      <c r="CL69" s="27" t="s">
        <v>121</v>
      </c>
      <c r="CM69" s="27" t="s">
        <v>121</v>
      </c>
      <c r="CN69" s="27" t="s">
        <v>121</v>
      </c>
      <c r="CO69" s="27" t="s">
        <v>119</v>
      </c>
      <c r="CP69" s="27" t="s">
        <v>122</v>
      </c>
      <c r="CQ69" s="27" t="s">
        <v>118</v>
      </c>
      <c r="CR69" s="27" t="s">
        <v>121</v>
      </c>
    </row>
    <row r="70" spans="2:96" x14ac:dyDescent="0.35">
      <c r="B70" s="43" t="s">
        <v>107</v>
      </c>
      <c r="C70" s="29">
        <v>0.122</v>
      </c>
      <c r="D70" s="29">
        <v>0.12189999999999999</v>
      </c>
      <c r="E70" s="29">
        <v>0.11849999999999999</v>
      </c>
      <c r="F70" s="29">
        <v>0.1221</v>
      </c>
      <c r="G70" s="29">
        <v>0.11990000000000001</v>
      </c>
      <c r="H70" s="29">
        <v>0.1157</v>
      </c>
      <c r="I70" s="29">
        <v>0.1236</v>
      </c>
      <c r="J70" s="29">
        <v>0.1241</v>
      </c>
      <c r="K70" s="29">
        <v>0.1171</v>
      </c>
      <c r="L70" s="29">
        <v>0.1205</v>
      </c>
      <c r="M70" s="29">
        <v>0.1167</v>
      </c>
      <c r="N70" s="29">
        <v>0.1157</v>
      </c>
      <c r="O70" s="29">
        <v>0.1225</v>
      </c>
      <c r="P70" s="29">
        <v>0.1232</v>
      </c>
      <c r="Q70" s="29">
        <v>0.1227</v>
      </c>
      <c r="R70" s="29">
        <v>0.11749999999999999</v>
      </c>
      <c r="S70" s="29">
        <v>0.1176</v>
      </c>
      <c r="T70" s="29">
        <v>0.11849999999999999</v>
      </c>
      <c r="U70" s="29">
        <v>0.11749999999999999</v>
      </c>
      <c r="V70" s="29">
        <v>0.11890000000000001</v>
      </c>
      <c r="W70" s="29">
        <v>0.1211</v>
      </c>
      <c r="X70" s="29">
        <v>0.11799999999999999</v>
      </c>
      <c r="Y70" s="29">
        <v>0.1178</v>
      </c>
      <c r="Z70" s="29">
        <v>0.1227</v>
      </c>
      <c r="AA70" s="29">
        <v>0.1215</v>
      </c>
      <c r="AB70" s="29">
        <v>0.1183</v>
      </c>
      <c r="AC70" s="29">
        <v>0.1234</v>
      </c>
      <c r="AD70" s="29">
        <v>0.1191</v>
      </c>
      <c r="AE70" s="29">
        <v>0.1169</v>
      </c>
      <c r="AF70" s="29">
        <v>0.122</v>
      </c>
      <c r="AG70" s="29"/>
      <c r="AH70" s="43" t="s">
        <v>107</v>
      </c>
      <c r="AI70" s="31">
        <v>0.15927589999999997</v>
      </c>
      <c r="AJ70" s="31">
        <v>0.17227430000000002</v>
      </c>
      <c r="AK70" s="31">
        <v>0.1734725</v>
      </c>
      <c r="AL70" s="31">
        <v>0.18550610000000001</v>
      </c>
      <c r="AM70" s="31">
        <v>0.16070290000000004</v>
      </c>
      <c r="AN70" s="31">
        <v>0.19269490000000003</v>
      </c>
      <c r="AO70" s="31">
        <v>0.16753970000000004</v>
      </c>
      <c r="AP70" s="31">
        <v>0.14244690000000004</v>
      </c>
      <c r="AQ70" s="31">
        <v>0.20563410000000001</v>
      </c>
      <c r="AR70" s="31">
        <v>0.19657170000000002</v>
      </c>
      <c r="AS70" s="31">
        <v>0.21776759440000004</v>
      </c>
      <c r="AT70" s="31">
        <v>0.24186369440000002</v>
      </c>
      <c r="AU70" s="31">
        <v>0.17462999440000007</v>
      </c>
      <c r="AV70" s="31">
        <v>0.20182529440000002</v>
      </c>
      <c r="AW70" s="31">
        <v>0.24192859440000009</v>
      </c>
      <c r="AX70" s="31">
        <v>0.21892059440000006</v>
      </c>
      <c r="AY70" s="31">
        <v>0.2309237944000001</v>
      </c>
      <c r="AZ70" s="31">
        <v>0.21001019440000004</v>
      </c>
      <c r="BA70" s="31">
        <v>0.22493819440000007</v>
      </c>
      <c r="BB70" s="31">
        <v>0.25707259440000008</v>
      </c>
      <c r="BC70" s="31">
        <v>0.22672859440000007</v>
      </c>
      <c r="BD70" s="31">
        <v>0.20802369440000001</v>
      </c>
      <c r="BE70" s="31">
        <v>0.19579809440000001</v>
      </c>
      <c r="BF70" s="31">
        <v>0.21286689440000003</v>
      </c>
      <c r="BG70" s="31">
        <v>0.19877790000000001</v>
      </c>
      <c r="BH70" s="31">
        <v>0.16962750000000001</v>
      </c>
      <c r="BI70" s="31">
        <v>0.18466430000000003</v>
      </c>
      <c r="BJ70" s="31">
        <v>0.17732710000000002</v>
      </c>
      <c r="BK70" s="31">
        <v>0.16842309999999999</v>
      </c>
      <c r="BL70" s="31">
        <v>0.1602855</v>
      </c>
      <c r="BN70" s="43" t="s">
        <v>107</v>
      </c>
      <c r="BO70" s="27" t="s">
        <v>122</v>
      </c>
      <c r="BP70" s="27" t="s">
        <v>124</v>
      </c>
      <c r="BQ70" s="27" t="s">
        <v>122</v>
      </c>
      <c r="BR70" s="27" t="s">
        <v>121</v>
      </c>
      <c r="BS70" s="27" t="s">
        <v>124</v>
      </c>
      <c r="BT70" s="27" t="s">
        <v>122</v>
      </c>
      <c r="BU70" s="27" t="s">
        <v>122</v>
      </c>
      <c r="BV70" s="27" t="s">
        <v>123</v>
      </c>
      <c r="BW70" s="27" t="s">
        <v>118</v>
      </c>
      <c r="BX70" s="27" t="s">
        <v>124</v>
      </c>
      <c r="BY70" s="27" t="s">
        <v>119</v>
      </c>
      <c r="BZ70" s="27" t="s">
        <v>124</v>
      </c>
      <c r="CA70" s="27" t="s">
        <v>122</v>
      </c>
      <c r="CB70" s="27" t="s">
        <v>123</v>
      </c>
      <c r="CC70" s="27" t="s">
        <v>124</v>
      </c>
      <c r="CD70" s="27" t="s">
        <v>118</v>
      </c>
      <c r="CE70" s="27" t="s">
        <v>119</v>
      </c>
      <c r="CF70" s="27" t="s">
        <v>122</v>
      </c>
      <c r="CG70" s="27" t="s">
        <v>124</v>
      </c>
      <c r="CH70" s="27" t="s">
        <v>120</v>
      </c>
      <c r="CI70" s="27" t="s">
        <v>123</v>
      </c>
      <c r="CJ70" s="27" t="s">
        <v>123</v>
      </c>
      <c r="CK70" s="27" t="s">
        <v>118</v>
      </c>
      <c r="CL70" s="27" t="s">
        <v>119</v>
      </c>
      <c r="CM70" s="27" t="s">
        <v>120</v>
      </c>
      <c r="CN70" s="27" t="s">
        <v>124</v>
      </c>
      <c r="CO70" s="27" t="s">
        <v>122</v>
      </c>
      <c r="CP70" s="27" t="s">
        <v>118</v>
      </c>
      <c r="CQ70" s="27" t="s">
        <v>119</v>
      </c>
      <c r="CR70" s="27" t="s">
        <v>123</v>
      </c>
    </row>
    <row r="71" spans="2:96" x14ac:dyDescent="0.35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5"/>
      <c r="AH71" s="5"/>
      <c r="AI71" s="31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</row>
    <row r="72" spans="2:96" x14ac:dyDescent="0.35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5"/>
      <c r="AH72" s="5"/>
      <c r="AI72" s="31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</row>
    <row r="73" spans="2:96" hidden="1" x14ac:dyDescent="0.35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5"/>
      <c r="AH73" s="5"/>
      <c r="AI73" s="31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</row>
    <row r="74" spans="2:96" hidden="1" x14ac:dyDescent="0.35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5"/>
      <c r="AH74" s="5"/>
      <c r="AI74" s="31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</row>
    <row r="75" spans="2:96" hidden="1" x14ac:dyDescent="0.35">
      <c r="B75" s="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5"/>
      <c r="AH75" s="5"/>
      <c r="AI75" s="31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</row>
    <row r="76" spans="2:96" hidden="1" x14ac:dyDescent="0.35">
      <c r="B76" s="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5"/>
      <c r="AH76" s="5"/>
      <c r="AI76" s="31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</row>
    <row r="77" spans="2:96" hidden="1" x14ac:dyDescent="0.35">
      <c r="B77" s="7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5"/>
      <c r="AH77" s="5"/>
      <c r="AI77" s="31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</row>
    <row r="78" spans="2:96" hidden="1" x14ac:dyDescent="0.35">
      <c r="B78" s="7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5"/>
      <c r="AH78" s="5"/>
      <c r="AI78" s="31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</row>
    <row r="79" spans="2:96" hidden="1" x14ac:dyDescent="0.35">
      <c r="B79" s="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5"/>
      <c r="AH79" s="5"/>
      <c r="AI79" s="31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</row>
    <row r="80" spans="2:96" hidden="1" x14ac:dyDescent="0.35">
      <c r="B80" s="7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5"/>
      <c r="AH80" s="5"/>
      <c r="AI80" s="31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</row>
    <row r="81" spans="2:64" hidden="1" x14ac:dyDescent="0.35">
      <c r="B81" s="7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5"/>
      <c r="AH81" s="5"/>
      <c r="AI81" s="31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</row>
    <row r="82" spans="2:64" hidden="1" x14ac:dyDescent="0.35">
      <c r="B82" s="7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5"/>
      <c r="AH82" s="5"/>
      <c r="AI82" s="31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</row>
    <row r="83" spans="2:64" hidden="1" x14ac:dyDescent="0.35">
      <c r="B83" s="7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5"/>
      <c r="AH83" s="5"/>
      <c r="AI83" s="31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</row>
    <row r="84" spans="2:64" hidden="1" x14ac:dyDescent="0.35">
      <c r="B84" s="7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5"/>
      <c r="AH84" s="5"/>
      <c r="AI84" s="31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</row>
    <row r="85" spans="2:64" hidden="1" x14ac:dyDescent="0.35">
      <c r="B85" s="7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5"/>
      <c r="AH85" s="5"/>
      <c r="AI85" s="31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</row>
    <row r="86" spans="2:64" hidden="1" x14ac:dyDescent="0.35">
      <c r="B86" s="46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5"/>
      <c r="AH86" s="5"/>
      <c r="AI86" s="31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</row>
    <row r="87" spans="2:64" hidden="1" x14ac:dyDescent="0.35">
      <c r="B87" s="46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5"/>
      <c r="AH87" s="5"/>
      <c r="AI87" s="31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</row>
    <row r="88" spans="2:64" hidden="1" x14ac:dyDescent="0.35"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5"/>
      <c r="AH88" s="5"/>
      <c r="AI88" s="31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</row>
    <row r="89" spans="2:64" hidden="1" x14ac:dyDescent="0.35">
      <c r="B89" s="7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5"/>
      <c r="AH89" s="5"/>
      <c r="AI89" s="31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</row>
    <row r="90" spans="2:64" hidden="1" x14ac:dyDescent="0.35">
      <c r="B90" s="46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5"/>
      <c r="AH90" s="5"/>
      <c r="AI90" s="31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</row>
    <row r="91" spans="2:64" hidden="1" x14ac:dyDescent="0.35">
      <c r="B91" s="46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5"/>
      <c r="AH91" s="5"/>
      <c r="AI91" s="31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</row>
    <row r="92" spans="2:64" hidden="1" x14ac:dyDescent="0.35"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5"/>
      <c r="AH92" s="5"/>
      <c r="AI92" s="31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</row>
    <row r="93" spans="2:64" hidden="1" x14ac:dyDescent="0.35"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5"/>
      <c r="AH93" s="5"/>
      <c r="AI93" s="31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</row>
    <row r="94" spans="2:64" hidden="1" x14ac:dyDescent="0.35"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5"/>
      <c r="AH94" s="5"/>
      <c r="AI94" s="31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</row>
    <row r="95" spans="2:64" hidden="1" x14ac:dyDescent="0.35"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5"/>
      <c r="AH95" s="5"/>
      <c r="AI95" s="31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</row>
    <row r="96" spans="2:64" hidden="1" x14ac:dyDescent="0.35"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5"/>
      <c r="AH96" s="5"/>
      <c r="AI96" s="31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</row>
    <row r="97" spans="1:64" hidden="1" x14ac:dyDescent="0.35"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5"/>
      <c r="AH97" s="5"/>
      <c r="AI97" s="31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</row>
    <row r="98" spans="1:64" hidden="1" x14ac:dyDescent="0.35"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5"/>
      <c r="AH98" s="5"/>
      <c r="AI98" s="31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</row>
    <row r="99" spans="1:64" x14ac:dyDescent="0.35"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5"/>
      <c r="AH99" s="5"/>
      <c r="AI99" s="31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</row>
    <row r="100" spans="1:64" x14ac:dyDescent="0.35">
      <c r="A100" t="s">
        <v>7</v>
      </c>
      <c r="B100" s="4" t="s">
        <v>0</v>
      </c>
      <c r="C100" s="29" t="s">
        <v>5</v>
      </c>
      <c r="D100" s="31" t="s">
        <v>6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5"/>
      <c r="AH100" s="5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</row>
    <row r="101" spans="1:64" x14ac:dyDescent="0.35">
      <c r="B101" s="46" t="s">
        <v>10</v>
      </c>
      <c r="C101" s="29">
        <v>1</v>
      </c>
      <c r="D101" s="31">
        <v>0.157</v>
      </c>
      <c r="E101" s="56">
        <v>22437.3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5"/>
      <c r="AH101" s="5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</row>
    <row r="102" spans="1:64" x14ac:dyDescent="0.35">
      <c r="B102" s="6" t="s">
        <v>4</v>
      </c>
      <c r="C102" s="29">
        <f>1-SUM(C103:C106)</f>
        <v>0.37270000000000003</v>
      </c>
      <c r="D102" s="31">
        <v>0.1367487</v>
      </c>
      <c r="E102" s="56">
        <f>C102*$E$101</f>
        <v>8362.3817099999997</v>
      </c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5"/>
      <c r="AH102" s="5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</row>
    <row r="103" spans="1:64" x14ac:dyDescent="0.35">
      <c r="B103" s="6" t="s">
        <v>8</v>
      </c>
      <c r="C103" s="29">
        <v>0.28349999999999997</v>
      </c>
      <c r="D103" s="31">
        <v>0.15774869999999999</v>
      </c>
      <c r="E103" s="56">
        <f t="shared" ref="E103:E106" si="285">C103*$E$101</f>
        <v>6360.974549999999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</row>
    <row r="104" spans="1:64" x14ac:dyDescent="0.35">
      <c r="B104" s="6" t="s">
        <v>9</v>
      </c>
      <c r="C104" s="29">
        <v>0.23780000000000001</v>
      </c>
      <c r="D104" s="31">
        <v>0.18774869999999999</v>
      </c>
      <c r="E104" s="56">
        <f t="shared" si="285"/>
        <v>5335.5899399999998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</row>
    <row r="105" spans="1:64" x14ac:dyDescent="0.35">
      <c r="B105" s="6" t="s">
        <v>42</v>
      </c>
      <c r="C105" s="29">
        <v>6.4000000000000001E-2</v>
      </c>
      <c r="D105" s="31">
        <v>0.1647487</v>
      </c>
      <c r="E105" s="56">
        <f t="shared" si="285"/>
        <v>1435.9872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</row>
    <row r="106" spans="1:64" x14ac:dyDescent="0.35">
      <c r="B106" s="6" t="s">
        <v>41</v>
      </c>
      <c r="C106" s="29">
        <v>4.2000000000000003E-2</v>
      </c>
      <c r="D106" s="31">
        <v>0.14574869999999998</v>
      </c>
      <c r="E106" s="56">
        <f t="shared" si="285"/>
        <v>942.36660000000006</v>
      </c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5"/>
      <c r="AH106" s="5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</row>
    <row r="107" spans="1:64" x14ac:dyDescent="0.35">
      <c r="E107" s="31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5"/>
      <c r="AH107" s="5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</row>
    <row r="108" spans="1:64" x14ac:dyDescent="0.35">
      <c r="B108" t="s">
        <v>4</v>
      </c>
      <c r="C108" s="29">
        <f>C102</f>
        <v>0.37270000000000003</v>
      </c>
      <c r="D108" s="31">
        <f>D102</f>
        <v>0.1367487</v>
      </c>
      <c r="E108" s="56">
        <f>VLOOKUP(B108,$B$101:$E$106,4,0)</f>
        <v>8362.3817099999997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5"/>
      <c r="AH108" s="5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</row>
    <row r="109" spans="1:64" x14ac:dyDescent="0.35">
      <c r="B109" t="s">
        <v>19</v>
      </c>
      <c r="C109" s="29">
        <f>1-C110</f>
        <v>0.88400000000000001</v>
      </c>
      <c r="D109" s="31">
        <v>0.13524069999999999</v>
      </c>
      <c r="E109" s="56">
        <f>C109*$E$108</f>
        <v>7392.3454316399993</v>
      </c>
      <c r="F109" s="35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5"/>
      <c r="AH109" s="5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</row>
    <row r="110" spans="1:64" x14ac:dyDescent="0.35">
      <c r="B110" t="s">
        <v>20</v>
      </c>
      <c r="C110" s="29">
        <v>0.11600000000000001</v>
      </c>
      <c r="D110" s="31">
        <v>0.1482407</v>
      </c>
      <c r="E110" s="56">
        <f>C110*$E$108</f>
        <v>970.03627835999998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5"/>
      <c r="AH110" s="5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</row>
    <row r="111" spans="1:64" x14ac:dyDescent="0.35">
      <c r="E111" s="31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5"/>
      <c r="AH111" s="5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</row>
    <row r="112" spans="1:64" x14ac:dyDescent="0.35">
      <c r="B112" t="s">
        <v>8</v>
      </c>
      <c r="C112" s="29">
        <f>C103</f>
        <v>0.28349999999999997</v>
      </c>
      <c r="D112" s="31">
        <f>D103</f>
        <v>0.15774869999999999</v>
      </c>
      <c r="E112" s="56">
        <f>VLOOKUP(B112,$B$101:$E$106,4,0)</f>
        <v>6360.974549999999</v>
      </c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5"/>
      <c r="AH112" s="5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</row>
    <row r="113" spans="1:64" x14ac:dyDescent="0.35">
      <c r="B113" t="s">
        <v>21</v>
      </c>
      <c r="C113" s="29">
        <f>1-SUM(C114:C120)</f>
        <v>0.1694</v>
      </c>
      <c r="D113" s="31">
        <v>0.14947250000000001</v>
      </c>
      <c r="E113" s="56">
        <f>C113*$E$112</f>
        <v>1077.5490887699998</v>
      </c>
      <c r="F113" s="35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3"/>
      <c r="AH113" s="3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</row>
    <row r="114" spans="1:64" x14ac:dyDescent="0.35">
      <c r="A114" s="32"/>
      <c r="B114" t="s">
        <v>22</v>
      </c>
      <c r="C114" s="29">
        <v>0.22559999999999999</v>
      </c>
      <c r="D114" s="31">
        <v>0.16147250000000002</v>
      </c>
      <c r="E114" s="56">
        <f t="shared" ref="E114:E120" si="286">C114*$E$112</f>
        <v>1435.0358584799997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3"/>
      <c r="AH114" s="3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</row>
    <row r="115" spans="1:64" x14ac:dyDescent="0.35">
      <c r="B115" t="s">
        <v>23</v>
      </c>
      <c r="C115" s="29">
        <v>9.9000000000000005E-2</v>
      </c>
      <c r="D115" s="31">
        <v>0.13647250000000002</v>
      </c>
      <c r="E115" s="56">
        <f t="shared" si="286"/>
        <v>629.73648044999993</v>
      </c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3"/>
      <c r="AH115" s="3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</row>
    <row r="116" spans="1:64" x14ac:dyDescent="0.35">
      <c r="B116" t="s">
        <v>24</v>
      </c>
      <c r="C116" s="29">
        <v>0.158</v>
      </c>
      <c r="D116" s="31">
        <v>0.16847250000000003</v>
      </c>
      <c r="E116" s="56">
        <f t="shared" si="286"/>
        <v>1005.0339788999999</v>
      </c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3"/>
      <c r="AH116" s="3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</row>
    <row r="117" spans="1:64" x14ac:dyDescent="0.35">
      <c r="B117" t="s">
        <v>33</v>
      </c>
      <c r="C117" s="29">
        <v>6.8000000000000005E-2</v>
      </c>
      <c r="D117" s="31">
        <v>0.14347250000000003</v>
      </c>
      <c r="E117" s="56">
        <f t="shared" si="286"/>
        <v>432.54626939999997</v>
      </c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3"/>
      <c r="AH117" s="3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</row>
    <row r="118" spans="1:64" x14ac:dyDescent="0.35">
      <c r="B118" t="s">
        <v>25</v>
      </c>
      <c r="C118" s="29">
        <v>5.3999999999999999E-2</v>
      </c>
      <c r="D118" s="31">
        <v>0.11847250000000002</v>
      </c>
      <c r="E118" s="56">
        <f t="shared" si="286"/>
        <v>343.49262569999996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3"/>
      <c r="AH118" s="3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</row>
    <row r="119" spans="1:64" x14ac:dyDescent="0.35">
      <c r="B119" t="s">
        <v>108</v>
      </c>
      <c r="C119" s="29">
        <v>8.2000000000000003E-2</v>
      </c>
      <c r="D119" s="31">
        <v>0.18147250000000001</v>
      </c>
      <c r="E119" s="56">
        <f t="shared" si="286"/>
        <v>521.59991309999998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3"/>
      <c r="AH119" s="3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</row>
    <row r="120" spans="1:64" x14ac:dyDescent="0.35">
      <c r="B120" t="s">
        <v>31</v>
      </c>
      <c r="C120" s="29">
        <v>0.14399999999999999</v>
      </c>
      <c r="D120" s="31">
        <v>0.17247250000000003</v>
      </c>
      <c r="E120" s="56">
        <f t="shared" si="286"/>
        <v>915.98033519999979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3"/>
      <c r="AH120" s="3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</row>
    <row r="121" spans="1:64" x14ac:dyDescent="0.35">
      <c r="E121" s="3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3"/>
      <c r="AH121" s="3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</row>
    <row r="122" spans="1:64" x14ac:dyDescent="0.35">
      <c r="B122" t="s">
        <v>9</v>
      </c>
      <c r="C122" s="29">
        <f>C104</f>
        <v>0.23780000000000001</v>
      </c>
      <c r="D122" s="31">
        <f>D104</f>
        <v>0.18774869999999999</v>
      </c>
      <c r="E122" s="56">
        <f>VLOOKUP(B122,$B$101:$E$106,4,0)</f>
        <v>5335.5899399999998</v>
      </c>
      <c r="F122" s="2"/>
      <c r="G122" s="2"/>
      <c r="H122" s="2"/>
      <c r="I122" s="2"/>
      <c r="K122" s="31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3"/>
      <c r="AH122" s="3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</row>
    <row r="123" spans="1:64" x14ac:dyDescent="0.35">
      <c r="B123" s="38" t="s">
        <v>26</v>
      </c>
      <c r="C123" s="29">
        <f>1-SUM(C124:C127,C135:C137)</f>
        <v>0.32399999999999984</v>
      </c>
      <c r="D123" s="31">
        <v>0.19349079440000005</v>
      </c>
      <c r="E123" s="56">
        <f>C123*$E$122</f>
        <v>1728.7311405599992</v>
      </c>
      <c r="F123" s="2"/>
      <c r="G123" s="2"/>
      <c r="H123" s="2"/>
      <c r="I123" s="2"/>
      <c r="K123" s="31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3"/>
      <c r="AH123" s="3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</row>
    <row r="124" spans="1:64" x14ac:dyDescent="0.35">
      <c r="B124" s="38" t="s">
        <v>27</v>
      </c>
      <c r="C124" s="29">
        <v>0.127</v>
      </c>
      <c r="D124" s="31">
        <v>0.21776609440000003</v>
      </c>
      <c r="E124" s="56">
        <f t="shared" ref="E124:E137" si="287">C124*$E$122</f>
        <v>677.61992237999993</v>
      </c>
      <c r="F124" s="2"/>
      <c r="G124" s="2"/>
      <c r="H124" s="2"/>
      <c r="I124" s="2"/>
      <c r="K124" s="31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"/>
      <c r="AH124" s="3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</row>
    <row r="125" spans="1:64" x14ac:dyDescent="0.35">
      <c r="B125" s="38" t="s">
        <v>28</v>
      </c>
      <c r="C125" s="29">
        <v>0.17199999999999999</v>
      </c>
      <c r="D125" s="31">
        <v>0.15049079440000004</v>
      </c>
      <c r="E125" s="56">
        <f t="shared" si="287"/>
        <v>917.72146967999993</v>
      </c>
      <c r="F125" s="2"/>
      <c r="G125" s="2"/>
      <c r="H125" s="2"/>
      <c r="I125" s="2"/>
      <c r="K125" s="31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"/>
      <c r="AH125" s="3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</row>
    <row r="126" spans="1:64" x14ac:dyDescent="0.35">
      <c r="B126" s="38" t="s">
        <v>34</v>
      </c>
      <c r="C126" s="29">
        <v>9.0999999999999998E-2</v>
      </c>
      <c r="D126" s="31">
        <v>0.17776609440000002</v>
      </c>
      <c r="E126" s="56">
        <f t="shared" si="287"/>
        <v>485.53868453999996</v>
      </c>
      <c r="F126" s="2"/>
      <c r="G126" s="2"/>
      <c r="H126" s="2"/>
      <c r="I126" s="2"/>
      <c r="K126" s="31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"/>
      <c r="AH126" s="3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</row>
    <row r="127" spans="1:64" x14ac:dyDescent="0.35">
      <c r="B127" s="38" t="s">
        <v>35</v>
      </c>
      <c r="C127" s="29">
        <v>0.152</v>
      </c>
      <c r="D127" s="31">
        <v>0.20549079440000007</v>
      </c>
      <c r="E127" s="56">
        <f t="shared" si="287"/>
        <v>811.00967087999993</v>
      </c>
      <c r="F127" s="2"/>
      <c r="G127" s="2"/>
      <c r="H127" s="2"/>
      <c r="I127" s="2"/>
      <c r="K127" s="31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"/>
      <c r="AH127" s="3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</row>
    <row r="128" spans="1:64" x14ac:dyDescent="0.35">
      <c r="B128" s="50" t="s">
        <v>109</v>
      </c>
      <c r="C128" s="29">
        <f>1-SUM(C129:C134)</f>
        <v>0.21240000000000003</v>
      </c>
      <c r="D128" s="31">
        <v>0.21782299440000005</v>
      </c>
      <c r="E128" s="56">
        <f>C128*$E$127</f>
        <v>172.25845409491203</v>
      </c>
      <c r="F128" s="2"/>
      <c r="G128" s="2"/>
      <c r="H128" s="2"/>
      <c r="I128" s="2"/>
      <c r="K128" s="31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"/>
      <c r="AH128" s="3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</row>
    <row r="129" spans="2:64" x14ac:dyDescent="0.35">
      <c r="B129" s="50" t="s">
        <v>110</v>
      </c>
      <c r="C129" s="29">
        <v>0.13600000000000001</v>
      </c>
      <c r="D129" s="31">
        <v>0.19482299440000006</v>
      </c>
      <c r="E129" s="56">
        <f t="shared" ref="E129:E134" si="288">C129*$E$127</f>
        <v>110.29731523968</v>
      </c>
      <c r="F129" s="2"/>
      <c r="G129" s="2"/>
      <c r="H129" s="2"/>
      <c r="I129" s="2"/>
      <c r="K129" s="31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"/>
      <c r="AH129" s="3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</row>
    <row r="130" spans="2:64" x14ac:dyDescent="0.35">
      <c r="B130" s="50" t="s">
        <v>111</v>
      </c>
      <c r="C130" s="29">
        <v>8.7999999999999995E-2</v>
      </c>
      <c r="D130" s="31">
        <v>0.20682299440000007</v>
      </c>
      <c r="E130" s="56">
        <f t="shared" si="288"/>
        <v>71.368851037439995</v>
      </c>
      <c r="F130" s="2"/>
      <c r="G130" s="2"/>
      <c r="H130" s="2"/>
      <c r="I130" s="2"/>
      <c r="K130" s="31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"/>
      <c r="AH130" s="3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</row>
    <row r="131" spans="2:64" x14ac:dyDescent="0.35">
      <c r="B131" s="50" t="s">
        <v>112</v>
      </c>
      <c r="C131" s="29">
        <v>0.18260000000000001</v>
      </c>
      <c r="D131" s="31">
        <v>0.18582299440000005</v>
      </c>
      <c r="E131" s="56">
        <f t="shared" si="288"/>
        <v>148.09036590268801</v>
      </c>
      <c r="F131" s="2"/>
      <c r="G131" s="2"/>
      <c r="H131" s="2"/>
      <c r="I131" s="2"/>
      <c r="K131" s="31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"/>
      <c r="AH131" s="3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</row>
    <row r="132" spans="2:64" x14ac:dyDescent="0.35">
      <c r="B132" s="50" t="s">
        <v>113</v>
      </c>
      <c r="C132" s="29">
        <v>0.154</v>
      </c>
      <c r="D132" s="31">
        <v>0.20082299440000007</v>
      </c>
      <c r="E132" s="56">
        <f t="shared" si="288"/>
        <v>124.89548931551998</v>
      </c>
      <c r="J132" s="39"/>
      <c r="K132" s="31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"/>
      <c r="AH132" s="3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</row>
    <row r="133" spans="2:64" x14ac:dyDescent="0.35">
      <c r="B133" s="50" t="s">
        <v>114</v>
      </c>
      <c r="C133" s="29">
        <v>0.121</v>
      </c>
      <c r="D133" s="31">
        <v>0.23282299440000007</v>
      </c>
      <c r="E133" s="56">
        <f t="shared" si="288"/>
        <v>98.132170176479988</v>
      </c>
      <c r="F133" s="51"/>
      <c r="G133" s="10"/>
      <c r="H133" s="52"/>
      <c r="I133" s="52"/>
      <c r="J133" s="39"/>
      <c r="K133" s="31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3"/>
      <c r="AH133" s="3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</row>
    <row r="134" spans="2:64" x14ac:dyDescent="0.35">
      <c r="B134" s="50" t="s">
        <v>115</v>
      </c>
      <c r="C134" s="29">
        <v>0.106</v>
      </c>
      <c r="D134" s="31">
        <v>0.20282299440000007</v>
      </c>
      <c r="E134" s="56">
        <f t="shared" si="288"/>
        <v>85.967025113279988</v>
      </c>
      <c r="F134" s="51"/>
      <c r="G134" s="31"/>
      <c r="H134" s="52"/>
      <c r="I134" s="52"/>
      <c r="J134" s="39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"/>
      <c r="AH134" s="3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</row>
    <row r="135" spans="2:64" x14ac:dyDescent="0.35">
      <c r="B135" t="s">
        <v>116</v>
      </c>
      <c r="C135" s="29">
        <v>4.3999999999999997E-2</v>
      </c>
      <c r="D135" s="31">
        <v>0.18376609440000002</v>
      </c>
      <c r="E135" s="56">
        <f t="shared" si="287"/>
        <v>234.76595735999999</v>
      </c>
      <c r="F135" s="10"/>
      <c r="J135" s="39"/>
      <c r="K135" s="31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3"/>
      <c r="AH135" s="3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</row>
    <row r="136" spans="2:64" x14ac:dyDescent="0.35">
      <c r="B136" t="s">
        <v>29</v>
      </c>
      <c r="C136" s="29">
        <v>5.7000000000000002E-2</v>
      </c>
      <c r="D136" s="31">
        <v>0.17176609440000001</v>
      </c>
      <c r="E136" s="56">
        <f t="shared" si="287"/>
        <v>304.12862658</v>
      </c>
      <c r="F136" s="10"/>
      <c r="J136" s="4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3"/>
      <c r="AH136" s="3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</row>
    <row r="137" spans="2:64" x14ac:dyDescent="0.35">
      <c r="B137" t="s">
        <v>32</v>
      </c>
      <c r="C137" s="29">
        <v>3.3000000000000002E-2</v>
      </c>
      <c r="D137" s="31">
        <v>0.18876609440000003</v>
      </c>
      <c r="E137" s="56">
        <f t="shared" si="287"/>
        <v>176.07446802000001</v>
      </c>
      <c r="F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"/>
      <c r="AH137" s="3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</row>
    <row r="138" spans="2:64" x14ac:dyDescent="0.35">
      <c r="E138" s="31"/>
      <c r="F138" s="3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3"/>
      <c r="AH138" s="3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</row>
    <row r="139" spans="2:64" x14ac:dyDescent="0.35">
      <c r="B139" t="s">
        <v>42</v>
      </c>
      <c r="C139" s="29">
        <f>C105</f>
        <v>6.4000000000000001E-2</v>
      </c>
      <c r="D139" s="31">
        <f>D105</f>
        <v>0.1647487</v>
      </c>
      <c r="E139" s="56">
        <f>VLOOKUP(B139,$B$101:$E$106,4,0)</f>
        <v>1435.9872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3"/>
      <c r="AH139" s="3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</row>
    <row r="140" spans="2:64" x14ac:dyDescent="0.35">
      <c r="B140" t="s">
        <v>36</v>
      </c>
      <c r="C140" s="29">
        <f>1-SUM(C141:C142)</f>
        <v>0.51500000000000001</v>
      </c>
      <c r="D140" s="31">
        <v>0.1745987</v>
      </c>
      <c r="E140" s="56">
        <f>C140*$E$139</f>
        <v>739.53340800000001</v>
      </c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"/>
      <c r="AH140" s="3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</row>
    <row r="141" spans="2:64" x14ac:dyDescent="0.35">
      <c r="B141" t="s">
        <v>37</v>
      </c>
      <c r="C141" s="29">
        <v>0.20399999999999999</v>
      </c>
      <c r="D141" s="31">
        <v>0.1455987</v>
      </c>
      <c r="E141" s="56">
        <f t="shared" ref="E141:E142" si="289">C141*$E$139</f>
        <v>292.94138879999997</v>
      </c>
      <c r="F141" s="3"/>
      <c r="G141" s="3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</row>
    <row r="142" spans="2:64" x14ac:dyDescent="0.35">
      <c r="B142" t="s">
        <v>38</v>
      </c>
      <c r="C142" s="29">
        <v>0.28100000000000003</v>
      </c>
      <c r="D142" s="31">
        <v>0.16059870000000001</v>
      </c>
      <c r="E142" s="56">
        <f t="shared" si="289"/>
        <v>403.51240320000005</v>
      </c>
      <c r="F142" s="3"/>
      <c r="G142" s="3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</row>
    <row r="143" spans="2:64" x14ac:dyDescent="0.35">
      <c r="E143" s="31"/>
      <c r="F143" s="35"/>
      <c r="G143" s="31"/>
    </row>
    <row r="144" spans="2:64" x14ac:dyDescent="0.35">
      <c r="B144" t="s">
        <v>41</v>
      </c>
      <c r="C144" s="29">
        <f>C106</f>
        <v>4.2000000000000003E-2</v>
      </c>
      <c r="D144" s="31">
        <f>D106</f>
        <v>0.14574869999999998</v>
      </c>
      <c r="E144" s="56">
        <f>VLOOKUP(B144,$B$101:$E$106,4,0)</f>
        <v>942.36660000000006</v>
      </c>
      <c r="G144" s="31"/>
    </row>
    <row r="145" spans="2:7" x14ac:dyDescent="0.35">
      <c r="B145" t="s">
        <v>39</v>
      </c>
      <c r="C145" s="29">
        <f>1-SUM(C146:C147)</f>
        <v>0.42799999999999994</v>
      </c>
      <c r="D145" s="31">
        <v>0.1532567</v>
      </c>
      <c r="E145" s="56">
        <f>C145*$E$144</f>
        <v>403.33290479999999</v>
      </c>
      <c r="G145" s="31"/>
    </row>
    <row r="146" spans="2:7" x14ac:dyDescent="0.35">
      <c r="B146" t="s">
        <v>30</v>
      </c>
      <c r="C146" s="29">
        <v>0.27700000000000002</v>
      </c>
      <c r="D146" s="31">
        <v>0.14425669999999999</v>
      </c>
      <c r="E146" s="56">
        <f t="shared" ref="E146:E147" si="290">C146*$E$144</f>
        <v>261.03554820000005</v>
      </c>
    </row>
    <row r="147" spans="2:7" x14ac:dyDescent="0.35">
      <c r="B147" t="s">
        <v>40</v>
      </c>
      <c r="C147" s="29">
        <v>0.29499999999999998</v>
      </c>
      <c r="D147" s="31">
        <v>0.13625669999999998</v>
      </c>
      <c r="E147" s="56">
        <f t="shared" si="290"/>
        <v>277.99814700000002</v>
      </c>
    </row>
  </sheetData>
  <conditionalFormatting sqref="A1:XFD1 A2:AF2 AI2:XFD2 A3:XFD3 A4:AF4 AH4:AH22 BN4:BN22 AI4:BM27 AG4:AG70 BO4:XFD70 A5:C17 C5:AF70 B18:B22 A18:A23 A24:AF27 AH24:AH65 BN24:BN65 C24:D1048576 AJ28:BM31 A28:B45 AI28:AI99 AI31:BL35 AO32:BM35 AJ36:BM66 C38:AG62 A46:AF58 B58:B65 A59:A62 A63:AF64 A65:A74 AI66:BL70 B67:B70 AH67:AH70 AN67:BN70 C71:AH74 AJ71:XFD99 A75:AH99 A100:XFD110 A111:D111 F111:XFD120 E111:E137 A112:C120 A121:D121 J121:XFD121 F121:I131 K122:XFD125 A122:C134 K126:K135 L126:XFD136 J132 G133:J134 J135:J136 F135:F137 B135:B147 A135:A1048576 J137:XFD137 C138:XFD1048576 B154:B1048576">
    <cfRule type="cellIs" dxfId="1" priority="2" operator="lessThan">
      <formula>0</formula>
    </cfRule>
  </conditionalFormatting>
  <conditionalFormatting sqref="B4:B6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J56"/>
  <sheetViews>
    <sheetView workbookViewId="0">
      <selection activeCell="C14" sqref="C14"/>
    </sheetView>
  </sheetViews>
  <sheetFormatPr defaultRowHeight="14.5" x14ac:dyDescent="0.35"/>
  <cols>
    <col min="2" max="2" width="18" bestFit="1" customWidth="1"/>
    <col min="3" max="3" width="10.7265625" customWidth="1"/>
  </cols>
  <sheetData>
    <row r="2" spans="2:10" x14ac:dyDescent="0.35">
      <c r="C2" s="57" t="s">
        <v>13</v>
      </c>
      <c r="D2" s="57"/>
      <c r="E2" s="57" t="s">
        <v>14</v>
      </c>
      <c r="F2" s="57"/>
    </row>
    <row r="3" spans="2:10" x14ac:dyDescent="0.35">
      <c r="B3" s="17" t="s">
        <v>16</v>
      </c>
      <c r="C3" s="17" t="s">
        <v>43</v>
      </c>
      <c r="D3" s="17" t="s">
        <v>12</v>
      </c>
      <c r="E3" s="17" t="s">
        <v>15</v>
      </c>
      <c r="F3" s="17" t="s">
        <v>12</v>
      </c>
      <c r="G3" s="17" t="s">
        <v>6</v>
      </c>
    </row>
    <row r="4" spans="2:10" x14ac:dyDescent="0.35">
      <c r="B4" s="16" t="s">
        <v>4</v>
      </c>
      <c r="C4" s="15">
        <f>D4*$C$9</f>
        <v>8362.3817099999997</v>
      </c>
      <c r="D4" s="21">
        <f>1-SUM(D5:D8)</f>
        <v>0.37270000000000003</v>
      </c>
      <c r="E4" s="15"/>
      <c r="F4" s="15"/>
      <c r="G4" s="20">
        <v>0.1367487</v>
      </c>
    </row>
    <row r="5" spans="2:10" x14ac:dyDescent="0.35">
      <c r="B5" s="16" t="s">
        <v>8</v>
      </c>
      <c r="C5" s="15">
        <f t="shared" ref="C5:C8" si="0">D5*$C$9</f>
        <v>6360.974549999999</v>
      </c>
      <c r="D5" s="21">
        <v>0.28349999999999997</v>
      </c>
      <c r="E5" s="15"/>
      <c r="F5" s="15"/>
      <c r="G5" s="20">
        <v>0.15774869999999999</v>
      </c>
      <c r="I5" s="35"/>
    </row>
    <row r="6" spans="2:10" x14ac:dyDescent="0.35">
      <c r="B6" s="16" t="s">
        <v>9</v>
      </c>
      <c r="C6" s="15">
        <f t="shared" si="0"/>
        <v>5335.5899399999998</v>
      </c>
      <c r="D6" s="21">
        <v>0.23780000000000001</v>
      </c>
      <c r="E6" s="15"/>
      <c r="F6" s="15"/>
      <c r="G6" s="20">
        <v>0.18774869999999999</v>
      </c>
    </row>
    <row r="7" spans="2:10" x14ac:dyDescent="0.35">
      <c r="B7" s="16" t="s">
        <v>42</v>
      </c>
      <c r="C7" s="15">
        <f t="shared" si="0"/>
        <v>1435.9872</v>
      </c>
      <c r="D7" s="21">
        <v>6.4000000000000001E-2</v>
      </c>
      <c r="E7" s="15"/>
      <c r="F7" s="15"/>
      <c r="G7" s="20">
        <v>0.1647487</v>
      </c>
    </row>
    <row r="8" spans="2:10" x14ac:dyDescent="0.35">
      <c r="B8" s="16" t="s">
        <v>41</v>
      </c>
      <c r="C8" s="15">
        <f t="shared" si="0"/>
        <v>942.36660000000006</v>
      </c>
      <c r="D8" s="21">
        <v>4.2000000000000003E-2</v>
      </c>
      <c r="E8" s="15"/>
      <c r="F8" s="15"/>
      <c r="G8" s="20">
        <v>0.14574869999999998</v>
      </c>
    </row>
    <row r="9" spans="2:10" x14ac:dyDescent="0.35">
      <c r="B9" s="14" t="s">
        <v>10</v>
      </c>
      <c r="C9" s="15">
        <f>C12</f>
        <v>22437.3</v>
      </c>
      <c r="D9" s="20">
        <f>SUM(D4:D8)</f>
        <v>1</v>
      </c>
      <c r="E9" s="15" t="s">
        <v>17</v>
      </c>
      <c r="F9" s="15"/>
      <c r="G9" s="20">
        <f>D12</f>
        <v>0.157</v>
      </c>
    </row>
    <row r="11" spans="2:10" x14ac:dyDescent="0.35">
      <c r="B11" s="23" t="s">
        <v>18</v>
      </c>
      <c r="C11" s="24">
        <v>2025</v>
      </c>
      <c r="D11" s="25" t="s">
        <v>6</v>
      </c>
    </row>
    <row r="12" spans="2:10" x14ac:dyDescent="0.35">
      <c r="B12" s="24" t="s">
        <v>44</v>
      </c>
      <c r="C12" s="42">
        <v>22437.3</v>
      </c>
      <c r="D12" s="41">
        <v>0.157</v>
      </c>
      <c r="E12" s="34"/>
    </row>
    <row r="16" spans="2:10" x14ac:dyDescent="0.35">
      <c r="J16" s="28"/>
    </row>
    <row r="17" spans="3:10" x14ac:dyDescent="0.35">
      <c r="J17" s="28"/>
    </row>
    <row r="18" spans="3:10" x14ac:dyDescent="0.35">
      <c r="J18" s="28"/>
    </row>
    <row r="19" spans="3:10" x14ac:dyDescent="0.35">
      <c r="J19" s="28"/>
    </row>
    <row r="20" spans="3:10" x14ac:dyDescent="0.35">
      <c r="J20" s="28"/>
    </row>
    <row r="21" spans="3:10" x14ac:dyDescent="0.35">
      <c r="C21" s="8"/>
    </row>
    <row r="22" spans="3:10" x14ac:dyDescent="0.35">
      <c r="C22" s="8"/>
      <c r="D22" s="8"/>
    </row>
    <row r="23" spans="3:10" x14ac:dyDescent="0.35">
      <c r="C23" s="8"/>
      <c r="D23" s="8"/>
    </row>
    <row r="24" spans="3:10" x14ac:dyDescent="0.35">
      <c r="C24" s="8"/>
      <c r="D24" s="8"/>
    </row>
    <row r="25" spans="3:10" x14ac:dyDescent="0.35">
      <c r="C25" s="8"/>
      <c r="D25" s="8"/>
    </row>
    <row r="26" spans="3:10" x14ac:dyDescent="0.35">
      <c r="C26" s="8"/>
      <c r="D26" s="8"/>
    </row>
    <row r="27" spans="3:10" x14ac:dyDescent="0.35">
      <c r="C27" s="8"/>
      <c r="D27" s="8"/>
    </row>
    <row r="28" spans="3:10" x14ac:dyDescent="0.35">
      <c r="C28" s="8"/>
      <c r="D28" s="8"/>
    </row>
    <row r="29" spans="3:10" x14ac:dyDescent="0.35">
      <c r="C29" s="8"/>
      <c r="D29" s="8"/>
    </row>
    <row r="30" spans="3:10" x14ac:dyDescent="0.35">
      <c r="C30" s="8"/>
      <c r="D30" s="8"/>
    </row>
    <row r="31" spans="3:10" x14ac:dyDescent="0.35">
      <c r="C31" s="8"/>
      <c r="D31" s="8"/>
    </row>
    <row r="32" spans="3:10" x14ac:dyDescent="0.35">
      <c r="C32" s="8"/>
      <c r="D32" s="8"/>
    </row>
    <row r="33" spans="2:4" x14ac:dyDescent="0.35">
      <c r="C33" s="8"/>
      <c r="D33" s="8"/>
    </row>
    <row r="34" spans="2:4" x14ac:dyDescent="0.35">
      <c r="C34" s="8"/>
      <c r="D34" s="8"/>
    </row>
    <row r="35" spans="2:4" x14ac:dyDescent="0.35">
      <c r="C35" s="8"/>
      <c r="D35" s="8"/>
    </row>
    <row r="36" spans="2:4" x14ac:dyDescent="0.35">
      <c r="C36" s="8"/>
      <c r="D36" s="8"/>
    </row>
    <row r="37" spans="2:4" x14ac:dyDescent="0.35">
      <c r="C37" s="8"/>
      <c r="D37" s="8"/>
    </row>
    <row r="38" spans="2:4" x14ac:dyDescent="0.35">
      <c r="C38" s="8"/>
      <c r="D38" s="8"/>
    </row>
    <row r="39" spans="2:4" x14ac:dyDescent="0.35">
      <c r="C39" s="8"/>
      <c r="D39" s="8"/>
    </row>
    <row r="40" spans="2:4" x14ac:dyDescent="0.35">
      <c r="C40" s="8"/>
      <c r="D40" s="8"/>
    </row>
    <row r="41" spans="2:4" x14ac:dyDescent="0.35">
      <c r="C41" s="8"/>
      <c r="D41" s="8"/>
    </row>
    <row r="42" spans="2:4" x14ac:dyDescent="0.35">
      <c r="C42" s="8"/>
      <c r="D42" s="8"/>
    </row>
    <row r="43" spans="2:4" x14ac:dyDescent="0.35">
      <c r="B43" s="22"/>
      <c r="C43" s="8"/>
      <c r="D43" s="26"/>
    </row>
    <row r="44" spans="2:4" x14ac:dyDescent="0.35">
      <c r="B44" s="22"/>
      <c r="C44" s="8"/>
      <c r="D44" s="26"/>
    </row>
    <row r="45" spans="2:4" x14ac:dyDescent="0.35">
      <c r="B45" s="22"/>
      <c r="C45" s="8"/>
      <c r="D45" s="26"/>
    </row>
    <row r="46" spans="2:4" x14ac:dyDescent="0.35">
      <c r="B46" s="22"/>
      <c r="C46" s="8"/>
      <c r="D46" s="26"/>
    </row>
    <row r="47" spans="2:4" x14ac:dyDescent="0.35">
      <c r="B47" s="22"/>
      <c r="C47" s="8"/>
      <c r="D47" s="26"/>
    </row>
    <row r="48" spans="2:4" x14ac:dyDescent="0.35">
      <c r="B48" s="22"/>
      <c r="C48" s="8"/>
      <c r="D48" s="26"/>
    </row>
    <row r="49" spans="2:4" x14ac:dyDescent="0.35">
      <c r="B49" s="22"/>
      <c r="C49" s="8"/>
      <c r="D49" s="26"/>
    </row>
    <row r="50" spans="2:4" x14ac:dyDescent="0.35">
      <c r="B50" s="22"/>
      <c r="C50" s="8"/>
      <c r="D50" s="26"/>
    </row>
    <row r="51" spans="2:4" x14ac:dyDescent="0.35">
      <c r="B51" s="22"/>
      <c r="C51" s="8"/>
      <c r="D51" s="26"/>
    </row>
    <row r="52" spans="2:4" x14ac:dyDescent="0.35">
      <c r="C52" s="8"/>
      <c r="D52" s="8"/>
    </row>
    <row r="53" spans="2:4" x14ac:dyDescent="0.35">
      <c r="B53" s="22"/>
      <c r="C53" s="8"/>
      <c r="D53" s="26"/>
    </row>
    <row r="54" spans="2:4" x14ac:dyDescent="0.35">
      <c r="B54" s="22"/>
      <c r="C54" s="8"/>
      <c r="D54" s="26"/>
    </row>
    <row r="55" spans="2:4" x14ac:dyDescent="0.35">
      <c r="B55" s="22"/>
      <c r="C55" s="8"/>
      <c r="D55" s="26"/>
    </row>
    <row r="56" spans="2:4" x14ac:dyDescent="0.35">
      <c r="B56" s="22"/>
      <c r="C56" s="8"/>
      <c r="D56" s="26"/>
    </row>
  </sheetData>
  <mergeCells count="2"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Market Value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Rajeev Ranjan</cp:lastModifiedBy>
  <dcterms:created xsi:type="dcterms:W3CDTF">2015-06-05T18:17:20Z</dcterms:created>
  <dcterms:modified xsi:type="dcterms:W3CDTF">2026-06-25T07:09:23Z</dcterms:modified>
</cp:coreProperties>
</file>