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jeev Ranjan\Desktop\de-agent\my_inputs\"/>
    </mc:Choice>
  </mc:AlternateContent>
  <bookViews>
    <workbookView xWindow="0" yWindow="0" windowWidth="19200" windowHeight="7310"/>
  </bookViews>
  <sheets>
    <sheet name="Data" sheetId="7" r:id="rId1"/>
    <sheet name="Sheet1" sheetId="6" state="hidden" r:id="rId2"/>
    <sheet name="Secondary Sheet and Snapshot" sheetId="5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0" i="7" l="1"/>
  <c r="E81" i="7"/>
  <c r="E79" i="7"/>
  <c r="E78" i="7"/>
  <c r="E75" i="7"/>
  <c r="E76" i="7"/>
  <c r="E74" i="7"/>
  <c r="E73" i="7"/>
  <c r="E66" i="7"/>
  <c r="E67" i="7"/>
  <c r="E68" i="7"/>
  <c r="E69" i="7"/>
  <c r="E70" i="7"/>
  <c r="E71" i="7"/>
  <c r="E65" i="7"/>
  <c r="E64" i="7"/>
  <c r="E57" i="7"/>
  <c r="E58" i="7"/>
  <c r="E59" i="7"/>
  <c r="E60" i="7"/>
  <c r="E61" i="7"/>
  <c r="E62" i="7"/>
  <c r="E56" i="7"/>
  <c r="E55" i="7"/>
  <c r="E51" i="7"/>
  <c r="E52" i="7"/>
  <c r="E53" i="7"/>
  <c r="E50" i="7"/>
  <c r="E49" i="7"/>
  <c r="E47" i="7"/>
  <c r="E46" i="7"/>
  <c r="E45" i="7"/>
  <c r="D45" i="7"/>
  <c r="E37" i="7"/>
  <c r="E38" i="7"/>
  <c r="E39" i="7"/>
  <c r="E40" i="7"/>
  <c r="E41" i="7"/>
  <c r="E36" i="7"/>
  <c r="D42" i="7"/>
  <c r="C42" i="7"/>
  <c r="D78" i="7"/>
  <c r="C78" i="7"/>
  <c r="D73" i="7"/>
  <c r="C73" i="7"/>
  <c r="D64" i="7"/>
  <c r="C64" i="7"/>
  <c r="D55" i="7"/>
  <c r="C55" i="7"/>
  <c r="D49" i="7"/>
  <c r="C49" i="7"/>
  <c r="C45" i="7"/>
  <c r="C81" i="7"/>
  <c r="C76" i="7"/>
  <c r="C71" i="7"/>
  <c r="C62" i="7"/>
  <c r="C53" i="7"/>
  <c r="C47" i="7"/>
  <c r="C41" i="7"/>
  <c r="O18" i="7" l="1"/>
  <c r="H5" i="7"/>
  <c r="G5" i="7"/>
  <c r="F5" i="7"/>
  <c r="E5" i="7"/>
  <c r="D5" i="7"/>
  <c r="C5" i="7"/>
  <c r="D9" i="7"/>
  <c r="E9" i="7"/>
  <c r="F9" i="7"/>
  <c r="G9" i="7"/>
  <c r="H9" i="7"/>
  <c r="C9" i="7"/>
  <c r="D13" i="7"/>
  <c r="E13" i="7"/>
  <c r="F13" i="7"/>
  <c r="G13" i="7"/>
  <c r="H13" i="7"/>
  <c r="C13" i="7"/>
  <c r="D19" i="7"/>
  <c r="L18" i="7" s="1"/>
  <c r="E19" i="7"/>
  <c r="M18" i="7" s="1"/>
  <c r="F19" i="7"/>
  <c r="N18" i="7" s="1"/>
  <c r="G19" i="7"/>
  <c r="H19" i="7"/>
  <c r="P18" i="7" s="1"/>
  <c r="C19" i="7"/>
  <c r="K18" i="7" s="1"/>
  <c r="H28" i="7"/>
  <c r="G28" i="7"/>
  <c r="F28" i="7"/>
  <c r="E28" i="7"/>
  <c r="D28" i="7"/>
  <c r="C28" i="7"/>
  <c r="H32" i="7"/>
  <c r="G32" i="7"/>
  <c r="F32" i="7"/>
  <c r="E32" i="7"/>
  <c r="D32" i="7"/>
  <c r="C32" i="7"/>
  <c r="E28" i="6" l="1"/>
  <c r="E27" i="6"/>
  <c r="E30" i="6" l="1"/>
  <c r="B61" i="5"/>
  <c r="C58" i="5"/>
  <c r="D58" i="5" s="1"/>
  <c r="E58" i="5" l="1"/>
  <c r="D61" i="5"/>
  <c r="C61" i="5"/>
  <c r="F58" i="5" l="1"/>
  <c r="E61" i="5"/>
  <c r="F61" i="5" l="1"/>
  <c r="G58" i="5"/>
  <c r="H58" i="5" l="1"/>
  <c r="G61" i="5"/>
  <c r="I58" i="5" l="1"/>
  <c r="H61" i="5"/>
  <c r="I61" i="5" l="1"/>
  <c r="J58" i="5"/>
  <c r="J61" i="5" l="1"/>
  <c r="K58" i="5"/>
  <c r="L58" i="5" l="1"/>
  <c r="K61" i="5"/>
  <c r="M58" i="5" l="1"/>
  <c r="L61" i="5"/>
  <c r="M61" i="5" l="1"/>
  <c r="N58" i="5"/>
  <c r="N61" i="5" l="1"/>
  <c r="P58" i="5"/>
  <c r="O58" i="5"/>
</calcChain>
</file>

<file path=xl/sharedStrings.xml><?xml version="1.0" encoding="utf-8"?>
<sst xmlns="http://schemas.openxmlformats.org/spreadsheetml/2006/main" count="411" uniqueCount="173">
  <si>
    <t>By Age Group</t>
  </si>
  <si>
    <t>Adult</t>
  </si>
  <si>
    <t>Segmentation</t>
  </si>
  <si>
    <t>By Region</t>
  </si>
  <si>
    <t>North America</t>
  </si>
  <si>
    <t>Latin America</t>
  </si>
  <si>
    <t>Europe</t>
  </si>
  <si>
    <t>Middle East</t>
  </si>
  <si>
    <t>Africa</t>
  </si>
  <si>
    <t>U.S.</t>
  </si>
  <si>
    <t>Asia Pacific</t>
  </si>
  <si>
    <t>Value</t>
  </si>
  <si>
    <t>By Treatment Type</t>
  </si>
  <si>
    <t>Immunotherapy</t>
  </si>
  <si>
    <t>Subcutaneous Immunotherapy (SCIT)</t>
  </si>
  <si>
    <t>Sublingual Immunotherapy (SLIT)</t>
  </si>
  <si>
    <t>Oral immunotherapy</t>
  </si>
  <si>
    <t>By Allergy Type</t>
  </si>
  <si>
    <t>Allergic Rhinitis</t>
  </si>
  <si>
    <t>Food Allergy</t>
  </si>
  <si>
    <t>Skin Allergy</t>
  </si>
  <si>
    <t>By Route of Administration</t>
  </si>
  <si>
    <t>Oral</t>
  </si>
  <si>
    <t>Subcutaneous</t>
  </si>
  <si>
    <t>Intravenous</t>
  </si>
  <si>
    <t>Topical</t>
  </si>
  <si>
    <t>By Dosage Form</t>
  </si>
  <si>
    <t>Tablets</t>
  </si>
  <si>
    <t>Injectable solution</t>
  </si>
  <si>
    <t>Pediatric</t>
  </si>
  <si>
    <t>Geriatric</t>
  </si>
  <si>
    <t>By Gender</t>
  </si>
  <si>
    <t>Male</t>
  </si>
  <si>
    <t>Female</t>
  </si>
  <si>
    <t>By Distribution Channel</t>
  </si>
  <si>
    <t>Hospital Pharmacies</t>
  </si>
  <si>
    <t>Retail Pharmacies</t>
  </si>
  <si>
    <t>Online Pharmacies</t>
  </si>
  <si>
    <t>Biologics</t>
  </si>
  <si>
    <t>Others (Oral Immunotherapy,  Epicutaneous Immunotherapy, Late Phase Drugs, etc.)</t>
  </si>
  <si>
    <t>Allergic Conjunctivitis</t>
  </si>
  <si>
    <t>Others (Allergic Asthma, etc.)</t>
  </si>
  <si>
    <t>Others (Nasal, etc.)</t>
  </si>
  <si>
    <t>Suspension</t>
  </si>
  <si>
    <t>Others (Patches, etc.)</t>
  </si>
  <si>
    <t>https://www.palforzia.com/wp-content/uploads/2025/07/palforzia-pi.pdf</t>
  </si>
  <si>
    <t>https://www.allergytherapeutics.com/media/1095/placing-slides-july-2018.pdf</t>
  </si>
  <si>
    <t>https://www.allergytherapeutics.com/media/1539/web_01_allergy_ar25.pdf</t>
  </si>
  <si>
    <t> CAGR of 9.0%</t>
  </si>
  <si>
    <t>8.5% CAGR</t>
  </si>
  <si>
    <t>Bn</t>
  </si>
  <si>
    <t>Drug</t>
  </si>
  <si>
    <t xml:space="preserve">Route </t>
  </si>
  <si>
    <t>dosage form</t>
  </si>
  <si>
    <t>age</t>
  </si>
  <si>
    <t>ALLGERY TYPE</t>
  </si>
  <si>
    <t>only inUK</t>
  </si>
  <si>
    <t>Pollinex Grasses + Rye and Pollinex Trees</t>
  </si>
  <si>
    <t>Pollen Allergies, Allergic Rhinitis</t>
  </si>
  <si>
    <t>https://www.allergytherapeutics.co.uk/our-products/product-range/pollinex/</t>
  </si>
  <si>
    <t>Alustal</t>
  </si>
  <si>
    <t>allergic rhinitis, conjunctivitis, and mild to moderate asthma</t>
  </si>
  <si>
    <t>ONLY IN AUSTRALIA https://www.stallergenesgreer.com/press-releases/stallergenes-greer-alustalr-companys-subcutaneous-allergen-immunotherapy-treatment</t>
  </si>
  <si>
    <t>ALUTARD</t>
  </si>
  <si>
    <t>Insect Venom Allergy, Respiratory Allergies (Pollen), House Dust Mite Allergy</t>
  </si>
  <si>
    <t>ONLY IN EUROPE</t>
  </si>
  <si>
    <t>PURETHAL</t>
  </si>
  <si>
    <t>respiratory allergies, including allergic rhinitis, conjunctivitis, and asthma</t>
  </si>
  <si>
    <t>sublingual immunotherapy </t>
  </si>
  <si>
    <t>Grastek (Timothy grass pollen allergen extract) </t>
  </si>
  <si>
    <t>Sublingual</t>
  </si>
  <si>
    <t>Timothy grass and cross-reactive grass pollens (sweet vernal, orchard, perennial rye, Kentucky blue, meadow fescue, and redtop).</t>
  </si>
  <si>
    <t>europe and U.S.</t>
  </si>
  <si>
    <t>ORALAIR</t>
  </si>
  <si>
    <t>grass pollen-induced allergic rhinitis with or without conjunctivitis</t>
  </si>
  <si>
    <t>RAGWITEK</t>
  </si>
  <si>
    <t>pollen-induced allergic rhinitis (with or without conjunctivitis)</t>
  </si>
  <si>
    <t>ODACTRA</t>
  </si>
  <si>
    <t>house dust mite (HDM)-induced allergic rhinitis and conjunctivitis </t>
  </si>
  <si>
    <t>FDA approves ODACTRA® for the treatment of house dust mite allergy in young children | ALK</t>
  </si>
  <si>
    <t>EPICUTANIOUS</t>
  </si>
  <si>
    <t>LATE PHASE 2028 LAUNCH</t>
  </si>
  <si>
    <t>ORAL</t>
  </si>
  <si>
    <t>DISCONTINIED _2026 - LAUNCH 2020-2026</t>
  </si>
  <si>
    <t>NASAL BIOLOGICS</t>
  </si>
  <si>
    <t>rank</t>
  </si>
  <si>
    <t xml:space="preserve"> </t>
  </si>
  <si>
    <t>By Application</t>
  </si>
  <si>
    <t>Mn</t>
  </si>
  <si>
    <t>By Product Type</t>
  </si>
  <si>
    <t>Reusable</t>
  </si>
  <si>
    <t>Disposable</t>
  </si>
  <si>
    <t>Non-toxic Gel Ice Packs</t>
  </si>
  <si>
    <t>Medical-grade Gel Ice Packs</t>
  </si>
  <si>
    <t>By Product Material Grade / Safety Classification</t>
  </si>
  <si>
    <t>Small</t>
  </si>
  <si>
    <t>Medium</t>
  </si>
  <si>
    <t>Large</t>
  </si>
  <si>
    <t>By Size</t>
  </si>
  <si>
    <t>Pain Management</t>
  </si>
  <si>
    <t>Post-Surgical &amp; Rehabilitation Care</t>
  </si>
  <si>
    <t>Chronic Pain &amp; Inflammatory Condition Management</t>
  </si>
  <si>
    <t>Sports Injury Management</t>
  </si>
  <si>
    <t>Emergency &amp; First Aid Use</t>
  </si>
  <si>
    <t>Others (Physical Therapy &amp; Physiotherapy, etc.)</t>
  </si>
  <si>
    <t>Cold Chain Logistics for Pharmaceuticals</t>
  </si>
  <si>
    <t>Biologics &amp; Specialty Drug Distribution</t>
  </si>
  <si>
    <t>Clinical Trial Material Transportation</t>
  </si>
  <si>
    <t>Vaccine &amp; Injectable Drug Transportation</t>
  </si>
  <si>
    <t>Others (Food &amp; Beverage Transportation, etc.)</t>
  </si>
  <si>
    <t>CAGR %</t>
  </si>
  <si>
    <t>Market Share</t>
  </si>
  <si>
    <t xml:space="preserve">https://pubmed.ncbi.nlm.nih.gov/31414166/ </t>
  </si>
  <si>
    <t>https://onlinelibrary.wiley.com/doi/10.1007/s00268-019-05129-1?utm</t>
  </si>
  <si>
    <t xml:space="preserve">https://pubmed.ncbi.nlm.nih.gov/34008228/ </t>
  </si>
  <si>
    <t xml:space="preserve">https://obgyn.onlinelibrary.wiley.com/doi/10.1111/jog.14855?utm_source=chatgpt.com </t>
  </si>
  <si>
    <t>Products</t>
  </si>
  <si>
    <t>Company</t>
  </si>
  <si>
    <t>Online</t>
  </si>
  <si>
    <t>Offline</t>
  </si>
  <si>
    <t>Cryopak Elite Gel Packs</t>
  </si>
  <si>
    <t>Cryopak No-Sweat Gel Packs</t>
  </si>
  <si>
    <t>Cryopak Standard Gel Packs</t>
  </si>
  <si>
    <t>Cryopak Eco Gel</t>
  </si>
  <si>
    <t>Cryopak</t>
  </si>
  <si>
    <t>Nordic Cold Chain Solutions</t>
  </si>
  <si>
    <t>Nordic Ice Regular Gel Packs</t>
  </si>
  <si>
    <t>ICE-BRIX Leakproof Cold Packs</t>
  </si>
  <si>
    <t>Polar Tech Industries</t>
  </si>
  <si>
    <t>ICE-BRIX Low Temperature Cold Packs</t>
  </si>
  <si>
    <t>Avg No Of Units sold</t>
  </si>
  <si>
    <t>Total (North America)</t>
  </si>
  <si>
    <t>Avg Selling Price per unit</t>
  </si>
  <si>
    <t>Canada</t>
  </si>
  <si>
    <t>Brazil</t>
  </si>
  <si>
    <t>Argentina</t>
  </si>
  <si>
    <t>Mexico</t>
  </si>
  <si>
    <t>Rest of Latin America</t>
  </si>
  <si>
    <t>U.K.</t>
  </si>
  <si>
    <t>Germany</t>
  </si>
  <si>
    <t>Italy</t>
  </si>
  <si>
    <t>France</t>
  </si>
  <si>
    <t>Spain</t>
  </si>
  <si>
    <t>Russia</t>
  </si>
  <si>
    <t>Rest of Europe</t>
  </si>
  <si>
    <t>China</t>
  </si>
  <si>
    <t>India</t>
  </si>
  <si>
    <t>Japan</t>
  </si>
  <si>
    <t>South Korea</t>
  </si>
  <si>
    <t>ASEAN</t>
  </si>
  <si>
    <t>Australia</t>
  </si>
  <si>
    <t>Rest of Asia Pacific</t>
  </si>
  <si>
    <t>GCC</t>
  </si>
  <si>
    <t>Israel</t>
  </si>
  <si>
    <t>Rest of Middle East</t>
  </si>
  <si>
    <t>North Africa</t>
  </si>
  <si>
    <t>Central Africa</t>
  </si>
  <si>
    <t>South Africa</t>
  </si>
  <si>
    <t xml:space="preserve">Market Share </t>
  </si>
  <si>
    <t>CAGR Ranking</t>
  </si>
  <si>
    <t>CMI_Trend_1</t>
  </si>
  <si>
    <t>CMI_Trend_2</t>
  </si>
  <si>
    <t>CMI_Trend_3</t>
  </si>
  <si>
    <t>CMI_Trend_4</t>
  </si>
  <si>
    <t>CMI_Trend_5</t>
  </si>
  <si>
    <t>CMI_Trend_6</t>
  </si>
  <si>
    <t>CMI_Trend_7</t>
  </si>
  <si>
    <t>CMI_Trend_8</t>
  </si>
  <si>
    <t>CMI_Trend_9</t>
  </si>
  <si>
    <t>CMI_Trend_10</t>
  </si>
  <si>
    <t>Global</t>
  </si>
  <si>
    <t>Market Name</t>
  </si>
  <si>
    <t>Gel Ice Pack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</si>
</sst>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 * #,##0.00_ ;_ * \-#,##0.00_ ;_ * &quot;-&quot;??_ ;_ @_ "/>
    <numFmt numFmtId="165" formatCode="0.0%"/>
    <numFmt numFmtId="166" formatCode="_ * #,##0.0_ ;_ * \-#,##0.0_ ;_ * &quot;-&quot;??_ ;_ @_ "/>
    <numFmt numFmtId="167" formatCode="0.0"/>
    <numFmt numFmtId="168" formatCode="_(* #,##0.0_);_(* \(#,##0.0\);_(* &quot;-&quot;??_);_(@_)"/>
  </numFmts>
  <fonts count="9">
    <font>
      <sz val="11"/>
      <color theme="1"/>
      <name val="Calibri"/>
      <family val="2"/>
      <scheme val="minor"/>
    </font>
    <font>
      <sz val="10"/>
      <color rgb="FF203864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212529"/>
      <name val="Poppins"/>
    </font>
    <font>
      <sz val="9"/>
      <color rgb="FF02161D"/>
      <name val="Segoe UI"/>
      <family val="2"/>
    </font>
    <font>
      <sz val="10"/>
      <color rgb="FF333333"/>
      <name val="Okomito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1"/>
    <xf numFmtId="10" fontId="0" fillId="0" borderId="0" xfId="0" applyNumberFormat="1"/>
    <xf numFmtId="0" fontId="1" fillId="4" borderId="1" xfId="0" applyFont="1" applyFill="1" applyBorder="1" applyAlignment="1">
      <alignment horizontal="left" vertical="center" indent="3"/>
    </xf>
    <xf numFmtId="0" fontId="1" fillId="5" borderId="1" xfId="0" applyFont="1" applyFill="1" applyBorder="1" applyAlignment="1">
      <alignment horizontal="left" vertical="center" indent="3"/>
    </xf>
    <xf numFmtId="165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3" applyNumberFormat="1" applyFont="1"/>
    <xf numFmtId="166" fontId="0" fillId="0" borderId="0" xfId="4" applyNumberFormat="1" applyFont="1"/>
    <xf numFmtId="0" fontId="7" fillId="0" borderId="0" xfId="0" applyFont="1"/>
    <xf numFmtId="0" fontId="0" fillId="2" borderId="0" xfId="0" applyFill="1"/>
    <xf numFmtId="0" fontId="0" fillId="3" borderId="0" xfId="0" applyFill="1"/>
    <xf numFmtId="0" fontId="0" fillId="6" borderId="0" xfId="0" applyFill="1"/>
    <xf numFmtId="165" fontId="2" fillId="6" borderId="0" xfId="2" applyNumberFormat="1" applyFont="1" applyFill="1" applyBorder="1" applyAlignment="1">
      <alignment horizontal="center"/>
    </xf>
    <xf numFmtId="0" fontId="2" fillId="6" borderId="0" xfId="0" applyFont="1" applyFill="1"/>
    <xf numFmtId="167" fontId="2" fillId="6" borderId="0" xfId="0" applyNumberFormat="1" applyFont="1" applyFill="1"/>
    <xf numFmtId="168" fontId="2" fillId="6" borderId="0" xfId="2" applyNumberFormat="1" applyFont="1" applyFill="1" applyBorder="1" applyAlignment="1">
      <alignment horizontal="center"/>
    </xf>
    <xf numFmtId="165" fontId="2" fillId="6" borderId="0" xfId="0" applyNumberFormat="1" applyFont="1" applyFill="1"/>
    <xf numFmtId="10" fontId="0" fillId="6" borderId="0" xfId="0" applyNumberFormat="1" applyFill="1"/>
    <xf numFmtId="167" fontId="2" fillId="6" borderId="0" xfId="2" applyNumberFormat="1" applyFont="1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165" fontId="0" fillId="0" borderId="1" xfId="3" applyNumberFormat="1" applyFont="1" applyBorder="1" applyAlignment="1">
      <alignment horizontal="center" vertical="center"/>
    </xf>
    <xf numFmtId="0" fontId="8" fillId="0" borderId="0" xfId="0" applyFont="1"/>
    <xf numFmtId="165" fontId="0" fillId="0" borderId="0" xfId="3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7" fontId="0" fillId="0" borderId="0" xfId="0" applyNumberFormat="1"/>
    <xf numFmtId="165" fontId="8" fillId="0" borderId="0" xfId="3" applyNumberFormat="1" applyFont="1" applyBorder="1" applyAlignment="1">
      <alignment horizontal="center"/>
    </xf>
    <xf numFmtId="165" fontId="8" fillId="0" borderId="0" xfId="3" applyNumberFormat="1" applyFont="1" applyBorder="1" applyAlignment="1">
      <alignment horizontal="center" vertical="center"/>
    </xf>
    <xf numFmtId="2" fontId="0" fillId="0" borderId="1" xfId="3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0" xfId="3" applyNumberFormat="1" applyFont="1" applyBorder="1" applyAlignment="1">
      <alignment horizontal="center" vertical="center"/>
    </xf>
    <xf numFmtId="2" fontId="4" fillId="0" borderId="0" xfId="3" applyNumberFormat="1" applyFont="1" applyBorder="1" applyAlignment="1">
      <alignment horizontal="center" vertical="center"/>
    </xf>
  </cellXfs>
  <cellStyles count="5">
    <cellStyle name="Comma" xfId="2" builtinId="3"/>
    <cellStyle name="Comma 2" xf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311150</xdr:colOff>
      <xdr:row>5</xdr:row>
      <xdr:rowOff>139700</xdr:rowOff>
    </xdr:from>
    <xdr:to>
      <xdr:col>5</xdr:col>
      <xdr:colOff>246405</xdr:colOff>
      <xdr:row>16</xdr:row>
      <xdr:rowOff>95002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F7666E6-D386-4305-8FC0-4E6E50234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750" y="1060450"/>
          <a:ext cx="2487955" cy="1980952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400050</xdr:colOff>
      <xdr:row>6</xdr:row>
      <xdr:rowOff>25400</xdr:rowOff>
    </xdr:from>
    <xdr:to>
      <xdr:col>11</xdr:col>
      <xdr:colOff>360666</xdr:colOff>
      <xdr:row>25</xdr:row>
      <xdr:rowOff>40705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76D47E9-29F6-4BDF-A793-AB81FFCBB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1130300"/>
          <a:ext cx="2399016" cy="3514155"/>
        </a:xfrm>
        <a:prstGeom prst="rect">
          <a:avLst/>
        </a:prstGeom>
      </xdr:spPr>
    </xdr:pic>
    <xdr:clientData/>
  </xdr:twoCellAnchor>
  <xdr:twoCellAnchor editAs="oneCell">
    <xdr:from>
      <xdr:col>0</xdr:col>
      <xdr:colOff>260351</xdr:colOff>
      <xdr:row>17</xdr:row>
      <xdr:rowOff>165100</xdr:rowOff>
    </xdr:from>
    <xdr:to>
      <xdr:col>6</xdr:col>
      <xdr:colOff>140622</xdr:colOff>
      <xdr:row>19</xdr:row>
      <xdr:rowOff>155512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FDAB54B8-261E-43E8-9CEA-479D5E107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351" y="3295650"/>
          <a:ext cx="4164654" cy="358712"/>
        </a:xfrm>
        <a:prstGeom prst="rect">
          <a:avLst/>
        </a:prstGeom>
      </xdr:spPr>
    </xdr:pic>
    <xdr:clientData/>
  </xdr:twoCellAnchor>
  <xdr:twoCellAnchor editAs="oneCell">
    <xdr:from>
      <xdr:col>0</xdr:col>
      <xdr:colOff>269213</xdr:colOff>
      <xdr:row>25</xdr:row>
      <xdr:rowOff>127000</xdr:rowOff>
    </xdr:from>
    <xdr:to>
      <xdr:col>7</xdr:col>
      <xdr:colOff>331072</xdr:colOff>
      <xdr:row>43</xdr:row>
      <xdr:rowOff>1087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4C8FB1A2-7368-4A25-84B3-D1C16CAF0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213" y="4730750"/>
          <a:ext cx="5871735" cy="31887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6</xdr:col>
      <xdr:colOff>245473</xdr:colOff>
      <xdr:row>54</xdr:row>
      <xdr:rowOff>18716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D49BA63B-437D-44AF-ACF3-F648F641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102600"/>
          <a:ext cx="3920256" cy="1904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34008228/" TargetMode="External"/><Relationship Id="rId2" Type="http://schemas.openxmlformats.org/officeDocument/2006/relationships/hyperlink" Target="https://pubmed.ncbi.nlm.nih.gov/31414166/" TargetMode="External"/><Relationship Id="rId1" Type="http://schemas.openxmlformats.org/officeDocument/2006/relationships/hyperlink" Target="https://onlinelibrary.wiley.com/doi/10.1007/s00268-019-05129-1?utm" TargetMode="External"/><Relationship Id="rId4" Type="http://schemas.openxmlformats.org/officeDocument/2006/relationships/hyperlink" Target="https://obgyn.onlinelibrary.wiley.com/doi/10.1111/jog.14855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r.alk.net/news-releases/news-release-details/fda-approves-odactrar-treatment-house-dust-mite-allergy-you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1"/>
  <sheetViews>
    <sheetView tabSelected="1" workbookViewId="0">
      <selection activeCell="C1" sqref="C1"/>
    </sheetView>
  </sheetViews>
  <sheetFormatPr defaultRowHeight="14.5"/>
  <cols>
    <col min="1" max="1" width="8.7265625" style="28"/>
    <col min="2" max="2" width="28.36328125" customWidth="1"/>
    <col min="3" max="3" width="13" bestFit="1" customWidth="1"/>
    <col min="5" max="5" width="10.36328125" bestFit="1" customWidth="1"/>
    <col min="6" max="6" width="12.08984375" bestFit="1" customWidth="1"/>
    <col min="7" max="7" width="10.54296875" bestFit="1" customWidth="1"/>
  </cols>
  <sheetData>
    <row r="1" spans="2:24">
      <c r="B1" t="s">
        <v>171</v>
      </c>
      <c r="C1" s="34" t="s">
        <v>172</v>
      </c>
    </row>
    <row r="2" spans="2:24">
      <c r="K2" s="11"/>
      <c r="L2" s="11"/>
      <c r="M2" s="11"/>
      <c r="N2" s="11"/>
      <c r="O2" s="11"/>
      <c r="P2" s="11"/>
    </row>
    <row r="3" spans="2:24">
      <c r="C3" s="27" t="s">
        <v>4</v>
      </c>
      <c r="D3" s="27" t="s">
        <v>6</v>
      </c>
      <c r="E3" s="27" t="s">
        <v>10</v>
      </c>
      <c r="F3" s="27" t="s">
        <v>5</v>
      </c>
      <c r="G3" s="27" t="s">
        <v>7</v>
      </c>
      <c r="H3" s="27" t="s">
        <v>8</v>
      </c>
      <c r="K3" s="27" t="s">
        <v>4</v>
      </c>
      <c r="L3" s="27" t="s">
        <v>6</v>
      </c>
      <c r="M3" s="27" t="s">
        <v>10</v>
      </c>
      <c r="N3" s="27" t="s">
        <v>5</v>
      </c>
      <c r="O3" s="27" t="s">
        <v>7</v>
      </c>
      <c r="P3" s="27" t="s">
        <v>8</v>
      </c>
      <c r="S3" s="27" t="s">
        <v>4</v>
      </c>
      <c r="T3" s="27" t="s">
        <v>6</v>
      </c>
      <c r="U3" s="27" t="s">
        <v>10</v>
      </c>
      <c r="V3" s="27" t="s">
        <v>5</v>
      </c>
      <c r="W3" s="27" t="s">
        <v>7</v>
      </c>
      <c r="X3" s="27" t="s">
        <v>8</v>
      </c>
    </row>
    <row r="4" spans="2:24">
      <c r="B4" s="30" t="s">
        <v>89</v>
      </c>
      <c r="J4" s="30" t="s">
        <v>89</v>
      </c>
      <c r="K4" s="28"/>
      <c r="L4" s="28"/>
      <c r="M4" s="28"/>
      <c r="N4" s="28"/>
      <c r="O4" s="28"/>
      <c r="P4" s="28"/>
      <c r="R4" s="30" t="s">
        <v>89</v>
      </c>
    </row>
    <row r="5" spans="2:24">
      <c r="B5" s="24" t="s">
        <v>90</v>
      </c>
      <c r="C5" s="29">
        <f>1-C6</f>
        <v>0.60529999999999995</v>
      </c>
      <c r="D5" s="29">
        <f t="shared" ref="D5" si="0">1-D6</f>
        <v>0.60519999999999996</v>
      </c>
      <c r="E5" s="29">
        <f t="shared" ref="E5" si="1">1-E6</f>
        <v>0.61</v>
      </c>
      <c r="F5" s="29">
        <f t="shared" ref="F5" si="2">1-F6</f>
        <v>0.5786</v>
      </c>
      <c r="G5" s="29">
        <f t="shared" ref="G5" si="3">1-G6</f>
        <v>0.59609999999999996</v>
      </c>
      <c r="H5" s="29">
        <f t="shared" ref="H5" si="4">1-H6</f>
        <v>0.58840000000000003</v>
      </c>
      <c r="J5" s="24" t="s">
        <v>90</v>
      </c>
      <c r="K5" s="28">
        <v>9.1197832114103566E-2</v>
      </c>
      <c r="L5" s="28">
        <v>8.2402533269925526E-2</v>
      </c>
      <c r="M5" s="28">
        <v>0.10113363682568233</v>
      </c>
      <c r="N5" s="28">
        <v>7.3224608087853152E-2</v>
      </c>
      <c r="O5" s="28">
        <v>6.4112482862729164E-2</v>
      </c>
      <c r="P5" s="28">
        <v>5.5719262183820888E-2</v>
      </c>
      <c r="R5" s="24" t="s">
        <v>90</v>
      </c>
      <c r="S5" t="s">
        <v>169</v>
      </c>
      <c r="T5" t="s">
        <v>164</v>
      </c>
      <c r="U5" t="s">
        <v>161</v>
      </c>
      <c r="V5" t="s">
        <v>164</v>
      </c>
      <c r="W5" t="s">
        <v>161</v>
      </c>
      <c r="X5" t="s">
        <v>161</v>
      </c>
    </row>
    <row r="6" spans="2:24">
      <c r="B6" s="24" t="s">
        <v>91</v>
      </c>
      <c r="C6" s="29">
        <v>0.39470000000000005</v>
      </c>
      <c r="D6" s="29">
        <v>0.39480000000000004</v>
      </c>
      <c r="E6" s="29">
        <v>0.39</v>
      </c>
      <c r="F6" s="29">
        <v>0.42140000000000005</v>
      </c>
      <c r="G6" s="29">
        <v>0.40390000000000004</v>
      </c>
      <c r="H6" s="29">
        <v>0.41160000000000002</v>
      </c>
      <c r="J6" s="24" t="s">
        <v>91</v>
      </c>
      <c r="K6" s="28">
        <v>8.0635031945858013E-2</v>
      </c>
      <c r="L6" s="28">
        <v>7.1839733101679973E-2</v>
      </c>
      <c r="M6" s="28">
        <v>9.0570836657436773E-2</v>
      </c>
      <c r="N6" s="28">
        <v>6.2661807919607598E-2</v>
      </c>
      <c r="O6" s="28">
        <v>5.3549682694483611E-2</v>
      </c>
      <c r="P6" s="28">
        <v>4.5156462015575334E-2</v>
      </c>
      <c r="R6" s="24" t="s">
        <v>91</v>
      </c>
      <c r="S6" t="s">
        <v>168</v>
      </c>
      <c r="T6" t="s">
        <v>164</v>
      </c>
      <c r="U6" t="s">
        <v>165</v>
      </c>
      <c r="V6" t="s">
        <v>163</v>
      </c>
      <c r="W6" t="s">
        <v>165</v>
      </c>
      <c r="X6" t="s">
        <v>160</v>
      </c>
    </row>
    <row r="7" spans="2:24">
      <c r="B7" s="25"/>
      <c r="J7" s="25"/>
      <c r="K7" s="6"/>
      <c r="L7" s="6"/>
      <c r="M7" s="6"/>
      <c r="N7" s="6"/>
      <c r="O7" s="6"/>
      <c r="P7" s="6"/>
      <c r="R7" s="25"/>
    </row>
    <row r="8" spans="2:24">
      <c r="B8" s="30" t="s">
        <v>94</v>
      </c>
      <c r="J8" s="30" t="s">
        <v>94</v>
      </c>
      <c r="K8" s="28"/>
      <c r="L8" s="28"/>
      <c r="M8" s="28"/>
      <c r="N8" s="28"/>
      <c r="O8" s="28"/>
      <c r="P8" s="28"/>
      <c r="R8" s="30" t="s">
        <v>94</v>
      </c>
    </row>
    <row r="9" spans="2:24">
      <c r="B9" s="24" t="s">
        <v>92</v>
      </c>
      <c r="C9" s="29">
        <f>1-C10</f>
        <v>0.57569999999999988</v>
      </c>
      <c r="D9" s="29">
        <f t="shared" ref="D9:H9" si="5">1-D10</f>
        <v>0.57269999999999999</v>
      </c>
      <c r="E9" s="29">
        <f t="shared" si="5"/>
        <v>0.58240000000000003</v>
      </c>
      <c r="F9" s="29">
        <f t="shared" si="5"/>
        <v>0.56759999999999988</v>
      </c>
      <c r="G9" s="29">
        <f t="shared" si="5"/>
        <v>0.58799999999999997</v>
      </c>
      <c r="H9" s="29">
        <f t="shared" si="5"/>
        <v>0.55859999999999999</v>
      </c>
      <c r="J9" s="24" t="s">
        <v>92</v>
      </c>
      <c r="K9" s="28">
        <v>9.084643567445494E-2</v>
      </c>
      <c r="L9" s="28">
        <v>8.2077073768172568E-2</v>
      </c>
      <c r="M9" s="28">
        <v>0.10077160069348653</v>
      </c>
      <c r="N9" s="28">
        <v>7.2664066572076136E-2</v>
      </c>
      <c r="O9" s="28">
        <v>6.3553236468091426E-2</v>
      </c>
      <c r="P9" s="28">
        <v>5.5343215763430161E-2</v>
      </c>
      <c r="R9" s="24" t="s">
        <v>92</v>
      </c>
      <c r="S9" t="s">
        <v>164</v>
      </c>
      <c r="T9" t="s">
        <v>160</v>
      </c>
      <c r="U9" t="s">
        <v>162</v>
      </c>
      <c r="V9" t="s">
        <v>165</v>
      </c>
      <c r="W9" t="s">
        <v>168</v>
      </c>
      <c r="X9" t="s">
        <v>161</v>
      </c>
    </row>
    <row r="10" spans="2:24">
      <c r="B10" s="24" t="s">
        <v>93</v>
      </c>
      <c r="C10" s="29">
        <v>0.42430000000000007</v>
      </c>
      <c r="D10" s="29">
        <v>0.42730000000000007</v>
      </c>
      <c r="E10" s="29">
        <v>0.41760000000000003</v>
      </c>
      <c r="F10" s="29">
        <v>0.43240000000000006</v>
      </c>
      <c r="G10" s="29">
        <v>0.41200000000000003</v>
      </c>
      <c r="H10" s="29">
        <v>0.44140000000000007</v>
      </c>
      <c r="J10" s="24" t="s">
        <v>93</v>
      </c>
      <c r="K10" s="28">
        <v>8.184869637028834E-2</v>
      </c>
      <c r="L10" s="28">
        <v>7.3079334464005968E-2</v>
      </c>
      <c r="M10" s="28">
        <v>9.1773861389319936E-2</v>
      </c>
      <c r="N10" s="28">
        <v>6.3666327267909537E-2</v>
      </c>
      <c r="O10" s="28">
        <v>5.4555497163924827E-2</v>
      </c>
      <c r="P10" s="28">
        <v>4.6345476459263561E-2</v>
      </c>
      <c r="R10" s="24" t="s">
        <v>93</v>
      </c>
      <c r="S10" t="s">
        <v>169</v>
      </c>
      <c r="T10" t="s">
        <v>166</v>
      </c>
      <c r="U10" t="s">
        <v>169</v>
      </c>
      <c r="V10" t="s">
        <v>164</v>
      </c>
      <c r="W10" t="s">
        <v>169</v>
      </c>
      <c r="X10" t="s">
        <v>162</v>
      </c>
    </row>
    <row r="11" spans="2:24">
      <c r="B11" s="25"/>
      <c r="J11" s="25"/>
      <c r="K11" s="6"/>
      <c r="L11" s="6"/>
      <c r="M11" s="6"/>
      <c r="N11" s="6"/>
      <c r="O11" s="6"/>
      <c r="P11" s="6"/>
      <c r="R11" s="25"/>
    </row>
    <row r="12" spans="2:24">
      <c r="B12" s="30" t="s">
        <v>98</v>
      </c>
      <c r="J12" s="30" t="s">
        <v>98</v>
      </c>
      <c r="K12" s="28"/>
      <c r="L12" s="28"/>
      <c r="M12" s="28"/>
      <c r="N12" s="28"/>
      <c r="O12" s="28"/>
      <c r="P12" s="28"/>
      <c r="R12" s="30" t="s">
        <v>98</v>
      </c>
    </row>
    <row r="13" spans="2:24">
      <c r="B13" s="24" t="s">
        <v>95</v>
      </c>
      <c r="C13" s="29">
        <f>1-SUM(C14:C15)</f>
        <v>0.30469999999999997</v>
      </c>
      <c r="D13" s="29">
        <f t="shared" ref="D13:H13" si="6">1-SUM(D14:D15)</f>
        <v>0.31759999999999999</v>
      </c>
      <c r="E13" s="29">
        <f t="shared" si="6"/>
        <v>0.28550000000000009</v>
      </c>
      <c r="F13" s="29">
        <f t="shared" si="6"/>
        <v>0.27600000000000002</v>
      </c>
      <c r="G13" s="29">
        <f t="shared" si="6"/>
        <v>0.27790000000000004</v>
      </c>
      <c r="H13" s="29">
        <f t="shared" si="6"/>
        <v>0.27919999999999989</v>
      </c>
      <c r="J13" s="24" t="s">
        <v>95</v>
      </c>
      <c r="K13" s="28">
        <v>7.7937642437633584E-2</v>
      </c>
      <c r="L13" s="28">
        <v>6.9384680244829133E-2</v>
      </c>
      <c r="M13" s="28">
        <v>8.7766302740313079E-2</v>
      </c>
      <c r="N13" s="28">
        <v>5.9435037822052922E-2</v>
      </c>
      <c r="O13" s="28">
        <v>5.0442653876948393E-2</v>
      </c>
      <c r="P13" s="28">
        <v>4.1940648215084621E-2</v>
      </c>
      <c r="R13" s="24" t="s">
        <v>95</v>
      </c>
      <c r="S13" t="s">
        <v>168</v>
      </c>
      <c r="T13" t="s">
        <v>166</v>
      </c>
      <c r="U13" t="s">
        <v>165</v>
      </c>
      <c r="V13" t="s">
        <v>165</v>
      </c>
      <c r="W13" t="s">
        <v>165</v>
      </c>
      <c r="X13" t="s">
        <v>163</v>
      </c>
    </row>
    <row r="14" spans="2:24">
      <c r="B14" s="24" t="s">
        <v>96</v>
      </c>
      <c r="C14" s="29">
        <v>0.42509999999999998</v>
      </c>
      <c r="D14" s="29">
        <v>0.42630000000000001</v>
      </c>
      <c r="E14" s="29">
        <v>0.44829999999999998</v>
      </c>
      <c r="F14" s="29">
        <v>0.4582</v>
      </c>
      <c r="G14" s="29">
        <v>0.4461</v>
      </c>
      <c r="H14" s="29">
        <v>0.43990000000000001</v>
      </c>
      <c r="J14" s="24" t="s">
        <v>96</v>
      </c>
      <c r="K14" s="28">
        <v>8.7816969374189632E-2</v>
      </c>
      <c r="L14" s="28">
        <v>7.9264007181385182E-2</v>
      </c>
      <c r="M14" s="28">
        <v>9.7645629676869128E-2</v>
      </c>
      <c r="N14" s="28">
        <v>6.9314364758608971E-2</v>
      </c>
      <c r="O14" s="28">
        <v>6.0321980813504442E-2</v>
      </c>
      <c r="P14" s="28">
        <v>5.181997515164067E-2</v>
      </c>
      <c r="R14" s="24" t="s">
        <v>96</v>
      </c>
      <c r="S14" t="s">
        <v>167</v>
      </c>
      <c r="T14" t="s">
        <v>166</v>
      </c>
      <c r="U14" t="s">
        <v>161</v>
      </c>
      <c r="V14" t="s">
        <v>164</v>
      </c>
      <c r="W14" t="s">
        <v>169</v>
      </c>
      <c r="X14" t="s">
        <v>167</v>
      </c>
    </row>
    <row r="15" spans="2:24">
      <c r="B15" s="24" t="s">
        <v>97</v>
      </c>
      <c r="C15" s="29">
        <v>0.2702</v>
      </c>
      <c r="D15" s="29">
        <v>0.25609999999999999</v>
      </c>
      <c r="E15" s="29">
        <v>0.26619999999999999</v>
      </c>
      <c r="F15" s="29">
        <v>0.26580000000000004</v>
      </c>
      <c r="G15" s="29">
        <v>0.27600000000000002</v>
      </c>
      <c r="H15" s="29">
        <v>0.28090000000000004</v>
      </c>
      <c r="J15" s="24" t="s">
        <v>97</v>
      </c>
      <c r="K15" s="28">
        <v>9.6040346247157973E-2</v>
      </c>
      <c r="L15" s="28">
        <v>8.7487384054353523E-2</v>
      </c>
      <c r="M15" s="28">
        <v>0.10586900654983747</v>
      </c>
      <c r="N15" s="28">
        <v>7.7537741631577312E-2</v>
      </c>
      <c r="O15" s="28">
        <v>6.8545357686472783E-2</v>
      </c>
      <c r="P15" s="28">
        <v>6.004335202460901E-2</v>
      </c>
      <c r="R15" s="24" t="s">
        <v>97</v>
      </c>
      <c r="S15" t="s">
        <v>168</v>
      </c>
      <c r="T15" t="s">
        <v>166</v>
      </c>
      <c r="U15" t="s">
        <v>167</v>
      </c>
      <c r="V15" t="s">
        <v>163</v>
      </c>
      <c r="W15" t="s">
        <v>168</v>
      </c>
      <c r="X15" t="s">
        <v>169</v>
      </c>
    </row>
    <row r="16" spans="2:24">
      <c r="B16" s="25"/>
      <c r="J16" s="25"/>
      <c r="K16" s="6"/>
      <c r="L16" s="6"/>
      <c r="M16" s="6"/>
      <c r="N16" s="6"/>
      <c r="O16" s="6"/>
      <c r="P16" s="6"/>
      <c r="R16" s="25"/>
    </row>
    <row r="17" spans="2:24">
      <c r="B17" s="30" t="s">
        <v>87</v>
      </c>
      <c r="J17" s="30" t="s">
        <v>87</v>
      </c>
      <c r="K17" s="6"/>
      <c r="L17" s="6"/>
      <c r="M17" s="6"/>
      <c r="N17" s="6"/>
      <c r="O17" s="6"/>
      <c r="P17" s="6"/>
      <c r="R17" s="30" t="s">
        <v>87</v>
      </c>
    </row>
    <row r="18" spans="2:24">
      <c r="B18" s="24" t="s">
        <v>99</v>
      </c>
      <c r="C18" s="29">
        <v>0.3468</v>
      </c>
      <c r="D18" s="29">
        <v>0.3347</v>
      </c>
      <c r="E18" s="29">
        <v>0.35110000000000002</v>
      </c>
      <c r="F18" s="29">
        <v>0.33400000000000002</v>
      </c>
      <c r="G18" s="29">
        <v>0.34200000000000003</v>
      </c>
      <c r="H18" s="29">
        <v>0.3241</v>
      </c>
      <c r="J18" s="24" t="s">
        <v>99</v>
      </c>
      <c r="K18" s="28">
        <f>SUMPRODUCT(K19:K23,C19:C23)</f>
        <v>9.1347135709023239E-2</v>
      </c>
      <c r="L18" s="28">
        <f t="shared" ref="L18:P18" si="7">SUMPRODUCT(L19:L23,D19:D23)</f>
        <v>8.3227238909355974E-2</v>
      </c>
      <c r="M18" s="28">
        <f t="shared" si="7"/>
        <v>0.10121075448636073</v>
      </c>
      <c r="N18" s="28">
        <f t="shared" si="7"/>
        <v>7.3731717566098753E-2</v>
      </c>
      <c r="O18" s="28">
        <f t="shared" si="7"/>
        <v>6.3749446963068696E-2</v>
      </c>
      <c r="P18" s="28">
        <f t="shared" si="7"/>
        <v>5.6631115590327456E-2</v>
      </c>
      <c r="R18" s="24" t="s">
        <v>99</v>
      </c>
      <c r="S18" t="s">
        <v>168</v>
      </c>
      <c r="T18" t="s">
        <v>165</v>
      </c>
      <c r="U18" t="s">
        <v>168</v>
      </c>
      <c r="V18" t="s">
        <v>168</v>
      </c>
      <c r="W18" t="s">
        <v>169</v>
      </c>
      <c r="X18" t="s">
        <v>169</v>
      </c>
    </row>
    <row r="19" spans="2:24">
      <c r="B19" s="26" t="s">
        <v>100</v>
      </c>
      <c r="C19" s="29">
        <f>1-SUM(C20:C23)</f>
        <v>0.29732133865991361</v>
      </c>
      <c r="D19" s="29">
        <f t="shared" ref="D19:H19" si="8">1-SUM(D20:D23)</f>
        <v>0.30981317469360903</v>
      </c>
      <c r="E19" s="29">
        <f t="shared" si="8"/>
        <v>0.32842752671306741</v>
      </c>
      <c r="F19" s="29">
        <f t="shared" si="8"/>
        <v>0.31362610418982195</v>
      </c>
      <c r="G19" s="29">
        <f t="shared" si="8"/>
        <v>0.31628584496008261</v>
      </c>
      <c r="H19" s="29">
        <f t="shared" si="8"/>
        <v>0.34061190370449279</v>
      </c>
      <c r="J19" s="26" t="s">
        <v>100</v>
      </c>
      <c r="K19" s="28">
        <v>9.6564790713716667E-2</v>
      </c>
      <c r="L19" s="28">
        <v>8.8072174142171819E-2</v>
      </c>
      <c r="M19" s="28">
        <v>0.10570375510495512</v>
      </c>
      <c r="N19" s="28">
        <v>7.8864197505850789E-2</v>
      </c>
      <c r="O19" s="28">
        <v>6.8589812755284904E-2</v>
      </c>
      <c r="P19" s="28">
        <v>6.1296143987072942E-2</v>
      </c>
      <c r="R19" s="26" t="s">
        <v>100</v>
      </c>
      <c r="S19" t="s">
        <v>166</v>
      </c>
      <c r="T19" t="s">
        <v>161</v>
      </c>
      <c r="U19" t="s">
        <v>163</v>
      </c>
      <c r="V19" t="s">
        <v>164</v>
      </c>
      <c r="W19" t="s">
        <v>165</v>
      </c>
      <c r="X19" t="s">
        <v>160</v>
      </c>
    </row>
    <row r="20" spans="2:24">
      <c r="B20" s="26" t="s">
        <v>101</v>
      </c>
      <c r="C20" s="29">
        <v>0.23300000000000001</v>
      </c>
      <c r="D20" s="29">
        <v>0.23752475247524751</v>
      </c>
      <c r="E20" s="29">
        <v>0.2437</v>
      </c>
      <c r="F20" s="29">
        <v>0.22890551805580683</v>
      </c>
      <c r="G20" s="29">
        <v>0.23480559790000002</v>
      </c>
      <c r="H20" s="29">
        <v>0.22800000000000001</v>
      </c>
      <c r="J20" s="26" t="s">
        <v>101</v>
      </c>
      <c r="K20" s="28">
        <v>0.10463107338785028</v>
      </c>
      <c r="L20" s="28">
        <v>9.6138456816305437E-2</v>
      </c>
      <c r="M20" s="28">
        <v>0.11377003777908874</v>
      </c>
      <c r="N20" s="28">
        <v>8.6930480179984407E-2</v>
      </c>
      <c r="O20" s="28">
        <v>7.6656095429418522E-2</v>
      </c>
      <c r="P20" s="28">
        <v>6.9362426661206567E-2</v>
      </c>
      <c r="R20" s="26" t="s">
        <v>101</v>
      </c>
      <c r="S20" t="s">
        <v>162</v>
      </c>
      <c r="T20" t="s">
        <v>166</v>
      </c>
      <c r="U20" t="s">
        <v>162</v>
      </c>
      <c r="V20" t="s">
        <v>169</v>
      </c>
      <c r="W20" t="s">
        <v>167</v>
      </c>
      <c r="X20" t="s">
        <v>163</v>
      </c>
    </row>
    <row r="21" spans="2:24">
      <c r="B21" s="26" t="s">
        <v>102</v>
      </c>
      <c r="C21" s="29">
        <v>0.18257425742574254</v>
      </c>
      <c r="D21" s="29">
        <v>0.1855</v>
      </c>
      <c r="E21" s="29">
        <v>0.16319999999999998</v>
      </c>
      <c r="F21" s="29">
        <v>0.16989663489999998</v>
      </c>
      <c r="G21" s="29">
        <v>0.17550855713991753</v>
      </c>
      <c r="H21" s="29">
        <v>0.16831650000000001</v>
      </c>
      <c r="J21" s="26" t="s">
        <v>102</v>
      </c>
      <c r="K21" s="28">
        <v>8.9189467231179861E-2</v>
      </c>
      <c r="L21" s="28">
        <v>8.0696850659635014E-2</v>
      </c>
      <c r="M21" s="28">
        <v>9.8328431622418319E-2</v>
      </c>
      <c r="N21" s="28">
        <v>7.1488874023313984E-2</v>
      </c>
      <c r="O21" s="28">
        <v>6.1214489272748099E-2</v>
      </c>
      <c r="P21" s="28">
        <v>5.3920820504536136E-2</v>
      </c>
      <c r="R21" s="26" t="s">
        <v>102</v>
      </c>
      <c r="S21" t="s">
        <v>168</v>
      </c>
      <c r="T21" t="s">
        <v>169</v>
      </c>
      <c r="U21" t="s">
        <v>163</v>
      </c>
      <c r="V21" t="s">
        <v>160</v>
      </c>
      <c r="W21" t="s">
        <v>161</v>
      </c>
      <c r="X21" t="s">
        <v>165</v>
      </c>
    </row>
    <row r="22" spans="2:24">
      <c r="B22" s="26" t="s">
        <v>103</v>
      </c>
      <c r="C22" s="29">
        <v>0.12470440391434395</v>
      </c>
      <c r="D22" s="29">
        <v>0.1108</v>
      </c>
      <c r="E22" s="29">
        <v>0.12077247328693265</v>
      </c>
      <c r="F22" s="29">
        <v>0.12919621716509974</v>
      </c>
      <c r="G22" s="29">
        <v>0.12329999999999999</v>
      </c>
      <c r="H22" s="29">
        <v>0.11507628983707145</v>
      </c>
      <c r="J22" s="26" t="s">
        <v>103</v>
      </c>
      <c r="K22" s="28">
        <v>8.1027606792888229E-2</v>
      </c>
      <c r="L22" s="28">
        <v>7.2534990221343382E-2</v>
      </c>
      <c r="M22" s="28">
        <v>9.0166571184126687E-2</v>
      </c>
      <c r="N22" s="28">
        <v>6.3327013585022351E-2</v>
      </c>
      <c r="O22" s="28">
        <v>5.3052628834456467E-2</v>
      </c>
      <c r="P22" s="28">
        <v>4.5758960066244504E-2</v>
      </c>
      <c r="R22" s="26" t="s">
        <v>103</v>
      </c>
      <c r="S22" t="s">
        <v>169</v>
      </c>
      <c r="T22" t="s">
        <v>162</v>
      </c>
      <c r="U22" t="s">
        <v>168</v>
      </c>
      <c r="V22" t="s">
        <v>168</v>
      </c>
      <c r="W22" t="s">
        <v>162</v>
      </c>
      <c r="X22" t="s">
        <v>168</v>
      </c>
    </row>
    <row r="23" spans="2:24">
      <c r="B23" s="26" t="s">
        <v>104</v>
      </c>
      <c r="C23" s="29">
        <v>0.16239999999999991</v>
      </c>
      <c r="D23" s="29">
        <v>0.15636207283114345</v>
      </c>
      <c r="E23" s="29">
        <v>0.14389999999999992</v>
      </c>
      <c r="F23" s="29">
        <v>0.15837552568927149</v>
      </c>
      <c r="G23" s="29">
        <v>0.1500999999999999</v>
      </c>
      <c r="H23" s="29">
        <v>0.14799530645843575</v>
      </c>
      <c r="J23" s="26" t="s">
        <v>104</v>
      </c>
      <c r="K23" s="28">
        <v>7.3085730366959645E-2</v>
      </c>
      <c r="L23" s="28">
        <v>6.4593113795414797E-2</v>
      </c>
      <c r="M23" s="28">
        <v>8.2224694758198102E-2</v>
      </c>
      <c r="N23" s="28">
        <v>5.5385137159093767E-2</v>
      </c>
      <c r="O23" s="28">
        <v>4.5110752408527882E-2</v>
      </c>
      <c r="P23" s="28">
        <v>3.781708364031592E-2</v>
      </c>
      <c r="R23" s="26" t="s">
        <v>104</v>
      </c>
      <c r="S23" t="s">
        <v>164</v>
      </c>
      <c r="T23" t="s">
        <v>166</v>
      </c>
      <c r="U23" t="s">
        <v>161</v>
      </c>
      <c r="V23" t="s">
        <v>168</v>
      </c>
      <c r="W23" t="s">
        <v>165</v>
      </c>
      <c r="X23" t="s">
        <v>162</v>
      </c>
    </row>
    <row r="24" spans="2:24">
      <c r="B24" s="24" t="s">
        <v>105</v>
      </c>
      <c r="C24" s="29">
        <v>0.1484</v>
      </c>
      <c r="D24" s="29">
        <v>0.13489999999999999</v>
      </c>
      <c r="E24" s="29">
        <v>0.1454</v>
      </c>
      <c r="F24" s="29">
        <v>0.14899999999999999</v>
      </c>
      <c r="G24" s="29">
        <v>0.14219999999999999</v>
      </c>
      <c r="H24" s="29">
        <v>0.13730000000000001</v>
      </c>
      <c r="J24" s="24" t="s">
        <v>105</v>
      </c>
      <c r="K24" s="28">
        <v>9.9155959716476574E-2</v>
      </c>
      <c r="L24" s="28">
        <v>9.0663343144931727E-2</v>
      </c>
      <c r="M24" s="28">
        <v>0.10829492410771503</v>
      </c>
      <c r="N24" s="28">
        <v>8.1455366508610696E-2</v>
      </c>
      <c r="O24" s="28">
        <v>7.1180981758044812E-2</v>
      </c>
      <c r="P24" s="28">
        <v>6.3887312989832856E-2</v>
      </c>
      <c r="R24" s="24" t="s">
        <v>105</v>
      </c>
      <c r="S24" t="s">
        <v>161</v>
      </c>
      <c r="T24" t="s">
        <v>164</v>
      </c>
      <c r="U24" t="s">
        <v>166</v>
      </c>
      <c r="V24" t="s">
        <v>165</v>
      </c>
      <c r="W24" t="s">
        <v>169</v>
      </c>
      <c r="X24" t="s">
        <v>161</v>
      </c>
    </row>
    <row r="25" spans="2:24">
      <c r="B25" s="24" t="s">
        <v>106</v>
      </c>
      <c r="C25" s="29">
        <v>0.11020000000000001</v>
      </c>
      <c r="D25" s="29">
        <v>0.11782964395841605</v>
      </c>
      <c r="E25" s="29">
        <v>0.1225</v>
      </c>
      <c r="F25" s="29">
        <v>0.10567591412606608</v>
      </c>
      <c r="G25" s="29">
        <v>0.12840000000000001</v>
      </c>
      <c r="H25" s="29">
        <v>0.11323852114383359</v>
      </c>
      <c r="J25" s="24" t="s">
        <v>106</v>
      </c>
      <c r="K25" s="28">
        <v>0.10746499676520502</v>
      </c>
      <c r="L25" s="28">
        <v>9.897238019366017E-2</v>
      </c>
      <c r="M25" s="28">
        <v>0.11660396115644348</v>
      </c>
      <c r="N25" s="28">
        <v>8.976440355733914E-2</v>
      </c>
      <c r="O25" s="28">
        <v>7.9490018806773255E-2</v>
      </c>
      <c r="P25" s="28">
        <v>7.2196350038561286E-2</v>
      </c>
      <c r="R25" s="24" t="s">
        <v>106</v>
      </c>
      <c r="S25" t="s">
        <v>165</v>
      </c>
      <c r="T25" t="s">
        <v>160</v>
      </c>
      <c r="U25" t="s">
        <v>161</v>
      </c>
      <c r="V25" t="s">
        <v>164</v>
      </c>
      <c r="W25" t="s">
        <v>167</v>
      </c>
      <c r="X25" t="s">
        <v>168</v>
      </c>
    </row>
    <row r="26" spans="2:24">
      <c r="B26" s="24" t="s">
        <v>107</v>
      </c>
      <c r="C26" s="29">
        <v>8.8000000000000009E-2</v>
      </c>
      <c r="D26" s="29">
        <v>7.6700000000000004E-2</v>
      </c>
      <c r="E26" s="29">
        <v>8.0399999999999999E-2</v>
      </c>
      <c r="F26" s="29">
        <v>6.9200000000000012E-2</v>
      </c>
      <c r="G26" s="29">
        <v>9.01E-2</v>
      </c>
      <c r="H26" s="29">
        <v>0.1018</v>
      </c>
      <c r="J26" s="24" t="s">
        <v>107</v>
      </c>
      <c r="K26" s="28">
        <v>7.5445400373144456E-2</v>
      </c>
      <c r="L26" s="28">
        <v>6.6952783801599608E-2</v>
      </c>
      <c r="M26" s="28">
        <v>8.4584364764382913E-2</v>
      </c>
      <c r="N26" s="28">
        <v>5.7744807165278578E-2</v>
      </c>
      <c r="O26" s="28">
        <v>4.7470422414712693E-2</v>
      </c>
      <c r="P26" s="28">
        <v>4.017675364650073E-2</v>
      </c>
      <c r="R26" s="24" t="s">
        <v>107</v>
      </c>
      <c r="S26" t="s">
        <v>167</v>
      </c>
      <c r="T26" t="s">
        <v>160</v>
      </c>
      <c r="U26" t="s">
        <v>166</v>
      </c>
      <c r="V26" t="s">
        <v>168</v>
      </c>
      <c r="W26" t="s">
        <v>163</v>
      </c>
      <c r="X26" t="s">
        <v>163</v>
      </c>
    </row>
    <row r="27" spans="2:24">
      <c r="B27" s="24" t="s">
        <v>108</v>
      </c>
      <c r="C27" s="29">
        <v>9.3422213508479554E-2</v>
      </c>
      <c r="D27" s="29">
        <v>9.799999999999999E-2</v>
      </c>
      <c r="E27" s="29">
        <v>0.10339999999999999</v>
      </c>
      <c r="F27" s="29">
        <v>9.5445544554455447E-2</v>
      </c>
      <c r="G27" s="29">
        <v>0.1084</v>
      </c>
      <c r="H27" s="29">
        <v>9.9464606237638975E-2</v>
      </c>
      <c r="J27" s="24" t="s">
        <v>108</v>
      </c>
      <c r="K27" s="28">
        <v>8.2961576224119774E-2</v>
      </c>
      <c r="L27" s="28">
        <v>7.4468959652574926E-2</v>
      </c>
      <c r="M27" s="28">
        <v>9.2100540615358231E-2</v>
      </c>
      <c r="N27" s="28">
        <v>6.5260983016253896E-2</v>
      </c>
      <c r="O27" s="28">
        <v>5.4986598265688011E-2</v>
      </c>
      <c r="P27" s="28">
        <v>4.7692929497476048E-2</v>
      </c>
      <c r="R27" s="24" t="s">
        <v>108</v>
      </c>
      <c r="S27" t="s">
        <v>168</v>
      </c>
      <c r="T27" t="s">
        <v>162</v>
      </c>
      <c r="U27" t="s">
        <v>169</v>
      </c>
      <c r="V27" t="s">
        <v>165</v>
      </c>
      <c r="W27" t="s">
        <v>168</v>
      </c>
      <c r="X27" t="s">
        <v>163</v>
      </c>
    </row>
    <row r="28" spans="2:24">
      <c r="B28" s="24" t="s">
        <v>109</v>
      </c>
      <c r="C28" s="28">
        <f t="shared" ref="C28:H28" si="9">1-SUM(C24:C27,C18)</f>
        <v>0.21317778649152042</v>
      </c>
      <c r="D28" s="28">
        <f t="shared" si="9"/>
        <v>0.23787035604158402</v>
      </c>
      <c r="E28" s="28">
        <f t="shared" si="9"/>
        <v>0.19719999999999993</v>
      </c>
      <c r="F28" s="28">
        <f t="shared" si="9"/>
        <v>0.24667854131947853</v>
      </c>
      <c r="G28" s="28">
        <f t="shared" si="9"/>
        <v>0.18889999999999996</v>
      </c>
      <c r="H28" s="28">
        <f t="shared" si="9"/>
        <v>0.22409687261852751</v>
      </c>
      <c r="J28" s="24" t="s">
        <v>109</v>
      </c>
      <c r="K28" s="28">
        <v>6.7560847101128613E-2</v>
      </c>
      <c r="L28" s="28">
        <v>5.9068230529583765E-2</v>
      </c>
      <c r="M28" s="28">
        <v>7.669981149236707E-2</v>
      </c>
      <c r="N28" s="28">
        <v>4.9860253893262735E-2</v>
      </c>
      <c r="O28" s="28">
        <v>3.958586914269685E-2</v>
      </c>
      <c r="P28" s="28">
        <v>3.2292200374484888E-2</v>
      </c>
      <c r="R28" s="24" t="s">
        <v>109</v>
      </c>
      <c r="S28" t="s">
        <v>162</v>
      </c>
      <c r="T28" t="s">
        <v>160</v>
      </c>
      <c r="U28" t="s">
        <v>166</v>
      </c>
      <c r="V28" t="s">
        <v>169</v>
      </c>
      <c r="W28" t="s">
        <v>162</v>
      </c>
      <c r="X28" t="s">
        <v>165</v>
      </c>
    </row>
    <row r="29" spans="2:24">
      <c r="B29" s="25"/>
      <c r="J29" s="25"/>
      <c r="K29" s="28"/>
      <c r="L29" s="28"/>
      <c r="M29" s="28"/>
      <c r="N29" s="28"/>
      <c r="O29" s="28"/>
      <c r="P29" s="28"/>
      <c r="R29" s="25"/>
    </row>
    <row r="30" spans="2:24">
      <c r="B30" s="30" t="s">
        <v>34</v>
      </c>
      <c r="J30" s="30" t="s">
        <v>34</v>
      </c>
      <c r="K30" s="28"/>
      <c r="L30" s="28"/>
      <c r="M30" s="28"/>
      <c r="N30" s="28"/>
      <c r="O30" s="28"/>
      <c r="P30" s="28"/>
      <c r="R30" s="30" t="s">
        <v>34</v>
      </c>
    </row>
    <row r="31" spans="2:24">
      <c r="B31" s="24" t="s">
        <v>118</v>
      </c>
      <c r="C31" s="29">
        <v>0.38100000000000001</v>
      </c>
      <c r="D31" s="29">
        <v>0.3836</v>
      </c>
      <c r="E31" s="29">
        <v>0.36849999999999999</v>
      </c>
      <c r="F31" s="29">
        <v>0.39</v>
      </c>
      <c r="G31" s="29">
        <v>0.38200000000000001</v>
      </c>
      <c r="H31" s="29">
        <v>0.39360000000000001</v>
      </c>
      <c r="J31" s="24" t="s">
        <v>118</v>
      </c>
      <c r="K31" s="28">
        <v>9.2539668141931139E-2</v>
      </c>
      <c r="L31" s="28">
        <v>8.3720165149463219E-2</v>
      </c>
      <c r="M31" s="28">
        <v>0.1026364058425364</v>
      </c>
      <c r="N31" s="28">
        <v>7.4204290114858851E-2</v>
      </c>
      <c r="O31" s="28">
        <v>6.5348238102750006E-2</v>
      </c>
      <c r="P31" s="28">
        <v>5.6770408757943487E-2</v>
      </c>
      <c r="R31" s="24" t="s">
        <v>118</v>
      </c>
      <c r="S31" t="s">
        <v>161</v>
      </c>
      <c r="T31" t="s">
        <v>165</v>
      </c>
      <c r="U31" t="s">
        <v>163</v>
      </c>
      <c r="V31" t="s">
        <v>160</v>
      </c>
      <c r="W31" t="s">
        <v>162</v>
      </c>
      <c r="X31" t="s">
        <v>164</v>
      </c>
    </row>
    <row r="32" spans="2:24">
      <c r="B32" s="24" t="s">
        <v>119</v>
      </c>
      <c r="C32" s="28">
        <f t="shared" ref="C32:H32" si="10">1-C31</f>
        <v>0.61899999999999999</v>
      </c>
      <c r="D32" s="28">
        <f t="shared" si="10"/>
        <v>0.61640000000000006</v>
      </c>
      <c r="E32" s="28">
        <f t="shared" si="10"/>
        <v>0.63149999999999995</v>
      </c>
      <c r="F32" s="28">
        <f t="shared" si="10"/>
        <v>0.61</v>
      </c>
      <c r="G32" s="28">
        <f t="shared" si="10"/>
        <v>0.61799999999999999</v>
      </c>
      <c r="H32" s="28">
        <f t="shared" si="10"/>
        <v>0.60640000000000005</v>
      </c>
      <c r="J32" s="24" t="s">
        <v>119</v>
      </c>
      <c r="K32" s="28">
        <v>8.3636641883071544E-2</v>
      </c>
      <c r="L32" s="28">
        <v>7.4817138890603624E-2</v>
      </c>
      <c r="M32" s="28">
        <v>9.3733379583676807E-2</v>
      </c>
      <c r="N32" s="28">
        <v>6.5301263855999256E-2</v>
      </c>
      <c r="O32" s="28">
        <v>5.6445211843890411E-2</v>
      </c>
      <c r="P32" s="28">
        <v>4.7867382499083892E-2</v>
      </c>
      <c r="R32" s="24" t="s">
        <v>119</v>
      </c>
      <c r="S32" t="s">
        <v>160</v>
      </c>
      <c r="T32" t="s">
        <v>168</v>
      </c>
      <c r="U32" t="s">
        <v>164</v>
      </c>
      <c r="V32" t="s">
        <v>168</v>
      </c>
      <c r="W32" t="s">
        <v>161</v>
      </c>
      <c r="X32" t="s">
        <v>169</v>
      </c>
    </row>
    <row r="35" spans="2:6">
      <c r="B35" s="31" t="s">
        <v>3</v>
      </c>
      <c r="C35" s="41" t="s">
        <v>111</v>
      </c>
      <c r="D35" s="41" t="s">
        <v>110</v>
      </c>
      <c r="E35" s="41" t="s">
        <v>11</v>
      </c>
    </row>
    <row r="36" spans="2:6">
      <c r="B36" s="32" t="s">
        <v>4</v>
      </c>
      <c r="C36" s="33">
        <v>0.39300000000000002</v>
      </c>
      <c r="D36" s="33">
        <v>8.7028694887697045E-2</v>
      </c>
      <c r="E36" s="40">
        <f>C36*$E$42</f>
        <v>382.19326818675353</v>
      </c>
    </row>
    <row r="37" spans="2:6">
      <c r="B37" s="32" t="s">
        <v>5</v>
      </c>
      <c r="C37" s="33">
        <v>9.8925385332491275E-2</v>
      </c>
      <c r="D37" s="33">
        <v>6.8773444096954489E-2</v>
      </c>
      <c r="E37" s="40">
        <f t="shared" ref="E37:E41" si="11">C37*$E$42</f>
        <v>96.205130602694069</v>
      </c>
    </row>
    <row r="38" spans="2:6">
      <c r="B38" s="32" t="s">
        <v>6</v>
      </c>
      <c r="C38" s="33">
        <v>0.252</v>
      </c>
      <c r="D38" s="33">
        <v>7.8232339763502176E-2</v>
      </c>
      <c r="E38" s="40">
        <f t="shared" si="11"/>
        <v>245.07049257776561</v>
      </c>
    </row>
    <row r="39" spans="2:6">
      <c r="B39" s="32" t="s">
        <v>10</v>
      </c>
      <c r="C39" s="33">
        <v>0.217</v>
      </c>
      <c r="D39" s="33">
        <v>9.7014144760066562E-2</v>
      </c>
      <c r="E39" s="40">
        <f t="shared" si="11"/>
        <v>211.03292416418705</v>
      </c>
    </row>
    <row r="40" spans="2:6">
      <c r="B40" s="32" t="s">
        <v>7</v>
      </c>
      <c r="C40" s="33">
        <v>2.5999999999999999E-2</v>
      </c>
      <c r="D40" s="33">
        <v>5.9846167874774786E-2</v>
      </c>
      <c r="E40" s="40">
        <f t="shared" si="11"/>
        <v>25.285050821515497</v>
      </c>
    </row>
    <row r="41" spans="2:6">
      <c r="B41" s="32" t="s">
        <v>8</v>
      </c>
      <c r="C41" s="33">
        <f>1-SUM(C36:C40)</f>
        <v>1.3074614667508699E-2</v>
      </c>
      <c r="D41" s="33">
        <v>5.1371613634571024E-2</v>
      </c>
      <c r="E41" s="40">
        <f t="shared" si="11"/>
        <v>12.715088320757285</v>
      </c>
    </row>
    <row r="42" spans="2:6">
      <c r="B42" s="32" t="s">
        <v>170</v>
      </c>
      <c r="C42" s="33">
        <f>SUM(C36:C41)</f>
        <v>1</v>
      </c>
      <c r="D42" s="33">
        <f>SUMPRODUCT(D36:D41,C36:C41)</f>
        <v>8.3999999999999991E-2</v>
      </c>
      <c r="E42" s="40">
        <v>972.50195467367303</v>
      </c>
    </row>
    <row r="44" spans="2:6">
      <c r="C44" s="34" t="s">
        <v>158</v>
      </c>
      <c r="D44" t="s">
        <v>159</v>
      </c>
    </row>
    <row r="45" spans="2:6">
      <c r="B45" s="34" t="s">
        <v>4</v>
      </c>
      <c r="C45" s="38">
        <f>VLOOKUP($B45,$B$36:$D$41,2,0)</f>
        <v>0.39300000000000002</v>
      </c>
      <c r="D45" s="39">
        <f>VLOOKUP($B45,$B$36:$E$41,3,0)</f>
        <v>8.7028694887697045E-2</v>
      </c>
      <c r="E45" s="42">
        <f>VLOOKUP($B45,$B$36:$E$41,4,0)</f>
        <v>382.19326818675353</v>
      </c>
    </row>
    <row r="46" spans="2:6">
      <c r="B46" t="s">
        <v>9</v>
      </c>
      <c r="C46" s="35">
        <v>0.92100000000000004</v>
      </c>
      <c r="D46" s="28">
        <v>8.770958697040919E-2</v>
      </c>
      <c r="E46" s="43">
        <f>C46*$E$45</f>
        <v>352</v>
      </c>
      <c r="F46" t="s">
        <v>169</v>
      </c>
    </row>
    <row r="47" spans="2:6">
      <c r="B47" t="s">
        <v>133</v>
      </c>
      <c r="C47" s="35">
        <f>1-C46</f>
        <v>7.8999999999999959E-2</v>
      </c>
      <c r="D47" s="28">
        <v>7.9090699847470664E-2</v>
      </c>
      <c r="E47" s="43">
        <f>C47*$E$45</f>
        <v>30.193268186753514</v>
      </c>
      <c r="F47" t="s">
        <v>162</v>
      </c>
    </row>
    <row r="48" spans="2:6">
      <c r="C48" s="3"/>
      <c r="D48" s="28"/>
    </row>
    <row r="49" spans="2:6">
      <c r="B49" s="34" t="s">
        <v>5</v>
      </c>
      <c r="C49" s="38">
        <f>VLOOKUP($B49,$B$36:$D$41,2,0)</f>
        <v>9.8925385332491275E-2</v>
      </c>
      <c r="D49" s="39">
        <f>VLOOKUP($B49,$B$36:$D$41,3,0)</f>
        <v>6.8773444096954489E-2</v>
      </c>
      <c r="E49" s="42">
        <f>VLOOKUP($B49,$B$36:$E$41,4,0)</f>
        <v>96.205130602694069</v>
      </c>
    </row>
    <row r="50" spans="2:6">
      <c r="B50" t="s">
        <v>134</v>
      </c>
      <c r="C50" s="35">
        <v>0.41499999999999998</v>
      </c>
      <c r="D50" s="28">
        <v>7.750449131343648E-2</v>
      </c>
      <c r="E50" s="43">
        <f>C50*$E$49</f>
        <v>39.925129200118036</v>
      </c>
      <c r="F50" t="s">
        <v>163</v>
      </c>
    </row>
    <row r="51" spans="2:6">
      <c r="B51" t="s">
        <v>135</v>
      </c>
      <c r="C51" s="35">
        <v>0.19700000000000001</v>
      </c>
      <c r="D51" s="28">
        <v>6.9832734643568137E-2</v>
      </c>
      <c r="E51" s="43">
        <f t="shared" ref="E51:E53" si="12">C51*$E$49</f>
        <v>18.952410728730733</v>
      </c>
      <c r="F51" t="s">
        <v>163</v>
      </c>
    </row>
    <row r="52" spans="2:6">
      <c r="B52" t="s">
        <v>136</v>
      </c>
      <c r="C52" s="35">
        <v>0.26500000000000001</v>
      </c>
      <c r="D52" s="28">
        <v>6.1579584046816488E-2</v>
      </c>
      <c r="E52" s="43">
        <f t="shared" si="12"/>
        <v>25.494359609713928</v>
      </c>
      <c r="F52" t="s">
        <v>164</v>
      </c>
    </row>
    <row r="53" spans="2:6">
      <c r="B53" t="s">
        <v>137</v>
      </c>
      <c r="C53" s="36">
        <f>1-SUM(C50:C52)</f>
        <v>0.123</v>
      </c>
      <c r="D53" s="28">
        <v>5.3117412233244454E-2</v>
      </c>
      <c r="E53" s="43">
        <f t="shared" si="12"/>
        <v>11.83323106413137</v>
      </c>
      <c r="F53" t="s">
        <v>165</v>
      </c>
    </row>
    <row r="54" spans="2:6">
      <c r="D54" s="28"/>
    </row>
    <row r="55" spans="2:6">
      <c r="B55" s="34" t="s">
        <v>6</v>
      </c>
      <c r="C55" s="38">
        <f>VLOOKUP($B55,$B$36:$D$41,2,0)</f>
        <v>0.252</v>
      </c>
      <c r="D55" s="39">
        <f>VLOOKUP($B55,$B$36:$D$41,3,0)</f>
        <v>7.8232339763502176E-2</v>
      </c>
      <c r="E55" s="42">
        <f>VLOOKUP($B55,$B$36:$E$41,4,0)</f>
        <v>245.07049257776561</v>
      </c>
    </row>
    <row r="56" spans="2:6">
      <c r="B56" t="s">
        <v>138</v>
      </c>
      <c r="C56" s="35">
        <v>0.215</v>
      </c>
      <c r="D56" s="28">
        <v>8.8539204746933428E-2</v>
      </c>
      <c r="E56" s="43">
        <f>C56*$E$55</f>
        <v>52.690155904219601</v>
      </c>
      <c r="F56" t="s">
        <v>160</v>
      </c>
    </row>
    <row r="57" spans="2:6">
      <c r="B57" t="s">
        <v>139</v>
      </c>
      <c r="C57" s="35">
        <v>0.23499999999999999</v>
      </c>
      <c r="D57" s="28">
        <v>9.6162960389581179E-2</v>
      </c>
      <c r="E57" s="43">
        <f t="shared" ref="E57:E62" si="13">C57*$E$55</f>
        <v>57.591565755774916</v>
      </c>
      <c r="F57" t="s">
        <v>166</v>
      </c>
    </row>
    <row r="58" spans="2:6">
      <c r="B58" t="s">
        <v>140</v>
      </c>
      <c r="C58" s="35">
        <v>0.111</v>
      </c>
      <c r="D58" s="28">
        <v>7.2540326412406944E-2</v>
      </c>
      <c r="E58" s="43">
        <f t="shared" si="13"/>
        <v>27.202824676131982</v>
      </c>
      <c r="F58" t="s">
        <v>162</v>
      </c>
    </row>
    <row r="59" spans="2:6">
      <c r="B59" t="s">
        <v>141</v>
      </c>
      <c r="C59" s="35">
        <v>0.13500000000000001</v>
      </c>
      <c r="D59" s="28">
        <v>8.010241824960046E-2</v>
      </c>
      <c r="E59" s="43">
        <f t="shared" si="13"/>
        <v>33.084516497998358</v>
      </c>
      <c r="F59" t="s">
        <v>163</v>
      </c>
    </row>
    <row r="60" spans="2:6">
      <c r="B60" t="s">
        <v>142</v>
      </c>
      <c r="C60" s="35">
        <v>9.4947885403024221E-2</v>
      </c>
      <c r="D60" s="28">
        <v>6.4607606752782265E-2</v>
      </c>
      <c r="E60" s="43">
        <f t="shared" si="13"/>
        <v>23.268925044936388</v>
      </c>
      <c r="F60" t="s">
        <v>168</v>
      </c>
    </row>
    <row r="61" spans="2:6">
      <c r="B61" t="s">
        <v>143</v>
      </c>
      <c r="C61" s="35">
        <v>6.0746061541078027E-2</v>
      </c>
      <c r="D61" s="28">
        <v>5.0208655027027177E-2</v>
      </c>
      <c r="E61" s="43">
        <f t="shared" si="13"/>
        <v>14.887067224031256</v>
      </c>
      <c r="F61" t="s">
        <v>163</v>
      </c>
    </row>
    <row r="62" spans="2:6">
      <c r="B62" t="s">
        <v>144</v>
      </c>
      <c r="C62" s="36">
        <f>1-SUM(C56:C61)</f>
        <v>0.14830605305589784</v>
      </c>
      <c r="D62" s="28">
        <v>5.7637422677356942E-2</v>
      </c>
      <c r="E62" s="43">
        <f t="shared" si="13"/>
        <v>36.345437474673119</v>
      </c>
      <c r="F62" t="s">
        <v>161</v>
      </c>
    </row>
    <row r="63" spans="2:6">
      <c r="D63" s="28"/>
      <c r="E63" s="42"/>
    </row>
    <row r="64" spans="2:6">
      <c r="B64" s="34" t="s">
        <v>10</v>
      </c>
      <c r="C64" s="38">
        <f>VLOOKUP($B64,$B$36:$D$41,2,0)</f>
        <v>0.217</v>
      </c>
      <c r="D64" s="39">
        <f>VLOOKUP($B64,$B$36:$D$41,3,0)</f>
        <v>9.7014144760066562E-2</v>
      </c>
      <c r="E64" s="42">
        <f>VLOOKUP($B64,$B$36:$E$41,4,0)</f>
        <v>211.03292416418705</v>
      </c>
    </row>
    <row r="65" spans="2:6">
      <c r="B65" t="s">
        <v>145</v>
      </c>
      <c r="C65" s="35">
        <v>0.25700000000000001</v>
      </c>
      <c r="D65" s="28">
        <v>0.11281573475336519</v>
      </c>
      <c r="E65" s="43">
        <f>C65*$E$64</f>
        <v>54.235461510196075</v>
      </c>
      <c r="F65" t="s">
        <v>165</v>
      </c>
    </row>
    <row r="66" spans="2:6">
      <c r="B66" t="s">
        <v>146</v>
      </c>
      <c r="C66" s="35">
        <v>0.24399999999999999</v>
      </c>
      <c r="D66" s="28">
        <v>0.10462843955897259</v>
      </c>
      <c r="E66" s="43">
        <f t="shared" ref="E66:E71" si="14">C66*$E$64</f>
        <v>51.492033496061637</v>
      </c>
      <c r="F66" t="s">
        <v>163</v>
      </c>
    </row>
    <row r="67" spans="2:6">
      <c r="B67" t="s">
        <v>147</v>
      </c>
      <c r="C67" s="35">
        <v>0.21471029017352286</v>
      </c>
      <c r="D67" s="28">
        <v>9.7067609809440999E-2</v>
      </c>
      <c r="E67" s="43">
        <f t="shared" si="14"/>
        <v>45.310940383459645</v>
      </c>
      <c r="F67" t="s">
        <v>160</v>
      </c>
    </row>
    <row r="68" spans="2:6">
      <c r="B68" t="s">
        <v>148</v>
      </c>
      <c r="C68" s="35">
        <v>0.12006269520058971</v>
      </c>
      <c r="D68" s="28">
        <v>7.2847276728761096E-2</v>
      </c>
      <c r="E68" s="43">
        <f t="shared" si="14"/>
        <v>25.337181651213953</v>
      </c>
      <c r="F68" t="s">
        <v>163</v>
      </c>
    </row>
    <row r="69" spans="2:6">
      <c r="B69" t="s">
        <v>149</v>
      </c>
      <c r="C69" s="35">
        <v>5.8299999999999998E-2</v>
      </c>
      <c r="D69" s="28">
        <v>8.0600704363481906E-2</v>
      </c>
      <c r="E69" s="43">
        <f t="shared" si="14"/>
        <v>12.303219478772105</v>
      </c>
      <c r="F69" t="s">
        <v>164</v>
      </c>
    </row>
    <row r="70" spans="2:6">
      <c r="B70" t="s">
        <v>150</v>
      </c>
      <c r="C70" s="35">
        <v>5.5E-2</v>
      </c>
      <c r="D70" s="28">
        <v>8.9250958153700044E-2</v>
      </c>
      <c r="E70" s="43">
        <f t="shared" si="14"/>
        <v>11.606810829030287</v>
      </c>
      <c r="F70" t="s">
        <v>161</v>
      </c>
    </row>
    <row r="71" spans="2:6">
      <c r="B71" t="s">
        <v>151</v>
      </c>
      <c r="C71" s="36">
        <f>1-SUM(C65:C70)</f>
        <v>5.0927014625887446E-2</v>
      </c>
      <c r="D71" s="28">
        <v>6.47138436587055E-2</v>
      </c>
      <c r="E71" s="43">
        <f t="shared" si="14"/>
        <v>10.74727681545335</v>
      </c>
      <c r="F71" t="s">
        <v>168</v>
      </c>
    </row>
    <row r="72" spans="2:6">
      <c r="C72" s="37"/>
      <c r="D72" s="28"/>
    </row>
    <row r="73" spans="2:6">
      <c r="B73" s="34" t="s">
        <v>7</v>
      </c>
      <c r="C73" s="38">
        <f>VLOOKUP($B73,$B$36:$D$41,2,0)</f>
        <v>2.5999999999999999E-2</v>
      </c>
      <c r="D73" s="39">
        <f>VLOOKUP($B73,$B$36:$D$41,3,0)</f>
        <v>5.9846167874774786E-2</v>
      </c>
      <c r="E73" s="42">
        <f>VLOOKUP($B73,$B$36:$E$41,4,0)</f>
        <v>25.285050821515497</v>
      </c>
    </row>
    <row r="74" spans="2:6">
      <c r="B74" t="s">
        <v>152</v>
      </c>
      <c r="C74" s="36">
        <v>0.42672100190033696</v>
      </c>
      <c r="D74" s="28">
        <v>6.6586580645775509E-2</v>
      </c>
      <c r="E74" s="43">
        <f>C74*$E$73</f>
        <v>10.789662219658032</v>
      </c>
      <c r="F74" t="s">
        <v>160</v>
      </c>
    </row>
    <row r="75" spans="2:6">
      <c r="B75" t="s">
        <v>153</v>
      </c>
      <c r="C75" s="36">
        <v>0.28199999999999997</v>
      </c>
      <c r="D75" s="28">
        <v>5.8482924864866559E-2</v>
      </c>
      <c r="E75" s="43">
        <f t="shared" ref="E75:E76" si="15">C75*$E$73</f>
        <v>7.1303843316673694</v>
      </c>
      <c r="F75" t="s">
        <v>168</v>
      </c>
    </row>
    <row r="76" spans="2:6">
      <c r="B76" t="s">
        <v>154</v>
      </c>
      <c r="C76" s="36">
        <f>1-SUM(C74:C75)</f>
        <v>0.29127899809966307</v>
      </c>
      <c r="D76" s="28">
        <v>5.1291341820283429E-2</v>
      </c>
      <c r="E76" s="43">
        <f t="shared" si="15"/>
        <v>7.3650042701900968</v>
      </c>
      <c r="F76" t="s">
        <v>163</v>
      </c>
    </row>
    <row r="77" spans="2:6">
      <c r="D77" s="28"/>
    </row>
    <row r="78" spans="2:6">
      <c r="B78" s="34" t="s">
        <v>8</v>
      </c>
      <c r="C78" s="38">
        <f>VLOOKUP($B78,$B$36:$D$41,2,0)</f>
        <v>1.3074614667508699E-2</v>
      </c>
      <c r="D78" s="39">
        <f>VLOOKUP($B78,$B$36:$D$41,3,0)</f>
        <v>5.1371613634571024E-2</v>
      </c>
      <c r="E78" s="42">
        <f>VLOOKUP($B78,$B$36:$E$41,4,0)</f>
        <v>12.715088320757285</v>
      </c>
    </row>
    <row r="79" spans="2:6">
      <c r="B79" t="s">
        <v>155</v>
      </c>
      <c r="C79" s="35">
        <v>0.311</v>
      </c>
      <c r="D79" s="28">
        <v>4.8696244967543829E-2</v>
      </c>
      <c r="E79" s="43">
        <f>C79*$E$78</f>
        <v>3.9543924677555156</v>
      </c>
      <c r="F79" t="s">
        <v>165</v>
      </c>
    </row>
    <row r="80" spans="2:6">
      <c r="B80" t="s">
        <v>156</v>
      </c>
      <c r="C80" s="35">
        <v>0.191</v>
      </c>
      <c r="D80" s="28">
        <v>4.1682346096738751E-2</v>
      </c>
      <c r="E80" s="43">
        <f t="shared" ref="E80:E81" si="16">C80*$E$78</f>
        <v>2.4285818692646415</v>
      </c>
      <c r="F80" t="s">
        <v>167</v>
      </c>
    </row>
    <row r="81" spans="2:6">
      <c r="B81" t="s">
        <v>157</v>
      </c>
      <c r="C81" s="36">
        <f>1-SUM(C79:C80)</f>
        <v>0.498</v>
      </c>
      <c r="D81" s="28">
        <v>5.675854085379075E-2</v>
      </c>
      <c r="E81" s="43">
        <f t="shared" si="16"/>
        <v>6.3321139837371279</v>
      </c>
      <c r="F81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4"/>
  <sheetViews>
    <sheetView workbookViewId="0">
      <selection activeCell="E29" sqref="E29"/>
    </sheetView>
  </sheetViews>
  <sheetFormatPr defaultRowHeight="14.5"/>
  <cols>
    <col min="2" max="2" width="33.6328125" customWidth="1"/>
    <col min="3" max="3" width="33" customWidth="1"/>
    <col min="4" max="4" width="12.453125" customWidth="1"/>
    <col min="5" max="5" width="8.90625" bestFit="1" customWidth="1"/>
  </cols>
  <sheetData>
    <row r="2" spans="2:4">
      <c r="C2" s="2" t="s">
        <v>113</v>
      </c>
    </row>
    <row r="3" spans="2:4">
      <c r="C3" s="2" t="s">
        <v>112</v>
      </c>
    </row>
    <row r="4" spans="2:4">
      <c r="C4" s="2" t="s">
        <v>114</v>
      </c>
    </row>
    <row r="5" spans="2:4">
      <c r="C5" s="2" t="s">
        <v>115</v>
      </c>
    </row>
    <row r="8" spans="2:4">
      <c r="B8" t="s">
        <v>117</v>
      </c>
      <c r="C8" t="s">
        <v>116</v>
      </c>
    </row>
    <row r="10" spans="2:4">
      <c r="B10" s="14" t="s">
        <v>124</v>
      </c>
      <c r="C10" s="15" t="s">
        <v>120</v>
      </c>
    </row>
    <row r="11" spans="2:4">
      <c r="C11" s="15" t="s">
        <v>121</v>
      </c>
      <c r="D11" s="14" t="s">
        <v>90</v>
      </c>
    </row>
    <row r="12" spans="2:4">
      <c r="C12" s="15" t="s">
        <v>123</v>
      </c>
    </row>
    <row r="13" spans="2:4">
      <c r="C13" s="15" t="s">
        <v>122</v>
      </c>
    </row>
    <row r="15" spans="2:4">
      <c r="B15" s="14" t="s">
        <v>125</v>
      </c>
      <c r="C15" s="15" t="s">
        <v>126</v>
      </c>
      <c r="D15" s="14" t="s">
        <v>90</v>
      </c>
    </row>
    <row r="18" spans="2:12">
      <c r="B18" s="14" t="s">
        <v>128</v>
      </c>
      <c r="C18" t="s">
        <v>127</v>
      </c>
      <c r="D18" s="14" t="s">
        <v>90</v>
      </c>
    </row>
    <row r="19" spans="2:12">
      <c r="C19" t="s">
        <v>129</v>
      </c>
    </row>
    <row r="20" spans="2:12">
      <c r="C20" s="16"/>
      <c r="D20" s="16"/>
      <c r="E20" s="16"/>
      <c r="F20" s="16"/>
      <c r="G20" s="16"/>
      <c r="H20" s="16"/>
    </row>
    <row r="21" spans="2:12">
      <c r="C21" s="16"/>
      <c r="D21" s="16" t="s">
        <v>9</v>
      </c>
      <c r="E21" s="17"/>
      <c r="F21" s="18"/>
      <c r="G21" s="18"/>
      <c r="H21" s="18"/>
      <c r="I21" s="1"/>
      <c r="J21" s="1"/>
      <c r="K21" s="1"/>
      <c r="L21" s="1"/>
    </row>
    <row r="22" spans="2:12">
      <c r="C22" s="16"/>
      <c r="D22" s="18" t="s">
        <v>130</v>
      </c>
      <c r="E22" s="17"/>
      <c r="F22" s="18" t="s">
        <v>132</v>
      </c>
      <c r="G22" s="18"/>
      <c r="H22" s="18"/>
      <c r="I22" s="1"/>
      <c r="J22" s="1"/>
      <c r="K22" s="1"/>
      <c r="L22" s="1"/>
    </row>
    <row r="23" spans="2:12">
      <c r="C23" s="16"/>
      <c r="D23" s="18">
        <v>110</v>
      </c>
      <c r="E23" s="17"/>
      <c r="F23" s="18">
        <v>3.2</v>
      </c>
      <c r="G23" s="18"/>
      <c r="H23" s="18"/>
      <c r="I23" s="1"/>
      <c r="J23" s="1"/>
      <c r="K23" s="1"/>
      <c r="L23" s="1"/>
    </row>
    <row r="24" spans="2:12">
      <c r="C24" s="16"/>
      <c r="D24" s="18"/>
      <c r="E24" s="17"/>
      <c r="F24" s="18"/>
      <c r="G24" s="18"/>
      <c r="H24" s="18"/>
      <c r="I24" s="1"/>
      <c r="J24" s="1"/>
      <c r="K24" s="1"/>
      <c r="L24" s="1"/>
    </row>
    <row r="25" spans="2:12">
      <c r="C25" s="16"/>
      <c r="D25" s="18" t="s">
        <v>9</v>
      </c>
      <c r="E25" s="17"/>
      <c r="F25" s="18"/>
      <c r="G25" s="18"/>
      <c r="H25" s="18"/>
      <c r="I25" s="1"/>
      <c r="J25" s="1"/>
      <c r="K25" s="1"/>
      <c r="L25" s="1"/>
    </row>
    <row r="26" spans="2:12">
      <c r="C26" s="16"/>
      <c r="D26" s="18" t="s">
        <v>88</v>
      </c>
      <c r="E26" s="17" t="s">
        <v>11</v>
      </c>
      <c r="F26" s="18"/>
      <c r="G26" s="18"/>
      <c r="H26" s="19"/>
      <c r="I26" s="1"/>
      <c r="J26" s="1"/>
      <c r="K26" s="1"/>
      <c r="L26" s="1"/>
    </row>
    <row r="27" spans="2:12">
      <c r="C27" s="16"/>
      <c r="D27" s="18">
        <v>110</v>
      </c>
      <c r="E27" s="20">
        <f>D27*F23</f>
        <v>352</v>
      </c>
      <c r="F27" s="18"/>
      <c r="G27" s="21">
        <v>0.92100000000000004</v>
      </c>
      <c r="H27" s="18"/>
      <c r="I27" s="1"/>
      <c r="J27" s="1"/>
      <c r="K27" s="1"/>
      <c r="L27" s="1"/>
    </row>
    <row r="28" spans="2:12">
      <c r="C28" s="22">
        <v>0.39300000000000002</v>
      </c>
      <c r="D28" s="18" t="s">
        <v>131</v>
      </c>
      <c r="E28" s="23">
        <f>E27/G27</f>
        <v>382.19326818675353</v>
      </c>
      <c r="F28" s="18"/>
      <c r="G28" s="21"/>
      <c r="H28" s="18"/>
      <c r="I28" s="1"/>
      <c r="J28" s="1"/>
      <c r="K28" s="1"/>
      <c r="L28" s="1"/>
    </row>
    <row r="29" spans="2:12">
      <c r="C29" s="16"/>
      <c r="D29" s="18"/>
      <c r="E29" s="17"/>
      <c r="F29" s="18"/>
      <c r="G29" s="21"/>
      <c r="H29" s="18"/>
      <c r="I29" s="1"/>
      <c r="J29" s="1"/>
      <c r="K29" s="1"/>
      <c r="L29" s="1"/>
    </row>
    <row r="30" spans="2:12">
      <c r="C30" s="16"/>
      <c r="D30" s="18"/>
      <c r="E30" s="20">
        <f>E28/C28</f>
        <v>972.50195467367303</v>
      </c>
      <c r="F30" s="18"/>
      <c r="G30" s="18"/>
      <c r="H30" s="18"/>
      <c r="I30" s="1"/>
      <c r="J30" s="1"/>
      <c r="K30" s="1"/>
      <c r="L30" s="1"/>
    </row>
    <row r="31" spans="2:12">
      <c r="C31" s="16"/>
      <c r="D31" s="18"/>
      <c r="E31" s="17"/>
      <c r="F31" s="18"/>
      <c r="G31" s="18"/>
      <c r="H31" s="18"/>
      <c r="I31" s="1"/>
      <c r="J31" s="1"/>
      <c r="K31" s="1"/>
      <c r="L31" s="1"/>
    </row>
    <row r="32" spans="2:12">
      <c r="C32" s="16"/>
      <c r="D32" s="18"/>
      <c r="E32" s="17"/>
      <c r="F32" s="18"/>
      <c r="G32" s="18"/>
      <c r="H32" s="18"/>
      <c r="I32" s="1"/>
      <c r="J32" s="1"/>
      <c r="K32" s="1"/>
      <c r="L32" s="1"/>
    </row>
    <row r="33" spans="3:8">
      <c r="C33" s="16"/>
      <c r="D33" s="16"/>
      <c r="E33" s="16"/>
      <c r="F33" s="16"/>
      <c r="G33" s="16"/>
      <c r="H33" s="16"/>
    </row>
    <row r="34" spans="3:8">
      <c r="C34" s="16"/>
      <c r="D34" s="16"/>
      <c r="E34" s="16"/>
      <c r="F34" s="16"/>
      <c r="G34" s="16"/>
      <c r="H34" s="16"/>
    </row>
  </sheetData>
  <hyperlinks>
    <hyperlink ref="C2" r:id="rId1"/>
    <hyperlink ref="C3" r:id="rId2"/>
    <hyperlink ref="C4" r:id="rId3"/>
    <hyperlink ref="C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117"/>
  <sheetViews>
    <sheetView topLeftCell="A37" zoomScale="85" zoomScaleNormal="85" workbookViewId="0">
      <selection activeCell="B68" sqref="B68:B76"/>
    </sheetView>
  </sheetViews>
  <sheetFormatPr defaultRowHeight="14.5"/>
  <cols>
    <col min="2" max="2" width="10.36328125" bestFit="1" customWidth="1"/>
    <col min="6" max="6" width="16.1796875" customWidth="1"/>
    <col min="7" max="7" width="21.90625" customWidth="1"/>
  </cols>
  <sheetData>
    <row r="4" spans="3:18">
      <c r="P4" s="4" t="s">
        <v>16</v>
      </c>
      <c r="R4" t="s">
        <v>45</v>
      </c>
    </row>
    <row r="5" spans="3:18">
      <c r="C5" t="s">
        <v>9</v>
      </c>
      <c r="D5">
        <v>2018</v>
      </c>
      <c r="G5" t="s">
        <v>46</v>
      </c>
    </row>
    <row r="48" spans="10:10">
      <c r="J48" t="s">
        <v>47</v>
      </c>
    </row>
    <row r="53" spans="2:16">
      <c r="L53" s="7" t="s">
        <v>48</v>
      </c>
    </row>
    <row r="54" spans="2:16" ht="15">
      <c r="L54" s="8" t="s">
        <v>49</v>
      </c>
    </row>
    <row r="55" spans="2:16">
      <c r="P55" s="3">
        <v>0.999</v>
      </c>
    </row>
    <row r="56" spans="2:16">
      <c r="G56" t="s">
        <v>50</v>
      </c>
    </row>
    <row r="57" spans="2:16">
      <c r="B57" s="9">
        <v>2021</v>
      </c>
      <c r="C57" s="9">
        <v>2022</v>
      </c>
      <c r="D57" s="9">
        <v>2023</v>
      </c>
      <c r="E57" s="9">
        <v>2024</v>
      </c>
      <c r="F57" s="9">
        <v>2025</v>
      </c>
      <c r="G57" s="9">
        <v>2026</v>
      </c>
      <c r="H57" s="9">
        <v>2027</v>
      </c>
      <c r="I57" s="9">
        <v>2028</v>
      </c>
      <c r="J57" s="9">
        <v>2029</v>
      </c>
      <c r="K57" s="9">
        <v>2030</v>
      </c>
      <c r="L57" s="9">
        <v>2031</v>
      </c>
      <c r="M57" s="9">
        <v>2032</v>
      </c>
      <c r="N57" s="9">
        <v>2033</v>
      </c>
    </row>
    <row r="58" spans="2:16">
      <c r="B58" s="9">
        <v>1.61</v>
      </c>
      <c r="C58" s="10">
        <f>B58*(1+C59)</f>
        <v>1.7266849693252517</v>
      </c>
      <c r="D58" s="10">
        <f t="shared" ref="D58:N58" si="0">C58*(1+D59)</f>
        <v>1.8654677141969427</v>
      </c>
      <c r="E58" s="10">
        <f t="shared" si="0"/>
        <v>2.0233550687967674</v>
      </c>
      <c r="F58" s="10">
        <f t="shared" si="0"/>
        <v>2.1978838861931687</v>
      </c>
      <c r="G58" s="10">
        <f t="shared" si="0"/>
        <v>2.3882930804911435</v>
      </c>
      <c r="H58" s="10">
        <f t="shared" si="0"/>
        <v>2.6021490794726301</v>
      </c>
      <c r="I58" s="10">
        <f t="shared" si="0"/>
        <v>2.838677682980002</v>
      </c>
      <c r="J58" s="10">
        <f t="shared" si="0"/>
        <v>3.1003457594485289</v>
      </c>
      <c r="K58" s="10">
        <f t="shared" si="0"/>
        <v>3.3927869609527979</v>
      </c>
      <c r="L58" s="10">
        <f t="shared" si="0"/>
        <v>3.7153845473928202</v>
      </c>
      <c r="M58" s="10">
        <f t="shared" si="0"/>
        <v>4.0747158022851222</v>
      </c>
      <c r="N58" s="10">
        <f t="shared" si="0"/>
        <v>4.4787809026749281</v>
      </c>
      <c r="O58" s="6">
        <f>RATE(N57-G57,,-G58,N58)</f>
        <v>9.3982346566832325E-2</v>
      </c>
      <c r="P58" s="11">
        <f>(N58/G58)^(1/7)-1</f>
        <v>9.3982346566828134E-2</v>
      </c>
    </row>
    <row r="59" spans="2:16">
      <c r="C59" s="11">
        <v>7.247513622686419E-2</v>
      </c>
      <c r="D59" s="11">
        <v>8.0375255091219136E-2</v>
      </c>
      <c r="E59" s="11">
        <v>8.4636873315062019E-2</v>
      </c>
      <c r="F59" s="11">
        <v>8.6257138002075393E-2</v>
      </c>
      <c r="G59" s="11">
        <v>8.6632963412717784E-2</v>
      </c>
      <c r="H59" s="11">
        <v>8.9543448720082588E-2</v>
      </c>
      <c r="I59" s="11">
        <v>9.0897406829322999E-2</v>
      </c>
      <c r="J59" s="11">
        <v>9.217956587231553E-2</v>
      </c>
      <c r="K59" s="11">
        <v>9.4325350846121897E-2</v>
      </c>
      <c r="L59" s="11">
        <v>9.5083360715765869E-2</v>
      </c>
      <c r="M59" s="11">
        <v>9.6714418200520791E-2</v>
      </c>
      <c r="N59" s="11">
        <v>9.9163995722892931E-2</v>
      </c>
    </row>
    <row r="61" spans="2:16">
      <c r="B61" s="12">
        <f>B58*1000</f>
        <v>1610</v>
      </c>
      <c r="C61" s="12">
        <f t="shared" ref="C61:N61" si="1">C58*1000</f>
        <v>1726.6849693252518</v>
      </c>
      <c r="D61" s="12">
        <f t="shared" si="1"/>
        <v>1865.4677141969428</v>
      </c>
      <c r="E61" s="12">
        <f t="shared" si="1"/>
        <v>2023.3550687967675</v>
      </c>
      <c r="F61" s="12">
        <f t="shared" si="1"/>
        <v>2197.8838861931686</v>
      </c>
      <c r="G61" s="12">
        <f t="shared" si="1"/>
        <v>2388.2930804911434</v>
      </c>
      <c r="H61" s="12">
        <f t="shared" si="1"/>
        <v>2602.1490794726301</v>
      </c>
      <c r="I61" s="12">
        <f t="shared" si="1"/>
        <v>2838.6776829800019</v>
      </c>
      <c r="J61" s="12">
        <f t="shared" si="1"/>
        <v>3100.345759448529</v>
      </c>
      <c r="K61" s="12">
        <f t="shared" si="1"/>
        <v>3392.7869609527979</v>
      </c>
      <c r="L61" s="12">
        <f t="shared" si="1"/>
        <v>3715.3845473928204</v>
      </c>
      <c r="M61" s="12">
        <f t="shared" si="1"/>
        <v>4074.7158022851222</v>
      </c>
      <c r="N61" s="12">
        <f t="shared" si="1"/>
        <v>4478.7809026749283</v>
      </c>
    </row>
    <row r="66" spans="1:7">
      <c r="A66" t="s">
        <v>13</v>
      </c>
      <c r="B66" t="s">
        <v>51</v>
      </c>
      <c r="C66" t="s">
        <v>52</v>
      </c>
      <c r="D66" t="s">
        <v>53</v>
      </c>
      <c r="E66" t="s">
        <v>54</v>
      </c>
      <c r="F66" t="s">
        <v>55</v>
      </c>
    </row>
    <row r="67" spans="1:7">
      <c r="A67" t="s">
        <v>14</v>
      </c>
      <c r="G67" t="s">
        <v>56</v>
      </c>
    </row>
    <row r="68" spans="1:7">
      <c r="B68" s="13" t="s">
        <v>57</v>
      </c>
      <c r="C68" t="s">
        <v>23</v>
      </c>
      <c r="D68" t="s">
        <v>28</v>
      </c>
      <c r="F68" t="s">
        <v>58</v>
      </c>
      <c r="G68" t="s">
        <v>59</v>
      </c>
    </row>
    <row r="69" spans="1:7">
      <c r="B69" t="s">
        <v>60</v>
      </c>
      <c r="C69" t="s">
        <v>23</v>
      </c>
      <c r="D69" t="s">
        <v>28</v>
      </c>
      <c r="F69" t="s">
        <v>61</v>
      </c>
      <c r="G69" t="s">
        <v>62</v>
      </c>
    </row>
    <row r="70" spans="1:7">
      <c r="B70" t="s">
        <v>63</v>
      </c>
      <c r="C70" t="s">
        <v>23</v>
      </c>
      <c r="D70" t="s">
        <v>28</v>
      </c>
      <c r="F70" t="s">
        <v>64</v>
      </c>
      <c r="G70" t="s">
        <v>65</v>
      </c>
    </row>
    <row r="71" spans="1:7">
      <c r="B71" t="s">
        <v>66</v>
      </c>
      <c r="C71" t="s">
        <v>23</v>
      </c>
      <c r="D71" t="s">
        <v>28</v>
      </c>
      <c r="F71" t="s">
        <v>67</v>
      </c>
    </row>
    <row r="72" spans="1:7">
      <c r="A72" t="s">
        <v>68</v>
      </c>
    </row>
    <row r="73" spans="1:7">
      <c r="B73" t="s">
        <v>69</v>
      </c>
      <c r="C73" t="s">
        <v>70</v>
      </c>
      <c r="D73" t="s">
        <v>28</v>
      </c>
      <c r="F73" t="s">
        <v>71</v>
      </c>
      <c r="G73" t="s">
        <v>72</v>
      </c>
    </row>
    <row r="74" spans="1:7">
      <c r="B74" t="s">
        <v>73</v>
      </c>
      <c r="C74" t="s">
        <v>70</v>
      </c>
      <c r="D74" t="s">
        <v>28</v>
      </c>
      <c r="F74" t="s">
        <v>74</v>
      </c>
    </row>
    <row r="75" spans="1:7">
      <c r="B75" t="s">
        <v>75</v>
      </c>
      <c r="C75" t="s">
        <v>70</v>
      </c>
      <c r="D75" t="s">
        <v>28</v>
      </c>
      <c r="F75" t="s">
        <v>76</v>
      </c>
    </row>
    <row r="76" spans="1:7">
      <c r="B76" t="s">
        <v>77</v>
      </c>
      <c r="C76" t="s">
        <v>70</v>
      </c>
      <c r="D76" t="s">
        <v>28</v>
      </c>
      <c r="F76" t="s">
        <v>78</v>
      </c>
      <c r="G76" s="2" t="s">
        <v>79</v>
      </c>
    </row>
    <row r="79" spans="1:7">
      <c r="A79" t="s">
        <v>80</v>
      </c>
      <c r="B79" t="s">
        <v>81</v>
      </c>
    </row>
    <row r="81" spans="1:5">
      <c r="A81" t="s">
        <v>82</v>
      </c>
      <c r="B81" t="s">
        <v>83</v>
      </c>
    </row>
    <row r="85" spans="1:5">
      <c r="A85" t="s">
        <v>84</v>
      </c>
    </row>
    <row r="88" spans="1:5">
      <c r="B88" t="s">
        <v>2</v>
      </c>
      <c r="E88" t="s">
        <v>85</v>
      </c>
    </row>
    <row r="89" spans="1:5">
      <c r="B89" t="s">
        <v>12</v>
      </c>
      <c r="C89" s="5" t="s">
        <v>14</v>
      </c>
      <c r="E89">
        <v>1</v>
      </c>
    </row>
    <row r="90" spans="1:5">
      <c r="C90" s="5" t="s">
        <v>15</v>
      </c>
      <c r="E90">
        <v>2</v>
      </c>
    </row>
    <row r="91" spans="1:5">
      <c r="C91" s="5" t="s">
        <v>38</v>
      </c>
      <c r="E91">
        <v>3</v>
      </c>
    </row>
    <row r="92" spans="1:5">
      <c r="C92" s="5" t="s">
        <v>39</v>
      </c>
      <c r="E92">
        <v>4</v>
      </c>
    </row>
    <row r="93" spans="1:5">
      <c r="B93" t="s">
        <v>86</v>
      </c>
    </row>
    <row r="94" spans="1:5">
      <c r="B94" t="s">
        <v>17</v>
      </c>
      <c r="C94" t="s">
        <v>18</v>
      </c>
      <c r="E94">
        <v>1</v>
      </c>
    </row>
    <row r="95" spans="1:5">
      <c r="C95" t="s">
        <v>19</v>
      </c>
      <c r="E95">
        <v>2</v>
      </c>
    </row>
    <row r="96" spans="1:5">
      <c r="C96" t="s">
        <v>20</v>
      </c>
      <c r="E96">
        <v>4</v>
      </c>
    </row>
    <row r="97" spans="2:6">
      <c r="C97" t="s">
        <v>40</v>
      </c>
      <c r="E97">
        <v>3</v>
      </c>
    </row>
    <row r="98" spans="2:6">
      <c r="C98" t="s">
        <v>41</v>
      </c>
      <c r="E98">
        <v>5</v>
      </c>
    </row>
    <row r="100" spans="2:6">
      <c r="B100" t="s">
        <v>21</v>
      </c>
      <c r="C100" t="s">
        <v>22</v>
      </c>
      <c r="E100">
        <v>2</v>
      </c>
    </row>
    <row r="101" spans="2:6">
      <c r="C101" t="s">
        <v>23</v>
      </c>
      <c r="E101">
        <v>1</v>
      </c>
    </row>
    <row r="102" spans="2:6">
      <c r="C102" t="s">
        <v>24</v>
      </c>
      <c r="E102">
        <v>3</v>
      </c>
    </row>
    <row r="103" spans="2:6">
      <c r="C103" t="s">
        <v>25</v>
      </c>
      <c r="E103">
        <v>4</v>
      </c>
    </row>
    <row r="104" spans="2:6">
      <c r="C104" t="s">
        <v>42</v>
      </c>
      <c r="E104">
        <v>5</v>
      </c>
    </row>
    <row r="106" spans="2:6">
      <c r="B106" t="s">
        <v>26</v>
      </c>
      <c r="C106" t="s">
        <v>28</v>
      </c>
      <c r="E106">
        <v>1</v>
      </c>
    </row>
    <row r="107" spans="2:6">
      <c r="C107" t="s">
        <v>43</v>
      </c>
      <c r="E107">
        <v>3</v>
      </c>
      <c r="F107" t="s">
        <v>28</v>
      </c>
    </row>
    <row r="108" spans="2:6">
      <c r="C108" t="s">
        <v>27</v>
      </c>
      <c r="E108">
        <v>2</v>
      </c>
      <c r="F108" t="s">
        <v>43</v>
      </c>
    </row>
    <row r="109" spans="2:6">
      <c r="C109" t="s">
        <v>44</v>
      </c>
      <c r="E109">
        <v>4</v>
      </c>
      <c r="F109" t="s">
        <v>27</v>
      </c>
    </row>
    <row r="110" spans="2:6">
      <c r="B110" t="s">
        <v>0</v>
      </c>
      <c r="C110" t="s">
        <v>1</v>
      </c>
      <c r="E110">
        <v>2</v>
      </c>
      <c r="F110" t="s">
        <v>44</v>
      </c>
    </row>
    <row r="111" spans="2:6">
      <c r="C111" t="s">
        <v>29</v>
      </c>
      <c r="E111">
        <v>1</v>
      </c>
    </row>
    <row r="112" spans="2:6">
      <c r="C112" t="s">
        <v>30</v>
      </c>
      <c r="E112">
        <v>3</v>
      </c>
    </row>
    <row r="113" spans="2:5">
      <c r="B113" t="s">
        <v>31</v>
      </c>
      <c r="C113" t="s">
        <v>32</v>
      </c>
      <c r="E113">
        <v>2</v>
      </c>
    </row>
    <row r="114" spans="2:5">
      <c r="C114" t="s">
        <v>33</v>
      </c>
      <c r="E114">
        <v>1</v>
      </c>
    </row>
    <row r="115" spans="2:5">
      <c r="B115" t="s">
        <v>34</v>
      </c>
      <c r="C115" t="s">
        <v>35</v>
      </c>
      <c r="E115">
        <v>1</v>
      </c>
    </row>
    <row r="116" spans="2:5">
      <c r="C116" t="s">
        <v>36</v>
      </c>
      <c r="E116">
        <v>2</v>
      </c>
    </row>
    <row r="117" spans="2:5">
      <c r="C117" t="s">
        <v>37</v>
      </c>
      <c r="E117">
        <v>3</v>
      </c>
    </row>
  </sheetData>
  <hyperlinks>
    <hyperlink ref="G76" r:id="rId1" display="https://ir.alk.net/news-releases/news-release-details/fda-approves-odactrar-treatment-house-dust-mite-allergy-young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Secondary Sheet and Snapshot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Vibhute</dc:creator>
  <cp:lastModifiedBy>Rajeev Ranjan</cp:lastModifiedBy>
  <dcterms:created xsi:type="dcterms:W3CDTF">2026-01-05T13:17:02Z</dcterms:created>
  <dcterms:modified xsi:type="dcterms:W3CDTF">2026-06-25T07:13:43Z</dcterms:modified>
</cp:coreProperties>
</file>