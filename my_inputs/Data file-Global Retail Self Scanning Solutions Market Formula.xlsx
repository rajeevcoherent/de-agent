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Objects="none" codeName="ThisWorkbook"/>
  <mc:AlternateContent xmlns:mc="http://schemas.openxmlformats.org/markup-compatibility/2006">
    <mc:Choice Requires="x15">
      <x15ac:absPath xmlns:x15ac="http://schemas.microsoft.com/office/spreadsheetml/2010/11/ac" url="\\192.168.0.190\IT-Temp-Folder\Vijay Budhwani\Data files\"/>
    </mc:Choice>
  </mc:AlternateContent>
  <xr:revisionPtr revIDLastSave="0" documentId="13_ncr:1_{41D716A0-29C4-4B71-B4DA-9F190F97A29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3" r:id="rId1"/>
    <sheet name="ASP" sheetId="8" r:id="rId2"/>
    <sheet name="Market Value" sheetId="4" r:id="rId3"/>
  </sheets>
  <definedNames>
    <definedName name="_xlnm._FilterDatabase" localSheetId="0" hidden="1">Data!$B$118:$F$147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T108" i="3" l="1"/>
  <c r="BS108" i="3"/>
  <c r="BR108" i="3"/>
  <c r="BQ108" i="3"/>
  <c r="BP108" i="3"/>
  <c r="BO108" i="3"/>
  <c r="BN108" i="3"/>
  <c r="BM108" i="3"/>
  <c r="BL108" i="3"/>
  <c r="BK108" i="3"/>
  <c r="BJ108" i="3"/>
  <c r="BI108" i="3"/>
  <c r="BH108" i="3"/>
  <c r="BG108" i="3"/>
  <c r="BF108" i="3"/>
  <c r="BE108" i="3"/>
  <c r="BD108" i="3"/>
  <c r="BC108" i="3"/>
  <c r="BB108" i="3"/>
  <c r="BA108" i="3"/>
  <c r="AZ108" i="3"/>
  <c r="AY108" i="3"/>
  <c r="AX108" i="3"/>
  <c r="AW108" i="3"/>
  <c r="AV108" i="3"/>
  <c r="AU108" i="3"/>
  <c r="AT108" i="3"/>
  <c r="AS108" i="3"/>
  <c r="AR108" i="3"/>
  <c r="AQ108" i="3"/>
  <c r="AP108" i="3"/>
  <c r="AO108" i="3"/>
  <c r="AN108" i="3"/>
  <c r="AM108" i="3"/>
  <c r="BT101" i="3"/>
  <c r="BS101" i="3"/>
  <c r="BR101" i="3"/>
  <c r="BQ101" i="3"/>
  <c r="BP101" i="3"/>
  <c r="BO101" i="3"/>
  <c r="BN101" i="3"/>
  <c r="BM101" i="3"/>
  <c r="BL101" i="3"/>
  <c r="BK101" i="3"/>
  <c r="BJ101" i="3"/>
  <c r="BI101" i="3"/>
  <c r="BH101" i="3"/>
  <c r="BG101" i="3"/>
  <c r="BF101" i="3"/>
  <c r="BE101" i="3"/>
  <c r="BD101" i="3"/>
  <c r="BC101" i="3"/>
  <c r="BB101" i="3"/>
  <c r="BA101" i="3"/>
  <c r="AZ101" i="3"/>
  <c r="AY101" i="3"/>
  <c r="AX101" i="3"/>
  <c r="AW101" i="3"/>
  <c r="AV101" i="3"/>
  <c r="AU101" i="3"/>
  <c r="AT101" i="3"/>
  <c r="AS101" i="3"/>
  <c r="AR101" i="3"/>
  <c r="AQ101" i="3"/>
  <c r="AP101" i="3"/>
  <c r="AO101" i="3"/>
  <c r="AN101" i="3"/>
  <c r="AM101" i="3"/>
  <c r="BT94" i="3"/>
  <c r="BS94" i="3"/>
  <c r="BR94" i="3"/>
  <c r="BQ94" i="3"/>
  <c r="BQ93" i="3" s="1"/>
  <c r="BP94" i="3"/>
  <c r="BO94" i="3"/>
  <c r="BN94" i="3"/>
  <c r="BM94" i="3"/>
  <c r="BM93" i="3" s="1"/>
  <c r="BL94" i="3"/>
  <c r="BK94" i="3"/>
  <c r="BJ94" i="3"/>
  <c r="BI94" i="3"/>
  <c r="BI93" i="3" s="1"/>
  <c r="BH94" i="3"/>
  <c r="BG94" i="3"/>
  <c r="BF94" i="3"/>
  <c r="BE94" i="3"/>
  <c r="BE93" i="3" s="1"/>
  <c r="BD94" i="3"/>
  <c r="BC94" i="3"/>
  <c r="BB94" i="3"/>
  <c r="BA94" i="3"/>
  <c r="BA93" i="3" s="1"/>
  <c r="AZ94" i="3"/>
  <c r="AY94" i="3"/>
  <c r="AX94" i="3"/>
  <c r="AW94" i="3"/>
  <c r="AW93" i="3" s="1"/>
  <c r="AV94" i="3"/>
  <c r="AU94" i="3"/>
  <c r="AT94" i="3"/>
  <c r="AS94" i="3"/>
  <c r="AS93" i="3" s="1"/>
  <c r="AR94" i="3"/>
  <c r="AQ94" i="3"/>
  <c r="AP94" i="3"/>
  <c r="AO94" i="3"/>
  <c r="AO93" i="3" s="1"/>
  <c r="AN94" i="3"/>
  <c r="AM94" i="3"/>
  <c r="BT93" i="3"/>
  <c r="BS93" i="3"/>
  <c r="BR93" i="3"/>
  <c r="BP93" i="3"/>
  <c r="BO93" i="3"/>
  <c r="BN93" i="3"/>
  <c r="BL93" i="3"/>
  <c r="BK93" i="3"/>
  <c r="BJ93" i="3"/>
  <c r="BH93" i="3"/>
  <c r="BG93" i="3"/>
  <c r="BF93" i="3"/>
  <c r="BD93" i="3"/>
  <c r="BC93" i="3"/>
  <c r="BB93" i="3"/>
  <c r="AZ93" i="3"/>
  <c r="AY93" i="3"/>
  <c r="AX93" i="3"/>
  <c r="AV93" i="3"/>
  <c r="AU93" i="3"/>
  <c r="AT93" i="3"/>
  <c r="AR93" i="3"/>
  <c r="AQ93" i="3"/>
  <c r="AP93" i="3"/>
  <c r="AN93" i="3"/>
  <c r="AM93" i="3"/>
  <c r="BT86" i="3"/>
  <c r="BS86" i="3"/>
  <c r="BR86" i="3"/>
  <c r="BQ86" i="3"/>
  <c r="BP86" i="3"/>
  <c r="BO86" i="3"/>
  <c r="BN86" i="3"/>
  <c r="BM86" i="3"/>
  <c r="BL86" i="3"/>
  <c r="BK86" i="3"/>
  <c r="BJ86" i="3"/>
  <c r="BI86" i="3"/>
  <c r="BH86" i="3"/>
  <c r="BG86" i="3"/>
  <c r="BF86" i="3"/>
  <c r="BE86" i="3"/>
  <c r="BD86" i="3"/>
  <c r="BC86" i="3"/>
  <c r="BB86" i="3"/>
  <c r="BA86" i="3"/>
  <c r="AZ86" i="3"/>
  <c r="AY86" i="3"/>
  <c r="AX86" i="3"/>
  <c r="AW86" i="3"/>
  <c r="AV86" i="3"/>
  <c r="AU86" i="3"/>
  <c r="AT86" i="3"/>
  <c r="AS86" i="3"/>
  <c r="AR86" i="3"/>
  <c r="AQ86" i="3"/>
  <c r="AP86" i="3"/>
  <c r="AO86" i="3"/>
  <c r="AN86" i="3"/>
  <c r="AM86" i="3"/>
  <c r="BT79" i="3"/>
  <c r="BS79" i="3"/>
  <c r="BR79" i="3"/>
  <c r="BQ79" i="3"/>
  <c r="BP79" i="3"/>
  <c r="BO79" i="3"/>
  <c r="BN79" i="3"/>
  <c r="BM79" i="3"/>
  <c r="BL79" i="3"/>
  <c r="BK79" i="3"/>
  <c r="BJ79" i="3"/>
  <c r="BI79" i="3"/>
  <c r="BH79" i="3"/>
  <c r="BG79" i="3"/>
  <c r="BF79" i="3"/>
  <c r="BE79" i="3"/>
  <c r="BD79" i="3"/>
  <c r="BC79" i="3"/>
  <c r="BB79" i="3"/>
  <c r="BA79" i="3"/>
  <c r="AZ79" i="3"/>
  <c r="AY79" i="3"/>
  <c r="AX79" i="3"/>
  <c r="AW79" i="3"/>
  <c r="AV79" i="3"/>
  <c r="AU79" i="3"/>
  <c r="AT79" i="3"/>
  <c r="AS79" i="3"/>
  <c r="AR79" i="3"/>
  <c r="AQ79" i="3"/>
  <c r="AP79" i="3"/>
  <c r="AO79" i="3"/>
  <c r="AN79" i="3"/>
  <c r="AM79" i="3"/>
  <c r="BT72" i="3"/>
  <c r="BS72" i="3"/>
  <c r="BR72" i="3"/>
  <c r="BQ72" i="3"/>
  <c r="BQ71" i="3" s="1"/>
  <c r="BP72" i="3"/>
  <c r="BO72" i="3"/>
  <c r="BN72" i="3"/>
  <c r="BM72" i="3"/>
  <c r="BM71" i="3" s="1"/>
  <c r="BL72" i="3"/>
  <c r="BK72" i="3"/>
  <c r="BJ72" i="3"/>
  <c r="BI72" i="3"/>
  <c r="BI71" i="3" s="1"/>
  <c r="BH72" i="3"/>
  <c r="BG72" i="3"/>
  <c r="BF72" i="3"/>
  <c r="BE72" i="3"/>
  <c r="BE71" i="3" s="1"/>
  <c r="BD72" i="3"/>
  <c r="BC72" i="3"/>
  <c r="BB72" i="3"/>
  <c r="BA72" i="3"/>
  <c r="BA71" i="3" s="1"/>
  <c r="AZ72" i="3"/>
  <c r="AY72" i="3"/>
  <c r="AX72" i="3"/>
  <c r="AW72" i="3"/>
  <c r="AW71" i="3" s="1"/>
  <c r="AV72" i="3"/>
  <c r="AU72" i="3"/>
  <c r="AT72" i="3"/>
  <c r="AS72" i="3"/>
  <c r="AS71" i="3" s="1"/>
  <c r="AR72" i="3"/>
  <c r="AQ72" i="3"/>
  <c r="AP72" i="3"/>
  <c r="AO72" i="3"/>
  <c r="AO71" i="3" s="1"/>
  <c r="AN72" i="3"/>
  <c r="AM72" i="3"/>
  <c r="BT71" i="3"/>
  <c r="BS71" i="3"/>
  <c r="BR71" i="3"/>
  <c r="BP71" i="3"/>
  <c r="BO71" i="3"/>
  <c r="BN71" i="3"/>
  <c r="BL71" i="3"/>
  <c r="BK71" i="3"/>
  <c r="BJ71" i="3"/>
  <c r="BH71" i="3"/>
  <c r="BG71" i="3"/>
  <c r="BF71" i="3"/>
  <c r="BD71" i="3"/>
  <c r="BC71" i="3"/>
  <c r="BB71" i="3"/>
  <c r="AZ71" i="3"/>
  <c r="AY71" i="3"/>
  <c r="AX71" i="3"/>
  <c r="AV71" i="3"/>
  <c r="AU71" i="3"/>
  <c r="AT71" i="3"/>
  <c r="AR71" i="3"/>
  <c r="AQ71" i="3"/>
  <c r="AP71" i="3"/>
  <c r="AN71" i="3"/>
  <c r="AM71" i="3"/>
  <c r="AK94" i="8"/>
  <c r="AJ94" i="8"/>
  <c r="AI94" i="8"/>
  <c r="AH94" i="8"/>
  <c r="AG94" i="8"/>
  <c r="AF94" i="8"/>
  <c r="AE94" i="8"/>
  <c r="AD94" i="8"/>
  <c r="AC94" i="8"/>
  <c r="AB94" i="8"/>
  <c r="AA94" i="8"/>
  <c r="Z94" i="8"/>
  <c r="Y94" i="8"/>
  <c r="X94" i="8"/>
  <c r="W94" i="8"/>
  <c r="V94" i="8"/>
  <c r="U94" i="8"/>
  <c r="T94" i="8"/>
  <c r="S94" i="8"/>
  <c r="R94" i="8"/>
  <c r="Q94" i="8"/>
  <c r="P94" i="8"/>
  <c r="O94" i="8"/>
  <c r="N94" i="8"/>
  <c r="M94" i="8"/>
  <c r="L94" i="8"/>
  <c r="K94" i="8"/>
  <c r="J94" i="8"/>
  <c r="I94" i="8"/>
  <c r="H94" i="8"/>
  <c r="G94" i="8"/>
  <c r="F94" i="8"/>
  <c r="E94" i="8"/>
  <c r="D94" i="8"/>
  <c r="AK86" i="8"/>
  <c r="AJ86" i="8"/>
  <c r="AI86" i="8"/>
  <c r="AH86" i="8"/>
  <c r="AG86" i="8"/>
  <c r="AF86" i="8"/>
  <c r="AE86" i="8"/>
  <c r="AD86" i="8"/>
  <c r="AC86" i="8"/>
  <c r="AB86" i="8"/>
  <c r="AA86" i="8"/>
  <c r="Z86" i="8"/>
  <c r="Y86" i="8"/>
  <c r="X86" i="8"/>
  <c r="W86" i="8"/>
  <c r="V86" i="8"/>
  <c r="U86" i="8"/>
  <c r="T86" i="8"/>
  <c r="S86" i="8"/>
  <c r="R86" i="8"/>
  <c r="Q86" i="8"/>
  <c r="P86" i="8"/>
  <c r="O86" i="8"/>
  <c r="N86" i="8"/>
  <c r="M86" i="8"/>
  <c r="L86" i="8"/>
  <c r="K86" i="8"/>
  <c r="J86" i="8"/>
  <c r="I86" i="8"/>
  <c r="H86" i="8"/>
  <c r="G86" i="8"/>
  <c r="F86" i="8"/>
  <c r="E86" i="8"/>
  <c r="D86" i="8"/>
  <c r="AK79" i="8"/>
  <c r="AJ79" i="8"/>
  <c r="AI79" i="8"/>
  <c r="AH79" i="8"/>
  <c r="AG79" i="8"/>
  <c r="AF79" i="8"/>
  <c r="AE79" i="8"/>
  <c r="AD79" i="8"/>
  <c r="AC79" i="8"/>
  <c r="AB79" i="8"/>
  <c r="AA79" i="8"/>
  <c r="Z79" i="8"/>
  <c r="Y79" i="8"/>
  <c r="X79" i="8"/>
  <c r="W79" i="8"/>
  <c r="V79" i="8"/>
  <c r="U79" i="8"/>
  <c r="T79" i="8"/>
  <c r="S79" i="8"/>
  <c r="R79" i="8"/>
  <c r="Q79" i="8"/>
  <c r="P79" i="8"/>
  <c r="O79" i="8"/>
  <c r="N79" i="8"/>
  <c r="M79" i="8"/>
  <c r="L79" i="8"/>
  <c r="K79" i="8"/>
  <c r="J79" i="8"/>
  <c r="I79" i="8"/>
  <c r="H79" i="8"/>
  <c r="G79" i="8"/>
  <c r="F79" i="8"/>
  <c r="E79" i="8"/>
  <c r="D79" i="8"/>
  <c r="AK72" i="8"/>
  <c r="AJ72" i="8"/>
  <c r="AI72" i="8"/>
  <c r="AH72" i="8"/>
  <c r="AG72" i="8"/>
  <c r="AF72" i="8"/>
  <c r="AE72" i="8"/>
  <c r="AD72" i="8"/>
  <c r="AC72" i="8"/>
  <c r="AB72" i="8"/>
  <c r="AA72" i="8"/>
  <c r="Z72" i="8"/>
  <c r="Y72" i="8"/>
  <c r="X72" i="8"/>
  <c r="W72" i="8"/>
  <c r="V72" i="8"/>
  <c r="U72" i="8"/>
  <c r="T72" i="8"/>
  <c r="S72" i="8"/>
  <c r="R72" i="8"/>
  <c r="Q72" i="8"/>
  <c r="P72" i="8"/>
  <c r="O72" i="8"/>
  <c r="N72" i="8"/>
  <c r="M72" i="8"/>
  <c r="L72" i="8"/>
  <c r="K72" i="8"/>
  <c r="J72" i="8"/>
  <c r="I72" i="8"/>
  <c r="H72" i="8"/>
  <c r="G72" i="8"/>
  <c r="F72" i="8"/>
  <c r="E72" i="8"/>
  <c r="D72" i="8"/>
  <c r="D120" i="8" l="1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AJ120" i="8"/>
  <c r="AK120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AJ121" i="8"/>
  <c r="AK121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AJ122" i="8"/>
  <c r="AK122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AJ133" i="8"/>
  <c r="AK133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AJ140" i="8"/>
  <c r="AK140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AJ146" i="8"/>
  <c r="AK146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AJ150" i="8"/>
  <c r="AK150" i="8"/>
  <c r="D154" i="8"/>
  <c r="D269" i="8" s="1"/>
  <c r="D384" i="8" s="1"/>
  <c r="E154" i="8"/>
  <c r="F154" i="8"/>
  <c r="G154" i="8"/>
  <c r="H154" i="8"/>
  <c r="H269" i="8" s="1"/>
  <c r="H384" i="8" s="1"/>
  <c r="I154" i="8"/>
  <c r="I269" i="8" s="1"/>
  <c r="I384" i="8" s="1"/>
  <c r="J154" i="8"/>
  <c r="K154" i="8"/>
  <c r="L154" i="8"/>
  <c r="L269" i="8" s="1"/>
  <c r="L384" i="8" s="1"/>
  <c r="M154" i="8"/>
  <c r="N154" i="8"/>
  <c r="O154" i="8"/>
  <c r="P154" i="8"/>
  <c r="P269" i="8" s="1"/>
  <c r="P384" i="8" s="1"/>
  <c r="Q154" i="8"/>
  <c r="R154" i="8"/>
  <c r="S154" i="8"/>
  <c r="T154" i="8"/>
  <c r="U154" i="8"/>
  <c r="V154" i="8"/>
  <c r="W154" i="8"/>
  <c r="X154" i="8"/>
  <c r="X269" i="8" s="1"/>
  <c r="X384" i="8" s="1"/>
  <c r="Y154" i="8"/>
  <c r="Z154" i="8"/>
  <c r="AA154" i="8"/>
  <c r="AB154" i="8"/>
  <c r="AC154" i="8"/>
  <c r="AD154" i="8"/>
  <c r="AE154" i="8"/>
  <c r="AF154" i="8"/>
  <c r="AF269" i="8" s="1"/>
  <c r="AF384" i="8" s="1"/>
  <c r="AG154" i="8"/>
  <c r="AH154" i="8"/>
  <c r="AI154" i="8"/>
  <c r="AJ154" i="8"/>
  <c r="AJ269" i="8" s="1"/>
  <c r="AJ384" i="8" s="1"/>
  <c r="AK154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AJ157" i="8"/>
  <c r="AK157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AJ162" i="8"/>
  <c r="AK162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AJ171" i="8"/>
  <c r="AK171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AJ172" i="8"/>
  <c r="AK172" i="8"/>
  <c r="D177" i="8"/>
  <c r="D147" i="8" s="1"/>
  <c r="E177" i="8"/>
  <c r="E147" i="8" s="1"/>
  <c r="F177" i="8"/>
  <c r="F147" i="8" s="1"/>
  <c r="G177" i="8"/>
  <c r="G147" i="8" s="1"/>
  <c r="H177" i="8"/>
  <c r="H147" i="8" s="1"/>
  <c r="I177" i="8"/>
  <c r="I147" i="8" s="1"/>
  <c r="J177" i="8"/>
  <c r="J147" i="8" s="1"/>
  <c r="K177" i="8"/>
  <c r="K147" i="8" s="1"/>
  <c r="L177" i="8"/>
  <c r="L147" i="8" s="1"/>
  <c r="M177" i="8"/>
  <c r="M147" i="8" s="1"/>
  <c r="N177" i="8"/>
  <c r="N147" i="8" s="1"/>
  <c r="O177" i="8"/>
  <c r="O147" i="8" s="1"/>
  <c r="P177" i="8"/>
  <c r="P147" i="8" s="1"/>
  <c r="Q177" i="8"/>
  <c r="Q147" i="8" s="1"/>
  <c r="R177" i="8"/>
  <c r="R147" i="8" s="1"/>
  <c r="S177" i="8"/>
  <c r="S147" i="8" s="1"/>
  <c r="T177" i="8"/>
  <c r="T147" i="8" s="1"/>
  <c r="U177" i="8"/>
  <c r="U147" i="8" s="1"/>
  <c r="V177" i="8"/>
  <c r="V147" i="8" s="1"/>
  <c r="W177" i="8"/>
  <c r="W147" i="8" s="1"/>
  <c r="X177" i="8"/>
  <c r="X147" i="8" s="1"/>
  <c r="Y177" i="8"/>
  <c r="Y147" i="8" s="1"/>
  <c r="Z177" i="8"/>
  <c r="Z147" i="8" s="1"/>
  <c r="AA177" i="8"/>
  <c r="AA147" i="8" s="1"/>
  <c r="AB177" i="8"/>
  <c r="AB147" i="8" s="1"/>
  <c r="AC177" i="8"/>
  <c r="AC147" i="8" s="1"/>
  <c r="AD177" i="8"/>
  <c r="AD147" i="8" s="1"/>
  <c r="AE177" i="8"/>
  <c r="AE147" i="8" s="1"/>
  <c r="AF177" i="8"/>
  <c r="AF147" i="8" s="1"/>
  <c r="AG177" i="8"/>
  <c r="AG147" i="8" s="1"/>
  <c r="AH177" i="8"/>
  <c r="AH147" i="8" s="1"/>
  <c r="AI177" i="8"/>
  <c r="AI147" i="8" s="1"/>
  <c r="AJ177" i="8"/>
  <c r="AJ147" i="8" s="1"/>
  <c r="AK177" i="8"/>
  <c r="AK147" i="8" s="1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AJ178" i="8"/>
  <c r="AK178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AJ179" i="8"/>
  <c r="AK179" i="8"/>
  <c r="D186" i="8"/>
  <c r="D170" i="8" s="1"/>
  <c r="D143" i="8" s="1"/>
  <c r="E186" i="8"/>
  <c r="E170" i="8" s="1"/>
  <c r="E143" i="8" s="1"/>
  <c r="F186" i="8"/>
  <c r="F170" i="8" s="1"/>
  <c r="F143" i="8" s="1"/>
  <c r="G186" i="8"/>
  <c r="G170" i="8" s="1"/>
  <c r="G143" i="8" s="1"/>
  <c r="H186" i="8"/>
  <c r="H170" i="8" s="1"/>
  <c r="H143" i="8" s="1"/>
  <c r="H258" i="8" s="1"/>
  <c r="I186" i="8"/>
  <c r="I170" i="8" s="1"/>
  <c r="I143" i="8" s="1"/>
  <c r="J186" i="8"/>
  <c r="J170" i="8" s="1"/>
  <c r="J143" i="8" s="1"/>
  <c r="K186" i="8"/>
  <c r="K170" i="8" s="1"/>
  <c r="K143" i="8" s="1"/>
  <c r="L186" i="8"/>
  <c r="L170" i="8" s="1"/>
  <c r="L143" i="8" s="1"/>
  <c r="M186" i="8"/>
  <c r="M170" i="8" s="1"/>
  <c r="M143" i="8" s="1"/>
  <c r="N186" i="8"/>
  <c r="N170" i="8" s="1"/>
  <c r="N143" i="8" s="1"/>
  <c r="O186" i="8"/>
  <c r="O170" i="8" s="1"/>
  <c r="O143" i="8" s="1"/>
  <c r="P186" i="8"/>
  <c r="P170" i="8" s="1"/>
  <c r="P143" i="8" s="1"/>
  <c r="Q186" i="8"/>
  <c r="Q170" i="8" s="1"/>
  <c r="Q143" i="8" s="1"/>
  <c r="R186" i="8"/>
  <c r="R170" i="8" s="1"/>
  <c r="R143" i="8" s="1"/>
  <c r="S186" i="8"/>
  <c r="S170" i="8" s="1"/>
  <c r="S143" i="8" s="1"/>
  <c r="T186" i="8"/>
  <c r="T170" i="8" s="1"/>
  <c r="T143" i="8" s="1"/>
  <c r="U186" i="8"/>
  <c r="U170" i="8" s="1"/>
  <c r="U143" i="8" s="1"/>
  <c r="V186" i="8"/>
  <c r="V170" i="8" s="1"/>
  <c r="V143" i="8" s="1"/>
  <c r="W186" i="8"/>
  <c r="W170" i="8" s="1"/>
  <c r="W143" i="8" s="1"/>
  <c r="X186" i="8"/>
  <c r="X170" i="8" s="1"/>
  <c r="X143" i="8" s="1"/>
  <c r="Y186" i="8"/>
  <c r="Y170" i="8" s="1"/>
  <c r="Y143" i="8" s="1"/>
  <c r="Z186" i="8"/>
  <c r="Z170" i="8" s="1"/>
  <c r="Z143" i="8" s="1"/>
  <c r="AA186" i="8"/>
  <c r="AA170" i="8" s="1"/>
  <c r="AA143" i="8" s="1"/>
  <c r="AB186" i="8"/>
  <c r="AB170" i="8" s="1"/>
  <c r="AB143" i="8" s="1"/>
  <c r="AC186" i="8"/>
  <c r="AC170" i="8" s="1"/>
  <c r="AC143" i="8" s="1"/>
  <c r="AD186" i="8"/>
  <c r="AD170" i="8" s="1"/>
  <c r="AD143" i="8" s="1"/>
  <c r="AE186" i="8"/>
  <c r="AE170" i="8" s="1"/>
  <c r="AE143" i="8" s="1"/>
  <c r="AF186" i="8"/>
  <c r="AF170" i="8" s="1"/>
  <c r="AF143" i="8" s="1"/>
  <c r="AG186" i="8"/>
  <c r="AG170" i="8" s="1"/>
  <c r="AG143" i="8" s="1"/>
  <c r="AH186" i="8"/>
  <c r="AH170" i="8" s="1"/>
  <c r="AH143" i="8" s="1"/>
  <c r="AI186" i="8"/>
  <c r="AI170" i="8" s="1"/>
  <c r="AI143" i="8" s="1"/>
  <c r="AJ186" i="8"/>
  <c r="AJ170" i="8" s="1"/>
  <c r="AJ143" i="8" s="1"/>
  <c r="AJ258" i="8" s="1"/>
  <c r="AJ260" i="8" s="1"/>
  <c r="AJ375" i="8" s="1"/>
  <c r="AK186" i="8"/>
  <c r="AK170" i="8" s="1"/>
  <c r="AK143" i="8" s="1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AJ187" i="8"/>
  <c r="AK187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AJ188" i="8"/>
  <c r="AK188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AJ195" i="8"/>
  <c r="AK195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AJ202" i="8"/>
  <c r="AK202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AJ209" i="8"/>
  <c r="AK209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AJ210" i="8"/>
  <c r="AK210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AJ217" i="8"/>
  <c r="AK217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X339" i="8" s="1"/>
  <c r="Y224" i="8"/>
  <c r="Z224" i="8"/>
  <c r="AA224" i="8"/>
  <c r="AB224" i="8"/>
  <c r="AC224" i="8"/>
  <c r="AD224" i="8"/>
  <c r="AE224" i="8"/>
  <c r="AF224" i="8"/>
  <c r="AG224" i="8"/>
  <c r="AH224" i="8"/>
  <c r="AI224" i="8"/>
  <c r="AJ224" i="8"/>
  <c r="AK224" i="8"/>
  <c r="D232" i="8"/>
  <c r="E232" i="8"/>
  <c r="F232" i="8"/>
  <c r="F235" i="8" s="1"/>
  <c r="F236" i="8" s="1"/>
  <c r="G232" i="8"/>
  <c r="G253" i="8" s="1"/>
  <c r="H232" i="8"/>
  <c r="H253" i="8" s="1"/>
  <c r="H254" i="8" s="1"/>
  <c r="I232" i="8"/>
  <c r="J232" i="8"/>
  <c r="J272" i="8" s="1"/>
  <c r="K232" i="8"/>
  <c r="K253" i="8" s="1"/>
  <c r="L232" i="8"/>
  <c r="L262" i="8" s="1"/>
  <c r="M232" i="8"/>
  <c r="N232" i="8"/>
  <c r="N235" i="8" s="1"/>
  <c r="N246" i="8" s="1"/>
  <c r="N361" i="8" s="1"/>
  <c r="O232" i="8"/>
  <c r="O253" i="8" s="1"/>
  <c r="P232" i="8"/>
  <c r="P247" i="8" s="1"/>
  <c r="Q232" i="8"/>
  <c r="R232" i="8"/>
  <c r="R247" i="8" s="1"/>
  <c r="S232" i="8"/>
  <c r="S253" i="8" s="1"/>
  <c r="T232" i="8"/>
  <c r="T262" i="8" s="1"/>
  <c r="U232" i="8"/>
  <c r="V232" i="8"/>
  <c r="V235" i="8" s="1"/>
  <c r="V236" i="8" s="1"/>
  <c r="W232" i="8"/>
  <c r="W253" i="8" s="1"/>
  <c r="X232" i="8"/>
  <c r="X253" i="8" s="1"/>
  <c r="X254" i="8" s="1"/>
  <c r="Y232" i="8"/>
  <c r="Z232" i="8"/>
  <c r="Z253" i="8" s="1"/>
  <c r="AA232" i="8"/>
  <c r="AA253" i="8" s="1"/>
  <c r="AB232" i="8"/>
  <c r="AB262" i="8" s="1"/>
  <c r="AB264" i="8" s="1"/>
  <c r="AC232" i="8"/>
  <c r="AD232" i="8"/>
  <c r="AD235" i="8" s="1"/>
  <c r="AD241" i="8" s="1"/>
  <c r="AD356" i="8" s="1"/>
  <c r="AE232" i="8"/>
  <c r="AE253" i="8" s="1"/>
  <c r="AF232" i="8"/>
  <c r="AF247" i="8" s="1"/>
  <c r="AG232" i="8"/>
  <c r="AH232" i="8"/>
  <c r="AH273" i="8" s="1"/>
  <c r="AI232" i="8"/>
  <c r="AI268" i="8" s="1"/>
  <c r="AI383" i="8" s="1"/>
  <c r="AJ232" i="8"/>
  <c r="AJ262" i="8" s="1"/>
  <c r="AK232" i="8"/>
  <c r="D235" i="8"/>
  <c r="D241" i="8" s="1"/>
  <c r="D356" i="8" s="1"/>
  <c r="H235" i="8"/>
  <c r="H246" i="8" s="1"/>
  <c r="H361" i="8" s="1"/>
  <c r="P235" i="8"/>
  <c r="P246" i="8" s="1"/>
  <c r="P361" i="8" s="1"/>
  <c r="T235" i="8"/>
  <c r="X235" i="8"/>
  <c r="X242" i="8" s="1"/>
  <c r="X357" i="8" s="1"/>
  <c r="AB235" i="8"/>
  <c r="AB246" i="8" s="1"/>
  <c r="AB361" i="8" s="1"/>
  <c r="AJ235" i="8"/>
  <c r="AJ241" i="8" s="1"/>
  <c r="AJ356" i="8" s="1"/>
  <c r="AK235" i="8"/>
  <c r="AK245" i="8" s="1"/>
  <c r="AK360" i="8" s="1"/>
  <c r="F240" i="8"/>
  <c r="F355" i="8" s="1"/>
  <c r="T241" i="8"/>
  <c r="T356" i="8" s="1"/>
  <c r="T242" i="8"/>
  <c r="V243" i="8"/>
  <c r="V358" i="8" s="1"/>
  <c r="T244" i="8"/>
  <c r="AJ244" i="8"/>
  <c r="AJ359" i="8" s="1"/>
  <c r="T245" i="8"/>
  <c r="F246" i="8"/>
  <c r="F361" i="8" s="1"/>
  <c r="D247" i="8"/>
  <c r="H247" i="8"/>
  <c r="H249" i="8" s="1"/>
  <c r="L247" i="8"/>
  <c r="L252" i="8" s="1"/>
  <c r="M247" i="8"/>
  <c r="X247" i="8"/>
  <c r="AB247" i="8"/>
  <c r="AB252" i="8" s="1"/>
  <c r="AG247" i="8"/>
  <c r="AG251" i="8" s="1"/>
  <c r="AJ247" i="8"/>
  <c r="AJ249" i="8" s="1"/>
  <c r="AB248" i="8"/>
  <c r="M251" i="8"/>
  <c r="AF251" i="8"/>
  <c r="AJ251" i="8"/>
  <c r="P252" i="8"/>
  <c r="AF252" i="8"/>
  <c r="AG252" i="8"/>
  <c r="D253" i="8"/>
  <c r="D255" i="8" s="1"/>
  <c r="I253" i="8"/>
  <c r="L253" i="8"/>
  <c r="L255" i="8" s="1"/>
  <c r="P253" i="8"/>
  <c r="P254" i="8" s="1"/>
  <c r="T253" i="8"/>
  <c r="T255" i="8" s="1"/>
  <c r="AF253" i="8"/>
  <c r="AF255" i="8" s="1"/>
  <c r="AG253" i="8"/>
  <c r="AJ253" i="8"/>
  <c r="AJ255" i="8" s="1"/>
  <c r="L254" i="8"/>
  <c r="AF254" i="8"/>
  <c r="H255" i="8"/>
  <c r="X255" i="8"/>
  <c r="D262" i="8"/>
  <c r="D264" i="8" s="1"/>
  <c r="D379" i="8" s="1"/>
  <c r="K262" i="8"/>
  <c r="K265" i="8" s="1"/>
  <c r="K380" i="8" s="1"/>
  <c r="M262" i="8"/>
  <c r="X262" i="8"/>
  <c r="X264" i="8" s="1"/>
  <c r="X379" i="8" s="1"/>
  <c r="Y262" i="8"/>
  <c r="AF262" i="8"/>
  <c r="AK262" i="8"/>
  <c r="L264" i="8"/>
  <c r="L379" i="8" s="1"/>
  <c r="T264" i="8"/>
  <c r="T379" i="8" s="1"/>
  <c r="AJ264" i="8"/>
  <c r="AJ379" i="8" s="1"/>
  <c r="D268" i="8"/>
  <c r="H268" i="8"/>
  <c r="K268" i="8"/>
  <c r="K383" i="8" s="1"/>
  <c r="L268" i="8"/>
  <c r="P268" i="8"/>
  <c r="P383" i="8" s="1"/>
  <c r="R268" i="8"/>
  <c r="R383" i="8" s="1"/>
  <c r="T268" i="8"/>
  <c r="X268" i="8"/>
  <c r="AB268" i="8"/>
  <c r="AB383" i="8" s="1"/>
  <c r="AF268" i="8"/>
  <c r="AF383" i="8" s="1"/>
  <c r="AJ268" i="8"/>
  <c r="AJ383" i="8" s="1"/>
  <c r="F269" i="8"/>
  <c r="F384" i="8" s="1"/>
  <c r="T269" i="8"/>
  <c r="AB269" i="8"/>
  <c r="AB384" i="8" s="1"/>
  <c r="D272" i="8"/>
  <c r="H272" i="8"/>
  <c r="L272" i="8"/>
  <c r="N272" i="8"/>
  <c r="O272" i="8"/>
  <c r="P272" i="8"/>
  <c r="T272" i="8"/>
  <c r="W272" i="8"/>
  <c r="X272" i="8"/>
  <c r="AB272" i="8"/>
  <c r="AD272" i="8"/>
  <c r="AF272" i="8"/>
  <c r="AJ272" i="8"/>
  <c r="D273" i="8"/>
  <c r="H273" i="8"/>
  <c r="I273" i="8"/>
  <c r="L273" i="8"/>
  <c r="P273" i="8"/>
  <c r="T273" i="8"/>
  <c r="V273" i="8"/>
  <c r="X273" i="8"/>
  <c r="AB273" i="8"/>
  <c r="AD273" i="8"/>
  <c r="AF273" i="8"/>
  <c r="AJ273" i="8"/>
  <c r="D274" i="8"/>
  <c r="H274" i="8"/>
  <c r="L274" i="8"/>
  <c r="O274" i="8"/>
  <c r="P274" i="8"/>
  <c r="T274" i="8"/>
  <c r="W274" i="8"/>
  <c r="X274" i="8"/>
  <c r="AB274" i="8"/>
  <c r="AF274" i="8"/>
  <c r="AJ274" i="8"/>
  <c r="N301" i="8"/>
  <c r="N302" i="8" s="1"/>
  <c r="V301" i="8"/>
  <c r="V309" i="8" s="1"/>
  <c r="D323" i="8"/>
  <c r="D331" i="8" s="1"/>
  <c r="G323" i="8"/>
  <c r="G292" i="8" s="1"/>
  <c r="G298" i="8" s="1"/>
  <c r="H323" i="8"/>
  <c r="H331" i="8" s="1"/>
  <c r="L323" i="8"/>
  <c r="L331" i="8" s="1"/>
  <c r="O323" i="8"/>
  <c r="O292" i="8" s="1"/>
  <c r="P323" i="8"/>
  <c r="P331" i="8" s="1"/>
  <c r="P332" i="8" s="1"/>
  <c r="T323" i="8"/>
  <c r="T331" i="8" s="1"/>
  <c r="T335" i="8" s="1"/>
  <c r="X323" i="8"/>
  <c r="AB323" i="8"/>
  <c r="AF323" i="8"/>
  <c r="AF331" i="8" s="1"/>
  <c r="AH323" i="8"/>
  <c r="AH331" i="8" s="1"/>
  <c r="AH333" i="8" s="1"/>
  <c r="AI323" i="8"/>
  <c r="AI331" i="8" s="1"/>
  <c r="AJ323" i="8"/>
  <c r="AJ331" i="8" s="1"/>
  <c r="H338" i="8"/>
  <c r="O338" i="8"/>
  <c r="O342" i="8" s="1"/>
  <c r="X338" i="8"/>
  <c r="AI338" i="8"/>
  <c r="AI344" i="8" s="1"/>
  <c r="AJ338" i="8"/>
  <c r="H340" i="8"/>
  <c r="O340" i="8"/>
  <c r="X340" i="8"/>
  <c r="X341" i="8"/>
  <c r="H342" i="8"/>
  <c r="X342" i="8"/>
  <c r="AI342" i="8"/>
  <c r="X343" i="8"/>
  <c r="H344" i="8"/>
  <c r="O344" i="8"/>
  <c r="X344" i="8"/>
  <c r="T357" i="8"/>
  <c r="T359" i="8"/>
  <c r="T360" i="8"/>
  <c r="AB379" i="8"/>
  <c r="D383" i="8"/>
  <c r="H383" i="8"/>
  <c r="L383" i="8"/>
  <c r="T383" i="8"/>
  <c r="X383" i="8"/>
  <c r="T384" i="8"/>
  <c r="BC28" i="3"/>
  <c r="D143" i="3"/>
  <c r="E9" i="4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D64" i="3"/>
  <c r="AN63" i="3" s="1"/>
  <c r="AN62" i="3" s="1"/>
  <c r="E64" i="3"/>
  <c r="AO63" i="3" s="1"/>
  <c r="F64" i="3"/>
  <c r="AP63" i="3" s="1"/>
  <c r="G64" i="3"/>
  <c r="H64" i="3"/>
  <c r="AR63" i="3" s="1"/>
  <c r="AR62" i="3" s="1"/>
  <c r="I64" i="3"/>
  <c r="AS63" i="3" s="1"/>
  <c r="J64" i="3"/>
  <c r="AT63" i="3" s="1"/>
  <c r="K64" i="3"/>
  <c r="AU63" i="3" s="1"/>
  <c r="AU62" i="3" s="1"/>
  <c r="L64" i="3"/>
  <c r="AV63" i="3" s="1"/>
  <c r="AV62" i="3" s="1"/>
  <c r="M64" i="3"/>
  <c r="AW63" i="3" s="1"/>
  <c r="N64" i="3"/>
  <c r="AX63" i="3" s="1"/>
  <c r="O64" i="3"/>
  <c r="AY63" i="3" s="1"/>
  <c r="AY62" i="3" s="1"/>
  <c r="P64" i="3"/>
  <c r="AZ63" i="3" s="1"/>
  <c r="AZ62" i="3" s="1"/>
  <c r="Q64" i="3"/>
  <c r="BA63" i="3" s="1"/>
  <c r="R64" i="3"/>
  <c r="BB63" i="3" s="1"/>
  <c r="S64" i="3"/>
  <c r="BC63" i="3" s="1"/>
  <c r="BC62" i="3" s="1"/>
  <c r="T64" i="3"/>
  <c r="BD63" i="3" s="1"/>
  <c r="BD62" i="3" s="1"/>
  <c r="U64" i="3"/>
  <c r="V64" i="3"/>
  <c r="BF63" i="3" s="1"/>
  <c r="W64" i="3"/>
  <c r="BG63" i="3" s="1"/>
  <c r="X64" i="3"/>
  <c r="BH63" i="3" s="1"/>
  <c r="Y64" i="3"/>
  <c r="BI63" i="3" s="1"/>
  <c r="Z64" i="3"/>
  <c r="BJ63" i="3" s="1"/>
  <c r="AA64" i="3"/>
  <c r="BK63" i="3" s="1"/>
  <c r="AB64" i="3"/>
  <c r="BL63" i="3" s="1"/>
  <c r="AC64" i="3"/>
  <c r="AD64" i="3"/>
  <c r="BN63" i="3" s="1"/>
  <c r="AE64" i="3"/>
  <c r="BO63" i="3" s="1"/>
  <c r="AF64" i="3"/>
  <c r="BP63" i="3" s="1"/>
  <c r="BP62" i="3" s="1"/>
  <c r="AG64" i="3"/>
  <c r="BQ63" i="3" s="1"/>
  <c r="AH64" i="3"/>
  <c r="BR63" i="3" s="1"/>
  <c r="AI64" i="3"/>
  <c r="AJ64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BL56" i="3" s="1"/>
  <c r="AC57" i="3"/>
  <c r="BM56" i="3" s="1"/>
  <c r="BM55" i="3" s="1"/>
  <c r="AD57" i="3"/>
  <c r="AE57" i="3"/>
  <c r="AF57" i="3"/>
  <c r="AG57" i="3"/>
  <c r="AH57" i="3"/>
  <c r="AI57" i="3"/>
  <c r="AJ57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AC47" i="3"/>
  <c r="AD47" i="3"/>
  <c r="AE47" i="3"/>
  <c r="AF47" i="3"/>
  <c r="AG47" i="3"/>
  <c r="AH47" i="3"/>
  <c r="AI47" i="3"/>
  <c r="AJ47" i="3"/>
  <c r="D62" i="3"/>
  <c r="E62" i="3"/>
  <c r="E32" i="3" s="1"/>
  <c r="F62" i="3"/>
  <c r="F32" i="3" s="1"/>
  <c r="G62" i="3"/>
  <c r="G32" i="3" s="1"/>
  <c r="H62" i="3"/>
  <c r="H32" i="3" s="1"/>
  <c r="I62" i="3"/>
  <c r="I32" i="3" s="1"/>
  <c r="J62" i="3"/>
  <c r="J32" i="3" s="1"/>
  <c r="K62" i="3"/>
  <c r="K32" i="3" s="1"/>
  <c r="L62" i="3"/>
  <c r="M62" i="3"/>
  <c r="M32" i="3" s="1"/>
  <c r="N62" i="3"/>
  <c r="N32" i="3" s="1"/>
  <c r="O62" i="3"/>
  <c r="O32" i="3" s="1"/>
  <c r="P62" i="3"/>
  <c r="Q62" i="3"/>
  <c r="Q32" i="3" s="1"/>
  <c r="R62" i="3"/>
  <c r="R32" i="3" s="1"/>
  <c r="S62" i="3"/>
  <c r="S32" i="3" s="1"/>
  <c r="T62" i="3"/>
  <c r="T32" i="3" s="1"/>
  <c r="U62" i="3"/>
  <c r="U32" i="3" s="1"/>
  <c r="V62" i="3"/>
  <c r="V32" i="3" s="1"/>
  <c r="W62" i="3"/>
  <c r="W32" i="3" s="1"/>
  <c r="X62" i="3"/>
  <c r="Y62" i="3"/>
  <c r="Y32" i="3" s="1"/>
  <c r="Z62" i="3"/>
  <c r="Z32" i="3" s="1"/>
  <c r="AA62" i="3"/>
  <c r="AA32" i="3" s="1"/>
  <c r="AB62" i="3"/>
  <c r="AB32" i="3" s="1"/>
  <c r="AC62" i="3"/>
  <c r="AC32" i="3" s="1"/>
  <c r="AD62" i="3"/>
  <c r="AD32" i="3" s="1"/>
  <c r="AE62" i="3"/>
  <c r="AE32" i="3" s="1"/>
  <c r="AF62" i="3"/>
  <c r="AG62" i="3"/>
  <c r="AH62" i="3"/>
  <c r="AH32" i="3" s="1"/>
  <c r="AI62" i="3"/>
  <c r="AI32" i="3" s="1"/>
  <c r="AJ62" i="3"/>
  <c r="AJ32" i="3" s="1"/>
  <c r="C71" i="3"/>
  <c r="D71" i="3"/>
  <c r="D55" i="3" s="1"/>
  <c r="D28" i="3" s="1"/>
  <c r="E71" i="3"/>
  <c r="E55" i="3" s="1"/>
  <c r="E28" i="3" s="1"/>
  <c r="F71" i="3"/>
  <c r="F55" i="3" s="1"/>
  <c r="F28" i="3" s="1"/>
  <c r="G71" i="3"/>
  <c r="G55" i="3" s="1"/>
  <c r="G28" i="3" s="1"/>
  <c r="H71" i="3"/>
  <c r="H55" i="3" s="1"/>
  <c r="H28" i="3" s="1"/>
  <c r="I71" i="3"/>
  <c r="J71" i="3"/>
  <c r="K71" i="3"/>
  <c r="K55" i="3" s="1"/>
  <c r="K28" i="3" s="1"/>
  <c r="L71" i="3"/>
  <c r="L55" i="3" s="1"/>
  <c r="L28" i="3" s="1"/>
  <c r="M71" i="3"/>
  <c r="M55" i="3" s="1"/>
  <c r="M28" i="3" s="1"/>
  <c r="N71" i="3"/>
  <c r="O71" i="3"/>
  <c r="P71" i="3"/>
  <c r="P55" i="3" s="1"/>
  <c r="P28" i="3" s="1"/>
  <c r="Q71" i="3"/>
  <c r="Q55" i="3" s="1"/>
  <c r="Q28" i="3" s="1"/>
  <c r="R71" i="3"/>
  <c r="S71" i="3"/>
  <c r="T71" i="3"/>
  <c r="T55" i="3" s="1"/>
  <c r="T28" i="3" s="1"/>
  <c r="U71" i="3"/>
  <c r="V71" i="3"/>
  <c r="V55" i="3" s="1"/>
  <c r="V28" i="3" s="1"/>
  <c r="W71" i="3"/>
  <c r="W55" i="3" s="1"/>
  <c r="W28" i="3" s="1"/>
  <c r="X71" i="3"/>
  <c r="X55" i="3" s="1"/>
  <c r="X28" i="3" s="1"/>
  <c r="Y71" i="3"/>
  <c r="Y55" i="3" s="1"/>
  <c r="Y28" i="3" s="1"/>
  <c r="Z71" i="3"/>
  <c r="AA71" i="3"/>
  <c r="AA55" i="3" s="1"/>
  <c r="AA28" i="3" s="1"/>
  <c r="AB71" i="3"/>
  <c r="AB55" i="3" s="1"/>
  <c r="AB28" i="3" s="1"/>
  <c r="AC71" i="3"/>
  <c r="AC55" i="3" s="1"/>
  <c r="AC28" i="3" s="1"/>
  <c r="AD71" i="3"/>
  <c r="AE71" i="3"/>
  <c r="AF71" i="3"/>
  <c r="AF55" i="3" s="1"/>
  <c r="AF28" i="3" s="1"/>
  <c r="AG71" i="3"/>
  <c r="AG55" i="3" s="1"/>
  <c r="AG28" i="3" s="1"/>
  <c r="AH71" i="3"/>
  <c r="AI71" i="3"/>
  <c r="AJ71" i="3"/>
  <c r="AJ55" i="3" s="1"/>
  <c r="AJ28" i="3" s="1"/>
  <c r="D25" i="3"/>
  <c r="E25" i="3"/>
  <c r="AO23" i="3" s="1"/>
  <c r="F25" i="3"/>
  <c r="AP23" i="3" s="1"/>
  <c r="G25" i="3"/>
  <c r="AQ23" i="3" s="1"/>
  <c r="H25" i="3"/>
  <c r="AR23" i="3" s="1"/>
  <c r="I25" i="3"/>
  <c r="AS23" i="3" s="1"/>
  <c r="J25" i="3"/>
  <c r="AT23" i="3" s="1"/>
  <c r="K25" i="3"/>
  <c r="AU23" i="3" s="1"/>
  <c r="L25" i="3"/>
  <c r="M25" i="3"/>
  <c r="AW23" i="3" s="1"/>
  <c r="N25" i="3"/>
  <c r="AX23" i="3" s="1"/>
  <c r="O25" i="3"/>
  <c r="AY23" i="3" s="1"/>
  <c r="P25" i="3"/>
  <c r="AZ23" i="3" s="1"/>
  <c r="Q25" i="3"/>
  <c r="BA23" i="3" s="1"/>
  <c r="R25" i="3"/>
  <c r="S25" i="3"/>
  <c r="BC23" i="3" s="1"/>
  <c r="T25" i="3"/>
  <c r="U25" i="3"/>
  <c r="BE23" i="3" s="1"/>
  <c r="V25" i="3"/>
  <c r="BF23" i="3" s="1"/>
  <c r="W25" i="3"/>
  <c r="BG23" i="3" s="1"/>
  <c r="X25" i="3"/>
  <c r="Y25" i="3"/>
  <c r="BI23" i="3" s="1"/>
  <c r="Z25" i="3"/>
  <c r="BJ23" i="3" s="1"/>
  <c r="AA25" i="3"/>
  <c r="BK23" i="3" s="1"/>
  <c r="AB25" i="3"/>
  <c r="BL23" i="3" s="1"/>
  <c r="AC25" i="3"/>
  <c r="BM23" i="3" s="1"/>
  <c r="AD25" i="3"/>
  <c r="BN23" i="3" s="1"/>
  <c r="AE25" i="3"/>
  <c r="AF25" i="3"/>
  <c r="BP23" i="3" s="1"/>
  <c r="AG25" i="3"/>
  <c r="BQ23" i="3" s="1"/>
  <c r="AH25" i="3"/>
  <c r="BR23" i="3" s="1"/>
  <c r="AI25" i="3"/>
  <c r="BS23" i="3" s="1"/>
  <c r="AJ25" i="3"/>
  <c r="BT23" i="3" s="1"/>
  <c r="D18" i="3"/>
  <c r="AN17" i="3" s="1"/>
  <c r="E18" i="3"/>
  <c r="AO17" i="3" s="1"/>
  <c r="F18" i="3"/>
  <c r="G18" i="3"/>
  <c r="AQ17" i="3" s="1"/>
  <c r="H18" i="3"/>
  <c r="I18" i="3"/>
  <c r="AS17" i="3" s="1"/>
  <c r="J18" i="3"/>
  <c r="AT17" i="3" s="1"/>
  <c r="K18" i="3"/>
  <c r="AU17" i="3" s="1"/>
  <c r="L18" i="3"/>
  <c r="AV17" i="3" s="1"/>
  <c r="M18" i="3"/>
  <c r="AW17" i="3" s="1"/>
  <c r="N18" i="3"/>
  <c r="AX17" i="3" s="1"/>
  <c r="O18" i="3"/>
  <c r="AY17" i="3" s="1"/>
  <c r="P18" i="3"/>
  <c r="AZ17" i="3" s="1"/>
  <c r="Q18" i="3"/>
  <c r="BA17" i="3" s="1"/>
  <c r="R18" i="3"/>
  <c r="BB17" i="3" s="1"/>
  <c r="S18" i="3"/>
  <c r="BC17" i="3" s="1"/>
  <c r="T18" i="3"/>
  <c r="BD17" i="3" s="1"/>
  <c r="U18" i="3"/>
  <c r="BE17" i="3" s="1"/>
  <c r="V18" i="3"/>
  <c r="BF17" i="3" s="1"/>
  <c r="W18" i="3"/>
  <c r="BG17" i="3" s="1"/>
  <c r="X18" i="3"/>
  <c r="Y18" i="3"/>
  <c r="BI17" i="3" s="1"/>
  <c r="Z18" i="3"/>
  <c r="AA18" i="3"/>
  <c r="BK17" i="3" s="1"/>
  <c r="AB18" i="3"/>
  <c r="BL17" i="3" s="1"/>
  <c r="AC18" i="3"/>
  <c r="BM17" i="3" s="1"/>
  <c r="AD18" i="3"/>
  <c r="BN17" i="3" s="1"/>
  <c r="AE18" i="3"/>
  <c r="BO17" i="3" s="1"/>
  <c r="AF18" i="3"/>
  <c r="BP17" i="3" s="1"/>
  <c r="AG18" i="3"/>
  <c r="BQ17" i="3" s="1"/>
  <c r="AH18" i="3"/>
  <c r="AI18" i="3"/>
  <c r="BS17" i="3" s="1"/>
  <c r="AJ18" i="3"/>
  <c r="BT17" i="3" s="1"/>
  <c r="H6" i="3"/>
  <c r="L6" i="3"/>
  <c r="P6" i="3"/>
  <c r="T6" i="3"/>
  <c r="X6" i="3"/>
  <c r="AB6" i="3"/>
  <c r="AF6" i="3"/>
  <c r="AJ6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D6" i="3"/>
  <c r="E6" i="3"/>
  <c r="F6" i="3"/>
  <c r="G6" i="3"/>
  <c r="I6" i="3"/>
  <c r="J6" i="3"/>
  <c r="K6" i="3"/>
  <c r="M6" i="3"/>
  <c r="N6" i="3"/>
  <c r="O6" i="3"/>
  <c r="Q6" i="3"/>
  <c r="R6" i="3"/>
  <c r="S6" i="3"/>
  <c r="U6" i="3"/>
  <c r="V6" i="3"/>
  <c r="W6" i="3"/>
  <c r="Y6" i="3"/>
  <c r="Z6" i="3"/>
  <c r="AA6" i="3"/>
  <c r="AC6" i="3"/>
  <c r="AD6" i="3"/>
  <c r="AE6" i="3"/>
  <c r="AG6" i="3"/>
  <c r="AH6" i="3"/>
  <c r="AI6" i="3"/>
  <c r="D7" i="3"/>
  <c r="AN6" i="3" s="1"/>
  <c r="E7" i="3"/>
  <c r="AO6" i="3" s="1"/>
  <c r="F7" i="3"/>
  <c r="AP6" i="3" s="1"/>
  <c r="AP5" i="3" s="1"/>
  <c r="G7" i="3"/>
  <c r="AQ6" i="3" s="1"/>
  <c r="H7" i="3"/>
  <c r="AR6" i="3" s="1"/>
  <c r="I7" i="3"/>
  <c r="AS6" i="3" s="1"/>
  <c r="AS5" i="3" s="1"/>
  <c r="J7" i="3"/>
  <c r="K7" i="3"/>
  <c r="AU6" i="3" s="1"/>
  <c r="L7" i="3"/>
  <c r="AV6" i="3" s="1"/>
  <c r="M7" i="3"/>
  <c r="AW6" i="3" s="1"/>
  <c r="AW5" i="3" s="1"/>
  <c r="N7" i="3"/>
  <c r="AX6" i="3" s="1"/>
  <c r="O7" i="3"/>
  <c r="AY6" i="3" s="1"/>
  <c r="P7" i="3"/>
  <c r="AZ6" i="3" s="1"/>
  <c r="Q7" i="3"/>
  <c r="BA6" i="3" s="1"/>
  <c r="BA5" i="3" s="1"/>
  <c r="R7" i="3"/>
  <c r="BB6" i="3" s="1"/>
  <c r="BB5" i="3" s="1"/>
  <c r="S7" i="3"/>
  <c r="T7" i="3"/>
  <c r="BD6" i="3" s="1"/>
  <c r="U7" i="3"/>
  <c r="BE6" i="3" s="1"/>
  <c r="V7" i="3"/>
  <c r="BF6" i="3" s="1"/>
  <c r="BF5" i="3" s="1"/>
  <c r="W7" i="3"/>
  <c r="BG6" i="3" s="1"/>
  <c r="X7" i="3"/>
  <c r="BH6" i="3" s="1"/>
  <c r="Y7" i="3"/>
  <c r="BI6" i="3" s="1"/>
  <c r="BI5" i="3" s="1"/>
  <c r="Z7" i="3"/>
  <c r="BJ6" i="3" s="1"/>
  <c r="AA7" i="3"/>
  <c r="BK6" i="3" s="1"/>
  <c r="AB7" i="3"/>
  <c r="BL6" i="3" s="1"/>
  <c r="BL5" i="3" s="1"/>
  <c r="AC7" i="3"/>
  <c r="BM6" i="3" s="1"/>
  <c r="AD7" i="3"/>
  <c r="BN6" i="3" s="1"/>
  <c r="AE7" i="3"/>
  <c r="BO6" i="3" s="1"/>
  <c r="AF7" i="3"/>
  <c r="BP6" i="3" s="1"/>
  <c r="AG7" i="3"/>
  <c r="BQ6" i="3" s="1"/>
  <c r="AH7" i="3"/>
  <c r="BR6" i="3" s="1"/>
  <c r="AI7" i="3"/>
  <c r="AJ7" i="3"/>
  <c r="D35" i="3"/>
  <c r="AN32" i="3" s="1"/>
  <c r="E35" i="3"/>
  <c r="AO32" i="3" s="1"/>
  <c r="F35" i="3"/>
  <c r="AP32" i="3" s="1"/>
  <c r="G35" i="3"/>
  <c r="AQ32" i="3" s="1"/>
  <c r="H35" i="3"/>
  <c r="AR32" i="3" s="1"/>
  <c r="I35" i="3"/>
  <c r="AS32" i="3" s="1"/>
  <c r="J35" i="3"/>
  <c r="AT32" i="3" s="1"/>
  <c r="K35" i="3"/>
  <c r="AU32" i="3" s="1"/>
  <c r="L35" i="3"/>
  <c r="AV32" i="3" s="1"/>
  <c r="M35" i="3"/>
  <c r="AW32" i="3" s="1"/>
  <c r="N35" i="3"/>
  <c r="AX32" i="3" s="1"/>
  <c r="O35" i="3"/>
  <c r="AY32" i="3" s="1"/>
  <c r="P35" i="3"/>
  <c r="AZ32" i="3" s="1"/>
  <c r="Q35" i="3"/>
  <c r="BA32" i="3" s="1"/>
  <c r="R35" i="3"/>
  <c r="BB32" i="3" s="1"/>
  <c r="S35" i="3"/>
  <c r="BC32" i="3" s="1"/>
  <c r="T35" i="3"/>
  <c r="BD32" i="3" s="1"/>
  <c r="U35" i="3"/>
  <c r="BE32" i="3" s="1"/>
  <c r="V35" i="3"/>
  <c r="BF32" i="3" s="1"/>
  <c r="W35" i="3"/>
  <c r="BG32" i="3" s="1"/>
  <c r="X35" i="3"/>
  <c r="BH32" i="3" s="1"/>
  <c r="Y35" i="3"/>
  <c r="BI32" i="3" s="1"/>
  <c r="Z35" i="3"/>
  <c r="BJ32" i="3" s="1"/>
  <c r="AA35" i="3"/>
  <c r="BK32" i="3" s="1"/>
  <c r="AB35" i="3"/>
  <c r="BL32" i="3" s="1"/>
  <c r="AC35" i="3"/>
  <c r="BM32" i="3" s="1"/>
  <c r="AD35" i="3"/>
  <c r="BN32" i="3" s="1"/>
  <c r="AE35" i="3"/>
  <c r="BO32" i="3" s="1"/>
  <c r="AF35" i="3"/>
  <c r="BP32" i="3" s="1"/>
  <c r="AG35" i="3"/>
  <c r="BQ32" i="3" s="1"/>
  <c r="AH35" i="3"/>
  <c r="BR32" i="3" s="1"/>
  <c r="AI35" i="3"/>
  <c r="BS32" i="3" s="1"/>
  <c r="AJ35" i="3"/>
  <c r="BT32" i="3" s="1"/>
  <c r="D31" i="3"/>
  <c r="AN28" i="3" s="1"/>
  <c r="E31" i="3"/>
  <c r="AO28" i="3" s="1"/>
  <c r="F31" i="3"/>
  <c r="AP28" i="3" s="1"/>
  <c r="G31" i="3"/>
  <c r="AQ28" i="3" s="1"/>
  <c r="H31" i="3"/>
  <c r="AR28" i="3" s="1"/>
  <c r="I31" i="3"/>
  <c r="AS28" i="3" s="1"/>
  <c r="J31" i="3"/>
  <c r="AT28" i="3" s="1"/>
  <c r="K31" i="3"/>
  <c r="AU28" i="3" s="1"/>
  <c r="L31" i="3"/>
  <c r="AV28" i="3" s="1"/>
  <c r="M31" i="3"/>
  <c r="AW28" i="3" s="1"/>
  <c r="N31" i="3"/>
  <c r="AX28" i="3" s="1"/>
  <c r="O31" i="3"/>
  <c r="AY28" i="3" s="1"/>
  <c r="P31" i="3"/>
  <c r="AZ28" i="3" s="1"/>
  <c r="Q31" i="3"/>
  <c r="BA28" i="3" s="1"/>
  <c r="R31" i="3"/>
  <c r="BB28" i="3" s="1"/>
  <c r="S31" i="3"/>
  <c r="T31" i="3"/>
  <c r="BD28" i="3" s="1"/>
  <c r="U31" i="3"/>
  <c r="BE28" i="3" s="1"/>
  <c r="V31" i="3"/>
  <c r="BF28" i="3" s="1"/>
  <c r="W31" i="3"/>
  <c r="BG28" i="3" s="1"/>
  <c r="X31" i="3"/>
  <c r="BH28" i="3" s="1"/>
  <c r="Y31" i="3"/>
  <c r="BI28" i="3" s="1"/>
  <c r="Z31" i="3"/>
  <c r="BJ28" i="3" s="1"/>
  <c r="AA31" i="3"/>
  <c r="BK28" i="3" s="1"/>
  <c r="AB31" i="3"/>
  <c r="BL28" i="3" s="1"/>
  <c r="AC31" i="3"/>
  <c r="BM28" i="3" s="1"/>
  <c r="AD31" i="3"/>
  <c r="BN28" i="3" s="1"/>
  <c r="AE31" i="3"/>
  <c r="BO28" i="3" s="1"/>
  <c r="AF31" i="3"/>
  <c r="BP28" i="3" s="1"/>
  <c r="AG31" i="3"/>
  <c r="BQ28" i="3" s="1"/>
  <c r="AH31" i="3"/>
  <c r="BR28" i="3" s="1"/>
  <c r="AI31" i="3"/>
  <c r="BS28" i="3" s="1"/>
  <c r="AJ31" i="3"/>
  <c r="BT28" i="3" s="1"/>
  <c r="D32" i="3"/>
  <c r="L32" i="3"/>
  <c r="P32" i="3"/>
  <c r="X32" i="3"/>
  <c r="AF32" i="3"/>
  <c r="AG32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AF42" i="3"/>
  <c r="AG42" i="3"/>
  <c r="AH42" i="3"/>
  <c r="AI42" i="3"/>
  <c r="AJ42" i="3"/>
  <c r="I55" i="3"/>
  <c r="I28" i="3" s="1"/>
  <c r="J55" i="3"/>
  <c r="J28" i="3" s="1"/>
  <c r="N55" i="3"/>
  <c r="N28" i="3" s="1"/>
  <c r="O55" i="3"/>
  <c r="O28" i="3" s="1"/>
  <c r="R55" i="3"/>
  <c r="R28" i="3" s="1"/>
  <c r="S55" i="3"/>
  <c r="S28" i="3" s="1"/>
  <c r="U55" i="3"/>
  <c r="U28" i="3" s="1"/>
  <c r="Z55" i="3"/>
  <c r="Z28" i="3" s="1"/>
  <c r="AD55" i="3"/>
  <c r="AD28" i="3" s="1"/>
  <c r="AE55" i="3"/>
  <c r="AE28" i="3" s="1"/>
  <c r="AH55" i="3"/>
  <c r="AH28" i="3" s="1"/>
  <c r="AI55" i="3"/>
  <c r="AI28" i="3" s="1"/>
  <c r="C62" i="3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T94" i="3"/>
  <c r="U94" i="3"/>
  <c r="V94" i="3"/>
  <c r="W94" i="3"/>
  <c r="X94" i="3"/>
  <c r="Y94" i="3"/>
  <c r="Z94" i="3"/>
  <c r="AA94" i="3"/>
  <c r="AB94" i="3"/>
  <c r="AC94" i="3"/>
  <c r="AD94" i="3"/>
  <c r="AE94" i="3"/>
  <c r="AF94" i="3"/>
  <c r="AG94" i="3"/>
  <c r="AH94" i="3"/>
  <c r="AI94" i="3"/>
  <c r="AJ94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T72" i="3"/>
  <c r="U72" i="3"/>
  <c r="V72" i="3"/>
  <c r="W72" i="3"/>
  <c r="X72" i="3"/>
  <c r="Y72" i="3"/>
  <c r="Z72" i="3"/>
  <c r="AA72" i="3"/>
  <c r="AB72" i="3"/>
  <c r="AC72" i="3"/>
  <c r="AD72" i="3"/>
  <c r="AE72" i="3"/>
  <c r="AF72" i="3"/>
  <c r="AG72" i="3"/>
  <c r="AH72" i="3"/>
  <c r="AI72" i="3"/>
  <c r="AJ72" i="3"/>
  <c r="AJ73" i="3"/>
  <c r="AI73" i="3"/>
  <c r="AH73" i="3"/>
  <c r="AG73" i="3"/>
  <c r="AF73" i="3"/>
  <c r="AE73" i="3"/>
  <c r="AD73" i="3"/>
  <c r="AC73" i="3"/>
  <c r="AB73" i="3"/>
  <c r="AA73" i="3"/>
  <c r="Z73" i="3"/>
  <c r="Y73" i="3"/>
  <c r="X73" i="3"/>
  <c r="W73" i="3"/>
  <c r="V73" i="3"/>
  <c r="U73" i="3"/>
  <c r="T73" i="3"/>
  <c r="S73" i="3"/>
  <c r="R73" i="3"/>
  <c r="Q73" i="3"/>
  <c r="P73" i="3"/>
  <c r="O73" i="3"/>
  <c r="N73" i="3"/>
  <c r="M73" i="3"/>
  <c r="L73" i="3"/>
  <c r="K73" i="3"/>
  <c r="J73" i="3"/>
  <c r="I73" i="3"/>
  <c r="H73" i="3"/>
  <c r="G73" i="3"/>
  <c r="F73" i="3"/>
  <c r="E73" i="3"/>
  <c r="D73" i="3"/>
  <c r="C73" i="3"/>
  <c r="AJ80" i="3"/>
  <c r="AI80" i="3"/>
  <c r="AH80" i="3"/>
  <c r="AG80" i="3"/>
  <c r="AF80" i="3"/>
  <c r="AE80" i="3"/>
  <c r="AD80" i="3"/>
  <c r="AC80" i="3"/>
  <c r="AB80" i="3"/>
  <c r="AA80" i="3"/>
  <c r="Z80" i="3"/>
  <c r="Y80" i="3"/>
  <c r="X80" i="3"/>
  <c r="W80" i="3"/>
  <c r="V80" i="3"/>
  <c r="U80" i="3"/>
  <c r="T80" i="3"/>
  <c r="S80" i="3"/>
  <c r="R80" i="3"/>
  <c r="Q80" i="3"/>
  <c r="P80" i="3"/>
  <c r="O80" i="3"/>
  <c r="N80" i="3"/>
  <c r="M80" i="3"/>
  <c r="L80" i="3"/>
  <c r="K80" i="3"/>
  <c r="J80" i="3"/>
  <c r="I80" i="3"/>
  <c r="H80" i="3"/>
  <c r="G80" i="3"/>
  <c r="F80" i="3"/>
  <c r="E80" i="3"/>
  <c r="D80" i="3"/>
  <c r="C80" i="3"/>
  <c r="AJ87" i="3"/>
  <c r="AI87" i="3"/>
  <c r="AH87" i="3"/>
  <c r="AG87" i="3"/>
  <c r="AF87" i="3"/>
  <c r="AE87" i="3"/>
  <c r="AD87" i="3"/>
  <c r="AC87" i="3"/>
  <c r="AB87" i="3"/>
  <c r="AA87" i="3"/>
  <c r="Z87" i="3"/>
  <c r="Y87" i="3"/>
  <c r="X87" i="3"/>
  <c r="W87" i="3"/>
  <c r="V87" i="3"/>
  <c r="U87" i="3"/>
  <c r="T87" i="3"/>
  <c r="S87" i="3"/>
  <c r="R87" i="3"/>
  <c r="Q87" i="3"/>
  <c r="P87" i="3"/>
  <c r="O87" i="3"/>
  <c r="N87" i="3"/>
  <c r="M87" i="3"/>
  <c r="L87" i="3"/>
  <c r="K87" i="3"/>
  <c r="J87" i="3"/>
  <c r="I87" i="3"/>
  <c r="H87" i="3"/>
  <c r="G87" i="3"/>
  <c r="F87" i="3"/>
  <c r="E87" i="3"/>
  <c r="D87" i="3"/>
  <c r="C87" i="3"/>
  <c r="AJ95" i="3"/>
  <c r="AI95" i="3"/>
  <c r="AH95" i="3"/>
  <c r="AG95" i="3"/>
  <c r="AF95" i="3"/>
  <c r="AE95" i="3"/>
  <c r="AD95" i="3"/>
  <c r="AC95" i="3"/>
  <c r="AB95" i="3"/>
  <c r="AA95" i="3"/>
  <c r="Z95" i="3"/>
  <c r="Y95" i="3"/>
  <c r="X95" i="3"/>
  <c r="W95" i="3"/>
  <c r="V95" i="3"/>
  <c r="U95" i="3"/>
  <c r="T95" i="3"/>
  <c r="S95" i="3"/>
  <c r="R95" i="3"/>
  <c r="Q95" i="3"/>
  <c r="P95" i="3"/>
  <c r="O95" i="3"/>
  <c r="N95" i="3"/>
  <c r="M95" i="3"/>
  <c r="L95" i="3"/>
  <c r="K95" i="3"/>
  <c r="J95" i="3"/>
  <c r="I95" i="3"/>
  <c r="H95" i="3"/>
  <c r="G95" i="3"/>
  <c r="F95" i="3"/>
  <c r="E95" i="3"/>
  <c r="D95" i="3"/>
  <c r="C95" i="3"/>
  <c r="AJ102" i="3"/>
  <c r="AI102" i="3"/>
  <c r="AH102" i="3"/>
  <c r="AG102" i="3"/>
  <c r="AF102" i="3"/>
  <c r="AE102" i="3"/>
  <c r="AD102" i="3"/>
  <c r="AC102" i="3"/>
  <c r="AB102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J102" i="3"/>
  <c r="I102" i="3"/>
  <c r="H102" i="3"/>
  <c r="G102" i="3"/>
  <c r="F102" i="3"/>
  <c r="E102" i="3"/>
  <c r="D102" i="3"/>
  <c r="C102" i="3"/>
  <c r="D109" i="3"/>
  <c r="E109" i="3"/>
  <c r="F109" i="3"/>
  <c r="G109" i="3"/>
  <c r="H109" i="3"/>
  <c r="I109" i="3"/>
  <c r="J109" i="3"/>
  <c r="K109" i="3"/>
  <c r="L109" i="3"/>
  <c r="M109" i="3"/>
  <c r="N109" i="3"/>
  <c r="O109" i="3"/>
  <c r="P109" i="3"/>
  <c r="Q109" i="3"/>
  <c r="R109" i="3"/>
  <c r="S109" i="3"/>
  <c r="T109" i="3"/>
  <c r="U109" i="3"/>
  <c r="V109" i="3"/>
  <c r="W109" i="3"/>
  <c r="X109" i="3"/>
  <c r="Y109" i="3"/>
  <c r="Z109" i="3"/>
  <c r="AA109" i="3"/>
  <c r="AB109" i="3"/>
  <c r="AC109" i="3"/>
  <c r="AD109" i="3"/>
  <c r="AE109" i="3"/>
  <c r="AF109" i="3"/>
  <c r="AG109" i="3"/>
  <c r="AH109" i="3"/>
  <c r="AI109" i="3"/>
  <c r="AJ109" i="3"/>
  <c r="C18" i="3"/>
  <c r="C5" i="3"/>
  <c r="C56" i="3"/>
  <c r="C57" i="3"/>
  <c r="AM56" i="3" s="1"/>
  <c r="C63" i="3"/>
  <c r="C64" i="3"/>
  <c r="AM63" i="3" s="1"/>
  <c r="C109" i="3"/>
  <c r="C94" i="3"/>
  <c r="C72" i="3"/>
  <c r="C47" i="3"/>
  <c r="C42" i="3"/>
  <c r="C35" i="3"/>
  <c r="AM32" i="3" s="1"/>
  <c r="C31" i="3"/>
  <c r="AM28" i="3" s="1"/>
  <c r="C6" i="3"/>
  <c r="C7" i="3"/>
  <c r="AM6" i="3" s="1"/>
  <c r="C25" i="3"/>
  <c r="AM23" i="3" s="1"/>
  <c r="BR62" i="3" l="1"/>
  <c r="BN62" i="3"/>
  <c r="BB62" i="3"/>
  <c r="AX62" i="3"/>
  <c r="AT62" i="3"/>
  <c r="AP62" i="3"/>
  <c r="BL55" i="3"/>
  <c r="BA62" i="3"/>
  <c r="AW62" i="3"/>
  <c r="BQ62" i="3"/>
  <c r="AO62" i="3"/>
  <c r="BO62" i="3"/>
  <c r="BL62" i="3"/>
  <c r="BK62" i="3"/>
  <c r="BE63" i="3"/>
  <c r="BE62" i="3" s="1"/>
  <c r="AT56" i="3"/>
  <c r="AT55" i="3" s="1"/>
  <c r="AS56" i="3"/>
  <c r="AS55" i="3" s="1"/>
  <c r="AU56" i="3"/>
  <c r="AU55" i="3" s="1"/>
  <c r="BN56" i="3"/>
  <c r="BN55" i="3" s="1"/>
  <c r="AM62" i="3"/>
  <c r="BK56" i="3"/>
  <c r="BK55" i="3" s="1"/>
  <c r="AS62" i="3"/>
  <c r="BT56" i="3"/>
  <c r="BT55" i="3" s="1"/>
  <c r="AR56" i="3"/>
  <c r="AR55" i="3" s="1"/>
  <c r="BS56" i="3"/>
  <c r="BS55" i="3" s="1"/>
  <c r="AQ56" i="3"/>
  <c r="AQ55" i="3" s="1"/>
  <c r="BR56" i="3"/>
  <c r="BR55" i="3" s="1"/>
  <c r="AP56" i="3"/>
  <c r="AP55" i="3" s="1"/>
  <c r="BQ56" i="3"/>
  <c r="BQ55" i="3" s="1"/>
  <c r="AO56" i="3"/>
  <c r="AO55" i="3" s="1"/>
  <c r="BP56" i="3"/>
  <c r="BP55" i="3" s="1"/>
  <c r="AN56" i="3"/>
  <c r="AN55" i="3" s="1"/>
  <c r="BO56" i="3"/>
  <c r="BO55" i="3" s="1"/>
  <c r="BJ56" i="3"/>
  <c r="BJ55" i="3" s="1"/>
  <c r="BT63" i="3"/>
  <c r="BI56" i="3"/>
  <c r="BI55" i="3" s="1"/>
  <c r="BS63" i="3"/>
  <c r="BS62" i="3" s="1"/>
  <c r="AQ63" i="3"/>
  <c r="AQ62" i="3" s="1"/>
  <c r="BH56" i="3"/>
  <c r="BH55" i="3" s="1"/>
  <c r="BG56" i="3"/>
  <c r="BG55" i="3" s="1"/>
  <c r="BE56" i="3"/>
  <c r="BE55" i="3" s="1"/>
  <c r="BD56" i="3"/>
  <c r="BD55" i="3" s="1"/>
  <c r="BC56" i="3"/>
  <c r="BC55" i="3" s="1"/>
  <c r="BM63" i="3"/>
  <c r="BM62" i="3" s="1"/>
  <c r="BB56" i="3"/>
  <c r="BB55" i="3" s="1"/>
  <c r="BA56" i="3"/>
  <c r="BA55" i="3" s="1"/>
  <c r="AZ56" i="3"/>
  <c r="AZ55" i="3" s="1"/>
  <c r="BJ62" i="3"/>
  <c r="AY56" i="3"/>
  <c r="AY55" i="3" s="1"/>
  <c r="BI62" i="3"/>
  <c r="BF56" i="3"/>
  <c r="BF55" i="3" s="1"/>
  <c r="AX56" i="3"/>
  <c r="AX55" i="3" s="1"/>
  <c r="BH62" i="3"/>
  <c r="AW56" i="3"/>
  <c r="AW55" i="3" s="1"/>
  <c r="BG62" i="3"/>
  <c r="AV56" i="3"/>
  <c r="AV55" i="3" s="1"/>
  <c r="BF62" i="3"/>
  <c r="BH5" i="3"/>
  <c r="AV23" i="3"/>
  <c r="AX5" i="3"/>
  <c r="BD23" i="3"/>
  <c r="BD5" i="3"/>
  <c r="AP17" i="3"/>
  <c r="AZ5" i="3"/>
  <c r="AN23" i="3"/>
  <c r="BJ17" i="3"/>
  <c r="AV5" i="3"/>
  <c r="BH17" i="3"/>
  <c r="AR5" i="3"/>
  <c r="BR5" i="3"/>
  <c r="BQ5" i="3"/>
  <c r="BP5" i="3"/>
  <c r="BP4" i="3" s="1"/>
  <c r="AN5" i="3"/>
  <c r="BH23" i="3"/>
  <c r="BN5" i="3"/>
  <c r="BM5" i="3"/>
  <c r="BM4" i="3" s="1"/>
  <c r="BA4" i="3"/>
  <c r="AZ4" i="3"/>
  <c r="AZ26" i="3" s="1"/>
  <c r="BS6" i="3"/>
  <c r="BS5" i="3" s="1"/>
  <c r="BO5" i="3"/>
  <c r="BK5" i="3"/>
  <c r="BG5" i="3"/>
  <c r="BC6" i="3"/>
  <c r="BC5" i="3" s="1"/>
  <c r="AY5" i="3"/>
  <c r="AU5" i="3"/>
  <c r="AQ5" i="3"/>
  <c r="AQ4" i="3" s="1"/>
  <c r="BR17" i="3"/>
  <c r="BO23" i="3"/>
  <c r="BJ5" i="3"/>
  <c r="BJ4" i="3" s="1"/>
  <c r="AT6" i="3"/>
  <c r="AT5" i="3" s="1"/>
  <c r="AP4" i="3"/>
  <c r="AS4" i="3"/>
  <c r="BB23" i="3"/>
  <c r="BT6" i="3"/>
  <c r="BT5" i="3" s="1"/>
  <c r="BE5" i="3"/>
  <c r="BE4" i="3" s="1"/>
  <c r="AO5" i="3"/>
  <c r="BL4" i="3"/>
  <c r="BH4" i="3"/>
  <c r="BD4" i="3"/>
  <c r="AV4" i="3"/>
  <c r="AR17" i="3"/>
  <c r="AR4" i="3" s="1"/>
  <c r="AA323" i="8"/>
  <c r="AI274" i="8"/>
  <c r="G274" i="8"/>
  <c r="AI272" i="8"/>
  <c r="G272" i="8"/>
  <c r="W268" i="8"/>
  <c r="W383" i="8" s="1"/>
  <c r="L251" i="8"/>
  <c r="AB245" i="8"/>
  <c r="AB360" i="8" s="1"/>
  <c r="AJ248" i="8"/>
  <c r="H248" i="8"/>
  <c r="AI340" i="8"/>
  <c r="G324" i="8"/>
  <c r="G329" i="8" s="1"/>
  <c r="R323" i="8"/>
  <c r="K323" i="8"/>
  <c r="AJ301" i="8"/>
  <c r="AJ309" i="8" s="1"/>
  <c r="AJ313" i="8" s="1"/>
  <c r="M301" i="8"/>
  <c r="M316" i="8" s="1"/>
  <c r="Z274" i="8"/>
  <c r="S274" i="8"/>
  <c r="K274" i="8"/>
  <c r="AA272" i="8"/>
  <c r="S272" i="8"/>
  <c r="O268" i="8"/>
  <c r="O383" i="8" s="1"/>
  <c r="G268" i="8"/>
  <c r="G383" i="8" s="1"/>
  <c r="T254" i="8"/>
  <c r="L250" i="8"/>
  <c r="AH247" i="8"/>
  <c r="AH251" i="8" s="1"/>
  <c r="N247" i="8"/>
  <c r="N249" i="8" s="1"/>
  <c r="D248" i="8"/>
  <c r="T338" i="8"/>
  <c r="T342" i="8" s="1"/>
  <c r="S323" i="8"/>
  <c r="AA274" i="8"/>
  <c r="AE268" i="8"/>
  <c r="AE383" i="8" s="1"/>
  <c r="AJ339" i="8"/>
  <c r="D338" i="8"/>
  <c r="D342" i="8" s="1"/>
  <c r="AE323" i="8"/>
  <c r="W323" i="8"/>
  <c r="AC301" i="8"/>
  <c r="H301" i="8"/>
  <c r="H309" i="8" s="1"/>
  <c r="H313" i="8" s="1"/>
  <c r="AE274" i="8"/>
  <c r="J274" i="8"/>
  <c r="N273" i="8"/>
  <c r="AE272" i="8"/>
  <c r="K272" i="8"/>
  <c r="AH268" i="8"/>
  <c r="AH383" i="8" s="1"/>
  <c r="AA268" i="8"/>
  <c r="AA383" i="8" s="1"/>
  <c r="S268" i="8"/>
  <c r="S383" i="8" s="1"/>
  <c r="V253" i="8"/>
  <c r="V254" i="8" s="1"/>
  <c r="J253" i="8"/>
  <c r="J254" i="8" s="1"/>
  <c r="AB251" i="8"/>
  <c r="H242" i="8"/>
  <c r="H357" i="8" s="1"/>
  <c r="T382" i="8"/>
  <c r="H339" i="8"/>
  <c r="V323" i="8"/>
  <c r="F323" i="8"/>
  <c r="AH301" i="8"/>
  <c r="AH302" i="8" s="1"/>
  <c r="AH306" i="8" s="1"/>
  <c r="AB301" i="8"/>
  <c r="AB309" i="8" s="1"/>
  <c r="AB313" i="8" s="1"/>
  <c r="T301" i="8"/>
  <c r="T309" i="8" s="1"/>
  <c r="T313" i="8" s="1"/>
  <c r="F301" i="8"/>
  <c r="AD274" i="8"/>
  <c r="N274" i="8"/>
  <c r="F273" i="8"/>
  <c r="AH272" i="8"/>
  <c r="R272" i="8"/>
  <c r="AH269" i="8"/>
  <c r="AH384" i="8" s="1"/>
  <c r="Z269" i="8"/>
  <c r="Z384" i="8" s="1"/>
  <c r="R269" i="8"/>
  <c r="R384" i="8" s="1"/>
  <c r="R382" i="8" s="1"/>
  <c r="J269" i="8"/>
  <c r="J384" i="8" s="1"/>
  <c r="V268" i="8"/>
  <c r="V383" i="8" s="1"/>
  <c r="F268" i="8"/>
  <c r="F383" i="8" s="1"/>
  <c r="F382" i="8" s="1"/>
  <c r="D251" i="8"/>
  <c r="L249" i="8"/>
  <c r="L248" i="8"/>
  <c r="AJ246" i="8"/>
  <c r="AJ361" i="8" s="1"/>
  <c r="AE258" i="8"/>
  <c r="AE260" i="8" s="1"/>
  <c r="AE375" i="8" s="1"/>
  <c r="AH338" i="8"/>
  <c r="AH341" i="8" s="1"/>
  <c r="G338" i="8"/>
  <c r="G331" i="8"/>
  <c r="W324" i="8"/>
  <c r="W325" i="8" s="1"/>
  <c r="Z323" i="8"/>
  <c r="J323" i="8"/>
  <c r="AF301" i="8"/>
  <c r="AF309" i="8" s="1"/>
  <c r="AF313" i="8" s="1"/>
  <c r="Z301" i="8"/>
  <c r="Z302" i="8" s="1"/>
  <c r="Z306" i="8" s="1"/>
  <c r="R301" i="8"/>
  <c r="R316" i="8" s="1"/>
  <c r="R317" i="8" s="1"/>
  <c r="L301" i="8"/>
  <c r="L309" i="8" s="1"/>
  <c r="L313" i="8" s="1"/>
  <c r="D301" i="8"/>
  <c r="D309" i="8" s="1"/>
  <c r="D313" i="8" s="1"/>
  <c r="AH274" i="8"/>
  <c r="R274" i="8"/>
  <c r="Z273" i="8"/>
  <c r="R273" i="8"/>
  <c r="J273" i="8"/>
  <c r="V272" i="8"/>
  <c r="F272" i="8"/>
  <c r="Z268" i="8"/>
  <c r="Z383" i="8" s="1"/>
  <c r="J268" i="8"/>
  <c r="J383" i="8" s="1"/>
  <c r="F253" i="8"/>
  <c r="F254" i="8" s="1"/>
  <c r="D249" i="8"/>
  <c r="V245" i="8"/>
  <c r="V360" i="8" s="1"/>
  <c r="F244" i="8"/>
  <c r="F359" i="8" s="1"/>
  <c r="D382" i="8"/>
  <c r="AJ342" i="8"/>
  <c r="R324" i="8"/>
  <c r="R328" i="8" s="1"/>
  <c r="AD323" i="8"/>
  <c r="AD292" i="8" s="1"/>
  <c r="N323" i="8"/>
  <c r="AD301" i="8"/>
  <c r="AD316" i="8" s="1"/>
  <c r="AD320" i="8" s="1"/>
  <c r="X301" i="8"/>
  <c r="X309" i="8" s="1"/>
  <c r="X313" i="8" s="1"/>
  <c r="P301" i="8"/>
  <c r="P309" i="8" s="1"/>
  <c r="P313" i="8" s="1"/>
  <c r="J301" i="8"/>
  <c r="V274" i="8"/>
  <c r="F274" i="8"/>
  <c r="Z272" i="8"/>
  <c r="AD269" i="8"/>
  <c r="AD384" i="8" s="1"/>
  <c r="V269" i="8"/>
  <c r="V384" i="8" s="1"/>
  <c r="N269" i="8"/>
  <c r="N384" i="8" s="1"/>
  <c r="AD268" i="8"/>
  <c r="AD383" i="8" s="1"/>
  <c r="N268" i="8"/>
  <c r="N383" i="8" s="1"/>
  <c r="D252" i="8"/>
  <c r="D250" i="8"/>
  <c r="AJ243" i="8"/>
  <c r="AJ358" i="8" s="1"/>
  <c r="L332" i="8"/>
  <c r="L336" i="8"/>
  <c r="L335" i="8"/>
  <c r="D339" i="8"/>
  <c r="D341" i="8"/>
  <c r="AB324" i="8"/>
  <c r="AB331" i="8"/>
  <c r="AB334" i="8" s="1"/>
  <c r="Y263" i="8"/>
  <c r="Y378" i="8" s="1"/>
  <c r="Y265" i="8"/>
  <c r="Y380" i="8" s="1"/>
  <c r="M249" i="8"/>
  <c r="M252" i="8"/>
  <c r="H382" i="8"/>
  <c r="AJ341" i="8"/>
  <c r="AF332" i="8"/>
  <c r="AF337" i="8"/>
  <c r="AF335" i="8"/>
  <c r="H343" i="8"/>
  <c r="H341" i="8"/>
  <c r="L338" i="8"/>
  <c r="T332" i="8"/>
  <c r="T337" i="8"/>
  <c r="T334" i="8"/>
  <c r="D332" i="8"/>
  <c r="D335" i="8"/>
  <c r="D336" i="8"/>
  <c r="D334" i="8"/>
  <c r="D337" i="8"/>
  <c r="X248" i="8"/>
  <c r="X249" i="8"/>
  <c r="X251" i="8"/>
  <c r="AK269" i="8"/>
  <c r="AK384" i="8" s="1"/>
  <c r="AK273" i="8"/>
  <c r="AK323" i="8"/>
  <c r="AK324" i="8" s="1"/>
  <c r="AK253" i="8"/>
  <c r="AK254" i="8" s="1"/>
  <c r="AK301" i="8"/>
  <c r="AK247" i="8"/>
  <c r="AK249" i="8" s="1"/>
  <c r="AK268" i="8"/>
  <c r="AK383" i="8" s="1"/>
  <c r="AK272" i="8"/>
  <c r="AK274" i="8"/>
  <c r="AG323" i="8"/>
  <c r="AG269" i="8"/>
  <c r="AG384" i="8" s="1"/>
  <c r="AG273" i="8"/>
  <c r="AG262" i="8"/>
  <c r="AG265" i="8" s="1"/>
  <c r="AG380" i="8" s="1"/>
  <c r="AG268" i="8"/>
  <c r="AG383" i="8" s="1"/>
  <c r="AG272" i="8"/>
  <c r="AG274" i="8"/>
  <c r="AG301" i="8"/>
  <c r="Y247" i="8"/>
  <c r="Y253" i="8"/>
  <c r="Y301" i="8"/>
  <c r="Y285" i="8" s="1"/>
  <c r="Y323" i="8"/>
  <c r="Y268" i="8"/>
  <c r="Y383" i="8" s="1"/>
  <c r="Y272" i="8"/>
  <c r="Y274" i="8"/>
  <c r="U269" i="8"/>
  <c r="U384" i="8" s="1"/>
  <c r="U273" i="8"/>
  <c r="U323" i="8"/>
  <c r="U262" i="8"/>
  <c r="U265" i="8" s="1"/>
  <c r="U380" i="8" s="1"/>
  <c r="U301" i="8"/>
  <c r="U235" i="8"/>
  <c r="U247" i="8"/>
  <c r="U249" i="8" s="1"/>
  <c r="U253" i="8"/>
  <c r="U254" i="8" s="1"/>
  <c r="U268" i="8"/>
  <c r="U383" i="8" s="1"/>
  <c r="U272" i="8"/>
  <c r="U274" i="8"/>
  <c r="Q253" i="8"/>
  <c r="Q255" i="8" s="1"/>
  <c r="Q262" i="8"/>
  <c r="Q265" i="8" s="1"/>
  <c r="Q380" i="8" s="1"/>
  <c r="Q323" i="8"/>
  <c r="Q247" i="8"/>
  <c r="Q248" i="8" s="1"/>
  <c r="Q269" i="8"/>
  <c r="Q384" i="8" s="1"/>
  <c r="Q273" i="8"/>
  <c r="Q268" i="8"/>
  <c r="Q383" i="8" s="1"/>
  <c r="Q272" i="8"/>
  <c r="Q274" i="8"/>
  <c r="Q301" i="8"/>
  <c r="M323" i="8"/>
  <c r="M324" i="8" s="1"/>
  <c r="M253" i="8"/>
  <c r="M268" i="8"/>
  <c r="M383" i="8" s="1"/>
  <c r="M269" i="8"/>
  <c r="M384" i="8" s="1"/>
  <c r="M272" i="8"/>
  <c r="M273" i="8"/>
  <c r="M274" i="8"/>
  <c r="I301" i="8"/>
  <c r="I323" i="8"/>
  <c r="I247" i="8"/>
  <c r="I252" i="8" s="1"/>
  <c r="I262" i="8"/>
  <c r="I263" i="8" s="1"/>
  <c r="I378" i="8" s="1"/>
  <c r="I268" i="8"/>
  <c r="I383" i="8" s="1"/>
  <c r="I382" i="8" s="1"/>
  <c r="I272" i="8"/>
  <c r="I274" i="8"/>
  <c r="E262" i="8"/>
  <c r="E263" i="8" s="1"/>
  <c r="E378" i="8" s="1"/>
  <c r="E269" i="8"/>
  <c r="E384" i="8" s="1"/>
  <c r="E273" i="8"/>
  <c r="E323" i="8"/>
  <c r="E324" i="8" s="1"/>
  <c r="E235" i="8"/>
  <c r="E242" i="8" s="1"/>
  <c r="E357" i="8" s="1"/>
  <c r="E253" i="8"/>
  <c r="E254" i="8" s="1"/>
  <c r="E301" i="8"/>
  <c r="E316" i="8" s="1"/>
  <c r="E268" i="8"/>
  <c r="E383" i="8" s="1"/>
  <c r="E272" i="8"/>
  <c r="E274" i="8"/>
  <c r="AJ382" i="8"/>
  <c r="T339" i="8"/>
  <c r="T341" i="8"/>
  <c r="AG250" i="8"/>
  <c r="AG249" i="8"/>
  <c r="X382" i="8"/>
  <c r="AJ344" i="8"/>
  <c r="T344" i="8"/>
  <c r="D344" i="8"/>
  <c r="T343" i="8"/>
  <c r="I255" i="8"/>
  <c r="I254" i="8"/>
  <c r="AB338" i="8"/>
  <c r="AF336" i="8"/>
  <c r="AJ333" i="8"/>
  <c r="AJ336" i="8"/>
  <c r="AJ337" i="8"/>
  <c r="AC262" i="8"/>
  <c r="AC264" i="8" s="1"/>
  <c r="AC379" i="8" s="1"/>
  <c r="AC323" i="8"/>
  <c r="AC235" i="8"/>
  <c r="AC242" i="8" s="1"/>
  <c r="AC357" i="8" s="1"/>
  <c r="AC253" i="8"/>
  <c r="AC254" i="8" s="1"/>
  <c r="AC258" i="8"/>
  <c r="AC259" i="8" s="1"/>
  <c r="AC374" i="8" s="1"/>
  <c r="AC247" i="8"/>
  <c r="AC268" i="8"/>
  <c r="AC383" i="8" s="1"/>
  <c r="AC269" i="8"/>
  <c r="AC384" i="8" s="1"/>
  <c r="AC272" i="8"/>
  <c r="AC273" i="8"/>
  <c r="AC274" i="8"/>
  <c r="AJ343" i="8"/>
  <c r="D343" i="8"/>
  <c r="AJ340" i="8"/>
  <c r="T340" i="8"/>
  <c r="D340" i="8"/>
  <c r="AF338" i="8"/>
  <c r="P338" i="8"/>
  <c r="AF334" i="8"/>
  <c r="X324" i="8"/>
  <c r="X329" i="8" s="1"/>
  <c r="X331" i="8"/>
  <c r="X332" i="8" s="1"/>
  <c r="Y273" i="8"/>
  <c r="Y269" i="8"/>
  <c r="Y384" i="8" s="1"/>
  <c r="Y264" i="8"/>
  <c r="Y379" i="8" s="1"/>
  <c r="X250" i="8"/>
  <c r="E247" i="8"/>
  <c r="M235" i="8"/>
  <c r="M241" i="8" s="1"/>
  <c r="M356" i="8" s="1"/>
  <c r="AK258" i="8"/>
  <c r="AK261" i="8" s="1"/>
  <c r="AK376" i="8" s="1"/>
  <c r="AG258" i="8"/>
  <c r="AG259" i="8" s="1"/>
  <c r="AG374" i="8" s="1"/>
  <c r="Y258" i="8"/>
  <c r="U258" i="8"/>
  <c r="U260" i="8" s="1"/>
  <c r="U375" i="8" s="1"/>
  <c r="Q258" i="8"/>
  <c r="Q259" i="8" s="1"/>
  <c r="Q374" i="8" s="1"/>
  <c r="M258" i="8"/>
  <c r="M259" i="8" s="1"/>
  <c r="M374" i="8" s="1"/>
  <c r="I258" i="8"/>
  <c r="E258" i="8"/>
  <c r="E260" i="8" s="1"/>
  <c r="E375" i="8" s="1"/>
  <c r="AG235" i="8"/>
  <c r="Y235" i="8"/>
  <c r="Y243" i="8" s="1"/>
  <c r="Y358" i="8" s="1"/>
  <c r="Q235" i="8"/>
  <c r="I235" i="8"/>
  <c r="I246" i="8" s="1"/>
  <c r="I361" i="8" s="1"/>
  <c r="AB382" i="8"/>
  <c r="L382" i="8"/>
  <c r="H332" i="8"/>
  <c r="H334" i="8"/>
  <c r="H335" i="8"/>
  <c r="H337" i="8"/>
  <c r="AF382" i="8"/>
  <c r="P382" i="8"/>
  <c r="Z254" i="8"/>
  <c r="Z255" i="8"/>
  <c r="R251" i="8"/>
  <c r="R249" i="8"/>
  <c r="AB337" i="8"/>
  <c r="P337" i="8"/>
  <c r="AH335" i="8"/>
  <c r="AH334" i="8"/>
  <c r="AH332" i="8"/>
  <c r="AH324" i="8"/>
  <c r="AH327" i="8" s="1"/>
  <c r="AG263" i="8"/>
  <c r="AG378" i="8" s="1"/>
  <c r="AG264" i="8"/>
  <c r="AG379" i="8" s="1"/>
  <c r="M265" i="8"/>
  <c r="M380" i="8" s="1"/>
  <c r="M264" i="8"/>
  <c r="M379" i="8" s="1"/>
  <c r="AJ254" i="8"/>
  <c r="D254" i="8"/>
  <c r="F255" i="8"/>
  <c r="H252" i="8"/>
  <c r="N251" i="8"/>
  <c r="AB250" i="8"/>
  <c r="AD247" i="8"/>
  <c r="AD250" i="8" s="1"/>
  <c r="X246" i="8"/>
  <c r="X361" i="8" s="1"/>
  <c r="AD245" i="8"/>
  <c r="AD360" i="8" s="1"/>
  <c r="X244" i="8"/>
  <c r="X359" i="8" s="1"/>
  <c r="N244" i="8"/>
  <c r="N359" i="8" s="1"/>
  <c r="AD243" i="8"/>
  <c r="AD358" i="8" s="1"/>
  <c r="D243" i="8"/>
  <c r="D358" i="8" s="1"/>
  <c r="AD242" i="8"/>
  <c r="AD357" i="8" s="1"/>
  <c r="D242" i="8"/>
  <c r="D357" i="8" s="1"/>
  <c r="AJ240" i="8"/>
  <c r="AJ355" i="8" s="1"/>
  <c r="N240" i="8"/>
  <c r="N355" i="8" s="1"/>
  <c r="AD236" i="8"/>
  <c r="AD238" i="8" s="1"/>
  <c r="AD353" i="8" s="1"/>
  <c r="T243" i="8"/>
  <c r="T358" i="8" s="1"/>
  <c r="T246" i="8"/>
  <c r="T361" i="8" s="1"/>
  <c r="AF248" i="8"/>
  <c r="AF249" i="8"/>
  <c r="P248" i="8"/>
  <c r="P250" i="8"/>
  <c r="P251" i="8"/>
  <c r="V258" i="8"/>
  <c r="V259" i="8" s="1"/>
  <c r="V374" i="8" s="1"/>
  <c r="F258" i="8"/>
  <c r="F259" i="8" s="1"/>
  <c r="F374" i="8" s="1"/>
  <c r="AG248" i="8"/>
  <c r="AB335" i="8"/>
  <c r="P335" i="8"/>
  <c r="P334" i="8"/>
  <c r="P255" i="8"/>
  <c r="AD253" i="8"/>
  <c r="H250" i="8"/>
  <c r="AH249" i="8"/>
  <c r="AB249" i="8"/>
  <c r="AJ250" i="8"/>
  <c r="AJ252" i="8"/>
  <c r="V247" i="8"/>
  <c r="V252" i="8" s="1"/>
  <c r="AD246" i="8"/>
  <c r="AD361" i="8" s="1"/>
  <c r="V246" i="8"/>
  <c r="V361" i="8" s="1"/>
  <c r="D246" i="8"/>
  <c r="D361" i="8" s="1"/>
  <c r="N245" i="8"/>
  <c r="N360" i="8" s="1"/>
  <c r="D245" i="8"/>
  <c r="D360" i="8" s="1"/>
  <c r="AD244" i="8"/>
  <c r="AD359" i="8" s="1"/>
  <c r="D244" i="8"/>
  <c r="D359" i="8" s="1"/>
  <c r="N243" i="8"/>
  <c r="N358" i="8" s="1"/>
  <c r="AJ242" i="8"/>
  <c r="AJ357" i="8" s="1"/>
  <c r="V241" i="8"/>
  <c r="V356" i="8" s="1"/>
  <c r="AD240" i="8"/>
  <c r="AD355" i="8" s="1"/>
  <c r="AK241" i="8"/>
  <c r="AK356" i="8" s="1"/>
  <c r="AK243" i="8"/>
  <c r="AK358" i="8" s="1"/>
  <c r="AB241" i="8"/>
  <c r="AB356" i="8" s="1"/>
  <c r="AB242" i="8"/>
  <c r="AB357" i="8" s="1"/>
  <c r="AB243" i="8"/>
  <c r="AB358" i="8" s="1"/>
  <c r="AB244" i="8"/>
  <c r="AB359" i="8" s="1"/>
  <c r="P242" i="8"/>
  <c r="P357" i="8" s="1"/>
  <c r="P244" i="8"/>
  <c r="P359" i="8" s="1"/>
  <c r="AI253" i="8"/>
  <c r="AI255" i="8" s="1"/>
  <c r="AI258" i="8"/>
  <c r="AI261" i="8" s="1"/>
  <c r="AI376" i="8" s="1"/>
  <c r="I259" i="8"/>
  <c r="I374" i="8" s="1"/>
  <c r="I260" i="8"/>
  <c r="I375" i="8" s="1"/>
  <c r="I261" i="8"/>
  <c r="I376" i="8" s="1"/>
  <c r="S262" i="8"/>
  <c r="S265" i="8" s="1"/>
  <c r="S380" i="8" s="1"/>
  <c r="G258" i="8"/>
  <c r="AJ236" i="8"/>
  <c r="AJ245" i="8"/>
  <c r="AJ360" i="8" s="1"/>
  <c r="AH235" i="8"/>
  <c r="AH253" i="8"/>
  <c r="Z235" i="8"/>
  <c r="Z247" i="8"/>
  <c r="Z250" i="8" s="1"/>
  <c r="V242" i="8"/>
  <c r="V357" i="8" s="1"/>
  <c r="V244" i="8"/>
  <c r="V359" i="8" s="1"/>
  <c r="R235" i="8"/>
  <c r="R253" i="8"/>
  <c r="J235" i="8"/>
  <c r="J247" i="8"/>
  <c r="F241" i="8"/>
  <c r="F356" i="8" s="1"/>
  <c r="F245" i="8"/>
  <c r="F360" i="8" s="1"/>
  <c r="AF258" i="8"/>
  <c r="AF260" i="8" s="1"/>
  <c r="AF375" i="8" s="1"/>
  <c r="X258" i="8"/>
  <c r="P258" i="8"/>
  <c r="P260" i="8" s="1"/>
  <c r="P375" i="8" s="1"/>
  <c r="AH262" i="8"/>
  <c r="AH264" i="8" s="1"/>
  <c r="AH379" i="8" s="1"/>
  <c r="Z262" i="8"/>
  <c r="Z263" i="8" s="1"/>
  <c r="Z378" i="8" s="1"/>
  <c r="R262" i="8"/>
  <c r="J262" i="8"/>
  <c r="AI262" i="8"/>
  <c r="AI265" i="8" s="1"/>
  <c r="AI380" i="8" s="1"/>
  <c r="I242" i="8"/>
  <c r="I357" i="8" s="1"/>
  <c r="AH337" i="8"/>
  <c r="L337" i="8"/>
  <c r="AH336" i="8"/>
  <c r="T336" i="8"/>
  <c r="G336" i="8"/>
  <c r="AJ335" i="8"/>
  <c r="G335" i="8"/>
  <c r="AJ334" i="8"/>
  <c r="AJ332" i="8"/>
  <c r="AI301" i="8"/>
  <c r="AI316" i="8" s="1"/>
  <c r="AE301" i="8"/>
  <c r="AE285" i="8" s="1"/>
  <c r="AE291" i="8" s="1"/>
  <c r="AA301" i="8"/>
  <c r="AA285" i="8" s="1"/>
  <c r="W301" i="8"/>
  <c r="W316" i="8" s="1"/>
  <c r="S301" i="8"/>
  <c r="S316" i="8" s="1"/>
  <c r="S320" i="8" s="1"/>
  <c r="O301" i="8"/>
  <c r="O316" i="8" s="1"/>
  <c r="K301" i="8"/>
  <c r="K302" i="8" s="1"/>
  <c r="G301" i="8"/>
  <c r="G316" i="8" s="1"/>
  <c r="AI273" i="8"/>
  <c r="AE273" i="8"/>
  <c r="AA273" i="8"/>
  <c r="W273" i="8"/>
  <c r="S273" i="8"/>
  <c r="O273" i="8"/>
  <c r="K273" i="8"/>
  <c r="G273" i="8"/>
  <c r="AI269" i="8"/>
  <c r="AI384" i="8" s="1"/>
  <c r="AI382" i="8" s="1"/>
  <c r="AE269" i="8"/>
  <c r="AE384" i="8" s="1"/>
  <c r="AA269" i="8"/>
  <c r="AA384" i="8" s="1"/>
  <c r="W269" i="8"/>
  <c r="W384" i="8" s="1"/>
  <c r="W382" i="8" s="1"/>
  <c r="S269" i="8"/>
  <c r="S384" i="8" s="1"/>
  <c r="O269" i="8"/>
  <c r="O384" i="8" s="1"/>
  <c r="O382" i="8" s="1"/>
  <c r="K269" i="8"/>
  <c r="K384" i="8" s="1"/>
  <c r="K382" i="8" s="1"/>
  <c r="G269" i="8"/>
  <c r="G384" i="8" s="1"/>
  <c r="P262" i="8"/>
  <c r="P263" i="8" s="1"/>
  <c r="P378" i="8" s="1"/>
  <c r="H262" i="8"/>
  <c r="H264" i="8" s="1"/>
  <c r="H379" i="8" s="1"/>
  <c r="V255" i="8"/>
  <c r="AB253" i="8"/>
  <c r="N253" i="8"/>
  <c r="X252" i="8"/>
  <c r="Q251" i="8"/>
  <c r="H251" i="8"/>
  <c r="AF250" i="8"/>
  <c r="P249" i="8"/>
  <c r="T247" i="8"/>
  <c r="F247" i="8"/>
  <c r="H244" i="8"/>
  <c r="H359" i="8" s="1"/>
  <c r="F243" i="8"/>
  <c r="F358" i="8" s="1"/>
  <c r="N242" i="8"/>
  <c r="N357" i="8" s="1"/>
  <c r="F242" i="8"/>
  <c r="F357" i="8" s="1"/>
  <c r="N241" i="8"/>
  <c r="N356" i="8" s="1"/>
  <c r="V240" i="8"/>
  <c r="V355" i="8" s="1"/>
  <c r="N236" i="8"/>
  <c r="N237" i="8" s="1"/>
  <c r="N352" i="8" s="1"/>
  <c r="AF235" i="8"/>
  <c r="L235" i="8"/>
  <c r="L236" i="8" s="1"/>
  <c r="W258" i="8"/>
  <c r="AI332" i="8"/>
  <c r="AI334" i="8"/>
  <c r="AI335" i="8"/>
  <c r="AI337" i="8"/>
  <c r="AI336" i="8"/>
  <c r="AI333" i="8"/>
  <c r="S318" i="8"/>
  <c r="AB332" i="8"/>
  <c r="R330" i="8"/>
  <c r="R326" i="8"/>
  <c r="R322" i="8"/>
  <c r="N306" i="8"/>
  <c r="N308" i="8"/>
  <c r="N304" i="8"/>
  <c r="AE254" i="8"/>
  <c r="AE255" i="8"/>
  <c r="AA254" i="8"/>
  <c r="AA255" i="8"/>
  <c r="W254" i="8"/>
  <c r="W255" i="8"/>
  <c r="S254" i="8"/>
  <c r="S255" i="8"/>
  <c r="O254" i="8"/>
  <c r="O255" i="8"/>
  <c r="K254" i="8"/>
  <c r="K255" i="8"/>
  <c r="G254" i="8"/>
  <c r="G255" i="8"/>
  <c r="AI292" i="8"/>
  <c r="AI297" i="8" s="1"/>
  <c r="AI324" i="8"/>
  <c r="AI325" i="8" s="1"/>
  <c r="AG254" i="8"/>
  <c r="AG255" i="8"/>
  <c r="AK250" i="8"/>
  <c r="AK252" i="8"/>
  <c r="E248" i="8"/>
  <c r="E250" i="8"/>
  <c r="E251" i="8"/>
  <c r="E252" i="8"/>
  <c r="E249" i="8"/>
  <c r="AB336" i="8"/>
  <c r="P336" i="8"/>
  <c r="H336" i="8"/>
  <c r="L324" i="8"/>
  <c r="L326" i="8" s="1"/>
  <c r="L292" i="8"/>
  <c r="V314" i="8"/>
  <c r="V315" i="8"/>
  <c r="V310" i="8"/>
  <c r="V311" i="8"/>
  <c r="V312" i="8"/>
  <c r="V313" i="8"/>
  <c r="AH285" i="8"/>
  <c r="AH316" i="8"/>
  <c r="AH317" i="8" s="1"/>
  <c r="AH309" i="8"/>
  <c r="AD285" i="8"/>
  <c r="AD291" i="8" s="1"/>
  <c r="AD309" i="8"/>
  <c r="AD302" i="8"/>
  <c r="AD303" i="8" s="1"/>
  <c r="Z316" i="8"/>
  <c r="Z317" i="8" s="1"/>
  <c r="V285" i="8"/>
  <c r="V291" i="8" s="1"/>
  <c r="V316" i="8"/>
  <c r="V320" i="8" s="1"/>
  <c r="V302" i="8"/>
  <c r="R302" i="8"/>
  <c r="R306" i="8" s="1"/>
  <c r="N285" i="8"/>
  <c r="N291" i="8" s="1"/>
  <c r="N309" i="8"/>
  <c r="N316" i="8"/>
  <c r="N320" i="8" s="1"/>
  <c r="F285" i="8"/>
  <c r="F291" i="8" s="1"/>
  <c r="F309" i="8"/>
  <c r="X292" i="8"/>
  <c r="X298" i="8" s="1"/>
  <c r="Y251" i="8"/>
  <c r="Y249" i="8"/>
  <c r="AA292" i="8"/>
  <c r="AA297" i="8" s="1"/>
  <c r="AA324" i="8"/>
  <c r="AA327" i="8" s="1"/>
  <c r="K292" i="8"/>
  <c r="K293" i="8" s="1"/>
  <c r="K324" i="8"/>
  <c r="K327" i="8" s="1"/>
  <c r="S292" i="8"/>
  <c r="S298" i="8" s="1"/>
  <c r="F292" i="8"/>
  <c r="U263" i="8"/>
  <c r="U378" i="8" s="1"/>
  <c r="Y259" i="8"/>
  <c r="Y374" i="8" s="1"/>
  <c r="Y260" i="8"/>
  <c r="Y375" i="8" s="1"/>
  <c r="Y261" i="8"/>
  <c r="Y376" i="8" s="1"/>
  <c r="Z265" i="8"/>
  <c r="Z380" i="8" s="1"/>
  <c r="AE331" i="8"/>
  <c r="O331" i="8"/>
  <c r="O324" i="8"/>
  <c r="O329" i="8" s="1"/>
  <c r="V331" i="8"/>
  <c r="J292" i="8"/>
  <c r="J297" i="8" s="1"/>
  <c r="J331" i="8"/>
  <c r="AI285" i="8"/>
  <c r="AI309" i="8"/>
  <c r="AE316" i="8"/>
  <c r="AE320" i="8" s="1"/>
  <c r="W285" i="8"/>
  <c r="W291" i="8" s="1"/>
  <c r="S302" i="8"/>
  <c r="S304" i="8" s="1"/>
  <c r="O285" i="8"/>
  <c r="O291" i="8" s="1"/>
  <c r="AH292" i="8"/>
  <c r="AH293" i="8" s="1"/>
  <c r="R292" i="8"/>
  <c r="R298" i="8" s="1"/>
  <c r="M263" i="8"/>
  <c r="M378" i="8" s="1"/>
  <c r="U255" i="8"/>
  <c r="E255" i="8"/>
  <c r="AA262" i="8"/>
  <c r="AA265" i="8" s="1"/>
  <c r="AA380" i="8" s="1"/>
  <c r="G262" i="8"/>
  <c r="G264" i="8" s="1"/>
  <c r="G379" i="8" s="1"/>
  <c r="AC248" i="8"/>
  <c r="AC250" i="8"/>
  <c r="M248" i="8"/>
  <c r="M250" i="8"/>
  <c r="AK236" i="8"/>
  <c r="AK240" i="8"/>
  <c r="AK355" i="8" s="1"/>
  <c r="AK242" i="8"/>
  <c r="AK357" i="8" s="1"/>
  <c r="AK244" i="8"/>
  <c r="AK359" i="8" s="1"/>
  <c r="AK246" i="8"/>
  <c r="AK361" i="8" s="1"/>
  <c r="AC241" i="8"/>
  <c r="AC356" i="8" s="1"/>
  <c r="AC244" i="8"/>
  <c r="AC359" i="8" s="1"/>
  <c r="AC245" i="8"/>
  <c r="AC360" i="8" s="1"/>
  <c r="U244" i="8"/>
  <c r="U359" i="8" s="1"/>
  <c r="U246" i="8"/>
  <c r="U361" i="8" s="1"/>
  <c r="M243" i="8"/>
  <c r="M358" i="8" s="1"/>
  <c r="M244" i="8"/>
  <c r="M359" i="8" s="1"/>
  <c r="AI235" i="8"/>
  <c r="AI247" i="8"/>
  <c r="AI250" i="8" s="1"/>
  <c r="AE235" i="8"/>
  <c r="AE247" i="8"/>
  <c r="AA235" i="8"/>
  <c r="AA247" i="8"/>
  <c r="AA250" i="8" s="1"/>
  <c r="AA258" i="8"/>
  <c r="W235" i="8"/>
  <c r="W247" i="8"/>
  <c r="W248" i="8" s="1"/>
  <c r="S235" i="8"/>
  <c r="S247" i="8"/>
  <c r="S248" i="8" s="1"/>
  <c r="O235" i="8"/>
  <c r="O247" i="8"/>
  <c r="O248" i="8" s="1"/>
  <c r="K235" i="8"/>
  <c r="K247" i="8"/>
  <c r="K250" i="8" s="1"/>
  <c r="G235" i="8"/>
  <c r="G247" i="8"/>
  <c r="G248" i="8" s="1"/>
  <c r="AE262" i="8"/>
  <c r="AE263" i="8" s="1"/>
  <c r="AE378" i="8" s="1"/>
  <c r="W262" i="8"/>
  <c r="W264" i="8" s="1"/>
  <c r="W379" i="8" s="1"/>
  <c r="O262" i="8"/>
  <c r="O265" i="8" s="1"/>
  <c r="O380" i="8" s="1"/>
  <c r="AB258" i="8"/>
  <c r="AB259" i="8" s="1"/>
  <c r="AB374" i="8" s="1"/>
  <c r="T258" i="8"/>
  <c r="T259" i="8" s="1"/>
  <c r="T374" i="8" s="1"/>
  <c r="L258" i="8"/>
  <c r="L260" i="8" s="1"/>
  <c r="L375" i="8" s="1"/>
  <c r="D258" i="8"/>
  <c r="D260" i="8" s="1"/>
  <c r="D375" i="8" s="1"/>
  <c r="AD262" i="8"/>
  <c r="AD263" i="8" s="1"/>
  <c r="AD378" i="8" s="1"/>
  <c r="V262" i="8"/>
  <c r="V265" i="8" s="1"/>
  <c r="V380" i="8" s="1"/>
  <c r="N262" i="8"/>
  <c r="N263" i="8" s="1"/>
  <c r="N378" i="8" s="1"/>
  <c r="F262" i="8"/>
  <c r="F264" i="8" s="1"/>
  <c r="F379" i="8" s="1"/>
  <c r="S258" i="8"/>
  <c r="O258" i="8"/>
  <c r="O260" i="8" s="1"/>
  <c r="O375" i="8" s="1"/>
  <c r="K258" i="8"/>
  <c r="AH258" i="8"/>
  <c r="AD258" i="8"/>
  <c r="AD261" i="8" s="1"/>
  <c r="AD376" i="8" s="1"/>
  <c r="Z258" i="8"/>
  <c r="R258" i="8"/>
  <c r="N258" i="8"/>
  <c r="N261" i="8" s="1"/>
  <c r="N376" i="8" s="1"/>
  <c r="J258" i="8"/>
  <c r="AG285" i="8"/>
  <c r="AG302" i="8"/>
  <c r="AG316" i="8"/>
  <c r="AG309" i="8"/>
  <c r="U302" i="8"/>
  <c r="U316" i="8"/>
  <c r="U285" i="8"/>
  <c r="U309" i="8"/>
  <c r="E302" i="8"/>
  <c r="E309" i="8"/>
  <c r="AK264" i="8"/>
  <c r="AK379" i="8" s="1"/>
  <c r="AK263" i="8"/>
  <c r="AK378" i="8" s="1"/>
  <c r="AK265" i="8"/>
  <c r="AK380" i="8" s="1"/>
  <c r="AK302" i="8"/>
  <c r="AK316" i="8"/>
  <c r="AK285" i="8"/>
  <c r="AK309" i="8"/>
  <c r="AC302" i="8"/>
  <c r="AC316" i="8"/>
  <c r="AC309" i="8"/>
  <c r="Q285" i="8"/>
  <c r="Q302" i="8"/>
  <c r="Q316" i="8"/>
  <c r="Q309" i="8"/>
  <c r="I285" i="8"/>
  <c r="I302" i="8"/>
  <c r="I316" i="8"/>
  <c r="I309" i="8"/>
  <c r="AC285" i="8"/>
  <c r="Y309" i="8"/>
  <c r="M302" i="8"/>
  <c r="W326" i="8"/>
  <c r="O327" i="8"/>
  <c r="G327" i="8"/>
  <c r="AA298" i="8"/>
  <c r="O293" i="8"/>
  <c r="O297" i="8"/>
  <c r="O328" i="8"/>
  <c r="G328" i="8"/>
  <c r="AI339" i="8"/>
  <c r="AI341" i="8"/>
  <c r="AI343" i="8"/>
  <c r="O339" i="8"/>
  <c r="O341" i="8"/>
  <c r="O343" i="8"/>
  <c r="G339" i="8"/>
  <c r="O298" i="8"/>
  <c r="X293" i="8"/>
  <c r="L310" i="8"/>
  <c r="L312" i="8"/>
  <c r="L314" i="8"/>
  <c r="AH303" i="8"/>
  <c r="AH305" i="8"/>
  <c r="AH307" i="8"/>
  <c r="AJ302" i="8"/>
  <c r="AJ316" i="8"/>
  <c r="AF285" i="8"/>
  <c r="AF302" i="8"/>
  <c r="AF316" i="8"/>
  <c r="X285" i="8"/>
  <c r="X302" i="8"/>
  <c r="X316" i="8"/>
  <c r="P316" i="8"/>
  <c r="L302" i="8"/>
  <c r="L316" i="8"/>
  <c r="H285" i="8"/>
  <c r="H302" i="8"/>
  <c r="H316" i="8"/>
  <c r="D302" i="8"/>
  <c r="D316" i="8"/>
  <c r="L285" i="8"/>
  <c r="AD317" i="8"/>
  <c r="AD319" i="8"/>
  <c r="AD321" i="8"/>
  <c r="AJ310" i="8"/>
  <c r="AJ312" i="8"/>
  <c r="AJ314" i="8"/>
  <c r="AB314" i="8"/>
  <c r="T314" i="8"/>
  <c r="D310" i="8"/>
  <c r="D312" i="8"/>
  <c r="D314" i="8"/>
  <c r="L334" i="8"/>
  <c r="AF333" i="8"/>
  <c r="T333" i="8"/>
  <c r="P333" i="8"/>
  <c r="L333" i="8"/>
  <c r="H333" i="8"/>
  <c r="D333" i="8"/>
  <c r="AA325" i="8"/>
  <c r="AA329" i="8"/>
  <c r="AG292" i="8"/>
  <c r="AG324" i="8"/>
  <c r="AC292" i="8"/>
  <c r="AC324" i="8"/>
  <c r="Y292" i="8"/>
  <c r="Y324" i="8"/>
  <c r="Q292" i="8"/>
  <c r="Q324" i="8"/>
  <c r="I292" i="8"/>
  <c r="I324" i="8"/>
  <c r="AI317" i="8"/>
  <c r="AI319" i="8"/>
  <c r="AI321" i="8"/>
  <c r="S317" i="8"/>
  <c r="S319" i="8"/>
  <c r="S321" i="8"/>
  <c r="G293" i="8"/>
  <c r="G297" i="8"/>
  <c r="L263" i="8"/>
  <c r="L378" i="8" s="1"/>
  <c r="L265" i="8"/>
  <c r="L380" i="8" s="1"/>
  <c r="Q261" i="8"/>
  <c r="Q376" i="8" s="1"/>
  <c r="AK260" i="8"/>
  <c r="AK375" i="8" s="1"/>
  <c r="AE264" i="8"/>
  <c r="AE379" i="8" s="1"/>
  <c r="AE265" i="8"/>
  <c r="AE380" i="8" s="1"/>
  <c r="O263" i="8"/>
  <c r="O378" i="8" s="1"/>
  <c r="AG261" i="8"/>
  <c r="AG376" i="8" s="1"/>
  <c r="G260" i="8"/>
  <c r="G375" i="8" s="1"/>
  <c r="G259" i="8"/>
  <c r="G374" i="8" s="1"/>
  <c r="G261" i="8"/>
  <c r="G376" i="8" s="1"/>
  <c r="AF310" i="8"/>
  <c r="AF312" i="8"/>
  <c r="AF314" i="8"/>
  <c r="X310" i="8"/>
  <c r="X312" i="8"/>
  <c r="X314" i="8"/>
  <c r="P314" i="8"/>
  <c r="H310" i="8"/>
  <c r="H312" i="8"/>
  <c r="H314" i="8"/>
  <c r="Z303" i="8"/>
  <c r="R325" i="8"/>
  <c r="R327" i="8"/>
  <c r="R329" i="8"/>
  <c r="AJ292" i="8"/>
  <c r="AJ324" i="8"/>
  <c r="AF324" i="8"/>
  <c r="AF292" i="8"/>
  <c r="AB326" i="8"/>
  <c r="AB328" i="8"/>
  <c r="AB330" i="8"/>
  <c r="X328" i="8"/>
  <c r="T292" i="8"/>
  <c r="T324" i="8"/>
  <c r="P324" i="8"/>
  <c r="P292" i="8"/>
  <c r="H292" i="8"/>
  <c r="H324" i="8"/>
  <c r="D292" i="8"/>
  <c r="D324" i="8"/>
  <c r="AD322" i="8"/>
  <c r="AD318" i="8"/>
  <c r="AH321" i="8"/>
  <c r="R321" i="8"/>
  <c r="AJ315" i="8"/>
  <c r="AF315" i="8"/>
  <c r="X315" i="8"/>
  <c r="T315" i="8"/>
  <c r="L315" i="8"/>
  <c r="H315" i="8"/>
  <c r="D315" i="8"/>
  <c r="AJ311" i="8"/>
  <c r="AF311" i="8"/>
  <c r="AB311" i="8"/>
  <c r="X311" i="8"/>
  <c r="L311" i="8"/>
  <c r="H311" i="8"/>
  <c r="D311" i="8"/>
  <c r="AH308" i="8"/>
  <c r="R308" i="8"/>
  <c r="AH304" i="8"/>
  <c r="V303" i="8"/>
  <c r="V305" i="8"/>
  <c r="V307" i="8"/>
  <c r="N303" i="8"/>
  <c r="N305" i="8"/>
  <c r="N307" i="8"/>
  <c r="J298" i="8"/>
  <c r="AB292" i="8"/>
  <c r="AJ285" i="8"/>
  <c r="T285" i="8"/>
  <c r="D285" i="8"/>
  <c r="AF263" i="8"/>
  <c r="AF378" i="8" s="1"/>
  <c r="AF265" i="8"/>
  <c r="AF380" i="8" s="1"/>
  <c r="AF264" i="8"/>
  <c r="AF379" i="8" s="1"/>
  <c r="Q263" i="8"/>
  <c r="Q378" i="8" s="1"/>
  <c r="Q264" i="8"/>
  <c r="Q379" i="8" s="1"/>
  <c r="K263" i="8"/>
  <c r="K378" i="8" s="1"/>
  <c r="K264" i="8"/>
  <c r="K379" i="8" s="1"/>
  <c r="AJ259" i="8"/>
  <c r="AJ374" i="8" s="1"/>
  <c r="AJ261" i="8"/>
  <c r="AJ376" i="8" s="1"/>
  <c r="P259" i="8"/>
  <c r="P374" i="8" s="1"/>
  <c r="P261" i="8"/>
  <c r="P376" i="8" s="1"/>
  <c r="T260" i="8"/>
  <c r="T375" i="8" s="1"/>
  <c r="D259" i="8"/>
  <c r="D374" i="8" s="1"/>
  <c r="V264" i="8"/>
  <c r="V379" i="8" s="1"/>
  <c r="V263" i="8"/>
  <c r="V378" i="8" s="1"/>
  <c r="AF261" i="8"/>
  <c r="AF376" i="8" s="1"/>
  <c r="R264" i="8"/>
  <c r="R379" i="8" s="1"/>
  <c r="R265" i="8"/>
  <c r="R380" i="8" s="1"/>
  <c r="R263" i="8"/>
  <c r="R378" i="8" s="1"/>
  <c r="AB263" i="8"/>
  <c r="AB378" i="8" s="1"/>
  <c r="AB265" i="8"/>
  <c r="AB380" i="8" s="1"/>
  <c r="P264" i="8"/>
  <c r="P379" i="8" s="1"/>
  <c r="O261" i="8"/>
  <c r="O376" i="8" s="1"/>
  <c r="AD290" i="8"/>
  <c r="N290" i="8"/>
  <c r="AD286" i="8"/>
  <c r="N286" i="8"/>
  <c r="AE261" i="8"/>
  <c r="AE376" i="8" s="1"/>
  <c r="AE259" i="8"/>
  <c r="AE374" i="8" s="1"/>
  <c r="X259" i="8"/>
  <c r="X374" i="8" s="1"/>
  <c r="X261" i="8"/>
  <c r="X376" i="8" s="1"/>
  <c r="X260" i="8"/>
  <c r="X375" i="8" s="1"/>
  <c r="H259" i="8"/>
  <c r="H374" i="8" s="1"/>
  <c r="H261" i="8"/>
  <c r="H376" i="8" s="1"/>
  <c r="H260" i="8"/>
  <c r="H375" i="8" s="1"/>
  <c r="AD260" i="8"/>
  <c r="AD375" i="8" s="1"/>
  <c r="N259" i="8"/>
  <c r="N374" i="8" s="1"/>
  <c r="AJ263" i="8"/>
  <c r="AJ378" i="8" s="1"/>
  <c r="AJ265" i="8"/>
  <c r="AJ380" i="8" s="1"/>
  <c r="T263" i="8"/>
  <c r="T378" i="8" s="1"/>
  <c r="T265" i="8"/>
  <c r="T380" i="8" s="1"/>
  <c r="D263" i="8"/>
  <c r="D378" i="8" s="1"/>
  <c r="D265" i="8"/>
  <c r="D380" i="8" s="1"/>
  <c r="AI248" i="8"/>
  <c r="AE248" i="8"/>
  <c r="AA248" i="8"/>
  <c r="W252" i="8"/>
  <c r="O252" i="8"/>
  <c r="K248" i="8"/>
  <c r="G252" i="8"/>
  <c r="AG241" i="8"/>
  <c r="AG356" i="8" s="1"/>
  <c r="Q236" i="8"/>
  <c r="Q240" i="8"/>
  <c r="Q355" i="8" s="1"/>
  <c r="Q241" i="8"/>
  <c r="Q356" i="8" s="1"/>
  <c r="Q243" i="8"/>
  <c r="Q358" i="8" s="1"/>
  <c r="Q245" i="8"/>
  <c r="Q360" i="8" s="1"/>
  <c r="I241" i="8"/>
  <c r="I356" i="8" s="1"/>
  <c r="I243" i="8"/>
  <c r="I358" i="8" s="1"/>
  <c r="X263" i="8"/>
  <c r="X378" i="8" s="1"/>
  <c r="X265" i="8"/>
  <c r="X380" i="8" s="1"/>
  <c r="H263" i="8"/>
  <c r="H378" i="8" s="1"/>
  <c r="AH248" i="8"/>
  <c r="AH250" i="8"/>
  <c r="AH252" i="8"/>
  <c r="AD248" i="8"/>
  <c r="R248" i="8"/>
  <c r="R250" i="8"/>
  <c r="R252" i="8"/>
  <c r="N248" i="8"/>
  <c r="N250" i="8"/>
  <c r="N252" i="8"/>
  <c r="J248" i="8"/>
  <c r="J250" i="8"/>
  <c r="J252" i="8"/>
  <c r="F248" i="8"/>
  <c r="F250" i="8"/>
  <c r="F252" i="8"/>
  <c r="AD239" i="8"/>
  <c r="AD354" i="8" s="1"/>
  <c r="V237" i="8"/>
  <c r="V352" i="8" s="1"/>
  <c r="V239" i="8"/>
  <c r="V354" i="8" s="1"/>
  <c r="V238" i="8"/>
  <c r="V353" i="8" s="1"/>
  <c r="F237" i="8"/>
  <c r="F352" i="8" s="1"/>
  <c r="F239" i="8"/>
  <c r="F354" i="8" s="1"/>
  <c r="F238" i="8"/>
  <c r="F353" i="8" s="1"/>
  <c r="AF236" i="8"/>
  <c r="AF240" i="8"/>
  <c r="AF355" i="8" s="1"/>
  <c r="AF241" i="8"/>
  <c r="AF356" i="8" s="1"/>
  <c r="AF243" i="8"/>
  <c r="AF358" i="8" s="1"/>
  <c r="AF245" i="8"/>
  <c r="AF360" i="8" s="1"/>
  <c r="X236" i="8"/>
  <c r="X240" i="8"/>
  <c r="X355" i="8" s="1"/>
  <c r="X241" i="8"/>
  <c r="X356" i="8" s="1"/>
  <c r="X243" i="8"/>
  <c r="X358" i="8" s="1"/>
  <c r="X245" i="8"/>
  <c r="X360" i="8" s="1"/>
  <c r="P236" i="8"/>
  <c r="P240" i="8"/>
  <c r="P355" i="8" s="1"/>
  <c r="P241" i="8"/>
  <c r="P356" i="8" s="1"/>
  <c r="P243" i="8"/>
  <c r="P358" i="8" s="1"/>
  <c r="P245" i="8"/>
  <c r="P360" i="8" s="1"/>
  <c r="H236" i="8"/>
  <c r="H240" i="8"/>
  <c r="H355" i="8" s="1"/>
  <c r="H241" i="8"/>
  <c r="H356" i="8" s="1"/>
  <c r="H243" i="8"/>
  <c r="H358" i="8" s="1"/>
  <c r="H245" i="8"/>
  <c r="H360" i="8" s="1"/>
  <c r="AC240" i="8"/>
  <c r="AC355" i="8" s="1"/>
  <c r="U236" i="8"/>
  <c r="M240" i="8"/>
  <c r="M355" i="8" s="1"/>
  <c r="AB236" i="8"/>
  <c r="AB240" i="8"/>
  <c r="AB355" i="8" s="1"/>
  <c r="T236" i="8"/>
  <c r="T240" i="8"/>
  <c r="T355" i="8" s="1"/>
  <c r="D236" i="8"/>
  <c r="D240" i="8"/>
  <c r="D355" i="8" s="1"/>
  <c r="AM5" i="3"/>
  <c r="C32" i="3"/>
  <c r="C55" i="3"/>
  <c r="AM17" i="3"/>
  <c r="AM55" i="3"/>
  <c r="BM54" i="3" l="1"/>
  <c r="BL54" i="3"/>
  <c r="BB54" i="3"/>
  <c r="AO54" i="3"/>
  <c r="AT54" i="3"/>
  <c r="AV54" i="3"/>
  <c r="BQ54" i="3"/>
  <c r="BN54" i="3"/>
  <c r="AX54" i="3"/>
  <c r="BC54" i="3"/>
  <c r="AN54" i="3"/>
  <c r="AP54" i="3"/>
  <c r="AR54" i="3"/>
  <c r="BK54" i="3"/>
  <c r="AU54" i="3"/>
  <c r="AW54" i="3"/>
  <c r="AY54" i="3"/>
  <c r="AZ54" i="3"/>
  <c r="BA54" i="3"/>
  <c r="BD54" i="3"/>
  <c r="BO54" i="3"/>
  <c r="BP54" i="3"/>
  <c r="BR54" i="3"/>
  <c r="BS54" i="3"/>
  <c r="BE54" i="3"/>
  <c r="BT62" i="3"/>
  <c r="BJ54" i="3"/>
  <c r="AS54" i="3"/>
  <c r="BG54" i="3"/>
  <c r="BH54" i="3"/>
  <c r="BF54" i="3"/>
  <c r="BI54" i="3"/>
  <c r="AQ54" i="3"/>
  <c r="AM54" i="3"/>
  <c r="AN4" i="3"/>
  <c r="BR4" i="3"/>
  <c r="BF4" i="3"/>
  <c r="BC4" i="3"/>
  <c r="BK4" i="3"/>
  <c r="BT4" i="3"/>
  <c r="BI4" i="3"/>
  <c r="AW4" i="3"/>
  <c r="AO4" i="3"/>
  <c r="BN4" i="3"/>
  <c r="BQ4" i="3"/>
  <c r="AX4" i="3"/>
  <c r="G382" i="8"/>
  <c r="S382" i="8"/>
  <c r="AA382" i="8"/>
  <c r="J382" i="8"/>
  <c r="AH382" i="8"/>
  <c r="BB4" i="3"/>
  <c r="BS4" i="3"/>
  <c r="AT4" i="3"/>
  <c r="AU4" i="3"/>
  <c r="BG4" i="3"/>
  <c r="AY4" i="3"/>
  <c r="AY26" i="3" s="1"/>
  <c r="BO4" i="3"/>
  <c r="AM4" i="3"/>
  <c r="AD298" i="8"/>
  <c r="AD297" i="8"/>
  <c r="AD293" i="8"/>
  <c r="W292" i="8"/>
  <c r="W338" i="8"/>
  <c r="N238" i="8"/>
  <c r="N353" i="8" s="1"/>
  <c r="N351" i="8" s="1"/>
  <c r="AD237" i="8"/>
  <c r="AD352" i="8" s="1"/>
  <c r="Y241" i="8"/>
  <c r="Y356" i="8" s="1"/>
  <c r="V261" i="8"/>
  <c r="V376" i="8" s="1"/>
  <c r="AA264" i="8"/>
  <c r="AA379" i="8" s="1"/>
  <c r="L261" i="8"/>
  <c r="L376" i="8" s="1"/>
  <c r="R304" i="8"/>
  <c r="Z308" i="8"/>
  <c r="AB315" i="8"/>
  <c r="Z319" i="8"/>
  <c r="L328" i="8"/>
  <c r="AH325" i="8"/>
  <c r="AH343" i="8"/>
  <c r="P312" i="8"/>
  <c r="AB312" i="8"/>
  <c r="P302" i="8"/>
  <c r="G330" i="8"/>
  <c r="G325" i="8"/>
  <c r="W329" i="8"/>
  <c r="M309" i="8"/>
  <c r="S307" i="8"/>
  <c r="Z309" i="8"/>
  <c r="X335" i="8"/>
  <c r="AE382" i="8"/>
  <c r="I248" i="8"/>
  <c r="AE292" i="8"/>
  <c r="AE324" i="8"/>
  <c r="AE338" i="8"/>
  <c r="N239" i="8"/>
  <c r="N354" i="8" s="1"/>
  <c r="V248" i="8"/>
  <c r="S252" i="8"/>
  <c r="V260" i="8"/>
  <c r="V375" i="8" s="1"/>
  <c r="Z304" i="8"/>
  <c r="P311" i="8"/>
  <c r="P315" i="8"/>
  <c r="Z307" i="8"/>
  <c r="P310" i="8"/>
  <c r="AB310" i="8"/>
  <c r="AB285" i="8"/>
  <c r="AB286" i="8" s="1"/>
  <c r="P285" i="8"/>
  <c r="AB316" i="8"/>
  <c r="W328" i="8"/>
  <c r="G326" i="8"/>
  <c r="W327" i="8"/>
  <c r="M285" i="8"/>
  <c r="AI293" i="8"/>
  <c r="AA302" i="8"/>
  <c r="AA308" i="8" s="1"/>
  <c r="Z285" i="8"/>
  <c r="J255" i="8"/>
  <c r="V382" i="8"/>
  <c r="W331" i="8"/>
  <c r="S324" i="8"/>
  <c r="S331" i="8"/>
  <c r="S338" i="8"/>
  <c r="K331" i="8"/>
  <c r="K338" i="8"/>
  <c r="Z305" i="8"/>
  <c r="AB302" i="8"/>
  <c r="W330" i="8"/>
  <c r="U251" i="8"/>
  <c r="R331" i="8"/>
  <c r="R338" i="8"/>
  <c r="AA331" i="8"/>
  <c r="AA338" i="8"/>
  <c r="U382" i="8"/>
  <c r="N382" i="8"/>
  <c r="AD382" i="8"/>
  <c r="Z382" i="8"/>
  <c r="AK382" i="8"/>
  <c r="O320" i="8"/>
  <c r="O322" i="8"/>
  <c r="O317" i="8"/>
  <c r="J309" i="8"/>
  <c r="J316" i="8"/>
  <c r="Z324" i="8"/>
  <c r="Z338" i="8"/>
  <c r="G340" i="8"/>
  <c r="G342" i="8"/>
  <c r="G344" i="8"/>
  <c r="V324" i="8"/>
  <c r="V338" i="8"/>
  <c r="L240" i="8"/>
  <c r="L355" i="8" s="1"/>
  <c r="Z248" i="8"/>
  <c r="Y240" i="8"/>
  <c r="Y355" i="8" s="1"/>
  <c r="G250" i="8"/>
  <c r="O250" i="8"/>
  <c r="W250" i="8"/>
  <c r="V290" i="8"/>
  <c r="P265" i="8"/>
  <c r="P380" i="8" s="1"/>
  <c r="O286" i="8"/>
  <c r="R319" i="8"/>
  <c r="N322" i="8"/>
  <c r="AI264" i="8"/>
  <c r="AI379" i="8" s="1"/>
  <c r="AG260" i="8"/>
  <c r="AG375" i="8" s="1"/>
  <c r="M261" i="8"/>
  <c r="M376" i="8" s="1"/>
  <c r="AC261" i="8"/>
  <c r="AC376" i="8" s="1"/>
  <c r="T312" i="8"/>
  <c r="AE318" i="8"/>
  <c r="O330" i="8"/>
  <c r="O325" i="8"/>
  <c r="Y316" i="8"/>
  <c r="E246" i="8"/>
  <c r="E361" i="8" s="1"/>
  <c r="AK255" i="8"/>
  <c r="V292" i="8"/>
  <c r="V298" i="8" s="1"/>
  <c r="U264" i="8"/>
  <c r="U379" i="8" s="1"/>
  <c r="R285" i="8"/>
  <c r="AI254" i="8"/>
  <c r="R320" i="8"/>
  <c r="X337" i="8"/>
  <c r="E382" i="8"/>
  <c r="AD331" i="8"/>
  <c r="AD324" i="8"/>
  <c r="AD338" i="8"/>
  <c r="AH339" i="8"/>
  <c r="AH340" i="8"/>
  <c r="AH342" i="8"/>
  <c r="AH344" i="8"/>
  <c r="N331" i="8"/>
  <c r="N338" i="8"/>
  <c r="E240" i="8"/>
  <c r="E355" i="8" s="1"/>
  <c r="AD252" i="8"/>
  <c r="AD307" i="8"/>
  <c r="N318" i="8"/>
  <c r="AI263" i="8"/>
  <c r="AI378" i="8" s="1"/>
  <c r="M260" i="8"/>
  <c r="M375" i="8" s="1"/>
  <c r="AC260" i="8"/>
  <c r="AC375" i="8" s="1"/>
  <c r="K329" i="8"/>
  <c r="X333" i="8"/>
  <c r="T310" i="8"/>
  <c r="T316" i="8"/>
  <c r="G343" i="8"/>
  <c r="AE319" i="8"/>
  <c r="O326" i="8"/>
  <c r="Y302" i="8"/>
  <c r="E244" i="8"/>
  <c r="E359" i="8" s="1"/>
  <c r="E265" i="8"/>
  <c r="E380" i="8" s="1"/>
  <c r="Z331" i="8"/>
  <c r="I265" i="8"/>
  <c r="I380" i="8" s="1"/>
  <c r="J302" i="8"/>
  <c r="R318" i="8"/>
  <c r="X336" i="8"/>
  <c r="I264" i="8"/>
  <c r="I379" i="8" s="1"/>
  <c r="N324" i="8"/>
  <c r="N326" i="8" s="1"/>
  <c r="Q254" i="8"/>
  <c r="N292" i="8"/>
  <c r="Q382" i="8"/>
  <c r="G333" i="8"/>
  <c r="G337" i="8"/>
  <c r="G332" i="8"/>
  <c r="G334" i="8"/>
  <c r="Y245" i="8"/>
  <c r="Y360" i="8" s="1"/>
  <c r="Y236" i="8"/>
  <c r="Y238" i="8" s="1"/>
  <c r="Y353" i="8" s="1"/>
  <c r="F261" i="8"/>
  <c r="F376" i="8" s="1"/>
  <c r="E236" i="8"/>
  <c r="V250" i="8"/>
  <c r="AD259" i="8"/>
  <c r="AD374" i="8" s="1"/>
  <c r="F260" i="8"/>
  <c r="F375" i="8" s="1"/>
  <c r="AH263" i="8"/>
  <c r="AH378" i="8" s="1"/>
  <c r="AD265" i="8"/>
  <c r="AD380" i="8" s="1"/>
  <c r="AB261" i="8"/>
  <c r="AB376" i="8" s="1"/>
  <c r="T311" i="8"/>
  <c r="L330" i="8"/>
  <c r="G263" i="8"/>
  <c r="G378" i="8" s="1"/>
  <c r="K325" i="8"/>
  <c r="T302" i="8"/>
  <c r="G341" i="8"/>
  <c r="E264" i="8"/>
  <c r="E379" i="8" s="1"/>
  <c r="Z292" i="8"/>
  <c r="J285" i="8"/>
  <c r="R309" i="8"/>
  <c r="X334" i="8"/>
  <c r="J324" i="8"/>
  <c r="J338" i="8"/>
  <c r="F302" i="8"/>
  <c r="F316" i="8"/>
  <c r="F331" i="8"/>
  <c r="F338" i="8"/>
  <c r="F324" i="8"/>
  <c r="G320" i="8"/>
  <c r="G317" i="8"/>
  <c r="G322" i="8"/>
  <c r="G321" i="8"/>
  <c r="G318" i="8"/>
  <c r="G319" i="8"/>
  <c r="W320" i="8"/>
  <c r="W317" i="8"/>
  <c r="W322" i="8"/>
  <c r="W321" i="8"/>
  <c r="AG246" i="8"/>
  <c r="AG361" i="8" s="1"/>
  <c r="AG244" i="8"/>
  <c r="AG359" i="8" s="1"/>
  <c r="AG242" i="8"/>
  <c r="AG357" i="8" s="1"/>
  <c r="U331" i="8"/>
  <c r="U338" i="8"/>
  <c r="S250" i="8"/>
  <c r="X326" i="8"/>
  <c r="S264" i="8"/>
  <c r="S379" i="8" s="1"/>
  <c r="AK259" i="8"/>
  <c r="AK374" i="8" s="1"/>
  <c r="Q260" i="8"/>
  <c r="Q375" i="8" s="1"/>
  <c r="S297" i="8"/>
  <c r="V321" i="8"/>
  <c r="AH297" i="8"/>
  <c r="O318" i="8"/>
  <c r="I250" i="8"/>
  <c r="AC255" i="8"/>
  <c r="U241" i="8"/>
  <c r="U356" i="8" s="1"/>
  <c r="U243" i="8"/>
  <c r="U358" i="8" s="1"/>
  <c r="U245" i="8"/>
  <c r="U360" i="8" s="1"/>
  <c r="Y250" i="8"/>
  <c r="Y252" i="8"/>
  <c r="Z252" i="8"/>
  <c r="I240" i="8"/>
  <c r="I355" i="8" s="1"/>
  <c r="AG245" i="8"/>
  <c r="AG360" i="8" s="1"/>
  <c r="AG236" i="8"/>
  <c r="AG238" i="8" s="1"/>
  <c r="AG353" i="8" s="1"/>
  <c r="K252" i="8"/>
  <c r="AA252" i="8"/>
  <c r="AI252" i="8"/>
  <c r="V286" i="8"/>
  <c r="V289" i="8" s="1"/>
  <c r="AI259" i="8"/>
  <c r="AI374" i="8" s="1"/>
  <c r="AH265" i="8"/>
  <c r="AH380" i="8" s="1"/>
  <c r="N264" i="8"/>
  <c r="N379" i="8" s="1"/>
  <c r="T261" i="8"/>
  <c r="T376" i="8" s="1"/>
  <c r="AD305" i="8"/>
  <c r="AH319" i="8"/>
  <c r="V318" i="8"/>
  <c r="V322" i="8"/>
  <c r="AH329" i="8"/>
  <c r="S263" i="8"/>
  <c r="S378" i="8" s="1"/>
  <c r="E259" i="8"/>
  <c r="E374" i="8" s="1"/>
  <c r="U259" i="8"/>
  <c r="U374" i="8" s="1"/>
  <c r="U324" i="8"/>
  <c r="U328" i="8" s="1"/>
  <c r="V319" i="8"/>
  <c r="J293" i="8"/>
  <c r="J294" i="8" s="1"/>
  <c r="N321" i="8"/>
  <c r="X297" i="8"/>
  <c r="O321" i="8"/>
  <c r="AA293" i="8"/>
  <c r="AA295" i="8" s="1"/>
  <c r="AI298" i="8"/>
  <c r="E285" i="8"/>
  <c r="M246" i="8"/>
  <c r="M361" i="8" s="1"/>
  <c r="M242" i="8"/>
  <c r="M357" i="8" s="1"/>
  <c r="U242" i="8"/>
  <c r="U357" i="8" s="1"/>
  <c r="AC243" i="8"/>
  <c r="AC358" i="8" s="1"/>
  <c r="G285" i="8"/>
  <c r="I249" i="8"/>
  <c r="Y248" i="8"/>
  <c r="U248" i="8"/>
  <c r="AK248" i="8"/>
  <c r="AB333" i="8"/>
  <c r="X327" i="8"/>
  <c r="Q242" i="8"/>
  <c r="Q357" i="8" s="1"/>
  <c r="Q244" i="8"/>
  <c r="Q359" i="8" s="1"/>
  <c r="Q246" i="8"/>
  <c r="Q361" i="8" s="1"/>
  <c r="P342" i="8"/>
  <c r="P343" i="8"/>
  <c r="P340" i="8"/>
  <c r="P341" i="8"/>
  <c r="P339" i="8"/>
  <c r="P344" i="8"/>
  <c r="AC251" i="8"/>
  <c r="AC249" i="8"/>
  <c r="AC252" i="8"/>
  <c r="AC338" i="8"/>
  <c r="AC331" i="8"/>
  <c r="Y338" i="8"/>
  <c r="Y331" i="8"/>
  <c r="AB327" i="8"/>
  <c r="AB329" i="8"/>
  <c r="AB325" i="8"/>
  <c r="AB339" i="8"/>
  <c r="AB341" i="8"/>
  <c r="AB344" i="8"/>
  <c r="AB342" i="8"/>
  <c r="AB343" i="8"/>
  <c r="AB340" i="8"/>
  <c r="E338" i="8"/>
  <c r="E331" i="8"/>
  <c r="M254" i="8"/>
  <c r="M255" i="8"/>
  <c r="Q252" i="8"/>
  <c r="Q249" i="8"/>
  <c r="Y255" i="8"/>
  <c r="Y254" i="8"/>
  <c r="AK331" i="8"/>
  <c r="AK338" i="8"/>
  <c r="AG240" i="8"/>
  <c r="AG355" i="8" s="1"/>
  <c r="AI260" i="8"/>
  <c r="AI375" i="8" s="1"/>
  <c r="AF259" i="8"/>
  <c r="AF374" i="8" s="1"/>
  <c r="Z264" i="8"/>
  <c r="Z379" i="8" s="1"/>
  <c r="U250" i="8"/>
  <c r="Q250" i="8"/>
  <c r="X325" i="8"/>
  <c r="AC382" i="8"/>
  <c r="I338" i="8"/>
  <c r="I331" i="8"/>
  <c r="M331" i="8"/>
  <c r="M338" i="8"/>
  <c r="Q338" i="8"/>
  <c r="Q331" i="8"/>
  <c r="Y382" i="8"/>
  <c r="AG382" i="8"/>
  <c r="AG338" i="8"/>
  <c r="AG331" i="8"/>
  <c r="M236" i="8"/>
  <c r="M238" i="8" s="1"/>
  <c r="M353" i="8" s="1"/>
  <c r="AC236" i="8"/>
  <c r="U240" i="8"/>
  <c r="U355" i="8" s="1"/>
  <c r="V351" i="8"/>
  <c r="H265" i="8"/>
  <c r="H380" i="8" s="1"/>
  <c r="I245" i="8"/>
  <c r="I360" i="8" s="1"/>
  <c r="I236" i="8"/>
  <c r="I238" i="8" s="1"/>
  <c r="I353" i="8" s="1"/>
  <c r="AG243" i="8"/>
  <c r="AG358" i="8" s="1"/>
  <c r="O259" i="8"/>
  <c r="O374" i="8" s="1"/>
  <c r="O290" i="8"/>
  <c r="AH298" i="8"/>
  <c r="X330" i="8"/>
  <c r="W263" i="8"/>
  <c r="W378" i="8" s="1"/>
  <c r="E261" i="8"/>
  <c r="E376" i="8" s="1"/>
  <c r="U261" i="8"/>
  <c r="U376" i="8" s="1"/>
  <c r="E292" i="8"/>
  <c r="M292" i="8"/>
  <c r="M297" i="8" s="1"/>
  <c r="U292" i="8"/>
  <c r="AK292" i="8"/>
  <c r="AK298" i="8" s="1"/>
  <c r="V317" i="8"/>
  <c r="N329" i="8"/>
  <c r="R305" i="8"/>
  <c r="N317" i="8"/>
  <c r="O319" i="8"/>
  <c r="M245" i="8"/>
  <c r="M360" i="8" s="1"/>
  <c r="AC246" i="8"/>
  <c r="AC361" i="8" s="1"/>
  <c r="K285" i="8"/>
  <c r="K290" i="8" s="1"/>
  <c r="I251" i="8"/>
  <c r="U252" i="8"/>
  <c r="AK251" i="8"/>
  <c r="I244" i="8"/>
  <c r="I359" i="8" s="1"/>
  <c r="Y242" i="8"/>
  <c r="Y357" i="8" s="1"/>
  <c r="Y244" i="8"/>
  <c r="Y359" i="8" s="1"/>
  <c r="Y246" i="8"/>
  <c r="Y361" i="8" s="1"/>
  <c r="AF342" i="8"/>
  <c r="AF340" i="8"/>
  <c r="AF341" i="8"/>
  <c r="AF339" i="8"/>
  <c r="AF343" i="8"/>
  <c r="AF344" i="8"/>
  <c r="AC263" i="8"/>
  <c r="AC378" i="8" s="1"/>
  <c r="AC265" i="8"/>
  <c r="AC380" i="8" s="1"/>
  <c r="E243" i="8"/>
  <c r="E358" i="8" s="1"/>
  <c r="E241" i="8"/>
  <c r="E356" i="8" s="1"/>
  <c r="E245" i="8"/>
  <c r="E360" i="8" s="1"/>
  <c r="M382" i="8"/>
  <c r="L339" i="8"/>
  <c r="L341" i="8"/>
  <c r="L344" i="8"/>
  <c r="L342" i="8"/>
  <c r="L340" i="8"/>
  <c r="L343" i="8"/>
  <c r="K304" i="8"/>
  <c r="K307" i="8"/>
  <c r="AD264" i="8"/>
  <c r="AD379" i="8" s="1"/>
  <c r="L259" i="8"/>
  <c r="L374" i="8" s="1"/>
  <c r="AB260" i="8"/>
  <c r="AB375" i="8" s="1"/>
  <c r="G265" i="8"/>
  <c r="G380" i="8" s="1"/>
  <c r="R307" i="8"/>
  <c r="W318" i="8"/>
  <c r="AE322" i="8"/>
  <c r="AE317" i="8"/>
  <c r="S306" i="8"/>
  <c r="S309" i="8"/>
  <c r="S313" i="8" s="1"/>
  <c r="AF242" i="8"/>
  <c r="AF357" i="8" s="1"/>
  <c r="AF244" i="8"/>
  <c r="AF359" i="8" s="1"/>
  <c r="AF246" i="8"/>
  <c r="AF361" i="8" s="1"/>
  <c r="F249" i="8"/>
  <c r="F251" i="8"/>
  <c r="N254" i="8"/>
  <c r="N255" i="8"/>
  <c r="O309" i="8"/>
  <c r="O302" i="8"/>
  <c r="AE302" i="8"/>
  <c r="AE309" i="8"/>
  <c r="J264" i="8"/>
  <c r="J379" i="8" s="1"/>
  <c r="J263" i="8"/>
  <c r="J378" i="8" s="1"/>
  <c r="J265" i="8"/>
  <c r="J380" i="8" s="1"/>
  <c r="R240" i="8"/>
  <c r="R355" i="8" s="1"/>
  <c r="R241" i="8"/>
  <c r="R356" i="8" s="1"/>
  <c r="R245" i="8"/>
  <c r="R360" i="8" s="1"/>
  <c r="R236" i="8"/>
  <c r="R244" i="8"/>
  <c r="R359" i="8" s="1"/>
  <c r="R246" i="8"/>
  <c r="R361" i="8" s="1"/>
  <c r="R242" i="8"/>
  <c r="R357" i="8" s="1"/>
  <c r="R243" i="8"/>
  <c r="R358" i="8" s="1"/>
  <c r="Z236" i="8"/>
  <c r="Z245" i="8"/>
  <c r="Z360" i="8" s="1"/>
  <c r="Z246" i="8"/>
  <c r="Z361" i="8" s="1"/>
  <c r="Z240" i="8"/>
  <c r="Z355" i="8" s="1"/>
  <c r="Z244" i="8"/>
  <c r="Z359" i="8" s="1"/>
  <c r="Z242" i="8"/>
  <c r="Z357" i="8" s="1"/>
  <c r="Z243" i="8"/>
  <c r="Z358" i="8" s="1"/>
  <c r="Z241" i="8"/>
  <c r="Z356" i="8" s="1"/>
  <c r="AJ238" i="8"/>
  <c r="AJ353" i="8" s="1"/>
  <c r="AJ239" i="8"/>
  <c r="AJ354" i="8" s="1"/>
  <c r="AJ237" i="8"/>
  <c r="AJ352" i="8" s="1"/>
  <c r="AD249" i="8"/>
  <c r="AD251" i="8"/>
  <c r="T249" i="8"/>
  <c r="T250" i="8"/>
  <c r="T251" i="8"/>
  <c r="T248" i="8"/>
  <c r="T252" i="8"/>
  <c r="AB254" i="8"/>
  <c r="AB255" i="8"/>
  <c r="AI320" i="8"/>
  <c r="AI322" i="8"/>
  <c r="AI318" i="8"/>
  <c r="J251" i="8"/>
  <c r="J249" i="8"/>
  <c r="AH254" i="8"/>
  <c r="AH255" i="8"/>
  <c r="N265" i="8"/>
  <c r="N380" i="8" s="1"/>
  <c r="W265" i="8"/>
  <c r="W380" i="8" s="1"/>
  <c r="J305" i="8"/>
  <c r="R303" i="8"/>
  <c r="N319" i="8"/>
  <c r="W319" i="8"/>
  <c r="AE321" i="8"/>
  <c r="S305" i="8"/>
  <c r="S285" i="8"/>
  <c r="S290" i="8" s="1"/>
  <c r="AI302" i="8"/>
  <c r="S322" i="8"/>
  <c r="W260" i="8"/>
  <c r="W375" i="8" s="1"/>
  <c r="W261" i="8"/>
  <c r="W376" i="8" s="1"/>
  <c r="W259" i="8"/>
  <c r="W374" i="8" s="1"/>
  <c r="G302" i="8"/>
  <c r="G309" i="8"/>
  <c r="W309" i="8"/>
  <c r="W302" i="8"/>
  <c r="J236" i="8"/>
  <c r="J243" i="8"/>
  <c r="J358" i="8" s="1"/>
  <c r="J245" i="8"/>
  <c r="J360" i="8" s="1"/>
  <c r="J244" i="8"/>
  <c r="J359" i="8" s="1"/>
  <c r="J246" i="8"/>
  <c r="J361" i="8" s="1"/>
  <c r="J240" i="8"/>
  <c r="J355" i="8" s="1"/>
  <c r="J241" i="8"/>
  <c r="J356" i="8" s="1"/>
  <c r="J242" i="8"/>
  <c r="J357" i="8" s="1"/>
  <c r="AH240" i="8"/>
  <c r="AH355" i="8" s="1"/>
  <c r="AH242" i="8"/>
  <c r="AH357" i="8" s="1"/>
  <c r="AH244" i="8"/>
  <c r="AH359" i="8" s="1"/>
  <c r="AH236" i="8"/>
  <c r="AH243" i="8"/>
  <c r="AH358" i="8" s="1"/>
  <c r="AH245" i="8"/>
  <c r="AH360" i="8" s="1"/>
  <c r="AH246" i="8"/>
  <c r="AH361" i="8" s="1"/>
  <c r="AH241" i="8"/>
  <c r="AH356" i="8" s="1"/>
  <c r="AH330" i="8"/>
  <c r="AH328" i="8"/>
  <c r="AH326" i="8"/>
  <c r="L243" i="8"/>
  <c r="L358" i="8" s="1"/>
  <c r="L245" i="8"/>
  <c r="L360" i="8" s="1"/>
  <c r="L244" i="8"/>
  <c r="L359" i="8" s="1"/>
  <c r="L246" i="8"/>
  <c r="L361" i="8" s="1"/>
  <c r="L241" i="8"/>
  <c r="L356" i="8" s="1"/>
  <c r="L242" i="8"/>
  <c r="L357" i="8" s="1"/>
  <c r="K316" i="8"/>
  <c r="K309" i="8"/>
  <c r="AA309" i="8"/>
  <c r="AA316" i="8"/>
  <c r="R254" i="8"/>
  <c r="R255" i="8"/>
  <c r="Z249" i="8"/>
  <c r="Z251" i="8"/>
  <c r="V251" i="8"/>
  <c r="V249" i="8"/>
  <c r="AD254" i="8"/>
  <c r="AD255" i="8"/>
  <c r="AH260" i="8"/>
  <c r="AH375" i="8" s="1"/>
  <c r="AH261" i="8"/>
  <c r="AH376" i="8" s="1"/>
  <c r="AH259" i="8"/>
  <c r="AH374" i="8" s="1"/>
  <c r="G236" i="8"/>
  <c r="G240" i="8"/>
  <c r="G355" i="8" s="1"/>
  <c r="G241" i="8"/>
  <c r="G356" i="8" s="1"/>
  <c r="G243" i="8"/>
  <c r="G358" i="8" s="1"/>
  <c r="G245" i="8"/>
  <c r="G360" i="8" s="1"/>
  <c r="G242" i="8"/>
  <c r="G357" i="8" s="1"/>
  <c r="G244" i="8"/>
  <c r="G359" i="8" s="1"/>
  <c r="G246" i="8"/>
  <c r="G361" i="8" s="1"/>
  <c r="AE249" i="8"/>
  <c r="AE251" i="8"/>
  <c r="O333" i="8"/>
  <c r="O335" i="8"/>
  <c r="O337" i="8"/>
  <c r="O336" i="8"/>
  <c r="O334" i="8"/>
  <c r="O332" i="8"/>
  <c r="F265" i="8"/>
  <c r="F380" i="8" s="1"/>
  <c r="O264" i="8"/>
  <c r="O379" i="8" s="1"/>
  <c r="S293" i="8"/>
  <c r="S295" i="8" s="1"/>
  <c r="K298" i="8"/>
  <c r="K306" i="8"/>
  <c r="K305" i="8"/>
  <c r="R260" i="8"/>
  <c r="R375" i="8" s="1"/>
  <c r="R259" i="8"/>
  <c r="R374" i="8" s="1"/>
  <c r="R261" i="8"/>
  <c r="R376" i="8" s="1"/>
  <c r="K259" i="8"/>
  <c r="K374" i="8" s="1"/>
  <c r="K260" i="8"/>
  <c r="K375" i="8" s="1"/>
  <c r="K261" i="8"/>
  <c r="K376" i="8" s="1"/>
  <c r="K249" i="8"/>
  <c r="K251" i="8"/>
  <c r="S249" i="8"/>
  <c r="S251" i="8"/>
  <c r="AA261" i="8"/>
  <c r="AA376" i="8" s="1"/>
  <c r="AA259" i="8"/>
  <c r="AA374" i="8" s="1"/>
  <c r="AA260" i="8"/>
  <c r="AA375" i="8" s="1"/>
  <c r="AE236" i="8"/>
  <c r="AE240" i="8"/>
  <c r="AE355" i="8" s="1"/>
  <c r="AE243" i="8"/>
  <c r="AE358" i="8" s="1"/>
  <c r="AE246" i="8"/>
  <c r="AE361" i="8" s="1"/>
  <c r="AE245" i="8"/>
  <c r="AE360" i="8" s="1"/>
  <c r="AE242" i="8"/>
  <c r="AE357" i="8" s="1"/>
  <c r="AE244" i="8"/>
  <c r="AE359" i="8" s="1"/>
  <c r="AE241" i="8"/>
  <c r="AE356" i="8" s="1"/>
  <c r="K291" i="8"/>
  <c r="AI313" i="8"/>
  <c r="AI314" i="8"/>
  <c r="AI315" i="8"/>
  <c r="AI310" i="8"/>
  <c r="AI311" i="8"/>
  <c r="AI312" i="8"/>
  <c r="AA326" i="8"/>
  <c r="AA330" i="8"/>
  <c r="AA328" i="8"/>
  <c r="V308" i="8"/>
  <c r="V304" i="8"/>
  <c r="V306" i="8"/>
  <c r="Z310" i="8"/>
  <c r="Z311" i="8"/>
  <c r="Z312" i="8"/>
  <c r="Z314" i="8"/>
  <c r="Z315" i="8"/>
  <c r="Z313" i="8"/>
  <c r="L327" i="8"/>
  <c r="L325" i="8"/>
  <c r="L329" i="8"/>
  <c r="O236" i="8"/>
  <c r="O240" i="8"/>
  <c r="O355" i="8" s="1"/>
  <c r="O242" i="8"/>
  <c r="O357" i="8" s="1"/>
  <c r="O245" i="8"/>
  <c r="O360" i="8" s="1"/>
  <c r="O244" i="8"/>
  <c r="O359" i="8" s="1"/>
  <c r="O243" i="8"/>
  <c r="O358" i="8" s="1"/>
  <c r="O246" i="8"/>
  <c r="O361" i="8" s="1"/>
  <c r="O241" i="8"/>
  <c r="O356" i="8" s="1"/>
  <c r="R291" i="8"/>
  <c r="R286" i="8"/>
  <c r="R290" i="8"/>
  <c r="AD310" i="8"/>
  <c r="AD311" i="8"/>
  <c r="AD312" i="8"/>
  <c r="AD313" i="8"/>
  <c r="AD315" i="8"/>
  <c r="AD314" i="8"/>
  <c r="AI326" i="8"/>
  <c r="AI328" i="8"/>
  <c r="AI330" i="8"/>
  <c r="AA263" i="8"/>
  <c r="AA378" i="8" s="1"/>
  <c r="W290" i="8"/>
  <c r="AE252" i="8"/>
  <c r="F286" i="8"/>
  <c r="F290" i="8"/>
  <c r="AE286" i="8"/>
  <c r="AE290" i="8"/>
  <c r="F263" i="8"/>
  <c r="F378" i="8" s="1"/>
  <c r="R297" i="8"/>
  <c r="AI329" i="8"/>
  <c r="K297" i="8"/>
  <c r="K308" i="8"/>
  <c r="K303" i="8"/>
  <c r="AA303" i="8"/>
  <c r="S308" i="8"/>
  <c r="S303" i="8"/>
  <c r="Z260" i="8"/>
  <c r="Z375" i="8" s="1"/>
  <c r="Z259" i="8"/>
  <c r="Z374" i="8" s="1"/>
  <c r="Z261" i="8"/>
  <c r="Z376" i="8" s="1"/>
  <c r="K240" i="8"/>
  <c r="K355" i="8" s="1"/>
  <c r="K243" i="8"/>
  <c r="K358" i="8" s="1"/>
  <c r="K242" i="8"/>
  <c r="K357" i="8" s="1"/>
  <c r="K245" i="8"/>
  <c r="K360" i="8" s="1"/>
  <c r="K241" i="8"/>
  <c r="K356" i="8" s="1"/>
  <c r="K236" i="8"/>
  <c r="K244" i="8"/>
  <c r="K359" i="8" s="1"/>
  <c r="K246" i="8"/>
  <c r="K361" i="8" s="1"/>
  <c r="S241" i="8"/>
  <c r="S356" i="8" s="1"/>
  <c r="S243" i="8"/>
  <c r="S358" i="8" s="1"/>
  <c r="S245" i="8"/>
  <c r="S360" i="8" s="1"/>
  <c r="S242" i="8"/>
  <c r="S357" i="8" s="1"/>
  <c r="S244" i="8"/>
  <c r="S359" i="8" s="1"/>
  <c r="S236" i="8"/>
  <c r="S240" i="8"/>
  <c r="S355" i="8" s="1"/>
  <c r="S246" i="8"/>
  <c r="S361" i="8" s="1"/>
  <c r="AA249" i="8"/>
  <c r="AA251" i="8"/>
  <c r="AI249" i="8"/>
  <c r="AI251" i="8"/>
  <c r="AK238" i="8"/>
  <c r="AK353" i="8" s="1"/>
  <c r="AK237" i="8"/>
  <c r="AK352" i="8" s="1"/>
  <c r="AK239" i="8"/>
  <c r="AK354" i="8" s="1"/>
  <c r="S291" i="8"/>
  <c r="AA291" i="8"/>
  <c r="AA286" i="8"/>
  <c r="AA290" i="8"/>
  <c r="V332" i="8"/>
  <c r="V335" i="8"/>
  <c r="V337" i="8"/>
  <c r="V334" i="8"/>
  <c r="V336" i="8"/>
  <c r="V333" i="8"/>
  <c r="J291" i="8"/>
  <c r="J286" i="8"/>
  <c r="J290" i="8"/>
  <c r="R310" i="8"/>
  <c r="R311" i="8"/>
  <c r="R312" i="8"/>
  <c r="R313" i="8"/>
  <c r="R314" i="8"/>
  <c r="R315" i="8"/>
  <c r="Z291" i="8"/>
  <c r="Z286" i="8"/>
  <c r="Z290" i="8"/>
  <c r="AH310" i="8"/>
  <c r="AH277" i="8" s="1"/>
  <c r="AH311" i="8"/>
  <c r="AH312" i="8"/>
  <c r="AH279" i="8" s="1"/>
  <c r="AH313" i="8"/>
  <c r="AH314" i="8"/>
  <c r="AH315" i="8"/>
  <c r="W236" i="8"/>
  <c r="W240" i="8"/>
  <c r="W355" i="8" s="1"/>
  <c r="W241" i="8"/>
  <c r="W356" i="8" s="1"/>
  <c r="W243" i="8"/>
  <c r="W358" i="8" s="1"/>
  <c r="W245" i="8"/>
  <c r="W360" i="8" s="1"/>
  <c r="W244" i="8"/>
  <c r="W359" i="8" s="1"/>
  <c r="W246" i="8"/>
  <c r="W361" i="8" s="1"/>
  <c r="W242" i="8"/>
  <c r="W357" i="8" s="1"/>
  <c r="J335" i="8"/>
  <c r="J337" i="8"/>
  <c r="J333" i="8"/>
  <c r="J332" i="8"/>
  <c r="J336" i="8"/>
  <c r="J334" i="8"/>
  <c r="Z335" i="8"/>
  <c r="Z337" i="8"/>
  <c r="Z332" i="8"/>
  <c r="Z333" i="8"/>
  <c r="Z334" i="8"/>
  <c r="Z336" i="8"/>
  <c r="N313" i="8"/>
  <c r="N314" i="8"/>
  <c r="N315" i="8"/>
  <c r="N310" i="8"/>
  <c r="N312" i="8"/>
  <c r="N311" i="8"/>
  <c r="Z318" i="8"/>
  <c r="Z320" i="8"/>
  <c r="Z322" i="8"/>
  <c r="AH291" i="8"/>
  <c r="AH286" i="8"/>
  <c r="AH290" i="8"/>
  <c r="L298" i="8"/>
  <c r="L293" i="8"/>
  <c r="N260" i="8"/>
  <c r="N375" i="8" s="1"/>
  <c r="W286" i="8"/>
  <c r="W287" i="8" s="1"/>
  <c r="AD351" i="8"/>
  <c r="AE250" i="8"/>
  <c r="D261" i="8"/>
  <c r="D376" i="8" s="1"/>
  <c r="R293" i="8"/>
  <c r="R295" i="8" s="1"/>
  <c r="L297" i="8"/>
  <c r="Z321" i="8"/>
  <c r="AI327" i="8"/>
  <c r="J260" i="8"/>
  <c r="J375" i="8" s="1"/>
  <c r="J259" i="8"/>
  <c r="J374" i="8" s="1"/>
  <c r="J261" i="8"/>
  <c r="J376" i="8" s="1"/>
  <c r="S260" i="8"/>
  <c r="S375" i="8" s="1"/>
  <c r="S261" i="8"/>
  <c r="S376" i="8" s="1"/>
  <c r="S259" i="8"/>
  <c r="S374" i="8" s="1"/>
  <c r="G249" i="8"/>
  <c r="G251" i="8"/>
  <c r="O249" i="8"/>
  <c r="O251" i="8"/>
  <c r="W249" i="8"/>
  <c r="W251" i="8"/>
  <c r="AA241" i="8"/>
  <c r="AA356" i="8" s="1"/>
  <c r="AA244" i="8"/>
  <c r="AA359" i="8" s="1"/>
  <c r="AA236" i="8"/>
  <c r="AA243" i="8"/>
  <c r="AA358" i="8" s="1"/>
  <c r="AA246" i="8"/>
  <c r="AA361" i="8" s="1"/>
  <c r="AA240" i="8"/>
  <c r="AA355" i="8" s="1"/>
  <c r="AA242" i="8"/>
  <c r="AA357" i="8" s="1"/>
  <c r="AA245" i="8"/>
  <c r="AA360" i="8" s="1"/>
  <c r="AI241" i="8"/>
  <c r="AI356" i="8" s="1"/>
  <c r="AI243" i="8"/>
  <c r="AI358" i="8" s="1"/>
  <c r="AI245" i="8"/>
  <c r="AI360" i="8" s="1"/>
  <c r="AI236" i="8"/>
  <c r="AI246" i="8"/>
  <c r="AI361" i="8" s="1"/>
  <c r="AI240" i="8"/>
  <c r="AI355" i="8" s="1"/>
  <c r="AI242" i="8"/>
  <c r="AI357" i="8" s="1"/>
  <c r="AI244" i="8"/>
  <c r="AI359" i="8" s="1"/>
  <c r="AI291" i="8"/>
  <c r="AI290" i="8"/>
  <c r="AI286" i="8"/>
  <c r="V293" i="8"/>
  <c r="AE332" i="8"/>
  <c r="AE333" i="8"/>
  <c r="AE334" i="8"/>
  <c r="AE336" i="8"/>
  <c r="AE335" i="8"/>
  <c r="AE337" i="8"/>
  <c r="F297" i="8"/>
  <c r="F298" i="8"/>
  <c r="F293" i="8"/>
  <c r="K328" i="8"/>
  <c r="K330" i="8"/>
  <c r="K326" i="8"/>
  <c r="F313" i="8"/>
  <c r="F312" i="8"/>
  <c r="F315" i="8"/>
  <c r="F311" i="8"/>
  <c r="F314" i="8"/>
  <c r="F310" i="8"/>
  <c r="AD304" i="8"/>
  <c r="AD306" i="8"/>
  <c r="AD308" i="8"/>
  <c r="AH322" i="8"/>
  <c r="AH318" i="8"/>
  <c r="AH320" i="8"/>
  <c r="H238" i="8"/>
  <c r="H353" i="8" s="1"/>
  <c r="H237" i="8"/>
  <c r="H352" i="8" s="1"/>
  <c r="H239" i="8"/>
  <c r="H354" i="8" s="1"/>
  <c r="O287" i="8"/>
  <c r="O289" i="8"/>
  <c r="O288" i="8"/>
  <c r="AB298" i="8"/>
  <c r="AB297" i="8"/>
  <c r="AB293" i="8"/>
  <c r="P298" i="8"/>
  <c r="P293" i="8"/>
  <c r="P297" i="8"/>
  <c r="AJ326" i="8"/>
  <c r="AJ328" i="8"/>
  <c r="AJ330" i="8"/>
  <c r="AJ327" i="8"/>
  <c r="AJ325" i="8"/>
  <c r="AJ329" i="8"/>
  <c r="G295" i="8"/>
  <c r="G296" i="8"/>
  <c r="G294" i="8"/>
  <c r="Q298" i="8"/>
  <c r="Q293" i="8"/>
  <c r="Q297" i="8"/>
  <c r="AG298" i="8"/>
  <c r="AG297" i="8"/>
  <c r="AG293" i="8"/>
  <c r="D318" i="8"/>
  <c r="D320" i="8"/>
  <c r="D322" i="8"/>
  <c r="D319" i="8"/>
  <c r="D317" i="8"/>
  <c r="D321" i="8"/>
  <c r="H286" i="8"/>
  <c r="H290" i="8"/>
  <c r="H291" i="8"/>
  <c r="X318" i="8"/>
  <c r="X320" i="8"/>
  <c r="X322" i="8"/>
  <c r="X317" i="8"/>
  <c r="X321" i="8"/>
  <c r="X319" i="8"/>
  <c r="Y304" i="8"/>
  <c r="Y306" i="8"/>
  <c r="Y308" i="8"/>
  <c r="Y305" i="8"/>
  <c r="Y303" i="8"/>
  <c r="Y307" i="8"/>
  <c r="Q286" i="8"/>
  <c r="Q290" i="8"/>
  <c r="Q291" i="8"/>
  <c r="D238" i="8"/>
  <c r="D353" i="8" s="1"/>
  <c r="D239" i="8"/>
  <c r="D354" i="8" s="1"/>
  <c r="D237" i="8"/>
  <c r="D352" i="8" s="1"/>
  <c r="T238" i="8"/>
  <c r="T353" i="8" s="1"/>
  <c r="T239" i="8"/>
  <c r="T354" i="8" s="1"/>
  <c r="T237" i="8"/>
  <c r="T352" i="8" s="1"/>
  <c r="E238" i="8"/>
  <c r="E353" i="8" s="1"/>
  <c r="E239" i="8"/>
  <c r="E354" i="8" s="1"/>
  <c r="E237" i="8"/>
  <c r="E352" i="8" s="1"/>
  <c r="U238" i="8"/>
  <c r="U353" i="8" s="1"/>
  <c r="U239" i="8"/>
  <c r="U354" i="8" s="1"/>
  <c r="U237" i="8"/>
  <c r="U352" i="8" s="1"/>
  <c r="P238" i="8"/>
  <c r="P353" i="8" s="1"/>
  <c r="P237" i="8"/>
  <c r="P352" i="8" s="1"/>
  <c r="P239" i="8"/>
  <c r="P354" i="8" s="1"/>
  <c r="Q238" i="8"/>
  <c r="Q353" i="8" s="1"/>
  <c r="Q237" i="8"/>
  <c r="Q352" i="8" s="1"/>
  <c r="Q239" i="8"/>
  <c r="Q354" i="8" s="1"/>
  <c r="AD287" i="8"/>
  <c r="AD289" i="8"/>
  <c r="AD288" i="8"/>
  <c r="D286" i="8"/>
  <c r="D290" i="8"/>
  <c r="D291" i="8"/>
  <c r="D326" i="8"/>
  <c r="D328" i="8"/>
  <c r="D330" i="8"/>
  <c r="D327" i="8"/>
  <c r="D325" i="8"/>
  <c r="D329" i="8"/>
  <c r="P326" i="8"/>
  <c r="P328" i="8"/>
  <c r="P330" i="8"/>
  <c r="P325" i="8"/>
  <c r="P329" i="8"/>
  <c r="P327" i="8"/>
  <c r="AJ298" i="8"/>
  <c r="AJ293" i="8"/>
  <c r="AJ297" i="8"/>
  <c r="E326" i="8"/>
  <c r="E328" i="8"/>
  <c r="E330" i="8"/>
  <c r="E327" i="8"/>
  <c r="E329" i="8"/>
  <c r="E325" i="8"/>
  <c r="M326" i="8"/>
  <c r="M328" i="8"/>
  <c r="M330" i="8"/>
  <c r="M327" i="8"/>
  <c r="M329" i="8"/>
  <c r="M325" i="8"/>
  <c r="U326" i="8"/>
  <c r="U325" i="8"/>
  <c r="AC326" i="8"/>
  <c r="AC328" i="8"/>
  <c r="AC330" i="8"/>
  <c r="AC327" i="8"/>
  <c r="AC329" i="8"/>
  <c r="AC325" i="8"/>
  <c r="AK326" i="8"/>
  <c r="AK328" i="8"/>
  <c r="AK330" i="8"/>
  <c r="AK327" i="8"/>
  <c r="AK325" i="8"/>
  <c r="AK329" i="8"/>
  <c r="AH295" i="8"/>
  <c r="AH294" i="8"/>
  <c r="AH296" i="8"/>
  <c r="D304" i="8"/>
  <c r="D306" i="8"/>
  <c r="D308" i="8"/>
  <c r="D303" i="8"/>
  <c r="D307" i="8"/>
  <c r="D305" i="8"/>
  <c r="L318" i="8"/>
  <c r="L320" i="8"/>
  <c r="L322" i="8"/>
  <c r="L319" i="8"/>
  <c r="L317" i="8"/>
  <c r="L321" i="8"/>
  <c r="P286" i="8"/>
  <c r="P290" i="8"/>
  <c r="P291" i="8"/>
  <c r="X304" i="8"/>
  <c r="X306" i="8"/>
  <c r="X308" i="8"/>
  <c r="X305" i="8"/>
  <c r="X307" i="8"/>
  <c r="X303" i="8"/>
  <c r="AF318" i="8"/>
  <c r="AF320" i="8"/>
  <c r="AF322" i="8"/>
  <c r="AF317" i="8"/>
  <c r="AF321" i="8"/>
  <c r="AF319" i="8"/>
  <c r="AJ304" i="8"/>
  <c r="AJ306" i="8"/>
  <c r="AJ308" i="8"/>
  <c r="AJ303" i="8"/>
  <c r="AJ307" i="8"/>
  <c r="AJ305" i="8"/>
  <c r="O295" i="8"/>
  <c r="O296" i="8"/>
  <c r="O294" i="8"/>
  <c r="M304" i="8"/>
  <c r="M306" i="8"/>
  <c r="M308" i="8"/>
  <c r="M303" i="8"/>
  <c r="M307" i="8"/>
  <c r="M305" i="8"/>
  <c r="Y286" i="8"/>
  <c r="Y290" i="8"/>
  <c r="Y291" i="8"/>
  <c r="I310" i="8"/>
  <c r="I312" i="8"/>
  <c r="I314" i="8"/>
  <c r="I311" i="8"/>
  <c r="I315" i="8"/>
  <c r="I313" i="8"/>
  <c r="Q310" i="8"/>
  <c r="Q312" i="8"/>
  <c r="Q314" i="8"/>
  <c r="Q311" i="8"/>
  <c r="Q315" i="8"/>
  <c r="Q313" i="8"/>
  <c r="AC310" i="8"/>
  <c r="AC312" i="8"/>
  <c r="AC314" i="8"/>
  <c r="AC311" i="8"/>
  <c r="AC315" i="8"/>
  <c r="AC313" i="8"/>
  <c r="AK286" i="8"/>
  <c r="AK290" i="8"/>
  <c r="AK291" i="8"/>
  <c r="E304" i="8"/>
  <c r="E306" i="8"/>
  <c r="E308" i="8"/>
  <c r="E303" i="8"/>
  <c r="E307" i="8"/>
  <c r="E305" i="8"/>
  <c r="U304" i="8"/>
  <c r="U306" i="8"/>
  <c r="U308" i="8"/>
  <c r="U303" i="8"/>
  <c r="U307" i="8"/>
  <c r="U305" i="8"/>
  <c r="AG286" i="8"/>
  <c r="AG290" i="8"/>
  <c r="AG291" i="8"/>
  <c r="V287" i="8"/>
  <c r="I293" i="8"/>
  <c r="I298" i="8"/>
  <c r="I297" i="8"/>
  <c r="Y293" i="8"/>
  <c r="Y298" i="8"/>
  <c r="Y297" i="8"/>
  <c r="P304" i="8"/>
  <c r="P306" i="8"/>
  <c r="P308" i="8"/>
  <c r="P305" i="8"/>
  <c r="P307" i="8"/>
  <c r="P303" i="8"/>
  <c r="AB304" i="8"/>
  <c r="AB306" i="8"/>
  <c r="AB308" i="8"/>
  <c r="AB303" i="8"/>
  <c r="AB307" i="8"/>
  <c r="AB305" i="8"/>
  <c r="AJ318" i="8"/>
  <c r="AJ320" i="8"/>
  <c r="AJ322" i="8"/>
  <c r="AJ319" i="8"/>
  <c r="AJ321" i="8"/>
  <c r="AJ317" i="8"/>
  <c r="M318" i="8"/>
  <c r="M320" i="8"/>
  <c r="M322" i="8"/>
  <c r="M319" i="8"/>
  <c r="M317" i="8"/>
  <c r="M321" i="8"/>
  <c r="I286" i="8"/>
  <c r="I290" i="8"/>
  <c r="I291" i="8"/>
  <c r="AK310" i="8"/>
  <c r="AK312" i="8"/>
  <c r="AK314" i="8"/>
  <c r="AK311" i="8"/>
  <c r="AK315" i="8"/>
  <c r="AK313" i="8"/>
  <c r="E318" i="8"/>
  <c r="E320" i="8"/>
  <c r="E322" i="8"/>
  <c r="E319" i="8"/>
  <c r="E317" i="8"/>
  <c r="E321" i="8"/>
  <c r="U318" i="8"/>
  <c r="U320" i="8"/>
  <c r="U322" i="8"/>
  <c r="U319" i="8"/>
  <c r="U321" i="8"/>
  <c r="U317" i="8"/>
  <c r="AG304" i="8"/>
  <c r="AG306" i="8"/>
  <c r="AG308" i="8"/>
  <c r="AG305" i="8"/>
  <c r="AG307" i="8"/>
  <c r="AG303" i="8"/>
  <c r="X238" i="8"/>
  <c r="X353" i="8" s="1"/>
  <c r="X237" i="8"/>
  <c r="X352" i="8" s="1"/>
  <c r="X239" i="8"/>
  <c r="X354" i="8" s="1"/>
  <c r="F351" i="8"/>
  <c r="Y239" i="8"/>
  <c r="Y354" i="8" s="1"/>
  <c r="F287" i="8"/>
  <c r="F289" i="8"/>
  <c r="F288" i="8"/>
  <c r="AE287" i="8"/>
  <c r="AE289" i="8"/>
  <c r="AE288" i="8"/>
  <c r="T286" i="8"/>
  <c r="T290" i="8"/>
  <c r="T291" i="8"/>
  <c r="D298" i="8"/>
  <c r="D293" i="8"/>
  <c r="D297" i="8"/>
  <c r="T326" i="8"/>
  <c r="T328" i="8"/>
  <c r="T330" i="8"/>
  <c r="T327" i="8"/>
  <c r="T329" i="8"/>
  <c r="T325" i="8"/>
  <c r="AF298" i="8"/>
  <c r="AF293" i="8"/>
  <c r="AF297" i="8"/>
  <c r="E298" i="8"/>
  <c r="E293" i="8"/>
  <c r="E297" i="8"/>
  <c r="U298" i="8"/>
  <c r="U297" i="8"/>
  <c r="U293" i="8"/>
  <c r="AC293" i="8"/>
  <c r="AC298" i="8"/>
  <c r="AC297" i="8"/>
  <c r="AK297" i="8"/>
  <c r="L286" i="8"/>
  <c r="L290" i="8"/>
  <c r="L291" i="8"/>
  <c r="H318" i="8"/>
  <c r="H320" i="8"/>
  <c r="H322" i="8"/>
  <c r="H317" i="8"/>
  <c r="H321" i="8"/>
  <c r="H319" i="8"/>
  <c r="L304" i="8"/>
  <c r="L306" i="8"/>
  <c r="L308" i="8"/>
  <c r="L303" i="8"/>
  <c r="L277" i="8" s="1"/>
  <c r="L307" i="8"/>
  <c r="L305" i="8"/>
  <c r="T318" i="8"/>
  <c r="T320" i="8"/>
  <c r="T322" i="8"/>
  <c r="T319" i="8"/>
  <c r="T321" i="8"/>
  <c r="T317" i="8"/>
  <c r="X286" i="8"/>
  <c r="X290" i="8"/>
  <c r="X291" i="8"/>
  <c r="AF304" i="8"/>
  <c r="AF306" i="8"/>
  <c r="AF308" i="8"/>
  <c r="AF305" i="8"/>
  <c r="AF303" i="8"/>
  <c r="AF307" i="8"/>
  <c r="M310" i="8"/>
  <c r="M312" i="8"/>
  <c r="M314" i="8"/>
  <c r="M311" i="8"/>
  <c r="M315" i="8"/>
  <c r="M313" i="8"/>
  <c r="Y310" i="8"/>
  <c r="Y312" i="8"/>
  <c r="Y314" i="8"/>
  <c r="Y311" i="8"/>
  <c r="Y315" i="8"/>
  <c r="Y313" i="8"/>
  <c r="AC286" i="8"/>
  <c r="AC290" i="8"/>
  <c r="AC291" i="8"/>
  <c r="I318" i="8"/>
  <c r="I320" i="8"/>
  <c r="I322" i="8"/>
  <c r="I317" i="8"/>
  <c r="I321" i="8"/>
  <c r="I319" i="8"/>
  <c r="Q318" i="8"/>
  <c r="Q320" i="8"/>
  <c r="Q322" i="8"/>
  <c r="Q317" i="8"/>
  <c r="Q321" i="8"/>
  <c r="Q319" i="8"/>
  <c r="AC318" i="8"/>
  <c r="AC320" i="8"/>
  <c r="AC322" i="8"/>
  <c r="AC319" i="8"/>
  <c r="AC317" i="8"/>
  <c r="AC321" i="8"/>
  <c r="AK318" i="8"/>
  <c r="AK320" i="8"/>
  <c r="AK322" i="8"/>
  <c r="AK319" i="8"/>
  <c r="AK317" i="8"/>
  <c r="AK321" i="8"/>
  <c r="E310" i="8"/>
  <c r="E312" i="8"/>
  <c r="E314" i="8"/>
  <c r="E311" i="8"/>
  <c r="E315" i="8"/>
  <c r="E313" i="8"/>
  <c r="U310" i="8"/>
  <c r="U312" i="8"/>
  <c r="U314" i="8"/>
  <c r="U311" i="8"/>
  <c r="U315" i="8"/>
  <c r="U313" i="8"/>
  <c r="AG310" i="8"/>
  <c r="AG312" i="8"/>
  <c r="AG314" i="8"/>
  <c r="AG311" i="8"/>
  <c r="AG315" i="8"/>
  <c r="AG313" i="8"/>
  <c r="H293" i="8"/>
  <c r="H298" i="8"/>
  <c r="H297" i="8"/>
  <c r="L238" i="8"/>
  <c r="L353" i="8" s="1"/>
  <c r="L239" i="8"/>
  <c r="L354" i="8" s="1"/>
  <c r="L237" i="8"/>
  <c r="L352" i="8" s="1"/>
  <c r="AB238" i="8"/>
  <c r="AB353" i="8" s="1"/>
  <c r="AB239" i="8"/>
  <c r="AB354" i="8" s="1"/>
  <c r="AB237" i="8"/>
  <c r="AB352" i="8" s="1"/>
  <c r="AC238" i="8"/>
  <c r="AC353" i="8" s="1"/>
  <c r="AC239" i="8"/>
  <c r="AC354" i="8" s="1"/>
  <c r="AC237" i="8"/>
  <c r="AC352" i="8" s="1"/>
  <c r="AF238" i="8"/>
  <c r="AF353" i="8" s="1"/>
  <c r="AF237" i="8"/>
  <c r="AF352" i="8" s="1"/>
  <c r="AF239" i="8"/>
  <c r="AF354" i="8" s="1"/>
  <c r="AG239" i="8"/>
  <c r="AG354" i="8" s="1"/>
  <c r="N287" i="8"/>
  <c r="N289" i="8"/>
  <c r="N288" i="8"/>
  <c r="AJ286" i="8"/>
  <c r="AJ290" i="8"/>
  <c r="AJ291" i="8"/>
  <c r="H326" i="8"/>
  <c r="H328" i="8"/>
  <c r="H330" i="8"/>
  <c r="H325" i="8"/>
  <c r="H329" i="8"/>
  <c r="H327" i="8"/>
  <c r="T298" i="8"/>
  <c r="T293" i="8"/>
  <c r="T297" i="8"/>
  <c r="AF326" i="8"/>
  <c r="AF328" i="8"/>
  <c r="AF330" i="8"/>
  <c r="AF325" i="8"/>
  <c r="AF329" i="8"/>
  <c r="AF327" i="8"/>
  <c r="AD295" i="8"/>
  <c r="AD296" i="8"/>
  <c r="AD294" i="8"/>
  <c r="I326" i="8"/>
  <c r="I328" i="8"/>
  <c r="I330" i="8"/>
  <c r="I325" i="8"/>
  <c r="I329" i="8"/>
  <c r="I327" i="8"/>
  <c r="Q326" i="8"/>
  <c r="Q328" i="8"/>
  <c r="Q330" i="8"/>
  <c r="Q325" i="8"/>
  <c r="Q329" i="8"/>
  <c r="Q327" i="8"/>
  <c r="Y326" i="8"/>
  <c r="Y328" i="8"/>
  <c r="Y330" i="8"/>
  <c r="Y325" i="8"/>
  <c r="Y329" i="8"/>
  <c r="Y327" i="8"/>
  <c r="AG326" i="8"/>
  <c r="AG328" i="8"/>
  <c r="AG330" i="8"/>
  <c r="AG325" i="8"/>
  <c r="AG329" i="8"/>
  <c r="AG327" i="8"/>
  <c r="AB291" i="8"/>
  <c r="H304" i="8"/>
  <c r="H306" i="8"/>
  <c r="H308" i="8"/>
  <c r="H305" i="8"/>
  <c r="H303" i="8"/>
  <c r="H307" i="8"/>
  <c r="P318" i="8"/>
  <c r="P320" i="8"/>
  <c r="P322" i="8"/>
  <c r="P317" i="8"/>
  <c r="P321" i="8"/>
  <c r="P319" i="8"/>
  <c r="T304" i="8"/>
  <c r="T306" i="8"/>
  <c r="T308" i="8"/>
  <c r="T303" i="8"/>
  <c r="T307" i="8"/>
  <c r="T305" i="8"/>
  <c r="AB318" i="8"/>
  <c r="AB320" i="8"/>
  <c r="AB322" i="8"/>
  <c r="AB319" i="8"/>
  <c r="AB317" i="8"/>
  <c r="AB321" i="8"/>
  <c r="AF286" i="8"/>
  <c r="AF290" i="8"/>
  <c r="AF291" i="8"/>
  <c r="X294" i="8"/>
  <c r="X296" i="8"/>
  <c r="X295" i="8"/>
  <c r="K295" i="8"/>
  <c r="K294" i="8"/>
  <c r="K296" i="8"/>
  <c r="M286" i="8"/>
  <c r="M290" i="8"/>
  <c r="M291" i="8"/>
  <c r="Y318" i="8"/>
  <c r="Y320" i="8"/>
  <c r="Y322" i="8"/>
  <c r="Y317" i="8"/>
  <c r="Y321" i="8"/>
  <c r="Y319" i="8"/>
  <c r="I304" i="8"/>
  <c r="I306" i="8"/>
  <c r="I308" i="8"/>
  <c r="I305" i="8"/>
  <c r="I303" i="8"/>
  <c r="I307" i="8"/>
  <c r="Q304" i="8"/>
  <c r="Q306" i="8"/>
  <c r="Q308" i="8"/>
  <c r="Q305" i="8"/>
  <c r="Q303" i="8"/>
  <c r="Q307" i="8"/>
  <c r="AC304" i="8"/>
  <c r="AC306" i="8"/>
  <c r="AC308" i="8"/>
  <c r="AC303" i="8"/>
  <c r="AC307" i="8"/>
  <c r="AC305" i="8"/>
  <c r="AK304" i="8"/>
  <c r="AK306" i="8"/>
  <c r="AK308" i="8"/>
  <c r="AK303" i="8"/>
  <c r="AK307" i="8"/>
  <c r="AK305" i="8"/>
  <c r="AI295" i="8"/>
  <c r="AI294" i="8"/>
  <c r="AI296" i="8"/>
  <c r="E286" i="8"/>
  <c r="E290" i="8"/>
  <c r="E291" i="8"/>
  <c r="U286" i="8"/>
  <c r="U290" i="8"/>
  <c r="U291" i="8"/>
  <c r="AG318" i="8"/>
  <c r="AG320" i="8"/>
  <c r="AG322" i="8"/>
  <c r="AG317" i="8"/>
  <c r="AG321" i="8"/>
  <c r="AG319" i="8"/>
  <c r="C28" i="3"/>
  <c r="BT54" i="3" l="1"/>
  <c r="N350" i="8"/>
  <c r="N5" i="8" s="1"/>
  <c r="N6" i="8"/>
  <c r="AD350" i="8"/>
  <c r="AD5" i="8" s="1"/>
  <c r="AD6" i="8"/>
  <c r="V350" i="8"/>
  <c r="V5" i="8" s="1"/>
  <c r="V6" i="8"/>
  <c r="F350" i="8"/>
  <c r="F5" i="8" s="1"/>
  <c r="F6" i="8"/>
  <c r="M298" i="8"/>
  <c r="W288" i="8"/>
  <c r="R339" i="8"/>
  <c r="R340" i="8"/>
  <c r="R343" i="8"/>
  <c r="R281" i="8" s="1"/>
  <c r="R341" i="8"/>
  <c r="R342" i="8"/>
  <c r="R344" i="8"/>
  <c r="S340" i="8"/>
  <c r="S344" i="8"/>
  <c r="S342" i="8"/>
  <c r="S343" i="8"/>
  <c r="S339" i="8"/>
  <c r="S341" i="8"/>
  <c r="AE297" i="8"/>
  <c r="AE298" i="8"/>
  <c r="AE293" i="8"/>
  <c r="AA335" i="8"/>
  <c r="AA333" i="8"/>
  <c r="AA332" i="8"/>
  <c r="AA336" i="8"/>
  <c r="AA337" i="8"/>
  <c r="AA334" i="8"/>
  <c r="K335" i="8"/>
  <c r="K336" i="8"/>
  <c r="K332" i="8"/>
  <c r="K333" i="8"/>
  <c r="K337" i="8"/>
  <c r="K334" i="8"/>
  <c r="W334" i="8"/>
  <c r="W333" i="8"/>
  <c r="W337" i="8"/>
  <c r="W335" i="8"/>
  <c r="W332" i="8"/>
  <c r="W336" i="8"/>
  <c r="AA304" i="8"/>
  <c r="AA306" i="8"/>
  <c r="AE327" i="8"/>
  <c r="AE328" i="8"/>
  <c r="AE329" i="8"/>
  <c r="AE330" i="8"/>
  <c r="AE326" i="8"/>
  <c r="AE325" i="8"/>
  <c r="W298" i="8"/>
  <c r="W297" i="8"/>
  <c r="W293" i="8"/>
  <c r="AB290" i="8"/>
  <c r="R296" i="8"/>
  <c r="R294" i="8"/>
  <c r="L279" i="8"/>
  <c r="J295" i="8"/>
  <c r="X281" i="8"/>
  <c r="X278" i="8"/>
  <c r="D277" i="8"/>
  <c r="W289" i="8"/>
  <c r="S312" i="8"/>
  <c r="AA307" i="8"/>
  <c r="N330" i="8"/>
  <c r="N325" i="8"/>
  <c r="R333" i="8"/>
  <c r="R334" i="8"/>
  <c r="R279" i="8" s="1"/>
  <c r="R336" i="8"/>
  <c r="R337" i="8"/>
  <c r="R282" i="8" s="1"/>
  <c r="R332" i="8"/>
  <c r="R277" i="8" s="1"/>
  <c r="R335" i="8"/>
  <c r="S336" i="8"/>
  <c r="S332" i="8"/>
  <c r="S337" i="8"/>
  <c r="S333" i="8"/>
  <c r="S335" i="8"/>
  <c r="S334" i="8"/>
  <c r="H281" i="8"/>
  <c r="R280" i="8"/>
  <c r="AA305" i="8"/>
  <c r="AA344" i="8"/>
  <c r="AA340" i="8"/>
  <c r="AA342" i="8"/>
  <c r="AA341" i="8"/>
  <c r="AA343" i="8"/>
  <c r="AA339" i="8"/>
  <c r="K342" i="8"/>
  <c r="K340" i="8"/>
  <c r="K344" i="8"/>
  <c r="K341" i="8"/>
  <c r="K343" i="8"/>
  <c r="K339" i="8"/>
  <c r="S328" i="8"/>
  <c r="S280" i="8" s="1"/>
  <c r="S326" i="8"/>
  <c r="S330" i="8"/>
  <c r="S325" i="8"/>
  <c r="S327" i="8"/>
  <c r="S329" i="8"/>
  <c r="AE340" i="8"/>
  <c r="AE342" i="8"/>
  <c r="AE344" i="8"/>
  <c r="AE339" i="8"/>
  <c r="AE341" i="8"/>
  <c r="AE343" i="8"/>
  <c r="W342" i="8"/>
  <c r="W340" i="8"/>
  <c r="W343" i="8"/>
  <c r="W344" i="8"/>
  <c r="W339" i="8"/>
  <c r="W341" i="8"/>
  <c r="B382" i="8"/>
  <c r="F337" i="8"/>
  <c r="F333" i="8"/>
  <c r="F336" i="8"/>
  <c r="F334" i="8"/>
  <c r="F335" i="8"/>
  <c r="F332" i="8"/>
  <c r="J330" i="8"/>
  <c r="J325" i="8"/>
  <c r="J326" i="8"/>
  <c r="J327" i="8"/>
  <c r="J328" i="8"/>
  <c r="J329" i="8"/>
  <c r="Z297" i="8"/>
  <c r="Z293" i="8"/>
  <c r="AD328" i="8"/>
  <c r="AD325" i="8"/>
  <c r="AD330" i="8"/>
  <c r="AD327" i="8"/>
  <c r="AD329" i="8"/>
  <c r="AD326" i="8"/>
  <c r="V328" i="8"/>
  <c r="V327" i="8"/>
  <c r="V330" i="8"/>
  <c r="V329" i="8"/>
  <c r="V281" i="8" s="1"/>
  <c r="V325" i="8"/>
  <c r="V326" i="8"/>
  <c r="Z339" i="8"/>
  <c r="Z340" i="8"/>
  <c r="Z342" i="8"/>
  <c r="Z344" i="8"/>
  <c r="Z343" i="8"/>
  <c r="Z341" i="8"/>
  <c r="J314" i="8"/>
  <c r="J310" i="8"/>
  <c r="J311" i="8"/>
  <c r="J315" i="8"/>
  <c r="J312" i="8"/>
  <c r="J313" i="8"/>
  <c r="M237" i="8"/>
  <c r="M352" i="8" s="1"/>
  <c r="M293" i="8"/>
  <c r="M296" i="8" s="1"/>
  <c r="S296" i="8"/>
  <c r="Y237" i="8"/>
  <c r="Y352" i="8" s="1"/>
  <c r="Y351" i="8" s="1"/>
  <c r="AA296" i="8"/>
  <c r="V297" i="8"/>
  <c r="S314" i="8"/>
  <c r="S281" i="8" s="1"/>
  <c r="S311" i="8"/>
  <c r="Z298" i="8"/>
  <c r="F320" i="8"/>
  <c r="F322" i="8"/>
  <c r="F317" i="8"/>
  <c r="F319" i="8"/>
  <c r="F318" i="8"/>
  <c r="F321" i="8"/>
  <c r="N328" i="8"/>
  <c r="N327" i="8"/>
  <c r="N279" i="8" s="1"/>
  <c r="J306" i="8"/>
  <c r="J303" i="8"/>
  <c r="J308" i="8"/>
  <c r="J304" i="8"/>
  <c r="J307" i="8"/>
  <c r="N339" i="8"/>
  <c r="N344" i="8"/>
  <c r="N340" i="8"/>
  <c r="N342" i="8"/>
  <c r="N343" i="8"/>
  <c r="N341" i="8"/>
  <c r="AD335" i="8"/>
  <c r="AD336" i="8"/>
  <c r="AD334" i="8"/>
  <c r="AD337" i="8"/>
  <c r="AD332" i="8"/>
  <c r="AD333" i="8"/>
  <c r="Z328" i="8"/>
  <c r="Z329" i="8"/>
  <c r="Z281" i="8" s="1"/>
  <c r="Z330" i="8"/>
  <c r="Z282" i="8" s="1"/>
  <c r="Z326" i="8"/>
  <c r="Z327" i="8"/>
  <c r="Z325" i="8"/>
  <c r="Z277" i="8" s="1"/>
  <c r="J296" i="8"/>
  <c r="S294" i="8"/>
  <c r="AA294" i="8"/>
  <c r="AH281" i="8"/>
  <c r="R278" i="8"/>
  <c r="S315" i="8"/>
  <c r="S310" i="8"/>
  <c r="F328" i="8"/>
  <c r="F329" i="8"/>
  <c r="F326" i="8"/>
  <c r="F330" i="8"/>
  <c r="F327" i="8"/>
  <c r="F325" i="8"/>
  <c r="F306" i="8"/>
  <c r="F308" i="8"/>
  <c r="F304" i="8"/>
  <c r="F303" i="8"/>
  <c r="F305" i="8"/>
  <c r="F307" i="8"/>
  <c r="F281" i="8" s="1"/>
  <c r="N332" i="8"/>
  <c r="N277" i="8" s="1"/>
  <c r="N334" i="8"/>
  <c r="N336" i="8"/>
  <c r="N281" i="8" s="1"/>
  <c r="N335" i="8"/>
  <c r="N280" i="8" s="1"/>
  <c r="N333" i="8"/>
  <c r="N278" i="8" s="1"/>
  <c r="N337" i="8"/>
  <c r="M239" i="8"/>
  <c r="M354" i="8" s="1"/>
  <c r="M351" i="8" s="1"/>
  <c r="E351" i="8"/>
  <c r="F339" i="8"/>
  <c r="F277" i="8" s="1"/>
  <c r="F340" i="8"/>
  <c r="F342" i="8"/>
  <c r="F344" i="8"/>
  <c r="F343" i="8"/>
  <c r="F341" i="8"/>
  <c r="J339" i="8"/>
  <c r="J340" i="8"/>
  <c r="J342" i="8"/>
  <c r="J344" i="8"/>
  <c r="J343" i="8"/>
  <c r="J341" i="8"/>
  <c r="N297" i="8"/>
  <c r="N293" i="8"/>
  <c r="N298" i="8"/>
  <c r="AD339" i="8"/>
  <c r="AD342" i="8"/>
  <c r="AD344" i="8"/>
  <c r="AD282" i="8" s="1"/>
  <c r="AD340" i="8"/>
  <c r="AD343" i="8"/>
  <c r="AD341" i="8"/>
  <c r="V339" i="8"/>
  <c r="V344" i="8"/>
  <c r="V340" i="8"/>
  <c r="V278" i="8" s="1"/>
  <c r="V342" i="8"/>
  <c r="V343" i="8"/>
  <c r="V341" i="8"/>
  <c r="J318" i="8"/>
  <c r="J317" i="8"/>
  <c r="J320" i="8"/>
  <c r="J319" i="8"/>
  <c r="J279" i="8" s="1"/>
  <c r="J322" i="8"/>
  <c r="J321" i="8"/>
  <c r="V282" i="8"/>
  <c r="T277" i="8"/>
  <c r="H279" i="8"/>
  <c r="AG237" i="8"/>
  <c r="AG352" i="8" s="1"/>
  <c r="AG351" i="8" s="1"/>
  <c r="AK293" i="8"/>
  <c r="AK296" i="8" s="1"/>
  <c r="I239" i="8"/>
  <c r="I354" i="8" s="1"/>
  <c r="U327" i="8"/>
  <c r="AH278" i="8"/>
  <c r="AJ351" i="8"/>
  <c r="M340" i="8"/>
  <c r="M342" i="8"/>
  <c r="M339" i="8"/>
  <c r="M341" i="8"/>
  <c r="M343" i="8"/>
  <c r="M344" i="8"/>
  <c r="AK340" i="8"/>
  <c r="AK342" i="8"/>
  <c r="AK339" i="8"/>
  <c r="AK341" i="8"/>
  <c r="AK343" i="8"/>
  <c r="AK344" i="8"/>
  <c r="E336" i="8"/>
  <c r="E335" i="8"/>
  <c r="E337" i="8"/>
  <c r="E333" i="8"/>
  <c r="E334" i="8"/>
  <c r="E332" i="8"/>
  <c r="Y339" i="8"/>
  <c r="Y277" i="8" s="1"/>
  <c r="Y340" i="8"/>
  <c r="Y341" i="8"/>
  <c r="Y342" i="8"/>
  <c r="Y343" i="8"/>
  <c r="Y344" i="8"/>
  <c r="U340" i="8"/>
  <c r="U342" i="8"/>
  <c r="U339" i="8"/>
  <c r="U341" i="8"/>
  <c r="U343" i="8"/>
  <c r="U344" i="8"/>
  <c r="AG339" i="8"/>
  <c r="AG340" i="8"/>
  <c r="AG278" i="8" s="1"/>
  <c r="AG341" i="8"/>
  <c r="AG342" i="8"/>
  <c r="AG343" i="8"/>
  <c r="AG344" i="8"/>
  <c r="Q339" i="8"/>
  <c r="Q340" i="8"/>
  <c r="Q341" i="8"/>
  <c r="Q342" i="8"/>
  <c r="Q343" i="8"/>
  <c r="Q344" i="8"/>
  <c r="I339" i="8"/>
  <c r="I340" i="8"/>
  <c r="I278" i="8" s="1"/>
  <c r="I341" i="8"/>
  <c r="I342" i="8"/>
  <c r="I343" i="8"/>
  <c r="I344" i="8"/>
  <c r="Y335" i="8"/>
  <c r="Y336" i="8"/>
  <c r="Y337" i="8"/>
  <c r="Y333" i="8"/>
  <c r="Y332" i="8"/>
  <c r="Y334" i="8"/>
  <c r="V288" i="8"/>
  <c r="I237" i="8"/>
  <c r="I352" i="8" s="1"/>
  <c r="U330" i="8"/>
  <c r="D351" i="8"/>
  <c r="S286" i="8"/>
  <c r="S288" i="8" s="1"/>
  <c r="K286" i="8"/>
  <c r="K288" i="8" s="1"/>
  <c r="M333" i="8"/>
  <c r="M278" i="8" s="1"/>
  <c r="M336" i="8"/>
  <c r="M337" i="8"/>
  <c r="M335" i="8"/>
  <c r="M280" i="8" s="1"/>
  <c r="M334" i="8"/>
  <c r="M332" i="8"/>
  <c r="AK337" i="8"/>
  <c r="AK335" i="8"/>
  <c r="AK333" i="8"/>
  <c r="AK278" i="8" s="1"/>
  <c r="AK332" i="8"/>
  <c r="AK277" i="8" s="1"/>
  <c r="AK336" i="8"/>
  <c r="AK334" i="8"/>
  <c r="AK279" i="8" s="1"/>
  <c r="E340" i="8"/>
  <c r="E342" i="8"/>
  <c r="E339" i="8"/>
  <c r="E277" i="8" s="1"/>
  <c r="E341" i="8"/>
  <c r="E343" i="8"/>
  <c r="E344" i="8"/>
  <c r="AC337" i="8"/>
  <c r="AC335" i="8"/>
  <c r="AC334" i="8"/>
  <c r="AC333" i="8"/>
  <c r="AC336" i="8"/>
  <c r="AC332" i="8"/>
  <c r="G291" i="8"/>
  <c r="G290" i="8"/>
  <c r="G286" i="8"/>
  <c r="U335" i="8"/>
  <c r="U336" i="8"/>
  <c r="U337" i="8"/>
  <c r="U282" i="8" s="1"/>
  <c r="U333" i="8"/>
  <c r="U278" i="8" s="1"/>
  <c r="U332" i="8"/>
  <c r="U334" i="8"/>
  <c r="T279" i="8"/>
  <c r="T280" i="8"/>
  <c r="L281" i="8"/>
  <c r="L278" i="8"/>
  <c r="U329" i="8"/>
  <c r="N282" i="8"/>
  <c r="AG333" i="8"/>
  <c r="AG336" i="8"/>
  <c r="AG337" i="8"/>
  <c r="AG335" i="8"/>
  <c r="AG332" i="8"/>
  <c r="AG334" i="8"/>
  <c r="Q337" i="8"/>
  <c r="Q335" i="8"/>
  <c r="Q334" i="8"/>
  <c r="Q332" i="8"/>
  <c r="Q333" i="8"/>
  <c r="Q278" i="8" s="1"/>
  <c r="Q336" i="8"/>
  <c r="Q281" i="8" s="1"/>
  <c r="I333" i="8"/>
  <c r="I336" i="8"/>
  <c r="I337" i="8"/>
  <c r="I335" i="8"/>
  <c r="I280" i="8" s="1"/>
  <c r="I332" i="8"/>
  <c r="I277" i="8" s="1"/>
  <c r="I334" i="8"/>
  <c r="AC340" i="8"/>
  <c r="AC278" i="8" s="1"/>
  <c r="AC342" i="8"/>
  <c r="AC339" i="8"/>
  <c r="AC341" i="8"/>
  <c r="AC343" i="8"/>
  <c r="AC344" i="8"/>
  <c r="AC282" i="8" s="1"/>
  <c r="X279" i="8"/>
  <c r="D282" i="8"/>
  <c r="AA321" i="8"/>
  <c r="AA318" i="8"/>
  <c r="AA322" i="8"/>
  <c r="AA317" i="8"/>
  <c r="AA320" i="8"/>
  <c r="AA319" i="8"/>
  <c r="J238" i="8"/>
  <c r="J353" i="8" s="1"/>
  <c r="J237" i="8"/>
  <c r="J352" i="8" s="1"/>
  <c r="J239" i="8"/>
  <c r="J354" i="8" s="1"/>
  <c r="G304" i="8"/>
  <c r="G306" i="8"/>
  <c r="G308" i="8"/>
  <c r="G303" i="8"/>
  <c r="G305" i="8"/>
  <c r="G307" i="8"/>
  <c r="R238" i="8"/>
  <c r="R353" i="8" s="1"/>
  <c r="R237" i="8"/>
  <c r="R352" i="8" s="1"/>
  <c r="R239" i="8"/>
  <c r="R354" i="8" s="1"/>
  <c r="AE306" i="8"/>
  <c r="AE303" i="8"/>
  <c r="AE304" i="8"/>
  <c r="AE305" i="8"/>
  <c r="AE308" i="8"/>
  <c r="AE307" i="8"/>
  <c r="Z280" i="8"/>
  <c r="AA313" i="8"/>
  <c r="AA310" i="8"/>
  <c r="AA277" i="8" s="1"/>
  <c r="AA315" i="8"/>
  <c r="AA312" i="8"/>
  <c r="AA311" i="8"/>
  <c r="AA278" i="8" s="1"/>
  <c r="AA314" i="8"/>
  <c r="AH238" i="8"/>
  <c r="AH353" i="8" s="1"/>
  <c r="AH237" i="8"/>
  <c r="AH352" i="8" s="1"/>
  <c r="AH239" i="8"/>
  <c r="AH354" i="8" s="1"/>
  <c r="W306" i="8"/>
  <c r="W304" i="8"/>
  <c r="W308" i="8"/>
  <c r="W305" i="8"/>
  <c r="W307" i="8"/>
  <c r="W303" i="8"/>
  <c r="AI304" i="8"/>
  <c r="AI303" i="8"/>
  <c r="AI277" i="8" s="1"/>
  <c r="AI308" i="8"/>
  <c r="AI282" i="8" s="1"/>
  <c r="AI305" i="8"/>
  <c r="AI279" i="8" s="1"/>
  <c r="AI306" i="8"/>
  <c r="AI280" i="8" s="1"/>
  <c r="AI307" i="8"/>
  <c r="AI281" i="8" s="1"/>
  <c r="O307" i="8"/>
  <c r="O304" i="8"/>
  <c r="O308" i="8"/>
  <c r="O303" i="8"/>
  <c r="O306" i="8"/>
  <c r="O305" i="8"/>
  <c r="Q282" i="8"/>
  <c r="T281" i="8"/>
  <c r="T278" i="8"/>
  <c r="L280" i="8"/>
  <c r="X277" i="8"/>
  <c r="X280" i="8"/>
  <c r="D281" i="8"/>
  <c r="AK351" i="8"/>
  <c r="AI278" i="8"/>
  <c r="K312" i="8"/>
  <c r="K315" i="8"/>
  <c r="K310" i="8"/>
  <c r="K311" i="8"/>
  <c r="K313" i="8"/>
  <c r="K314" i="8"/>
  <c r="W311" i="8"/>
  <c r="W310" i="8"/>
  <c r="W313" i="8"/>
  <c r="W314" i="8"/>
  <c r="W315" i="8"/>
  <c r="W312" i="8"/>
  <c r="O312" i="8"/>
  <c r="O310" i="8"/>
  <c r="O315" i="8"/>
  <c r="O313" i="8"/>
  <c r="O314" i="8"/>
  <c r="O311" i="8"/>
  <c r="AH282" i="8"/>
  <c r="K320" i="8"/>
  <c r="K317" i="8"/>
  <c r="K319" i="8"/>
  <c r="K318" i="8"/>
  <c r="K321" i="8"/>
  <c r="K322" i="8"/>
  <c r="G314" i="8"/>
  <c r="G312" i="8"/>
  <c r="G315" i="8"/>
  <c r="G310" i="8"/>
  <c r="G313" i="8"/>
  <c r="G311" i="8"/>
  <c r="Z238" i="8"/>
  <c r="Z353" i="8" s="1"/>
  <c r="Z237" i="8"/>
  <c r="Z352" i="8" s="1"/>
  <c r="Z239" i="8"/>
  <c r="Z354" i="8" s="1"/>
  <c r="AE313" i="8"/>
  <c r="AE314" i="8"/>
  <c r="AE312" i="8"/>
  <c r="AE315" i="8"/>
  <c r="AE310" i="8"/>
  <c r="AE311" i="8"/>
  <c r="V294" i="8"/>
  <c r="V295" i="8"/>
  <c r="V296" i="8"/>
  <c r="L296" i="8"/>
  <c r="L294" i="8"/>
  <c r="L295" i="8"/>
  <c r="I279" i="8"/>
  <c r="H277" i="8"/>
  <c r="H278" i="8"/>
  <c r="L351" i="8"/>
  <c r="H351" i="8"/>
  <c r="AI238" i="8"/>
  <c r="AI353" i="8" s="1"/>
  <c r="AI237" i="8"/>
  <c r="AI352" i="8" s="1"/>
  <c r="AI239" i="8"/>
  <c r="AI354" i="8" s="1"/>
  <c r="W239" i="8"/>
  <c r="W354" i="8" s="1"/>
  <c r="W238" i="8"/>
  <c r="W353" i="8" s="1"/>
  <c r="W237" i="8"/>
  <c r="W352" i="8" s="1"/>
  <c r="AH280" i="8"/>
  <c r="R287" i="8"/>
  <c r="R288" i="8"/>
  <c r="R289" i="8"/>
  <c r="AE237" i="8"/>
  <c r="AE352" i="8" s="1"/>
  <c r="AE239" i="8"/>
  <c r="AE354" i="8" s="1"/>
  <c r="AE238" i="8"/>
  <c r="AE353" i="8" s="1"/>
  <c r="Q277" i="8"/>
  <c r="AF351" i="8"/>
  <c r="AB351" i="8"/>
  <c r="L282" i="8"/>
  <c r="U351" i="8"/>
  <c r="T351" i="8"/>
  <c r="AI288" i="8"/>
  <c r="AI289" i="8"/>
  <c r="AI287" i="8"/>
  <c r="AA238" i="8"/>
  <c r="AA353" i="8" s="1"/>
  <c r="AA237" i="8"/>
  <c r="AA352" i="8" s="1"/>
  <c r="AA239" i="8"/>
  <c r="AA354" i="8" s="1"/>
  <c r="Z287" i="8"/>
  <c r="Z288" i="8"/>
  <c r="Z289" i="8"/>
  <c r="S289" i="8"/>
  <c r="S238" i="8"/>
  <c r="S353" i="8" s="1"/>
  <c r="S237" i="8"/>
  <c r="S352" i="8" s="1"/>
  <c r="S239" i="8"/>
  <c r="S354" i="8" s="1"/>
  <c r="K238" i="8"/>
  <c r="K353" i="8" s="1"/>
  <c r="K237" i="8"/>
  <c r="K352" i="8" s="1"/>
  <c r="K239" i="8"/>
  <c r="K354" i="8" s="1"/>
  <c r="O238" i="8"/>
  <c r="O353" i="8" s="1"/>
  <c r="O237" i="8"/>
  <c r="O352" i="8" s="1"/>
  <c r="O239" i="8"/>
  <c r="O354" i="8" s="1"/>
  <c r="V280" i="8"/>
  <c r="AA288" i="8"/>
  <c r="AA287" i="8"/>
  <c r="AA289" i="8"/>
  <c r="G239" i="8"/>
  <c r="G354" i="8" s="1"/>
  <c r="G237" i="8"/>
  <c r="G352" i="8" s="1"/>
  <c r="G238" i="8"/>
  <c r="G353" i="8" s="1"/>
  <c r="T282" i="8"/>
  <c r="X282" i="8"/>
  <c r="D280" i="8"/>
  <c r="F295" i="8"/>
  <c r="F294" i="8"/>
  <c r="F296" i="8"/>
  <c r="AH288" i="8"/>
  <c r="AH287" i="8"/>
  <c r="AH289" i="8"/>
  <c r="J287" i="8"/>
  <c r="J289" i="8"/>
  <c r="J288" i="8"/>
  <c r="K289" i="8"/>
  <c r="M288" i="8"/>
  <c r="M287" i="8"/>
  <c r="M289" i="8"/>
  <c r="H282" i="8"/>
  <c r="AB288" i="8"/>
  <c r="AB287" i="8"/>
  <c r="AB289" i="8"/>
  <c r="AJ288" i="8"/>
  <c r="AJ287" i="8"/>
  <c r="AJ289" i="8"/>
  <c r="AF282" i="8"/>
  <c r="U294" i="8"/>
  <c r="U296" i="8"/>
  <c r="U295" i="8"/>
  <c r="T288" i="8"/>
  <c r="T287" i="8"/>
  <c r="T289" i="8"/>
  <c r="AG281" i="8"/>
  <c r="AB281" i="8"/>
  <c r="AB278" i="8"/>
  <c r="P282" i="8"/>
  <c r="I294" i="8"/>
  <c r="I296" i="8"/>
  <c r="I295" i="8"/>
  <c r="U281" i="8"/>
  <c r="AJ282" i="8"/>
  <c r="D279" i="8"/>
  <c r="Y280" i="8"/>
  <c r="E288" i="8"/>
  <c r="E287" i="8"/>
  <c r="E289" i="8"/>
  <c r="H280" i="8"/>
  <c r="T294" i="8"/>
  <c r="T296" i="8"/>
  <c r="T295" i="8"/>
  <c r="AC351" i="8"/>
  <c r="AC288" i="8"/>
  <c r="AC287" i="8"/>
  <c r="AC289" i="8"/>
  <c r="AF281" i="8"/>
  <c r="AF280" i="8"/>
  <c r="X288" i="8"/>
  <c r="X289" i="8"/>
  <c r="X287" i="8"/>
  <c r="L288" i="8"/>
  <c r="L287" i="8"/>
  <c r="L289" i="8"/>
  <c r="AF294" i="8"/>
  <c r="AF296" i="8"/>
  <c r="AF295" i="8"/>
  <c r="X351" i="8"/>
  <c r="AG279" i="8"/>
  <c r="AB277" i="8"/>
  <c r="P277" i="8"/>
  <c r="P280" i="8"/>
  <c r="Y294" i="8"/>
  <c r="Y296" i="8"/>
  <c r="Y295" i="8"/>
  <c r="E279" i="8"/>
  <c r="Y288" i="8"/>
  <c r="Y289" i="8"/>
  <c r="Y287" i="8"/>
  <c r="AJ279" i="8"/>
  <c r="AJ280" i="8"/>
  <c r="P288" i="8"/>
  <c r="P289" i="8"/>
  <c r="P287" i="8"/>
  <c r="D278" i="8"/>
  <c r="AJ294" i="8"/>
  <c r="AJ296" i="8"/>
  <c r="AJ295" i="8"/>
  <c r="Y278" i="8"/>
  <c r="AG294" i="8"/>
  <c r="AG296" i="8"/>
  <c r="AG295" i="8"/>
  <c r="Q294" i="8"/>
  <c r="Q296" i="8"/>
  <c r="Q295" i="8"/>
  <c r="P294" i="8"/>
  <c r="P296" i="8"/>
  <c r="P295" i="8"/>
  <c r="U288" i="8"/>
  <c r="U287" i="8"/>
  <c r="U289" i="8"/>
  <c r="AF288" i="8"/>
  <c r="AF289" i="8"/>
  <c r="AF287" i="8"/>
  <c r="AF277" i="8"/>
  <c r="AF278" i="8"/>
  <c r="D294" i="8"/>
  <c r="D296" i="8"/>
  <c r="D295" i="8"/>
  <c r="I288" i="8"/>
  <c r="I289" i="8"/>
  <c r="I287" i="8"/>
  <c r="AB282" i="8"/>
  <c r="P281" i="8"/>
  <c r="P278" i="8"/>
  <c r="AG288" i="8"/>
  <c r="AG289" i="8"/>
  <c r="AG287" i="8"/>
  <c r="E281" i="8"/>
  <c r="AK288" i="8"/>
  <c r="AK287" i="8"/>
  <c r="AK289" i="8"/>
  <c r="AJ281" i="8"/>
  <c r="AJ278" i="8"/>
  <c r="D288" i="8"/>
  <c r="D287" i="8"/>
  <c r="D289" i="8"/>
  <c r="Y279" i="8"/>
  <c r="H288" i="8"/>
  <c r="H289" i="8"/>
  <c r="H287" i="8"/>
  <c r="H294" i="8"/>
  <c r="H296" i="8"/>
  <c r="H295" i="8"/>
  <c r="AF279" i="8"/>
  <c r="AC294" i="8"/>
  <c r="AC296" i="8"/>
  <c r="AC295" i="8"/>
  <c r="E294" i="8"/>
  <c r="E296" i="8"/>
  <c r="E295" i="8"/>
  <c r="AB279" i="8"/>
  <c r="AB280" i="8"/>
  <c r="P279" i="8"/>
  <c r="U280" i="8"/>
  <c r="M281" i="8"/>
  <c r="AJ277" i="8"/>
  <c r="Q351" i="8"/>
  <c r="P351" i="8"/>
  <c r="Q288" i="8"/>
  <c r="Q289" i="8"/>
  <c r="Q287" i="8"/>
  <c r="AB294" i="8"/>
  <c r="AB296" i="8"/>
  <c r="AB295" i="8"/>
  <c r="D156" i="3"/>
  <c r="D151" i="3"/>
  <c r="D138" i="3"/>
  <c r="D123" i="3"/>
  <c r="D120" i="3"/>
  <c r="C156" i="3"/>
  <c r="C151" i="3"/>
  <c r="C138" i="3"/>
  <c r="C123" i="3"/>
  <c r="C120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BA3" i="3"/>
  <c r="BB3" i="3"/>
  <c r="BC3" i="3"/>
  <c r="BD3" i="3"/>
  <c r="BE3" i="3"/>
  <c r="BF3" i="3"/>
  <c r="BG3" i="3"/>
  <c r="BH3" i="3"/>
  <c r="BI3" i="3"/>
  <c r="BJ3" i="3"/>
  <c r="BK3" i="3"/>
  <c r="BL3" i="3"/>
  <c r="BM3" i="3"/>
  <c r="BN3" i="3"/>
  <c r="BO3" i="3"/>
  <c r="BP3" i="3"/>
  <c r="BQ3" i="3"/>
  <c r="BR3" i="3"/>
  <c r="BS3" i="3"/>
  <c r="BT3" i="3"/>
  <c r="AM3" i="3"/>
  <c r="C39" i="3"/>
  <c r="C5" i="4"/>
  <c r="E123" i="3" s="1"/>
  <c r="E128" i="3" s="1"/>
  <c r="C6" i="4"/>
  <c r="E138" i="3" s="1"/>
  <c r="C7" i="4"/>
  <c r="E151" i="3" s="1"/>
  <c r="E152" i="3" s="1"/>
  <c r="C8" i="4"/>
  <c r="E156" i="3" s="1"/>
  <c r="E157" i="3" s="1"/>
  <c r="C4" i="4"/>
  <c r="E120" i="3" s="1"/>
  <c r="E121" i="3" s="1"/>
  <c r="Y350" i="8" l="1"/>
  <c r="Y5" i="8" s="1"/>
  <c r="Y6" i="8"/>
  <c r="AG350" i="8"/>
  <c r="AG5" i="8" s="1"/>
  <c r="AG6" i="8"/>
  <c r="X350" i="8"/>
  <c r="X5" i="8" s="1"/>
  <c r="X6" i="8"/>
  <c r="L350" i="8"/>
  <c r="L5" i="8" s="1"/>
  <c r="L6" i="8"/>
  <c r="P350" i="8"/>
  <c r="P5" i="8" s="1"/>
  <c r="P6" i="8"/>
  <c r="Q350" i="8"/>
  <c r="Q5" i="8" s="1"/>
  <c r="Q6" i="8"/>
  <c r="H350" i="8"/>
  <c r="H5" i="8" s="1"/>
  <c r="H6" i="8"/>
  <c r="T350" i="8"/>
  <c r="T5" i="8" s="1"/>
  <c r="T6" i="8"/>
  <c r="D350" i="8"/>
  <c r="D5" i="8" s="1"/>
  <c r="D6" i="8"/>
  <c r="AB350" i="8"/>
  <c r="AB5" i="8" s="1"/>
  <c r="AB6" i="8"/>
  <c r="U350" i="8"/>
  <c r="U5" i="8" s="1"/>
  <c r="U6" i="8"/>
  <c r="AF350" i="8"/>
  <c r="AF5" i="8" s="1"/>
  <c r="AF6" i="8"/>
  <c r="AJ350" i="8"/>
  <c r="AJ5" i="8" s="1"/>
  <c r="AJ6" i="8"/>
  <c r="AC350" i="8"/>
  <c r="AC5" i="8" s="1"/>
  <c r="AC6" i="8"/>
  <c r="AK350" i="8"/>
  <c r="AK5" i="8" s="1"/>
  <c r="AK6" i="8"/>
  <c r="M350" i="8"/>
  <c r="M5" i="8" s="1"/>
  <c r="M6" i="8"/>
  <c r="E350" i="8"/>
  <c r="E5" i="8" s="1"/>
  <c r="E6" i="8"/>
  <c r="S287" i="8"/>
  <c r="AA279" i="8"/>
  <c r="AE278" i="8"/>
  <c r="R351" i="8"/>
  <c r="AC281" i="8"/>
  <c r="I282" i="8"/>
  <c r="AG282" i="8"/>
  <c r="AK281" i="8"/>
  <c r="AD280" i="8"/>
  <c r="S279" i="8"/>
  <c r="J280" i="8"/>
  <c r="AD278" i="8"/>
  <c r="AE294" i="8"/>
  <c r="AE296" i="8"/>
  <c r="AE295" i="8"/>
  <c r="M294" i="8"/>
  <c r="Y281" i="8"/>
  <c r="M282" i="8"/>
  <c r="J282" i="8"/>
  <c r="AD281" i="8"/>
  <c r="F282" i="8"/>
  <c r="F279" i="8"/>
  <c r="F280" i="8"/>
  <c r="S277" i="8"/>
  <c r="S278" i="8"/>
  <c r="AK282" i="8"/>
  <c r="F278" i="8"/>
  <c r="Z278" i="8"/>
  <c r="AK294" i="8"/>
  <c r="AC280" i="8"/>
  <c r="S282" i="8"/>
  <c r="W295" i="8"/>
  <c r="W294" i="8"/>
  <c r="W296" i="8"/>
  <c r="J278" i="8"/>
  <c r="AD277" i="8"/>
  <c r="K278" i="8"/>
  <c r="U279" i="8"/>
  <c r="AC279" i="8"/>
  <c r="E278" i="8"/>
  <c r="M279" i="8"/>
  <c r="Y282" i="8"/>
  <c r="I281" i="8"/>
  <c r="Q279" i="8"/>
  <c r="AG277" i="8"/>
  <c r="U277" i="8"/>
  <c r="E282" i="8"/>
  <c r="M277" i="8"/>
  <c r="I351" i="8"/>
  <c r="O279" i="8"/>
  <c r="W278" i="8"/>
  <c r="AA282" i="8"/>
  <c r="AC277" i="8"/>
  <c r="AK280" i="8"/>
  <c r="E280" i="8"/>
  <c r="N295" i="8"/>
  <c r="N294" i="8"/>
  <c r="N296" i="8"/>
  <c r="Z279" i="8"/>
  <c r="J277" i="8"/>
  <c r="V279" i="8"/>
  <c r="AD279" i="8"/>
  <c r="Z295" i="8"/>
  <c r="Z294" i="8"/>
  <c r="Z296" i="8"/>
  <c r="M295" i="8"/>
  <c r="K282" i="8"/>
  <c r="Q280" i="8"/>
  <c r="AG280" i="8"/>
  <c r="J281" i="8"/>
  <c r="V277" i="8"/>
  <c r="AA281" i="8"/>
  <c r="AK295" i="8"/>
  <c r="K287" i="8"/>
  <c r="S351" i="8"/>
  <c r="W351" i="8"/>
  <c r="AI351" i="8"/>
  <c r="K280" i="8"/>
  <c r="AA280" i="8"/>
  <c r="AE282" i="8"/>
  <c r="AE280" i="8"/>
  <c r="G281" i="8"/>
  <c r="G280" i="8"/>
  <c r="G289" i="8"/>
  <c r="G288" i="8"/>
  <c r="G287" i="8"/>
  <c r="O278" i="8"/>
  <c r="K277" i="8"/>
  <c r="O280" i="8"/>
  <c r="O281" i="8"/>
  <c r="W281" i="8"/>
  <c r="W280" i="8"/>
  <c r="AE279" i="8"/>
  <c r="G279" i="8"/>
  <c r="G278" i="8"/>
  <c r="K281" i="8"/>
  <c r="O277" i="8"/>
  <c r="W279" i="8"/>
  <c r="G277" i="8"/>
  <c r="W277" i="8"/>
  <c r="AE351" i="8"/>
  <c r="Z351" i="8"/>
  <c r="K279" i="8"/>
  <c r="O282" i="8"/>
  <c r="W282" i="8"/>
  <c r="AH351" i="8"/>
  <c r="AE281" i="8"/>
  <c r="AE277" i="8"/>
  <c r="G282" i="8"/>
  <c r="J351" i="8"/>
  <c r="K351" i="8"/>
  <c r="AA351" i="8"/>
  <c r="O351" i="8"/>
  <c r="G351" i="8"/>
  <c r="DD3" i="3"/>
  <c r="BT2" i="3"/>
  <c r="CZ3" i="3"/>
  <c r="BP2" i="3"/>
  <c r="CN3" i="3"/>
  <c r="BD2" i="3"/>
  <c r="CJ3" i="3"/>
  <c r="AZ2" i="3"/>
  <c r="CB3" i="3"/>
  <c r="AR2" i="3"/>
  <c r="DC3" i="3"/>
  <c r="BS2" i="3"/>
  <c r="CY3" i="3"/>
  <c r="BO2" i="3"/>
  <c r="CQ3" i="3"/>
  <c r="BG2" i="3"/>
  <c r="CI3" i="3"/>
  <c r="AY2" i="3"/>
  <c r="CA3" i="3"/>
  <c r="AQ2" i="3"/>
  <c r="CV3" i="3"/>
  <c r="BL2" i="3"/>
  <c r="CR3" i="3"/>
  <c r="BH2" i="3"/>
  <c r="CF3" i="3"/>
  <c r="AV2" i="3"/>
  <c r="BX3" i="3"/>
  <c r="AN2" i="3"/>
  <c r="CU3" i="3"/>
  <c r="BK2" i="3"/>
  <c r="CM3" i="3"/>
  <c r="BC2" i="3"/>
  <c r="CE3" i="3"/>
  <c r="AU2" i="3"/>
  <c r="DB3" i="3"/>
  <c r="BR2" i="3"/>
  <c r="CX3" i="3"/>
  <c r="BN2" i="3"/>
  <c r="CT3" i="3"/>
  <c r="BJ2" i="3"/>
  <c r="CP3" i="3"/>
  <c r="BF2" i="3"/>
  <c r="CL3" i="3"/>
  <c r="BB2" i="3"/>
  <c r="CH3" i="3"/>
  <c r="AX2" i="3"/>
  <c r="CD3" i="3"/>
  <c r="AT2" i="3"/>
  <c r="BZ3" i="3"/>
  <c r="AP2" i="3"/>
  <c r="E141" i="3"/>
  <c r="E142" i="3"/>
  <c r="E140" i="3"/>
  <c r="E139" i="3"/>
  <c r="BW3" i="3"/>
  <c r="AM2" i="3"/>
  <c r="DA3" i="3"/>
  <c r="BQ2" i="3"/>
  <c r="CW3" i="3"/>
  <c r="BM2" i="3"/>
  <c r="CS3" i="3"/>
  <c r="BI2" i="3"/>
  <c r="CO3" i="3"/>
  <c r="BE2" i="3"/>
  <c r="CK3" i="3"/>
  <c r="BA2" i="3"/>
  <c r="CG3" i="3"/>
  <c r="AW2" i="3"/>
  <c r="CC3" i="3"/>
  <c r="AS2" i="3"/>
  <c r="BY3" i="3"/>
  <c r="AO2" i="3"/>
  <c r="E159" i="3"/>
  <c r="E150" i="3"/>
  <c r="E155" i="3"/>
  <c r="E137" i="3"/>
  <c r="E122" i="3"/>
  <c r="E131" i="3"/>
  <c r="E127" i="3"/>
  <c r="E135" i="3"/>
  <c r="E134" i="3"/>
  <c r="E130" i="3"/>
  <c r="E126" i="3"/>
  <c r="E149" i="3"/>
  <c r="E154" i="3"/>
  <c r="E158" i="3"/>
  <c r="E133" i="3"/>
  <c r="E129" i="3"/>
  <c r="E125" i="3"/>
  <c r="E143" i="3"/>
  <c r="E153" i="3"/>
  <c r="E124" i="3"/>
  <c r="E136" i="3"/>
  <c r="E132" i="3"/>
  <c r="AE350" i="8" l="1"/>
  <c r="AE5" i="8" s="1"/>
  <c r="AE6" i="8"/>
  <c r="R350" i="8"/>
  <c r="R5" i="8" s="1"/>
  <c r="R6" i="8"/>
  <c r="G350" i="8"/>
  <c r="G5" i="8" s="1"/>
  <c r="G6" i="8"/>
  <c r="O350" i="8"/>
  <c r="O5" i="8" s="1"/>
  <c r="O6" i="8"/>
  <c r="J350" i="8"/>
  <c r="J5" i="8" s="1"/>
  <c r="J6" i="8"/>
  <c r="K350" i="8"/>
  <c r="K5" i="8" s="1"/>
  <c r="K6" i="8"/>
  <c r="AA350" i="8"/>
  <c r="AA5" i="8" s="1"/>
  <c r="AA6" i="8"/>
  <c r="AH350" i="8"/>
  <c r="AH5" i="8" s="1"/>
  <c r="AH6" i="8"/>
  <c r="AI350" i="8"/>
  <c r="AI5" i="8" s="1"/>
  <c r="AI6" i="8"/>
  <c r="W350" i="8"/>
  <c r="W5" i="8" s="1"/>
  <c r="W6" i="8"/>
  <c r="I350" i="8"/>
  <c r="I5" i="8" s="1"/>
  <c r="I6" i="8"/>
  <c r="S350" i="8"/>
  <c r="S5" i="8" s="1"/>
  <c r="S6" i="8"/>
  <c r="Z350" i="8"/>
  <c r="Z5" i="8" s="1"/>
  <c r="Z6" i="8"/>
  <c r="E145" i="3"/>
  <c r="E144" i="3"/>
  <c r="E146" i="3"/>
  <c r="E147" i="3"/>
  <c r="E148" i="3"/>
  <c r="J443" i="8" l="1"/>
  <c r="J444" i="8"/>
  <c r="J440" i="8"/>
  <c r="J442" i="8"/>
  <c r="J441" i="8"/>
  <c r="J445" i="8"/>
  <c r="AI434" i="8"/>
  <c r="AI435" i="8"/>
  <c r="AI432" i="8"/>
  <c r="AI436" i="8"/>
  <c r="AI433" i="8"/>
  <c r="AI437" i="8"/>
  <c r="AI445" i="8"/>
  <c r="AI444" i="8"/>
  <c r="AI442" i="8"/>
  <c r="AI440" i="8"/>
  <c r="AI441" i="8"/>
  <c r="AI443" i="8"/>
  <c r="J433" i="8"/>
  <c r="J434" i="8"/>
  <c r="J436" i="8"/>
  <c r="J437" i="8"/>
  <c r="J435" i="8"/>
  <c r="J432" i="8"/>
  <c r="AE456" i="8"/>
  <c r="AE454" i="8"/>
  <c r="AE459" i="8"/>
  <c r="AE458" i="8"/>
  <c r="AE457" i="8"/>
  <c r="AE455" i="8"/>
  <c r="AE405" i="8"/>
  <c r="AE406" i="8"/>
  <c r="J458" i="8"/>
  <c r="J454" i="8"/>
  <c r="J457" i="8"/>
  <c r="J459" i="8"/>
  <c r="J455" i="8"/>
  <c r="J456" i="8"/>
  <c r="J405" i="8"/>
  <c r="J406" i="8"/>
  <c r="AE425" i="8"/>
  <c r="AE426" i="8"/>
  <c r="AE428" i="8"/>
  <c r="AE427" i="8"/>
  <c r="AE430" i="8"/>
  <c r="AE429" i="8"/>
  <c r="J451" i="8"/>
  <c r="J449" i="8"/>
  <c r="J452" i="8"/>
  <c r="J447" i="8"/>
  <c r="J448" i="8"/>
  <c r="J450" i="8"/>
  <c r="AI430" i="8"/>
  <c r="AI425" i="8"/>
  <c r="AI427" i="8"/>
  <c r="AI429" i="8"/>
  <c r="AI426" i="8"/>
  <c r="AI428" i="8"/>
  <c r="AI447" i="8"/>
  <c r="AI448" i="8"/>
  <c r="AI450" i="8"/>
  <c r="AI449" i="8"/>
  <c r="AI452" i="8"/>
  <c r="AI451" i="8"/>
  <c r="J428" i="8"/>
  <c r="J430" i="8"/>
  <c r="J429" i="8"/>
  <c r="J427" i="8"/>
  <c r="J425" i="8"/>
  <c r="J426" i="8"/>
  <c r="AE443" i="8"/>
  <c r="AE441" i="8"/>
  <c r="AE440" i="8"/>
  <c r="AE442" i="8"/>
  <c r="AE445" i="8"/>
  <c r="AE444" i="8"/>
  <c r="AI457" i="8"/>
  <c r="AI455" i="8"/>
  <c r="AI454" i="8"/>
  <c r="AI456" i="8"/>
  <c r="AI458" i="8"/>
  <c r="AI459" i="8"/>
  <c r="AE450" i="8"/>
  <c r="AE448" i="8"/>
  <c r="AE447" i="8"/>
  <c r="AE449" i="8"/>
  <c r="AE452" i="8"/>
  <c r="AE451" i="8"/>
  <c r="AE433" i="8"/>
  <c r="AE436" i="8"/>
  <c r="AE434" i="8"/>
  <c r="AE437" i="8"/>
  <c r="AE432" i="8"/>
  <c r="AE435" i="8"/>
  <c r="J413" i="8"/>
  <c r="J412" i="8"/>
  <c r="AI405" i="8"/>
  <c r="AI406" i="8"/>
  <c r="AI412" i="8"/>
  <c r="AI413" i="8"/>
  <c r="AE412" i="8"/>
  <c r="AE413" i="8"/>
  <c r="J423" i="8" l="1"/>
  <c r="J422" i="8"/>
  <c r="AE422" i="8"/>
  <c r="AI421" i="8"/>
  <c r="J421" i="8"/>
  <c r="J420" i="8"/>
  <c r="AI419" i="8"/>
  <c r="AE423" i="8"/>
  <c r="AE421" i="8"/>
  <c r="AI422" i="8"/>
  <c r="J418" i="8"/>
  <c r="J419" i="8"/>
  <c r="AE419" i="8"/>
  <c r="AE420" i="8"/>
  <c r="AI423" i="8"/>
  <c r="AE418" i="8"/>
  <c r="AI420" i="8"/>
  <c r="AI418" i="8"/>
  <c r="J446" i="8"/>
  <c r="J101" i="8" s="1"/>
  <c r="B384" i="8"/>
  <c r="B39" i="8" s="1"/>
  <c r="AI424" i="8"/>
  <c r="F406" i="8"/>
  <c r="F405" i="8"/>
  <c r="T448" i="8"/>
  <c r="T452" i="8"/>
  <c r="T451" i="8"/>
  <c r="T450" i="8"/>
  <c r="T449" i="8"/>
  <c r="T447" i="8"/>
  <c r="AH405" i="8"/>
  <c r="AH406" i="8"/>
  <c r="AJ441" i="8"/>
  <c r="AJ445" i="8"/>
  <c r="AJ440" i="8"/>
  <c r="AJ443" i="8"/>
  <c r="AJ444" i="8"/>
  <c r="AJ442" i="8"/>
  <c r="P429" i="8"/>
  <c r="P428" i="8"/>
  <c r="P426" i="8"/>
  <c r="P425" i="8"/>
  <c r="P427" i="8"/>
  <c r="P430" i="8"/>
  <c r="M443" i="8"/>
  <c r="M441" i="8"/>
  <c r="M440" i="8"/>
  <c r="M442" i="8"/>
  <c r="M444" i="8"/>
  <c r="M445" i="8"/>
  <c r="AE404" i="8"/>
  <c r="AE402" i="8"/>
  <c r="AE403" i="8"/>
  <c r="O456" i="8"/>
  <c r="O458" i="8"/>
  <c r="O457" i="8"/>
  <c r="O459" i="8"/>
  <c r="O454" i="8"/>
  <c r="O455" i="8"/>
  <c r="K434" i="8"/>
  <c r="K432" i="8"/>
  <c r="K437" i="8"/>
  <c r="K433" i="8"/>
  <c r="K435" i="8"/>
  <c r="K436" i="8"/>
  <c r="W413" i="8"/>
  <c r="W412" i="8"/>
  <c r="U443" i="8"/>
  <c r="U441" i="8"/>
  <c r="U440" i="8"/>
  <c r="U442" i="8"/>
  <c r="U445" i="8"/>
  <c r="U444" i="8"/>
  <c r="AK458" i="8"/>
  <c r="AK455" i="8"/>
  <c r="AK456" i="8"/>
  <c r="AK457" i="8"/>
  <c r="AK454" i="8"/>
  <c r="AK459" i="8"/>
  <c r="AI446" i="8"/>
  <c r="AI101" i="8" s="1"/>
  <c r="AF448" i="8"/>
  <c r="AF452" i="8"/>
  <c r="AF451" i="8"/>
  <c r="AF450" i="8"/>
  <c r="AF447" i="8"/>
  <c r="AF449" i="8"/>
  <c r="H458" i="8"/>
  <c r="H457" i="8"/>
  <c r="H455" i="8"/>
  <c r="H454" i="8"/>
  <c r="H456" i="8"/>
  <c r="H459" i="8"/>
  <c r="H406" i="8"/>
  <c r="H405" i="8"/>
  <c r="I440" i="8"/>
  <c r="I445" i="8"/>
  <c r="I442" i="8"/>
  <c r="I444" i="8"/>
  <c r="I441" i="8"/>
  <c r="I443" i="8"/>
  <c r="S405" i="8"/>
  <c r="S406" i="8"/>
  <c r="O437" i="8"/>
  <c r="O432" i="8"/>
  <c r="O434" i="8"/>
  <c r="O436" i="8"/>
  <c r="O433" i="8"/>
  <c r="O435" i="8"/>
  <c r="AH427" i="8"/>
  <c r="AH425" i="8"/>
  <c r="AH428" i="8"/>
  <c r="AH426" i="8"/>
  <c r="AH430" i="8"/>
  <c r="AH429" i="8"/>
  <c r="N427" i="8"/>
  <c r="N429" i="8"/>
  <c r="N428" i="8"/>
  <c r="N430" i="8"/>
  <c r="N425" i="8"/>
  <c r="N426" i="8"/>
  <c r="AJ451" i="8"/>
  <c r="AJ450" i="8"/>
  <c r="AJ448" i="8"/>
  <c r="AJ447" i="8"/>
  <c r="AJ452" i="8"/>
  <c r="AJ449" i="8"/>
  <c r="G457" i="8"/>
  <c r="G455" i="8"/>
  <c r="G454" i="8"/>
  <c r="G456" i="8"/>
  <c r="G458" i="8"/>
  <c r="G459" i="8"/>
  <c r="AG443" i="8"/>
  <c r="AG445" i="8"/>
  <c r="AG440" i="8"/>
  <c r="AG442" i="8"/>
  <c r="AG444" i="8"/>
  <c r="AG441" i="8"/>
  <c r="P437" i="8"/>
  <c r="P432" i="8"/>
  <c r="P434" i="8"/>
  <c r="P433" i="8"/>
  <c r="P435" i="8"/>
  <c r="P436" i="8"/>
  <c r="E451" i="8"/>
  <c r="E452" i="8"/>
  <c r="E449" i="8"/>
  <c r="E447" i="8"/>
  <c r="E450" i="8"/>
  <c r="E448" i="8"/>
  <c r="AK426" i="8"/>
  <c r="AK428" i="8"/>
  <c r="AK427" i="8"/>
  <c r="AK430" i="8"/>
  <c r="AK425" i="8"/>
  <c r="AK429" i="8"/>
  <c r="U425" i="8"/>
  <c r="U430" i="8"/>
  <c r="U429" i="8"/>
  <c r="U426" i="8"/>
  <c r="U427" i="8"/>
  <c r="U428" i="8"/>
  <c r="K441" i="8"/>
  <c r="K440" i="8"/>
  <c r="K445" i="8"/>
  <c r="K443" i="8"/>
  <c r="K444" i="8"/>
  <c r="K442" i="8"/>
  <c r="V435" i="8"/>
  <c r="V437" i="8"/>
  <c r="V436" i="8"/>
  <c r="V434" i="8"/>
  <c r="V433" i="8"/>
  <c r="V432" i="8"/>
  <c r="M457" i="8"/>
  <c r="M456" i="8"/>
  <c r="M454" i="8"/>
  <c r="M459" i="8"/>
  <c r="M455" i="8"/>
  <c r="M458" i="8"/>
  <c r="Q444" i="8"/>
  <c r="Q441" i="8"/>
  <c r="Q445" i="8"/>
  <c r="Q443" i="8"/>
  <c r="Q442" i="8"/>
  <c r="Q440" i="8"/>
  <c r="AE453" i="8"/>
  <c r="AE108" i="8" s="1"/>
  <c r="AI431" i="8"/>
  <c r="B383" i="8"/>
  <c r="B38" i="8" s="1"/>
  <c r="F451" i="8"/>
  <c r="F452" i="8"/>
  <c r="F450" i="8"/>
  <c r="F449" i="8"/>
  <c r="F447" i="8"/>
  <c r="F448" i="8"/>
  <c r="S455" i="8"/>
  <c r="S454" i="8"/>
  <c r="S459" i="8"/>
  <c r="S458" i="8"/>
  <c r="S457" i="8"/>
  <c r="S456" i="8"/>
  <c r="O445" i="8"/>
  <c r="O444" i="8"/>
  <c r="O442" i="8"/>
  <c r="O440" i="8"/>
  <c r="O443" i="8"/>
  <c r="O441" i="8"/>
  <c r="V444" i="8"/>
  <c r="V445" i="8"/>
  <c r="V441" i="8"/>
  <c r="V443" i="8"/>
  <c r="V442" i="8"/>
  <c r="V440" i="8"/>
  <c r="L459" i="8"/>
  <c r="L454" i="8"/>
  <c r="L456" i="8"/>
  <c r="L458" i="8"/>
  <c r="L455" i="8"/>
  <c r="L457" i="8"/>
  <c r="AD457" i="8"/>
  <c r="AD459" i="8"/>
  <c r="AD454" i="8"/>
  <c r="AD456" i="8"/>
  <c r="AD458" i="8"/>
  <c r="AD455" i="8"/>
  <c r="P451" i="8"/>
  <c r="P450" i="8"/>
  <c r="P448" i="8"/>
  <c r="P447" i="8"/>
  <c r="P449" i="8"/>
  <c r="P452" i="8"/>
  <c r="AC445" i="8"/>
  <c r="AC443" i="8"/>
  <c r="AC442" i="8"/>
  <c r="AC444" i="8"/>
  <c r="AC440" i="8"/>
  <c r="AC441" i="8"/>
  <c r="AI402" i="8"/>
  <c r="AI404" i="8"/>
  <c r="AI403" i="8"/>
  <c r="D434" i="8"/>
  <c r="D436" i="8"/>
  <c r="D432" i="8"/>
  <c r="D437" i="8"/>
  <c r="D433" i="8"/>
  <c r="D435" i="8"/>
  <c r="AD427" i="8"/>
  <c r="AD429" i="8"/>
  <c r="AD428" i="8"/>
  <c r="AD430" i="8"/>
  <c r="AD426" i="8"/>
  <c r="AD425" i="8"/>
  <c r="G406" i="8"/>
  <c r="G405" i="8"/>
  <c r="E437" i="8"/>
  <c r="E432" i="8"/>
  <c r="E434" i="8"/>
  <c r="E436" i="8"/>
  <c r="E435" i="8"/>
  <c r="E433" i="8"/>
  <c r="R449" i="8"/>
  <c r="R451" i="8"/>
  <c r="R450" i="8"/>
  <c r="R452" i="8"/>
  <c r="R447" i="8"/>
  <c r="R448" i="8"/>
  <c r="R435" i="8"/>
  <c r="R433" i="8"/>
  <c r="R432" i="8"/>
  <c r="R434" i="8"/>
  <c r="R436" i="8"/>
  <c r="R437" i="8"/>
  <c r="AK451" i="8"/>
  <c r="AK452" i="8"/>
  <c r="AK447" i="8"/>
  <c r="AK450" i="8"/>
  <c r="AK448" i="8"/>
  <c r="AK449" i="8"/>
  <c r="H413" i="8"/>
  <c r="H412" i="8"/>
  <c r="I450" i="8"/>
  <c r="I452" i="8"/>
  <c r="I447" i="8"/>
  <c r="I449" i="8"/>
  <c r="I451" i="8"/>
  <c r="I448" i="8"/>
  <c r="S426" i="8"/>
  <c r="S429" i="8"/>
  <c r="S430" i="8"/>
  <c r="S425" i="8"/>
  <c r="S428" i="8"/>
  <c r="S427" i="8"/>
  <c r="L433" i="8"/>
  <c r="L437" i="8"/>
  <c r="L436" i="8"/>
  <c r="L435" i="8"/>
  <c r="L434" i="8"/>
  <c r="L432" i="8"/>
  <c r="AG454" i="8"/>
  <c r="AG455" i="8"/>
  <c r="AG458" i="8"/>
  <c r="AG459" i="8"/>
  <c r="AG457" i="8"/>
  <c r="AG456" i="8"/>
  <c r="AK432" i="8"/>
  <c r="AK434" i="8"/>
  <c r="AK437" i="8"/>
  <c r="AK435" i="8"/>
  <c r="AK436" i="8"/>
  <c r="AK433" i="8"/>
  <c r="K456" i="8"/>
  <c r="K457" i="8"/>
  <c r="K454" i="8"/>
  <c r="K458" i="8"/>
  <c r="K455" i="8"/>
  <c r="K459" i="8"/>
  <c r="V427" i="8"/>
  <c r="V430" i="8"/>
  <c r="V428" i="8"/>
  <c r="V426" i="8"/>
  <c r="V429" i="8"/>
  <c r="V425" i="8"/>
  <c r="F412" i="8"/>
  <c r="F413" i="8"/>
  <c r="S413" i="8"/>
  <c r="S412" i="8"/>
  <c r="L412" i="8"/>
  <c r="L413" i="8"/>
  <c r="AD449" i="8"/>
  <c r="AD448" i="8"/>
  <c r="AD450" i="8"/>
  <c r="AD452" i="8"/>
  <c r="AD447" i="8"/>
  <c r="AD451" i="8"/>
  <c r="P445" i="8"/>
  <c r="P444" i="8"/>
  <c r="P440" i="8"/>
  <c r="P442" i="8"/>
  <c r="P443" i="8"/>
  <c r="P441" i="8"/>
  <c r="AC435" i="8"/>
  <c r="AC433" i="8"/>
  <c r="AC436" i="8"/>
  <c r="AC432" i="8"/>
  <c r="AC434" i="8"/>
  <c r="AC437" i="8"/>
  <c r="D428" i="8"/>
  <c r="D429" i="8"/>
  <c r="D425" i="8"/>
  <c r="D427" i="8"/>
  <c r="D426" i="8"/>
  <c r="D430" i="8"/>
  <c r="N412" i="8"/>
  <c r="N413" i="8"/>
  <c r="G434" i="8"/>
  <c r="G435" i="8"/>
  <c r="G437" i="8"/>
  <c r="G436" i="8"/>
  <c r="G433" i="8"/>
  <c r="G432" i="8"/>
  <c r="AE446" i="8"/>
  <c r="AE101" i="8" s="1"/>
  <c r="D456" i="8"/>
  <c r="D455" i="8"/>
  <c r="D454" i="8"/>
  <c r="D459" i="8"/>
  <c r="D458" i="8"/>
  <c r="D457" i="8"/>
  <c r="T436" i="8"/>
  <c r="T435" i="8"/>
  <c r="T433" i="8"/>
  <c r="T434" i="8"/>
  <c r="T432" i="8"/>
  <c r="T437" i="8"/>
  <c r="R443" i="8"/>
  <c r="R445" i="8"/>
  <c r="R444" i="8"/>
  <c r="R442" i="8"/>
  <c r="R440" i="8"/>
  <c r="R441" i="8"/>
  <c r="R405" i="8"/>
  <c r="R406" i="8"/>
  <c r="AC406" i="8"/>
  <c r="AC405" i="8"/>
  <c r="AC413" i="8"/>
  <c r="AC412" i="8"/>
  <c r="Q429" i="8"/>
  <c r="Q430" i="8"/>
  <c r="Q425" i="8"/>
  <c r="Q426" i="8"/>
  <c r="Q427" i="8"/>
  <c r="Q428" i="8"/>
  <c r="K426" i="8"/>
  <c r="K425" i="8"/>
  <c r="K430" i="8"/>
  <c r="K429" i="8"/>
  <c r="K428" i="8"/>
  <c r="K427" i="8"/>
  <c r="W457" i="8"/>
  <c r="W455" i="8"/>
  <c r="W458" i="8"/>
  <c r="W456" i="8"/>
  <c r="W459" i="8"/>
  <c r="W454" i="8"/>
  <c r="J410" i="8"/>
  <c r="J411" i="8"/>
  <c r="J409" i="8"/>
  <c r="AH413" i="8"/>
  <c r="AH412" i="8"/>
  <c r="N442" i="8"/>
  <c r="N445" i="8"/>
  <c r="N443" i="8"/>
  <c r="N440" i="8"/>
  <c r="N441" i="8"/>
  <c r="N444" i="8"/>
  <c r="AJ426" i="8"/>
  <c r="AJ430" i="8"/>
  <c r="AJ425" i="8"/>
  <c r="AJ427" i="8"/>
  <c r="AJ429" i="8"/>
  <c r="AJ428" i="8"/>
  <c r="T454" i="8"/>
  <c r="T456" i="8"/>
  <c r="T458" i="8"/>
  <c r="T457" i="8"/>
  <c r="T455" i="8"/>
  <c r="T459" i="8"/>
  <c r="G430" i="8"/>
  <c r="G425" i="8"/>
  <c r="G427" i="8"/>
  <c r="G429" i="8"/>
  <c r="G426" i="8"/>
  <c r="G428" i="8"/>
  <c r="U454" i="8"/>
  <c r="U456" i="8"/>
  <c r="U458" i="8"/>
  <c r="U457" i="8"/>
  <c r="U455" i="8"/>
  <c r="U459" i="8"/>
  <c r="I432" i="8"/>
  <c r="I437" i="8"/>
  <c r="I436" i="8"/>
  <c r="I434" i="8"/>
  <c r="I435" i="8"/>
  <c r="I433" i="8"/>
  <c r="D451" i="8"/>
  <c r="D449" i="8"/>
  <c r="D452" i="8"/>
  <c r="D448" i="8"/>
  <c r="D447" i="8"/>
  <c r="D450" i="8"/>
  <c r="T429" i="8"/>
  <c r="T428" i="8"/>
  <c r="T426" i="8"/>
  <c r="T427" i="8"/>
  <c r="T425" i="8"/>
  <c r="T430" i="8"/>
  <c r="R412" i="8"/>
  <c r="R413" i="8"/>
  <c r="R429" i="8"/>
  <c r="R430" i="8"/>
  <c r="R428" i="8"/>
  <c r="R426" i="8"/>
  <c r="R427" i="8"/>
  <c r="R425" i="8"/>
  <c r="AK440" i="8"/>
  <c r="AK442" i="8"/>
  <c r="AK444" i="8"/>
  <c r="AK443" i="8"/>
  <c r="AK441" i="8"/>
  <c r="AK445" i="8"/>
  <c r="AF459" i="8"/>
  <c r="AF454" i="8"/>
  <c r="AF457" i="8"/>
  <c r="AF455" i="8"/>
  <c r="AF458" i="8"/>
  <c r="AF456" i="8"/>
  <c r="H440" i="8"/>
  <c r="H442" i="8"/>
  <c r="H444" i="8"/>
  <c r="H443" i="8"/>
  <c r="H445" i="8"/>
  <c r="H441" i="8"/>
  <c r="I459" i="8"/>
  <c r="I457" i="8"/>
  <c r="I455" i="8"/>
  <c r="I454" i="8"/>
  <c r="I456" i="8"/>
  <c r="I458" i="8"/>
  <c r="S437" i="8"/>
  <c r="S432" i="8"/>
  <c r="S434" i="8"/>
  <c r="S433" i="8"/>
  <c r="S435" i="8"/>
  <c r="S436" i="8"/>
  <c r="O406" i="8"/>
  <c r="O405" i="8"/>
  <c r="N432" i="8"/>
  <c r="N434" i="8"/>
  <c r="N437" i="8"/>
  <c r="N436" i="8"/>
  <c r="N435" i="8"/>
  <c r="N433" i="8"/>
  <c r="AJ412" i="8"/>
  <c r="AJ413" i="8"/>
  <c r="L425" i="8"/>
  <c r="L427" i="8"/>
  <c r="L429" i="8"/>
  <c r="L428" i="8"/>
  <c r="L426" i="8"/>
  <c r="L430" i="8"/>
  <c r="M429" i="8"/>
  <c r="M426" i="8"/>
  <c r="M428" i="8"/>
  <c r="M427" i="8"/>
  <c r="M425" i="8"/>
  <c r="M430" i="8"/>
  <c r="G450" i="8"/>
  <c r="G448" i="8"/>
  <c r="G451" i="8"/>
  <c r="G449" i="8"/>
  <c r="G447" i="8"/>
  <c r="G452" i="8"/>
  <c r="AG450" i="8"/>
  <c r="AG449" i="8"/>
  <c r="AG447" i="8"/>
  <c r="AG452" i="8"/>
  <c r="AG451" i="8"/>
  <c r="AG448" i="8"/>
  <c r="P406" i="8"/>
  <c r="P405" i="8"/>
  <c r="E445" i="8"/>
  <c r="E443" i="8"/>
  <c r="E441" i="8"/>
  <c r="E440" i="8"/>
  <c r="E444" i="8"/>
  <c r="E442" i="8"/>
  <c r="U437" i="8"/>
  <c r="U435" i="8"/>
  <c r="U433" i="8"/>
  <c r="U434" i="8"/>
  <c r="U432" i="8"/>
  <c r="U436" i="8"/>
  <c r="J404" i="8"/>
  <c r="J402" i="8"/>
  <c r="J403" i="8"/>
  <c r="K450" i="8"/>
  <c r="K448" i="8"/>
  <c r="K451" i="8"/>
  <c r="K449" i="8"/>
  <c r="K447" i="8"/>
  <c r="K452" i="8"/>
  <c r="J453" i="8"/>
  <c r="J108" i="8" s="1"/>
  <c r="V405" i="8"/>
  <c r="V406" i="8"/>
  <c r="M413" i="8"/>
  <c r="M412" i="8"/>
  <c r="Q412" i="8"/>
  <c r="Q413" i="8"/>
  <c r="AF425" i="8"/>
  <c r="AF427" i="8"/>
  <c r="AF429" i="8"/>
  <c r="AF428" i="8"/>
  <c r="AF430" i="8"/>
  <c r="AF426" i="8"/>
  <c r="F457" i="8"/>
  <c r="F455" i="8"/>
  <c r="F454" i="8"/>
  <c r="F456" i="8"/>
  <c r="F458" i="8"/>
  <c r="F459" i="8"/>
  <c r="S442" i="8"/>
  <c r="S443" i="8"/>
  <c r="S445" i="8"/>
  <c r="S440" i="8"/>
  <c r="S444" i="8"/>
  <c r="S441" i="8"/>
  <c r="W405" i="8"/>
  <c r="W406" i="8"/>
  <c r="O412" i="8"/>
  <c r="O413" i="8"/>
  <c r="V451" i="8"/>
  <c r="V452" i="8"/>
  <c r="V448" i="8"/>
  <c r="V447" i="8"/>
  <c r="V449" i="8"/>
  <c r="V450" i="8"/>
  <c r="L440" i="8"/>
  <c r="L443" i="8"/>
  <c r="L444" i="8"/>
  <c r="L442" i="8"/>
  <c r="L445" i="8"/>
  <c r="L441" i="8"/>
  <c r="AD413" i="8"/>
  <c r="AD412" i="8"/>
  <c r="AG436" i="8"/>
  <c r="AG433" i="8"/>
  <c r="AG432" i="8"/>
  <c r="AG434" i="8"/>
  <c r="AG437" i="8"/>
  <c r="AG435" i="8"/>
  <c r="P455" i="8"/>
  <c r="P459" i="8"/>
  <c r="P458" i="8"/>
  <c r="P456" i="8"/>
  <c r="P454" i="8"/>
  <c r="P457" i="8"/>
  <c r="AC426" i="8"/>
  <c r="AC425" i="8"/>
  <c r="AC429" i="8"/>
  <c r="AC428" i="8"/>
  <c r="AC430" i="8"/>
  <c r="AC427" i="8"/>
  <c r="AE409" i="8"/>
  <c r="AE410" i="8"/>
  <c r="AE411" i="8"/>
  <c r="AI411" i="8"/>
  <c r="AI409" i="8"/>
  <c r="AI410" i="8"/>
  <c r="W445" i="8"/>
  <c r="W440" i="8"/>
  <c r="W442" i="8"/>
  <c r="W443" i="8"/>
  <c r="W441" i="8"/>
  <c r="W444" i="8"/>
  <c r="AH443" i="8"/>
  <c r="AH445" i="8"/>
  <c r="AH440" i="8"/>
  <c r="AH442" i="8"/>
  <c r="AH441" i="8"/>
  <c r="AH444" i="8"/>
  <c r="N455" i="8"/>
  <c r="N456" i="8"/>
  <c r="N458" i="8"/>
  <c r="N454" i="8"/>
  <c r="N457" i="8"/>
  <c r="N459" i="8"/>
  <c r="U450" i="8"/>
  <c r="U448" i="8"/>
  <c r="U447" i="8"/>
  <c r="U449" i="8"/>
  <c r="U452" i="8"/>
  <c r="U451" i="8"/>
  <c r="I406" i="8"/>
  <c r="I405" i="8"/>
  <c r="D443" i="8"/>
  <c r="D445" i="8"/>
  <c r="D440" i="8"/>
  <c r="D444" i="8"/>
  <c r="D441" i="8"/>
  <c r="D442" i="8"/>
  <c r="AF440" i="8"/>
  <c r="AF442" i="8"/>
  <c r="AF444" i="8"/>
  <c r="AF443" i="8"/>
  <c r="AF445" i="8"/>
  <c r="AF441" i="8"/>
  <c r="H436" i="8"/>
  <c r="H435" i="8"/>
  <c r="H433" i="8"/>
  <c r="H434" i="8"/>
  <c r="H432" i="8"/>
  <c r="H437" i="8"/>
  <c r="M405" i="8"/>
  <c r="M406" i="8"/>
  <c r="G412" i="8"/>
  <c r="G413" i="8"/>
  <c r="E412" i="8"/>
  <c r="E413" i="8"/>
  <c r="U406" i="8"/>
  <c r="U405" i="8"/>
  <c r="Q458" i="8"/>
  <c r="Q457" i="8"/>
  <c r="Q455" i="8"/>
  <c r="Q459" i="8"/>
  <c r="Q456" i="8"/>
  <c r="Q454" i="8"/>
  <c r="AF405" i="8"/>
  <c r="AF406" i="8"/>
  <c r="W430" i="8"/>
  <c r="W425" i="8"/>
  <c r="W427" i="8"/>
  <c r="W426" i="8"/>
  <c r="W428" i="8"/>
  <c r="W429" i="8"/>
  <c r="V413" i="8"/>
  <c r="V412" i="8"/>
  <c r="AG429" i="8"/>
  <c r="AG430" i="8"/>
  <c r="AG427" i="8"/>
  <c r="AG425" i="8"/>
  <c r="AG428" i="8"/>
  <c r="AG426" i="8"/>
  <c r="AC455" i="8"/>
  <c r="AC457" i="8"/>
  <c r="AC456" i="8"/>
  <c r="AC459" i="8"/>
  <c r="AC454" i="8"/>
  <c r="AC458" i="8"/>
  <c r="Q435" i="8"/>
  <c r="Q437" i="8"/>
  <c r="Q432" i="8"/>
  <c r="Q434" i="8"/>
  <c r="Q433" i="8"/>
  <c r="Q436" i="8"/>
  <c r="F435" i="8"/>
  <c r="F432" i="8"/>
  <c r="F436" i="8"/>
  <c r="F437" i="8"/>
  <c r="F434" i="8"/>
  <c r="F433" i="8"/>
  <c r="AH447" i="8"/>
  <c r="AH448" i="8"/>
  <c r="AH452" i="8"/>
  <c r="AH451" i="8"/>
  <c r="AH449" i="8"/>
  <c r="AH450" i="8"/>
  <c r="AJ436" i="8"/>
  <c r="AJ435" i="8"/>
  <c r="AJ433" i="8"/>
  <c r="AJ432" i="8"/>
  <c r="AJ434" i="8"/>
  <c r="AJ437" i="8"/>
  <c r="AD437" i="8"/>
  <c r="AD434" i="8"/>
  <c r="AD432" i="8"/>
  <c r="AD436" i="8"/>
  <c r="AD433" i="8"/>
  <c r="AD435" i="8"/>
  <c r="T412" i="8"/>
  <c r="T413" i="8"/>
  <c r="E425" i="8"/>
  <c r="E427" i="8"/>
  <c r="E429" i="8"/>
  <c r="E426" i="8"/>
  <c r="E430" i="8"/>
  <c r="E428" i="8"/>
  <c r="AE431" i="8"/>
  <c r="AC452" i="8"/>
  <c r="AC450" i="8"/>
  <c r="AC448" i="8"/>
  <c r="AC451" i="8"/>
  <c r="AC449" i="8"/>
  <c r="AC447" i="8"/>
  <c r="Q406" i="8"/>
  <c r="Q405" i="8"/>
  <c r="D406" i="8"/>
  <c r="D405" i="8"/>
  <c r="F425" i="8"/>
  <c r="F427" i="8"/>
  <c r="F429" i="8"/>
  <c r="F430" i="8"/>
  <c r="F426" i="8"/>
  <c r="F428" i="8"/>
  <c r="K405" i="8"/>
  <c r="K406" i="8"/>
  <c r="W448" i="8"/>
  <c r="W451" i="8"/>
  <c r="W452" i="8"/>
  <c r="W447" i="8"/>
  <c r="W449" i="8"/>
  <c r="W450" i="8"/>
  <c r="AH456" i="8"/>
  <c r="AH459" i="8"/>
  <c r="AH457" i="8"/>
  <c r="AH454" i="8"/>
  <c r="AH458" i="8"/>
  <c r="AH455" i="8"/>
  <c r="N451" i="8"/>
  <c r="N447" i="8"/>
  <c r="N452" i="8"/>
  <c r="N449" i="8"/>
  <c r="N450" i="8"/>
  <c r="N448" i="8"/>
  <c r="AJ406" i="8"/>
  <c r="AJ405" i="8"/>
  <c r="AD405" i="8"/>
  <c r="AD406" i="8"/>
  <c r="T444" i="8"/>
  <c r="T443" i="8"/>
  <c r="T441" i="8"/>
  <c r="T440" i="8"/>
  <c r="T445" i="8"/>
  <c r="T442" i="8"/>
  <c r="E406" i="8"/>
  <c r="E405" i="8"/>
  <c r="U413" i="8"/>
  <c r="U412" i="8"/>
  <c r="AI453" i="8"/>
  <c r="AI108" i="8" s="1"/>
  <c r="I428" i="8"/>
  <c r="I426" i="8"/>
  <c r="I425" i="8"/>
  <c r="I427" i="8"/>
  <c r="I430" i="8"/>
  <c r="I429" i="8"/>
  <c r="D413" i="8"/>
  <c r="D412" i="8"/>
  <c r="T405" i="8"/>
  <c r="T406" i="8"/>
  <c r="R457" i="8"/>
  <c r="R454" i="8"/>
  <c r="R458" i="8"/>
  <c r="R455" i="8"/>
  <c r="R459" i="8"/>
  <c r="R456" i="8"/>
  <c r="AK413" i="8"/>
  <c r="AK412" i="8"/>
  <c r="AE439" i="8"/>
  <c r="J424" i="8"/>
  <c r="AF413" i="8"/>
  <c r="AF412" i="8"/>
  <c r="H452" i="8"/>
  <c r="H447" i="8"/>
  <c r="H449" i="8"/>
  <c r="H450" i="8"/>
  <c r="H451" i="8"/>
  <c r="H448" i="8"/>
  <c r="H426" i="8"/>
  <c r="H430" i="8"/>
  <c r="H429" i="8"/>
  <c r="H428" i="8"/>
  <c r="H427" i="8"/>
  <c r="H425" i="8"/>
  <c r="I412" i="8"/>
  <c r="I413" i="8"/>
  <c r="O427" i="8"/>
  <c r="O425" i="8"/>
  <c r="O430" i="8"/>
  <c r="O426" i="8"/>
  <c r="O428" i="8"/>
  <c r="O429" i="8"/>
  <c r="AH435" i="8"/>
  <c r="AH433" i="8"/>
  <c r="AH432" i="8"/>
  <c r="AH437" i="8"/>
  <c r="AH436" i="8"/>
  <c r="AH434" i="8"/>
  <c r="N405" i="8"/>
  <c r="N406" i="8"/>
  <c r="AJ455" i="8"/>
  <c r="AJ459" i="8"/>
  <c r="AJ457" i="8"/>
  <c r="AJ458" i="8"/>
  <c r="AJ454" i="8"/>
  <c r="AJ456" i="8"/>
  <c r="L406" i="8"/>
  <c r="L405" i="8"/>
  <c r="M436" i="8"/>
  <c r="M433" i="8"/>
  <c r="M432" i="8"/>
  <c r="M437" i="8"/>
  <c r="M435" i="8"/>
  <c r="M434" i="8"/>
  <c r="G442" i="8"/>
  <c r="G443" i="8"/>
  <c r="G440" i="8"/>
  <c r="G441" i="8"/>
  <c r="G445" i="8"/>
  <c r="G444" i="8"/>
  <c r="AG412" i="8"/>
  <c r="AG413" i="8"/>
  <c r="E458" i="8"/>
  <c r="E455" i="8"/>
  <c r="E456" i="8"/>
  <c r="E457" i="8"/>
  <c r="E454" i="8"/>
  <c r="E459" i="8"/>
  <c r="AK406" i="8"/>
  <c r="AK405" i="8"/>
  <c r="AE424" i="8"/>
  <c r="K413" i="8"/>
  <c r="K412" i="8"/>
  <c r="M451" i="8"/>
  <c r="M452" i="8"/>
  <c r="M449" i="8"/>
  <c r="M447" i="8"/>
  <c r="M448" i="8"/>
  <c r="M450" i="8"/>
  <c r="Q450" i="8"/>
  <c r="Q449" i="8"/>
  <c r="Q448" i="8"/>
  <c r="Q447" i="8"/>
  <c r="Q452" i="8"/>
  <c r="Q451" i="8"/>
  <c r="J431" i="8"/>
  <c r="AI439" i="8"/>
  <c r="AF436" i="8"/>
  <c r="AF435" i="8"/>
  <c r="AF433" i="8"/>
  <c r="AF432" i="8"/>
  <c r="AF434" i="8"/>
  <c r="AF437" i="8"/>
  <c r="F442" i="8"/>
  <c r="F445" i="8"/>
  <c r="F443" i="8"/>
  <c r="F441" i="8"/>
  <c r="F440" i="8"/>
  <c r="F444" i="8"/>
  <c r="S448" i="8"/>
  <c r="S450" i="8"/>
  <c r="S452" i="8"/>
  <c r="S451" i="8"/>
  <c r="S447" i="8"/>
  <c r="S449" i="8"/>
  <c r="W437" i="8"/>
  <c r="W436" i="8"/>
  <c r="W434" i="8"/>
  <c r="W433" i="8"/>
  <c r="W435" i="8"/>
  <c r="W432" i="8"/>
  <c r="J439" i="8"/>
  <c r="O450" i="8"/>
  <c r="O448" i="8"/>
  <c r="O447" i="8"/>
  <c r="O449" i="8"/>
  <c r="O452" i="8"/>
  <c r="O451" i="8"/>
  <c r="V454" i="8"/>
  <c r="V458" i="8"/>
  <c r="V457" i="8"/>
  <c r="V455" i="8"/>
  <c r="V459" i="8"/>
  <c r="V456" i="8"/>
  <c r="L448" i="8"/>
  <c r="L452" i="8"/>
  <c r="L447" i="8"/>
  <c r="L449" i="8"/>
  <c r="L450" i="8"/>
  <c r="L451" i="8"/>
  <c r="AD442" i="8"/>
  <c r="AD441" i="8"/>
  <c r="AD443" i="8"/>
  <c r="AD445" i="8"/>
  <c r="AD440" i="8"/>
  <c r="AD444" i="8"/>
  <c r="AG406" i="8"/>
  <c r="AG405" i="8"/>
  <c r="P413" i="8"/>
  <c r="P412" i="8"/>
  <c r="J388" i="8" l="1"/>
  <c r="J389" i="8"/>
  <c r="AI389" i="8"/>
  <c r="AE388" i="8"/>
  <c r="AI388" i="8"/>
  <c r="AE389" i="8"/>
  <c r="B236" i="8"/>
  <c r="B360" i="8"/>
  <c r="B15" i="8" s="1"/>
  <c r="B361" i="8"/>
  <c r="B16" i="8" s="1"/>
  <c r="B358" i="8"/>
  <c r="B13" i="8" s="1"/>
  <c r="AE438" i="8"/>
  <c r="AE93" i="8" s="1"/>
  <c r="M439" i="8"/>
  <c r="AI417" i="8"/>
  <c r="AE417" i="8"/>
  <c r="J417" i="8"/>
  <c r="T431" i="8"/>
  <c r="P424" i="8"/>
  <c r="U423" i="8"/>
  <c r="P420" i="8"/>
  <c r="S419" i="8"/>
  <c r="R421" i="8"/>
  <c r="G418" i="8"/>
  <c r="AC419" i="8"/>
  <c r="N418" i="8"/>
  <c r="N420" i="8"/>
  <c r="T423" i="8"/>
  <c r="K419" i="8"/>
  <c r="AK422" i="8"/>
  <c r="AH418" i="8"/>
  <c r="E418" i="8"/>
  <c r="E423" i="8"/>
  <c r="F419" i="8"/>
  <c r="I423" i="8"/>
  <c r="AG419" i="8"/>
  <c r="M419" i="8"/>
  <c r="V421" i="8"/>
  <c r="U418" i="8"/>
  <c r="S422" i="8"/>
  <c r="R418" i="8"/>
  <c r="R419" i="8"/>
  <c r="G423" i="8"/>
  <c r="AC418" i="8"/>
  <c r="N422" i="8"/>
  <c r="N419" i="8"/>
  <c r="T422" i="8"/>
  <c r="T419" i="8"/>
  <c r="K418" i="8"/>
  <c r="AK420" i="8"/>
  <c r="AH419" i="8"/>
  <c r="H420" i="8"/>
  <c r="E420" i="8"/>
  <c r="E422" i="8"/>
  <c r="AD419" i="8"/>
  <c r="AD423" i="8"/>
  <c r="F420" i="8"/>
  <c r="F418" i="8"/>
  <c r="D422" i="8"/>
  <c r="I420" i="8"/>
  <c r="Q422" i="8"/>
  <c r="AG422" i="8"/>
  <c r="W420" i="8"/>
  <c r="W422" i="8"/>
  <c r="AF421" i="8"/>
  <c r="AF423" i="8"/>
  <c r="M420" i="8"/>
  <c r="L420" i="8"/>
  <c r="L418" i="8"/>
  <c r="B378" i="8"/>
  <c r="B33" i="8" s="1"/>
  <c r="O422" i="8"/>
  <c r="O421" i="8"/>
  <c r="AJ420" i="8"/>
  <c r="AJ423" i="8"/>
  <c r="P419" i="8"/>
  <c r="T420" i="8"/>
  <c r="AK421" i="8"/>
  <c r="H422" i="8"/>
  <c r="AD421" i="8"/>
  <c r="D420" i="8"/>
  <c r="I422" i="8"/>
  <c r="L421" i="8"/>
  <c r="U422" i="8"/>
  <c r="P422" i="8"/>
  <c r="V422" i="8"/>
  <c r="V423" i="8"/>
  <c r="U421" i="8"/>
  <c r="P421" i="8"/>
  <c r="S423" i="8"/>
  <c r="R422" i="8"/>
  <c r="R420" i="8"/>
  <c r="G420" i="8"/>
  <c r="G422" i="8"/>
  <c r="AC423" i="8"/>
  <c r="AC420" i="8"/>
  <c r="N421" i="8"/>
  <c r="T418" i="8"/>
  <c r="K421" i="8"/>
  <c r="AK418" i="8"/>
  <c r="AH421" i="8"/>
  <c r="AH420" i="8"/>
  <c r="H419" i="8"/>
  <c r="E419" i="8"/>
  <c r="AD422" i="8"/>
  <c r="AD420" i="8"/>
  <c r="F423" i="8"/>
  <c r="F422" i="8"/>
  <c r="D418" i="8"/>
  <c r="I418" i="8"/>
  <c r="Q419" i="8"/>
  <c r="Q420" i="8"/>
  <c r="AG423" i="8"/>
  <c r="W421" i="8"/>
  <c r="W419" i="8"/>
  <c r="AF419" i="8"/>
  <c r="M421" i="8"/>
  <c r="L422" i="8"/>
  <c r="L423" i="8"/>
  <c r="O418" i="8"/>
  <c r="O420" i="8"/>
  <c r="AJ418" i="8"/>
  <c r="AJ419" i="8"/>
  <c r="V419" i="8"/>
  <c r="U420" i="8"/>
  <c r="S421" i="8"/>
  <c r="K420" i="8"/>
  <c r="H423" i="8"/>
  <c r="D421" i="8"/>
  <c r="Q423" i="8"/>
  <c r="AG420" i="8"/>
  <c r="W423" i="8"/>
  <c r="AF422" i="8"/>
  <c r="AF418" i="8"/>
  <c r="M422" i="8"/>
  <c r="O423" i="8"/>
  <c r="AJ422" i="8"/>
  <c r="V418" i="8"/>
  <c r="V420" i="8"/>
  <c r="U419" i="8"/>
  <c r="P418" i="8"/>
  <c r="P423" i="8"/>
  <c r="S420" i="8"/>
  <c r="S418" i="8"/>
  <c r="R423" i="8"/>
  <c r="G421" i="8"/>
  <c r="G419" i="8"/>
  <c r="AC422" i="8"/>
  <c r="AC421" i="8"/>
  <c r="N423" i="8"/>
  <c r="T421" i="8"/>
  <c r="K423" i="8"/>
  <c r="K422" i="8"/>
  <c r="AK423" i="8"/>
  <c r="AK419" i="8"/>
  <c r="AH423" i="8"/>
  <c r="AH422" i="8"/>
  <c r="H418" i="8"/>
  <c r="H421" i="8"/>
  <c r="E421" i="8"/>
  <c r="AD418" i="8"/>
  <c r="F421" i="8"/>
  <c r="D423" i="8"/>
  <c r="D419" i="8"/>
  <c r="I421" i="8"/>
  <c r="I419" i="8"/>
  <c r="Q421" i="8"/>
  <c r="Q418" i="8"/>
  <c r="AG418" i="8"/>
  <c r="AG421" i="8"/>
  <c r="W418" i="8"/>
  <c r="AF420" i="8"/>
  <c r="M418" i="8"/>
  <c r="M423" i="8"/>
  <c r="L419" i="8"/>
  <c r="O419" i="8"/>
  <c r="AJ421" i="8"/>
  <c r="B356" i="8"/>
  <c r="B11" i="8" s="1"/>
  <c r="B357" i="8"/>
  <c r="B12" i="8" s="1"/>
  <c r="AI408" i="8"/>
  <c r="AI407" i="8" s="1"/>
  <c r="P453" i="8"/>
  <c r="P108" i="8" s="1"/>
  <c r="AG431" i="8"/>
  <c r="J438" i="8"/>
  <c r="J93" i="8" s="1"/>
  <c r="S446" i="8"/>
  <c r="S101" i="8" s="1"/>
  <c r="B355" i="8"/>
  <c r="B10" i="8" s="1"/>
  <c r="E453" i="8"/>
  <c r="E108" i="8" s="1"/>
  <c r="B374" i="8"/>
  <c r="B29" i="8" s="1"/>
  <c r="AI438" i="8"/>
  <c r="AI93" i="8" s="1"/>
  <c r="B359" i="8"/>
  <c r="B14" i="8" s="1"/>
  <c r="B376" i="8"/>
  <c r="B31" i="8" s="1"/>
  <c r="V424" i="8"/>
  <c r="P446" i="8"/>
  <c r="P101" i="8" s="1"/>
  <c r="Q439" i="8"/>
  <c r="V431" i="8"/>
  <c r="T446" i="8"/>
  <c r="T101" i="8" s="1"/>
  <c r="I446" i="8"/>
  <c r="I101" i="8" s="1"/>
  <c r="AG424" i="8"/>
  <c r="AJ431" i="8"/>
  <c r="W453" i="8"/>
  <c r="W108" i="8" s="1"/>
  <c r="B380" i="8"/>
  <c r="B35" i="8" s="1"/>
  <c r="E446" i="8"/>
  <c r="E101" i="8" s="1"/>
  <c r="AJ446" i="8"/>
  <c r="AJ101" i="8" s="1"/>
  <c r="O424" i="8"/>
  <c r="B375" i="8"/>
  <c r="B30" i="8" s="1"/>
  <c r="U431" i="8"/>
  <c r="M424" i="8"/>
  <c r="R424" i="8"/>
  <c r="AJ424" i="8"/>
  <c r="J408" i="8"/>
  <c r="J407" i="8" s="1"/>
  <c r="B379" i="8"/>
  <c r="B34" i="8" s="1"/>
  <c r="AI401" i="8"/>
  <c r="AI387" i="8" s="1"/>
  <c r="AK424" i="8"/>
  <c r="AG439" i="8"/>
  <c r="Z451" i="8"/>
  <c r="Z448" i="8"/>
  <c r="Z447" i="8"/>
  <c r="Z449" i="8"/>
  <c r="Z452" i="8"/>
  <c r="Z450" i="8"/>
  <c r="AD439" i="8"/>
  <c r="L446" i="8"/>
  <c r="L101" i="8" s="1"/>
  <c r="F439" i="8"/>
  <c r="Q446" i="8"/>
  <c r="Q101" i="8" s="1"/>
  <c r="AJ453" i="8"/>
  <c r="AJ108" i="8" s="1"/>
  <c r="AA442" i="8"/>
  <c r="AA444" i="8"/>
  <c r="AA445" i="8"/>
  <c r="AA441" i="8"/>
  <c r="AA440" i="8"/>
  <c r="AA443" i="8"/>
  <c r="Y413" i="8"/>
  <c r="Y412" i="8"/>
  <c r="AJ404" i="8"/>
  <c r="AJ402" i="8"/>
  <c r="AJ403" i="8"/>
  <c r="Q403" i="8"/>
  <c r="Q404" i="8"/>
  <c r="Q402" i="8"/>
  <c r="AB412" i="8"/>
  <c r="AB413" i="8"/>
  <c r="E424" i="8"/>
  <c r="AH446" i="8"/>
  <c r="AH101" i="8" s="1"/>
  <c r="F431" i="8"/>
  <c r="AF402" i="8"/>
  <c r="AF403" i="8"/>
  <c r="AF404" i="8"/>
  <c r="E410" i="8"/>
  <c r="E411" i="8"/>
  <c r="E409" i="8"/>
  <c r="G410" i="8"/>
  <c r="G411" i="8"/>
  <c r="G409" i="8"/>
  <c r="AF439" i="8"/>
  <c r="AA405" i="8"/>
  <c r="AA406" i="8"/>
  <c r="U446" i="8"/>
  <c r="U101" i="8" s="1"/>
  <c r="Z405" i="8"/>
  <c r="Z406" i="8"/>
  <c r="AD409" i="8"/>
  <c r="AD411" i="8"/>
  <c r="AD410" i="8"/>
  <c r="AF424" i="8"/>
  <c r="V404" i="8"/>
  <c r="V402" i="8"/>
  <c r="V403" i="8"/>
  <c r="P404" i="8"/>
  <c r="P402" i="8"/>
  <c r="P403" i="8"/>
  <c r="AJ410" i="8"/>
  <c r="AJ411" i="8"/>
  <c r="AJ409" i="8"/>
  <c r="S431" i="8"/>
  <c r="H439" i="8"/>
  <c r="R411" i="8"/>
  <c r="R410" i="8"/>
  <c r="R409" i="8"/>
  <c r="D446" i="8"/>
  <c r="D101" i="8" s="1"/>
  <c r="AB405" i="8"/>
  <c r="AB406" i="8"/>
  <c r="Y406" i="8"/>
  <c r="Y405" i="8"/>
  <c r="G424" i="8"/>
  <c r="AC404" i="8"/>
  <c r="AC403" i="8"/>
  <c r="AC402" i="8"/>
  <c r="R404" i="8"/>
  <c r="R402" i="8"/>
  <c r="R388" i="8" s="1"/>
  <c r="R403" i="8"/>
  <c r="D453" i="8"/>
  <c r="D108" i="8" s="1"/>
  <c r="N409" i="8"/>
  <c r="N410" i="8"/>
  <c r="N411" i="8"/>
  <c r="L410" i="8"/>
  <c r="L409" i="8"/>
  <c r="L411" i="8"/>
  <c r="AG453" i="8"/>
  <c r="AG108" i="8" s="1"/>
  <c r="L453" i="8"/>
  <c r="L108" i="8" s="1"/>
  <c r="S453" i="8"/>
  <c r="S108" i="8" s="1"/>
  <c r="X440" i="8"/>
  <c r="X442" i="8"/>
  <c r="X444" i="8"/>
  <c r="X443" i="8"/>
  <c r="X445" i="8"/>
  <c r="X441" i="8"/>
  <c r="X405" i="8"/>
  <c r="X406" i="8"/>
  <c r="N424" i="8"/>
  <c r="AF446" i="8"/>
  <c r="AF101" i="8" s="1"/>
  <c r="U439" i="8"/>
  <c r="W409" i="8"/>
  <c r="W410" i="8"/>
  <c r="W411" i="8"/>
  <c r="O453" i="8"/>
  <c r="O108" i="8" s="1"/>
  <c r="Z412" i="8"/>
  <c r="Z413" i="8"/>
  <c r="M446" i="8"/>
  <c r="M101" i="8" s="1"/>
  <c r="M431" i="8"/>
  <c r="N404" i="8"/>
  <c r="N402" i="8"/>
  <c r="N403" i="8"/>
  <c r="H424" i="8"/>
  <c r="AF409" i="8"/>
  <c r="AF411" i="8"/>
  <c r="AF410" i="8"/>
  <c r="AA455" i="8"/>
  <c r="AA458" i="8"/>
  <c r="AA459" i="8"/>
  <c r="AA454" i="8"/>
  <c r="AA456" i="8"/>
  <c r="AA457" i="8"/>
  <c r="Y443" i="8"/>
  <c r="Y442" i="8"/>
  <c r="Y440" i="8"/>
  <c r="Y445" i="8"/>
  <c r="Y444" i="8"/>
  <c r="Y441" i="8"/>
  <c r="U411" i="8"/>
  <c r="U409" i="8"/>
  <c r="U410" i="8"/>
  <c r="E402" i="8"/>
  <c r="E403" i="8"/>
  <c r="E404" i="8"/>
  <c r="T439" i="8"/>
  <c r="AD402" i="8"/>
  <c r="AD403" i="8"/>
  <c r="AD389" i="8" s="1"/>
  <c r="AD404" i="8"/>
  <c r="W446" i="8"/>
  <c r="W101" i="8" s="1"/>
  <c r="K403" i="8"/>
  <c r="K404" i="8"/>
  <c r="K402" i="8"/>
  <c r="F424" i="8"/>
  <c r="AB454" i="8"/>
  <c r="AB456" i="8"/>
  <c r="AB458" i="8"/>
  <c r="AB457" i="8"/>
  <c r="AB455" i="8"/>
  <c r="AB459" i="8"/>
  <c r="AC453" i="8"/>
  <c r="AC108" i="8" s="1"/>
  <c r="V410" i="8"/>
  <c r="V411" i="8"/>
  <c r="V409" i="8"/>
  <c r="D439" i="8"/>
  <c r="I402" i="8"/>
  <c r="I403" i="8"/>
  <c r="I404" i="8"/>
  <c r="AC424" i="8"/>
  <c r="W403" i="8"/>
  <c r="W389" i="8" s="1"/>
  <c r="W404" i="8"/>
  <c r="W402" i="8"/>
  <c r="S439" i="8"/>
  <c r="F453" i="8"/>
  <c r="F108" i="8" s="1"/>
  <c r="J401" i="8"/>
  <c r="E439" i="8"/>
  <c r="I453" i="8"/>
  <c r="I108" i="8" s="1"/>
  <c r="AF453" i="8"/>
  <c r="AF108" i="8" s="1"/>
  <c r="AB432" i="8"/>
  <c r="AB434" i="8"/>
  <c r="AB436" i="8"/>
  <c r="AB435" i="8"/>
  <c r="AB437" i="8"/>
  <c r="AB433" i="8"/>
  <c r="N439" i="8"/>
  <c r="K424" i="8"/>
  <c r="Q424" i="8"/>
  <c r="R439" i="8"/>
  <c r="G431" i="8"/>
  <c r="F411" i="8"/>
  <c r="F409" i="8"/>
  <c r="F410" i="8"/>
  <c r="K453" i="8"/>
  <c r="K108" i="8" s="1"/>
  <c r="L431" i="8"/>
  <c r="S424" i="8"/>
  <c r="E431" i="8"/>
  <c r="G402" i="8"/>
  <c r="G388" i="8" s="1"/>
  <c r="G403" i="8"/>
  <c r="G389" i="8" s="1"/>
  <c r="G404" i="8"/>
  <c r="AD453" i="8"/>
  <c r="AD108" i="8" s="1"/>
  <c r="M453" i="8"/>
  <c r="M108" i="8" s="1"/>
  <c r="K439" i="8"/>
  <c r="X447" i="8"/>
  <c r="X449" i="8"/>
  <c r="X448" i="8"/>
  <c r="X451" i="8"/>
  <c r="X450" i="8"/>
  <c r="X452" i="8"/>
  <c r="AH424" i="8"/>
  <c r="S403" i="8"/>
  <c r="S404" i="8"/>
  <c r="S402" i="8"/>
  <c r="I439" i="8"/>
  <c r="AK453" i="8"/>
  <c r="AK108" i="8" s="1"/>
  <c r="F402" i="8"/>
  <c r="F388" i="8" s="1"/>
  <c r="F403" i="8"/>
  <c r="F404" i="8"/>
  <c r="Z440" i="8"/>
  <c r="Z445" i="8"/>
  <c r="Z442" i="8"/>
  <c r="Z441" i="8"/>
  <c r="Z444" i="8"/>
  <c r="Z443" i="8"/>
  <c r="AK402" i="8"/>
  <c r="AK404" i="8"/>
  <c r="AK403" i="8"/>
  <c r="I409" i="8"/>
  <c r="I410" i="8"/>
  <c r="I411" i="8"/>
  <c r="AA412" i="8"/>
  <c r="AA413" i="8"/>
  <c r="D411" i="8"/>
  <c r="D409" i="8"/>
  <c r="D410" i="8"/>
  <c r="Y448" i="8"/>
  <c r="Y449" i="8"/>
  <c r="Y451" i="8"/>
  <c r="Y450" i="8"/>
  <c r="Y452" i="8"/>
  <c r="Y447" i="8"/>
  <c r="D403" i="8"/>
  <c r="D389" i="8" s="1"/>
  <c r="D404" i="8"/>
  <c r="D402" i="8"/>
  <c r="AB445" i="8"/>
  <c r="AB440" i="8"/>
  <c r="AB443" i="8"/>
  <c r="AB441" i="8"/>
  <c r="AB442" i="8"/>
  <c r="AB444" i="8"/>
  <c r="Q431" i="8"/>
  <c r="W424" i="8"/>
  <c r="U402" i="8"/>
  <c r="U388" i="8" s="1"/>
  <c r="U403" i="8"/>
  <c r="U404" i="8"/>
  <c r="H431" i="8"/>
  <c r="AA432" i="8"/>
  <c r="AA433" i="8"/>
  <c r="AA435" i="8"/>
  <c r="AA436" i="8"/>
  <c r="AA437" i="8"/>
  <c r="AA434" i="8"/>
  <c r="W439" i="8"/>
  <c r="Z434" i="8"/>
  <c r="Z436" i="8"/>
  <c r="Z435" i="8"/>
  <c r="Z437" i="8"/>
  <c r="Z432" i="8"/>
  <c r="Z433" i="8"/>
  <c r="V446" i="8"/>
  <c r="V101" i="8" s="1"/>
  <c r="Q410" i="8"/>
  <c r="Q411" i="8"/>
  <c r="Q409" i="8"/>
  <c r="M411" i="8"/>
  <c r="M409" i="8"/>
  <c r="M410" i="8"/>
  <c r="AG446" i="8"/>
  <c r="AG101" i="8" s="1"/>
  <c r="G446" i="8"/>
  <c r="G101" i="8" s="1"/>
  <c r="L424" i="8"/>
  <c r="O403" i="8"/>
  <c r="O404" i="8"/>
  <c r="O402" i="8"/>
  <c r="T424" i="8"/>
  <c r="I431" i="8"/>
  <c r="Y436" i="8"/>
  <c r="Y433" i="8"/>
  <c r="Y432" i="8"/>
  <c r="Y434" i="8"/>
  <c r="Y437" i="8"/>
  <c r="Y435" i="8"/>
  <c r="U453" i="8"/>
  <c r="U108" i="8" s="1"/>
  <c r="AC411" i="8"/>
  <c r="AC409" i="8"/>
  <c r="AC410" i="8"/>
  <c r="D424" i="8"/>
  <c r="P439" i="8"/>
  <c r="AD446" i="8"/>
  <c r="AD101" i="8" s="1"/>
  <c r="S409" i="8"/>
  <c r="S411" i="8"/>
  <c r="S410" i="8"/>
  <c r="AK431" i="8"/>
  <c r="AD424" i="8"/>
  <c r="D431" i="8"/>
  <c r="AC439" i="8"/>
  <c r="V439" i="8"/>
  <c r="O439" i="8"/>
  <c r="X413" i="8"/>
  <c r="X412" i="8"/>
  <c r="X426" i="8"/>
  <c r="X430" i="8"/>
  <c r="X428" i="8"/>
  <c r="X429" i="8"/>
  <c r="X425" i="8"/>
  <c r="X427" i="8"/>
  <c r="U424" i="8"/>
  <c r="G453" i="8"/>
  <c r="G108" i="8" s="1"/>
  <c r="H403" i="8"/>
  <c r="H404" i="8"/>
  <c r="H402" i="8"/>
  <c r="K431" i="8"/>
  <c r="AE401" i="8"/>
  <c r="AH403" i="8"/>
  <c r="AH404" i="8"/>
  <c r="AH402" i="8"/>
  <c r="P409" i="8"/>
  <c r="P411" i="8"/>
  <c r="P410" i="8"/>
  <c r="L404" i="8"/>
  <c r="L403" i="8"/>
  <c r="L402" i="8"/>
  <c r="L388" i="8" s="1"/>
  <c r="Z454" i="8"/>
  <c r="Z457" i="8"/>
  <c r="Z455" i="8"/>
  <c r="Z458" i="8"/>
  <c r="Z456" i="8"/>
  <c r="Z459" i="8"/>
  <c r="AG404" i="8"/>
  <c r="AG403" i="8"/>
  <c r="AG402" i="8"/>
  <c r="V453" i="8"/>
  <c r="V108" i="8" s="1"/>
  <c r="O446" i="8"/>
  <c r="O101" i="8" s="1"/>
  <c r="W431" i="8"/>
  <c r="AF431" i="8"/>
  <c r="K409" i="8"/>
  <c r="K410" i="8"/>
  <c r="K411" i="8"/>
  <c r="AG409" i="8"/>
  <c r="AG410" i="8"/>
  <c r="AG411" i="8"/>
  <c r="G439" i="8"/>
  <c r="AH431" i="8"/>
  <c r="H446" i="8"/>
  <c r="H101" i="8" s="1"/>
  <c r="AA450" i="8"/>
  <c r="AA448" i="8"/>
  <c r="AA451" i="8"/>
  <c r="AA449" i="8"/>
  <c r="AA447" i="8"/>
  <c r="AA452" i="8"/>
  <c r="AK410" i="8"/>
  <c r="AK411" i="8"/>
  <c r="AK409" i="8"/>
  <c r="R453" i="8"/>
  <c r="R108" i="8" s="1"/>
  <c r="T402" i="8"/>
  <c r="T403" i="8"/>
  <c r="T404" i="8"/>
  <c r="I424" i="8"/>
  <c r="Y458" i="8"/>
  <c r="Y459" i="8"/>
  <c r="Y455" i="8"/>
  <c r="Y457" i="8"/>
  <c r="Y454" i="8"/>
  <c r="Y456" i="8"/>
  <c r="N446" i="8"/>
  <c r="N101" i="8" s="1"/>
  <c r="AH453" i="8"/>
  <c r="AH108" i="8" s="1"/>
  <c r="AC446" i="8"/>
  <c r="AC101" i="8" s="1"/>
  <c r="AB447" i="8"/>
  <c r="AB449" i="8"/>
  <c r="AB451" i="8"/>
  <c r="AB450" i="8"/>
  <c r="AB452" i="8"/>
  <c r="AB448" i="8"/>
  <c r="T410" i="8"/>
  <c r="T411" i="8"/>
  <c r="T409" i="8"/>
  <c r="AD431" i="8"/>
  <c r="Q453" i="8"/>
  <c r="Q108" i="8" s="1"/>
  <c r="M402" i="8"/>
  <c r="M388" i="8" s="1"/>
  <c r="M403" i="8"/>
  <c r="M389" i="8" s="1"/>
  <c r="M404" i="8"/>
  <c r="AA430" i="8"/>
  <c r="AA429" i="8"/>
  <c r="AA427" i="8"/>
  <c r="AA426" i="8"/>
  <c r="AA428" i="8"/>
  <c r="AA425" i="8"/>
  <c r="N453" i="8"/>
  <c r="N108" i="8" s="1"/>
  <c r="AH439" i="8"/>
  <c r="AE408" i="8"/>
  <c r="AE407" i="8" s="1"/>
  <c r="Z427" i="8"/>
  <c r="Z426" i="8"/>
  <c r="Z428" i="8"/>
  <c r="Z430" i="8"/>
  <c r="Z429" i="8"/>
  <c r="Z425" i="8"/>
  <c r="L439" i="8"/>
  <c r="O409" i="8"/>
  <c r="O411" i="8"/>
  <c r="O410" i="8"/>
  <c r="K446" i="8"/>
  <c r="K101" i="8" s="1"/>
  <c r="N431" i="8"/>
  <c r="AK439" i="8"/>
  <c r="AB425" i="8"/>
  <c r="AB427" i="8"/>
  <c r="AB429" i="8"/>
  <c r="AB428" i="8"/>
  <c r="AB430" i="8"/>
  <c r="AB426" i="8"/>
  <c r="Y428" i="8"/>
  <c r="Y426" i="8"/>
  <c r="Y425" i="8"/>
  <c r="Y427" i="8"/>
  <c r="Y430" i="8"/>
  <c r="Y429" i="8"/>
  <c r="T453" i="8"/>
  <c r="T108" i="8" s="1"/>
  <c r="AH411" i="8"/>
  <c r="AH410" i="8"/>
  <c r="AH409" i="8"/>
  <c r="AC431" i="8"/>
  <c r="H410" i="8"/>
  <c r="H409" i="8"/>
  <c r="H411" i="8"/>
  <c r="AK446" i="8"/>
  <c r="AK101" i="8" s="1"/>
  <c r="R431" i="8"/>
  <c r="R446" i="8"/>
  <c r="R101" i="8" s="1"/>
  <c r="F446" i="8"/>
  <c r="F101" i="8" s="1"/>
  <c r="X459" i="8"/>
  <c r="X454" i="8"/>
  <c r="X456" i="8"/>
  <c r="X455" i="8"/>
  <c r="X458" i="8"/>
  <c r="X457" i="8"/>
  <c r="X437" i="8"/>
  <c r="X432" i="8"/>
  <c r="X434" i="8"/>
  <c r="X433" i="8"/>
  <c r="X436" i="8"/>
  <c r="X435" i="8"/>
  <c r="P431" i="8"/>
  <c r="O431" i="8"/>
  <c r="H453" i="8"/>
  <c r="H108" i="8" s="1"/>
  <c r="AJ439" i="8"/>
  <c r="U389" i="8" l="1"/>
  <c r="N388" i="8"/>
  <c r="AI386" i="8"/>
  <c r="T389" i="8"/>
  <c r="D388" i="8"/>
  <c r="W388" i="8"/>
  <c r="E389" i="8"/>
  <c r="AC388" i="8"/>
  <c r="AF389" i="8"/>
  <c r="T388" i="8"/>
  <c r="AG388" i="8"/>
  <c r="H388" i="8"/>
  <c r="AK389" i="8"/>
  <c r="S389" i="8"/>
  <c r="J387" i="8"/>
  <c r="J386" i="8" s="1"/>
  <c r="I389" i="8"/>
  <c r="K389" i="8"/>
  <c r="AD388" i="8"/>
  <c r="E388" i="8"/>
  <c r="N389" i="8"/>
  <c r="R389" i="8"/>
  <c r="AC389" i="8"/>
  <c r="P389" i="8"/>
  <c r="V388" i="8"/>
  <c r="AF388" i="8"/>
  <c r="Q389" i="8"/>
  <c r="AI377" i="8"/>
  <c r="AE377" i="8"/>
  <c r="AG389" i="8"/>
  <c r="I388" i="8"/>
  <c r="P388" i="8"/>
  <c r="AJ389" i="8"/>
  <c r="AH389" i="8"/>
  <c r="O388" i="8"/>
  <c r="L389" i="8"/>
  <c r="AE387" i="8"/>
  <c r="AE386" i="8" s="1"/>
  <c r="H389" i="8"/>
  <c r="AK388" i="8"/>
  <c r="F389" i="8"/>
  <c r="S388" i="8"/>
  <c r="K388" i="8"/>
  <c r="Q388" i="8"/>
  <c r="AJ388" i="8"/>
  <c r="AH388" i="8"/>
  <c r="O389" i="8"/>
  <c r="V389" i="8"/>
  <c r="J377" i="8"/>
  <c r="AI416" i="8"/>
  <c r="AI71" i="8" s="1"/>
  <c r="B406" i="8"/>
  <c r="B61" i="8" s="1"/>
  <c r="AI400" i="8"/>
  <c r="J416" i="8"/>
  <c r="J71" i="8" s="1"/>
  <c r="AE400" i="8"/>
  <c r="J400" i="8"/>
  <c r="B412" i="8"/>
  <c r="B67" i="8" s="1"/>
  <c r="AE416" i="8"/>
  <c r="AE71" i="8" s="1"/>
  <c r="W438" i="8"/>
  <c r="W93" i="8" s="1"/>
  <c r="B441" i="8"/>
  <c r="B96" i="8" s="1"/>
  <c r="M438" i="8"/>
  <c r="M93" i="8" s="1"/>
  <c r="AG438" i="8"/>
  <c r="AG93" i="8" s="1"/>
  <c r="B450" i="8"/>
  <c r="B105" i="8" s="1"/>
  <c r="S438" i="8"/>
  <c r="S93" i="8" s="1"/>
  <c r="B443" i="8"/>
  <c r="B98" i="8" s="1"/>
  <c r="Q438" i="8"/>
  <c r="Q93" i="8" s="1"/>
  <c r="G438" i="8"/>
  <c r="G93" i="8" s="1"/>
  <c r="E417" i="8"/>
  <c r="L417" i="8"/>
  <c r="AC417" i="8"/>
  <c r="W417" i="8"/>
  <c r="AF417" i="8"/>
  <c r="AD417" i="8"/>
  <c r="AH417" i="8"/>
  <c r="T417" i="8"/>
  <c r="M417" i="8"/>
  <c r="AG417" i="8"/>
  <c r="I417" i="8"/>
  <c r="AK417" i="8"/>
  <c r="G417" i="8"/>
  <c r="S417" i="8"/>
  <c r="P417" i="8"/>
  <c r="V417" i="8"/>
  <c r="K417" i="8"/>
  <c r="U417" i="8"/>
  <c r="AJ417" i="8"/>
  <c r="O417" i="8"/>
  <c r="Q417" i="8"/>
  <c r="D417" i="8"/>
  <c r="F417" i="8"/>
  <c r="H417" i="8"/>
  <c r="N417" i="8"/>
  <c r="R417" i="8"/>
  <c r="B434" i="8"/>
  <c r="B89" i="8" s="1"/>
  <c r="AB420" i="8"/>
  <c r="Z421" i="8"/>
  <c r="AA418" i="8"/>
  <c r="B459" i="8"/>
  <c r="B114" i="8" s="1"/>
  <c r="B430" i="8"/>
  <c r="B85" i="8" s="1"/>
  <c r="B413" i="8"/>
  <c r="B68" i="8" s="1"/>
  <c r="P438" i="8"/>
  <c r="P93" i="8" s="1"/>
  <c r="AB418" i="8"/>
  <c r="AB423" i="8"/>
  <c r="X419" i="8"/>
  <c r="Y420" i="8"/>
  <c r="Y419" i="8"/>
  <c r="Z419" i="8"/>
  <c r="AA420" i="8"/>
  <c r="B442" i="8"/>
  <c r="B97" i="8" s="1"/>
  <c r="AB421" i="8"/>
  <c r="AB419" i="8"/>
  <c r="X418" i="8"/>
  <c r="X421" i="8"/>
  <c r="Y421" i="8"/>
  <c r="Y422" i="8"/>
  <c r="Z418" i="8"/>
  <c r="AA419" i="8"/>
  <c r="AA421" i="8"/>
  <c r="X420" i="8"/>
  <c r="Y423" i="8"/>
  <c r="B282" i="8"/>
  <c r="Z420" i="8"/>
  <c r="AB422" i="8"/>
  <c r="X423" i="8"/>
  <c r="X422" i="8"/>
  <c r="Y418" i="8"/>
  <c r="Z423" i="8"/>
  <c r="Z422" i="8"/>
  <c r="AA422" i="8"/>
  <c r="AA423" i="8"/>
  <c r="B435" i="8"/>
  <c r="B90" i="8" s="1"/>
  <c r="V401" i="8"/>
  <c r="B436" i="8"/>
  <c r="B91" i="8" s="1"/>
  <c r="B437" i="8"/>
  <c r="B92" i="8" s="1"/>
  <c r="B456" i="8"/>
  <c r="B111" i="8" s="1"/>
  <c r="L438" i="8"/>
  <c r="L93" i="8" s="1"/>
  <c r="AH438" i="8"/>
  <c r="AH93" i="8" s="1"/>
  <c r="I438" i="8"/>
  <c r="I93" i="8" s="1"/>
  <c r="E438" i="8"/>
  <c r="E93" i="8" s="1"/>
  <c r="AF408" i="8"/>
  <c r="AF407" i="8" s="1"/>
  <c r="B405" i="8"/>
  <c r="B60" i="8" s="1"/>
  <c r="B455" i="8"/>
  <c r="B110" i="8" s="1"/>
  <c r="AC408" i="8"/>
  <c r="AC407" i="8" s="1"/>
  <c r="B445" i="8"/>
  <c r="B100" i="8" s="1"/>
  <c r="AJ438" i="8"/>
  <c r="AJ93" i="8" s="1"/>
  <c r="B433" i="8"/>
  <c r="B88" i="8" s="1"/>
  <c r="B457" i="8"/>
  <c r="B112" i="8" s="1"/>
  <c r="B454" i="8"/>
  <c r="B109" i="8" s="1"/>
  <c r="Y431" i="8"/>
  <c r="E401" i="8"/>
  <c r="L408" i="8"/>
  <c r="L407" i="8" s="1"/>
  <c r="N408" i="8"/>
  <c r="N407" i="8" s="1"/>
  <c r="G408" i="8"/>
  <c r="G407" i="8" s="1"/>
  <c r="E408" i="8"/>
  <c r="E407" i="8" s="1"/>
  <c r="AF401" i="8"/>
  <c r="B447" i="8"/>
  <c r="B102" i="8" s="1"/>
  <c r="B429" i="8"/>
  <c r="B84" i="8" s="1"/>
  <c r="Y453" i="8"/>
  <c r="Y108" i="8" s="1"/>
  <c r="B458" i="8"/>
  <c r="B113" i="8" s="1"/>
  <c r="B449" i="8"/>
  <c r="B104" i="8" s="1"/>
  <c r="B353" i="8"/>
  <c r="B8" i="8" s="1"/>
  <c r="P408" i="8"/>
  <c r="P407" i="8" s="1"/>
  <c r="H401" i="8"/>
  <c r="B428" i="8"/>
  <c r="B83" i="8" s="1"/>
  <c r="AC438" i="8"/>
  <c r="AC93" i="8" s="1"/>
  <c r="B451" i="8"/>
  <c r="B106" i="8" s="1"/>
  <c r="Y424" i="8"/>
  <c r="B427" i="8"/>
  <c r="B82" i="8" s="1"/>
  <c r="U401" i="8"/>
  <c r="Y446" i="8"/>
  <c r="Y101" i="8" s="1"/>
  <c r="U408" i="8"/>
  <c r="U407" i="8" s="1"/>
  <c r="AA439" i="8"/>
  <c r="B452" i="8"/>
  <c r="B107" i="8" s="1"/>
  <c r="B448" i="8"/>
  <c r="B103" i="8" s="1"/>
  <c r="B354" i="8"/>
  <c r="B9" i="8" s="1"/>
  <c r="B426" i="8"/>
  <c r="B81" i="8" s="1"/>
  <c r="O401" i="8"/>
  <c r="Z431" i="8"/>
  <c r="F408" i="8"/>
  <c r="F407" i="8" s="1"/>
  <c r="B444" i="8"/>
  <c r="B99" i="8" s="1"/>
  <c r="R401" i="8"/>
  <c r="R408" i="8"/>
  <c r="R407" i="8" s="1"/>
  <c r="AJ408" i="8"/>
  <c r="AJ407" i="8" s="1"/>
  <c r="P401" i="8"/>
  <c r="Q401" i="8"/>
  <c r="AJ401" i="8"/>
  <c r="X431" i="8"/>
  <c r="AB424" i="8"/>
  <c r="B425" i="8"/>
  <c r="B80" i="8" s="1"/>
  <c r="Z439" i="8"/>
  <c r="AK438" i="8"/>
  <c r="AK93" i="8" s="1"/>
  <c r="K438" i="8"/>
  <c r="K93" i="8" s="1"/>
  <c r="AB431" i="8"/>
  <c r="T438" i="8"/>
  <c r="T93" i="8" s="1"/>
  <c r="AA402" i="8"/>
  <c r="AA403" i="8"/>
  <c r="AA404" i="8"/>
  <c r="AD438" i="8"/>
  <c r="AD93" i="8" s="1"/>
  <c r="R438" i="8"/>
  <c r="R93" i="8" s="1"/>
  <c r="H408" i="8"/>
  <c r="H407" i="8" s="1"/>
  <c r="AH408" i="8"/>
  <c r="AH407" i="8" s="1"/>
  <c r="O408" i="8"/>
  <c r="O407" i="8" s="1"/>
  <c r="AB446" i="8"/>
  <c r="AB101" i="8" s="1"/>
  <c r="T401" i="8"/>
  <c r="K408" i="8"/>
  <c r="K407" i="8" s="1"/>
  <c r="S408" i="8"/>
  <c r="S407" i="8" s="1"/>
  <c r="M408" i="8"/>
  <c r="M407" i="8" s="1"/>
  <c r="D401" i="8"/>
  <c r="AA411" i="8"/>
  <c r="AA410" i="8"/>
  <c r="AA409" i="8"/>
  <c r="AK401" i="8"/>
  <c r="W401" i="8"/>
  <c r="I401" i="8"/>
  <c r="AB453" i="8"/>
  <c r="AB108" i="8" s="1"/>
  <c r="K401" i="8"/>
  <c r="Z409" i="8"/>
  <c r="Z411" i="8"/>
  <c r="Z410" i="8"/>
  <c r="AD408" i="8"/>
  <c r="AD407" i="8" s="1"/>
  <c r="Y409" i="8"/>
  <c r="Y410" i="8"/>
  <c r="Y411" i="8"/>
  <c r="Z446" i="8"/>
  <c r="Z101" i="8" s="1"/>
  <c r="X453" i="8"/>
  <c r="X108" i="8" s="1"/>
  <c r="AA424" i="8"/>
  <c r="M401" i="8"/>
  <c r="T408" i="8"/>
  <c r="T407" i="8" s="1"/>
  <c r="AG408" i="8"/>
  <c r="AG407" i="8" s="1"/>
  <c r="AG401" i="8"/>
  <c r="Z453" i="8"/>
  <c r="Z108" i="8" s="1"/>
  <c r="AH401" i="8"/>
  <c r="X424" i="8"/>
  <c r="O438" i="8"/>
  <c r="O93" i="8" s="1"/>
  <c r="B432" i="8"/>
  <c r="B87" i="8" s="1"/>
  <c r="Q408" i="8"/>
  <c r="Q407" i="8" s="1"/>
  <c r="I408" i="8"/>
  <c r="I407" i="8" s="1"/>
  <c r="B352" i="8"/>
  <c r="B7" i="8" s="1"/>
  <c r="G401" i="8"/>
  <c r="B440" i="8"/>
  <c r="B95" i="8" s="1"/>
  <c r="V408" i="8"/>
  <c r="V407" i="8" s="1"/>
  <c r="AA453" i="8"/>
  <c r="AA108" i="8" s="1"/>
  <c r="W408" i="8"/>
  <c r="W407" i="8" s="1"/>
  <c r="X439" i="8"/>
  <c r="AC401" i="8"/>
  <c r="Y403" i="8"/>
  <c r="Y389" i="8" s="1"/>
  <c r="Y404" i="8"/>
  <c r="Y402" i="8"/>
  <c r="H438" i="8"/>
  <c r="H93" i="8" s="1"/>
  <c r="Z403" i="8"/>
  <c r="Z404" i="8"/>
  <c r="Z402" i="8"/>
  <c r="AF438" i="8"/>
  <c r="AF93" i="8" s="1"/>
  <c r="AB409" i="8"/>
  <c r="AB410" i="8"/>
  <c r="AB411" i="8"/>
  <c r="F438" i="8"/>
  <c r="F93" i="8" s="1"/>
  <c r="Z424" i="8"/>
  <c r="AK408" i="8"/>
  <c r="AK407" i="8" s="1"/>
  <c r="AA446" i="8"/>
  <c r="AA101" i="8" s="1"/>
  <c r="L401" i="8"/>
  <c r="X411" i="8"/>
  <c r="X409" i="8"/>
  <c r="X410" i="8"/>
  <c r="V438" i="8"/>
  <c r="V93" i="8" s="1"/>
  <c r="AA431" i="8"/>
  <c r="AB439" i="8"/>
  <c r="D408" i="8"/>
  <c r="F401" i="8"/>
  <c r="S401" i="8"/>
  <c r="S387" i="8" s="1"/>
  <c r="S386" i="8" s="1"/>
  <c r="X446" i="8"/>
  <c r="X101" i="8" s="1"/>
  <c r="N438" i="8"/>
  <c r="N93" i="8" s="1"/>
  <c r="D438" i="8"/>
  <c r="D93" i="8" s="1"/>
  <c r="AD401" i="8"/>
  <c r="Y439" i="8"/>
  <c r="N401" i="8"/>
  <c r="U438" i="8"/>
  <c r="U93" i="8" s="1"/>
  <c r="X403" i="8"/>
  <c r="X404" i="8"/>
  <c r="X402" i="8"/>
  <c r="AB402" i="8"/>
  <c r="AB388" i="8" s="1"/>
  <c r="AB403" i="8"/>
  <c r="AB389" i="8" s="1"/>
  <c r="AB404" i="8"/>
  <c r="M387" i="8" l="1"/>
  <c r="M386" i="8" s="1"/>
  <c r="P387" i="8"/>
  <c r="Z389" i="8"/>
  <c r="AJ387" i="8"/>
  <c r="AJ386" i="8" s="1"/>
  <c r="U387" i="8"/>
  <c r="U386" i="8" s="1"/>
  <c r="X388" i="8"/>
  <c r="F387" i="8"/>
  <c r="F386" i="8" s="1"/>
  <c r="L387" i="8"/>
  <c r="L386" i="8" s="1"/>
  <c r="AC387" i="8"/>
  <c r="AC386" i="8" s="1"/>
  <c r="Y388" i="8"/>
  <c r="AH387" i="8"/>
  <c r="AH386" i="8" s="1"/>
  <c r="K387" i="8"/>
  <c r="K386" i="8" s="1"/>
  <c r="AK387" i="8"/>
  <c r="AK386" i="8" s="1"/>
  <c r="P386" i="8"/>
  <c r="V387" i="8"/>
  <c r="V386" i="8" s="1"/>
  <c r="G387" i="8"/>
  <c r="G386" i="8" s="1"/>
  <c r="Z388" i="8"/>
  <c r="AG387" i="8"/>
  <c r="AG386" i="8" s="1"/>
  <c r="I387" i="8"/>
  <c r="I386" i="8" s="1"/>
  <c r="T387" i="8"/>
  <c r="T386" i="8" s="1"/>
  <c r="AA389" i="8"/>
  <c r="AF377" i="8"/>
  <c r="X389" i="8"/>
  <c r="AD387" i="8"/>
  <c r="AD386" i="8" s="1"/>
  <c r="AK377" i="8"/>
  <c r="W377" i="8"/>
  <c r="M377" i="8"/>
  <c r="AA388" i="8"/>
  <c r="AJ377" i="8"/>
  <c r="F377" i="8"/>
  <c r="U377" i="8"/>
  <c r="H387" i="8"/>
  <c r="H386" i="8" s="1"/>
  <c r="AF387" i="8"/>
  <c r="AF386" i="8" s="1"/>
  <c r="L377" i="8"/>
  <c r="AC377" i="8"/>
  <c r="AI415" i="8"/>
  <c r="J373" i="8"/>
  <c r="J372" i="8" s="1"/>
  <c r="AI373" i="8"/>
  <c r="AI372" i="8" s="1"/>
  <c r="S377" i="8"/>
  <c r="P377" i="8"/>
  <c r="E377" i="8"/>
  <c r="AE373" i="8"/>
  <c r="AE372" i="8" s="1"/>
  <c r="O377" i="8"/>
  <c r="R377" i="8"/>
  <c r="E387" i="8"/>
  <c r="E386" i="8" s="1"/>
  <c r="N387" i="8"/>
  <c r="N386" i="8" s="1"/>
  <c r="V377" i="8"/>
  <c r="I377" i="8"/>
  <c r="AG377" i="8"/>
  <c r="W387" i="8"/>
  <c r="W386" i="8" s="1"/>
  <c r="K377" i="8"/>
  <c r="AH377" i="8"/>
  <c r="Q387" i="8"/>
  <c r="Q386" i="8" s="1"/>
  <c r="R387" i="8"/>
  <c r="R386" i="8" s="1"/>
  <c r="O387" i="8"/>
  <c r="O386" i="8" s="1"/>
  <c r="G377" i="8"/>
  <c r="J415" i="8"/>
  <c r="Q377" i="8"/>
  <c r="T377" i="8"/>
  <c r="AD377" i="8"/>
  <c r="D387" i="8"/>
  <c r="D386" i="8" s="1"/>
  <c r="H377" i="8"/>
  <c r="N377" i="8"/>
  <c r="AI399" i="8"/>
  <c r="J399" i="8"/>
  <c r="AE415" i="8"/>
  <c r="P400" i="8"/>
  <c r="AF400" i="8"/>
  <c r="O416" i="8"/>
  <c r="O71" i="8" s="1"/>
  <c r="S400" i="8"/>
  <c r="AH400" i="8"/>
  <c r="W400" i="8"/>
  <c r="AD400" i="8"/>
  <c r="I400" i="8"/>
  <c r="H416" i="8"/>
  <c r="H71" i="8" s="1"/>
  <c r="V416" i="8"/>
  <c r="V71" i="8" s="1"/>
  <c r="AK416" i="8"/>
  <c r="AK71" i="8" s="1"/>
  <c r="AF416" i="8"/>
  <c r="AF71" i="8" s="1"/>
  <c r="AE399" i="8"/>
  <c r="T400" i="8"/>
  <c r="E400" i="8"/>
  <c r="V400" i="8"/>
  <c r="B281" i="8"/>
  <c r="F416" i="8"/>
  <c r="F71" i="8" s="1"/>
  <c r="AJ416" i="8"/>
  <c r="AJ71" i="8" s="1"/>
  <c r="P416" i="8"/>
  <c r="P71" i="8" s="1"/>
  <c r="I416" i="8"/>
  <c r="I71" i="8" s="1"/>
  <c r="T416" i="8"/>
  <c r="T71" i="8" s="1"/>
  <c r="W416" i="8"/>
  <c r="W71" i="8" s="1"/>
  <c r="N400" i="8"/>
  <c r="F400" i="8"/>
  <c r="L400" i="8"/>
  <c r="AC400" i="8"/>
  <c r="G400" i="8"/>
  <c r="M400" i="8"/>
  <c r="K400" i="8"/>
  <c r="AK400" i="8"/>
  <c r="AJ400" i="8"/>
  <c r="E416" i="8"/>
  <c r="E71" i="8" s="1"/>
  <c r="B279" i="8"/>
  <c r="R416" i="8"/>
  <c r="R71" i="8" s="1"/>
  <c r="D416" i="8"/>
  <c r="D71" i="8" s="1"/>
  <c r="U416" i="8"/>
  <c r="U71" i="8" s="1"/>
  <c r="S416" i="8"/>
  <c r="S71" i="8" s="1"/>
  <c r="AG416" i="8"/>
  <c r="AG71" i="8" s="1"/>
  <c r="AH416" i="8"/>
  <c r="AH71" i="8" s="1"/>
  <c r="AC416" i="8"/>
  <c r="AC71" i="8" s="1"/>
  <c r="AG400" i="8"/>
  <c r="Q400" i="8"/>
  <c r="R400" i="8"/>
  <c r="O400" i="8"/>
  <c r="U400" i="8"/>
  <c r="H400" i="8"/>
  <c r="N416" i="8"/>
  <c r="N71" i="8" s="1"/>
  <c r="Q416" i="8"/>
  <c r="Q71" i="8" s="1"/>
  <c r="K416" i="8"/>
  <c r="K71" i="8" s="1"/>
  <c r="G416" i="8"/>
  <c r="G71" i="8" s="1"/>
  <c r="M416" i="8"/>
  <c r="M71" i="8" s="1"/>
  <c r="AD416" i="8"/>
  <c r="AD71" i="8" s="1"/>
  <c r="L416" i="8"/>
  <c r="L71" i="8" s="1"/>
  <c r="W415" i="8"/>
  <c r="B446" i="8"/>
  <c r="B101" i="8" s="1"/>
  <c r="P415" i="8"/>
  <c r="B278" i="8"/>
  <c r="Y438" i="8"/>
  <c r="Y93" i="8" s="1"/>
  <c r="B280" i="8"/>
  <c r="B277" i="8"/>
  <c r="B419" i="8"/>
  <c r="B74" i="8" s="1"/>
  <c r="Z417" i="8"/>
  <c r="B420" i="8"/>
  <c r="B75" i="8" s="1"/>
  <c r="X417" i="8"/>
  <c r="B421" i="8"/>
  <c r="B76" i="8" s="1"/>
  <c r="AA417" i="8"/>
  <c r="AB417" i="8"/>
  <c r="Y417" i="8"/>
  <c r="B423" i="8"/>
  <c r="B78" i="8" s="1"/>
  <c r="I415" i="8"/>
  <c r="B418" i="8"/>
  <c r="B73" i="8" s="1"/>
  <c r="AA438" i="8"/>
  <c r="AA93" i="8" s="1"/>
  <c r="B422" i="8"/>
  <c r="B77" i="8" s="1"/>
  <c r="B411" i="8"/>
  <c r="B66" i="8" s="1"/>
  <c r="B410" i="8"/>
  <c r="B65" i="8" s="1"/>
  <c r="AB408" i="8"/>
  <c r="AB407" i="8" s="1"/>
  <c r="Y408" i="8"/>
  <c r="Y407" i="8" s="1"/>
  <c r="B351" i="8"/>
  <c r="B6" i="8" s="1"/>
  <c r="B404" i="8"/>
  <c r="B59" i="8" s="1"/>
  <c r="B409" i="8"/>
  <c r="B64" i="8" s="1"/>
  <c r="B431" i="8"/>
  <c r="B86" i="8" s="1"/>
  <c r="AB401" i="8"/>
  <c r="AB387" i="8" s="1"/>
  <c r="AB386" i="8" s="1"/>
  <c r="B403" i="8"/>
  <c r="B58" i="8" s="1"/>
  <c r="B453" i="8"/>
  <c r="B108" i="8" s="1"/>
  <c r="X408" i="8"/>
  <c r="X407" i="8" s="1"/>
  <c r="X401" i="8"/>
  <c r="B439" i="8"/>
  <c r="B94" i="8" s="1"/>
  <c r="Z401" i="8"/>
  <c r="Y401" i="8"/>
  <c r="AA401" i="8"/>
  <c r="Z438" i="8"/>
  <c r="Z93" i="8" s="1"/>
  <c r="AB438" i="8"/>
  <c r="AB93" i="8" s="1"/>
  <c r="X438" i="8"/>
  <c r="X93" i="8" s="1"/>
  <c r="B402" i="8"/>
  <c r="B57" i="8" s="1"/>
  <c r="AA408" i="8"/>
  <c r="AA407" i="8" s="1"/>
  <c r="D400" i="8"/>
  <c r="B424" i="8"/>
  <c r="B79" i="8" s="1"/>
  <c r="D407" i="8"/>
  <c r="Z408" i="8"/>
  <c r="Z407" i="8" s="1"/>
  <c r="D415" i="8" l="1"/>
  <c r="R415" i="8"/>
  <c r="X416" i="8"/>
  <c r="X71" i="8" s="1"/>
  <c r="AC415" i="8"/>
  <c r="Y387" i="8"/>
  <c r="Y386" i="8" s="1"/>
  <c r="F415" i="8"/>
  <c r="O415" i="8"/>
  <c r="T415" i="8"/>
  <c r="AA387" i="8"/>
  <c r="AA386" i="8" s="1"/>
  <c r="U415" i="8"/>
  <c r="H415" i="8"/>
  <c r="D377" i="8"/>
  <c r="AB377" i="8"/>
  <c r="H373" i="8"/>
  <c r="H372" i="8" s="1"/>
  <c r="Q373" i="8"/>
  <c r="Q372" i="8" s="1"/>
  <c r="K373" i="8"/>
  <c r="K372" i="8" s="1"/>
  <c r="L373" i="8"/>
  <c r="L372" i="8" s="1"/>
  <c r="V373" i="8"/>
  <c r="V372" i="8" s="1"/>
  <c r="I373" i="8"/>
  <c r="I372" i="8" s="1"/>
  <c r="S373" i="8"/>
  <c r="S372" i="8" s="1"/>
  <c r="P373" i="8"/>
  <c r="P372" i="8" s="1"/>
  <c r="D373" i="8"/>
  <c r="X387" i="8"/>
  <c r="X386" i="8" s="1"/>
  <c r="U373" i="8"/>
  <c r="U372" i="8" s="1"/>
  <c r="AG373" i="8"/>
  <c r="AG372" i="8" s="1"/>
  <c r="M373" i="8"/>
  <c r="M372" i="8" s="1"/>
  <c r="F373" i="8"/>
  <c r="F372" i="8" s="1"/>
  <c r="E399" i="8"/>
  <c r="E373" i="8"/>
  <c r="E372" i="8" s="1"/>
  <c r="AD373" i="8"/>
  <c r="AD372" i="8" s="1"/>
  <c r="Z377" i="8"/>
  <c r="AA377" i="8"/>
  <c r="Y377" i="8"/>
  <c r="B283" i="8"/>
  <c r="A278" i="8" s="1"/>
  <c r="O373" i="8"/>
  <c r="O372" i="8" s="1"/>
  <c r="AJ373" i="8"/>
  <c r="AJ372" i="8" s="1"/>
  <c r="G373" i="8"/>
  <c r="G372" i="8" s="1"/>
  <c r="N373" i="8"/>
  <c r="N372" i="8" s="1"/>
  <c r="T373" i="8"/>
  <c r="T372" i="8" s="1"/>
  <c r="W373" i="8"/>
  <c r="W372" i="8" s="1"/>
  <c r="Z387" i="8"/>
  <c r="Z386" i="8" s="1"/>
  <c r="X377" i="8"/>
  <c r="R373" i="8"/>
  <c r="R372" i="8" s="1"/>
  <c r="AK373" i="8"/>
  <c r="AK372" i="8" s="1"/>
  <c r="AC373" i="8"/>
  <c r="AC372" i="8" s="1"/>
  <c r="AH373" i="8"/>
  <c r="AH372" i="8" s="1"/>
  <c r="AF373" i="8"/>
  <c r="AF372" i="8" s="1"/>
  <c r="AH415" i="8"/>
  <c r="AJ415" i="8"/>
  <c r="E415" i="8"/>
  <c r="N399" i="8"/>
  <c r="M399" i="8"/>
  <c r="F399" i="8"/>
  <c r="AD399" i="8"/>
  <c r="P399" i="8"/>
  <c r="L399" i="8"/>
  <c r="I399" i="8"/>
  <c r="Q399" i="8"/>
  <c r="O399" i="8"/>
  <c r="U399" i="8"/>
  <c r="W399" i="8"/>
  <c r="AG399" i="8"/>
  <c r="K399" i="8"/>
  <c r="V399" i="8"/>
  <c r="G399" i="8"/>
  <c r="S399" i="8"/>
  <c r="AC399" i="8"/>
  <c r="AK399" i="8"/>
  <c r="B389" i="8"/>
  <c r="B44" i="8" s="1"/>
  <c r="AH399" i="8"/>
  <c r="T399" i="8"/>
  <c r="B388" i="8"/>
  <c r="B43" i="8" s="1"/>
  <c r="AF415" i="8"/>
  <c r="V415" i="8"/>
  <c r="Q415" i="8"/>
  <c r="G415" i="8"/>
  <c r="AD415" i="8"/>
  <c r="AA400" i="8"/>
  <c r="M415" i="8"/>
  <c r="R399" i="8"/>
  <c r="AF399" i="8"/>
  <c r="H399" i="8"/>
  <c r="AB400" i="8"/>
  <c r="AB399" i="8" s="1"/>
  <c r="AJ399" i="8"/>
  <c r="B350" i="8"/>
  <c r="B5" i="8" s="1"/>
  <c r="AB416" i="8"/>
  <c r="AB71" i="8" s="1"/>
  <c r="AK415" i="8"/>
  <c r="L415" i="8"/>
  <c r="AG415" i="8"/>
  <c r="Z400" i="8"/>
  <c r="Y416" i="8"/>
  <c r="Y71" i="8" s="1"/>
  <c r="Z416" i="8"/>
  <c r="Z71" i="8" s="1"/>
  <c r="X400" i="8"/>
  <c r="AA416" i="8"/>
  <c r="AA71" i="8" s="1"/>
  <c r="K415" i="8"/>
  <c r="Y400" i="8"/>
  <c r="N415" i="8"/>
  <c r="S415" i="8"/>
  <c r="B417" i="8"/>
  <c r="B72" i="8" s="1"/>
  <c r="A277" i="8"/>
  <c r="B408" i="8"/>
  <c r="B63" i="8" s="1"/>
  <c r="B401" i="8"/>
  <c r="B56" i="8" s="1"/>
  <c r="B438" i="8"/>
  <c r="B93" i="8" s="1"/>
  <c r="X415" i="8"/>
  <c r="B407" i="8"/>
  <c r="B62" i="8" s="1"/>
  <c r="D399" i="8"/>
  <c r="A280" i="8" l="1"/>
  <c r="B386" i="8"/>
  <c r="D372" i="8"/>
  <c r="AB373" i="8"/>
  <c r="AB372" i="8" s="1"/>
  <c r="A279" i="8"/>
  <c r="A281" i="8"/>
  <c r="X373" i="8"/>
  <c r="X372" i="8" s="1"/>
  <c r="Y373" i="8"/>
  <c r="Y372" i="8" s="1"/>
  <c r="AA373" i="8"/>
  <c r="AA372" i="8" s="1"/>
  <c r="A282" i="8"/>
  <c r="Z373" i="8"/>
  <c r="Z372" i="8" s="1"/>
  <c r="Y415" i="8"/>
  <c r="AB415" i="8"/>
  <c r="B416" i="8"/>
  <c r="B71" i="8" s="1"/>
  <c r="B377" i="8"/>
  <c r="B32" i="8" s="1"/>
  <c r="Z399" i="8"/>
  <c r="AA399" i="8"/>
  <c r="X399" i="8"/>
  <c r="B400" i="8"/>
  <c r="B55" i="8" s="1"/>
  <c r="Y399" i="8"/>
  <c r="Z415" i="8"/>
  <c r="AA415" i="8"/>
  <c r="B387" i="8"/>
  <c r="B42" i="8" s="1"/>
  <c r="B415" i="8" l="1"/>
  <c r="B70" i="8" s="1"/>
  <c r="B373" i="8"/>
  <c r="B28" i="8" s="1"/>
  <c r="B27" i="8" s="1"/>
  <c r="B399" i="8"/>
  <c r="B398" i="8" s="1"/>
</calcChain>
</file>

<file path=xl/sharedStrings.xml><?xml version="1.0" encoding="utf-8"?>
<sst xmlns="http://schemas.openxmlformats.org/spreadsheetml/2006/main" count="7780" uniqueCount="129">
  <si>
    <t>Region</t>
  </si>
  <si>
    <t>Market Name</t>
  </si>
  <si>
    <t>Segment Name in B Column Only</t>
  </si>
  <si>
    <t>Segment</t>
  </si>
  <si>
    <t>North America</t>
  </si>
  <si>
    <t>Canada</t>
  </si>
  <si>
    <t>Latin America</t>
  </si>
  <si>
    <t>Mexico</t>
  </si>
  <si>
    <t>Rest of Latin America</t>
  </si>
  <si>
    <t>France</t>
  </si>
  <si>
    <t>Italy</t>
  </si>
  <si>
    <t>China</t>
  </si>
  <si>
    <t>Japan</t>
  </si>
  <si>
    <t>India</t>
  </si>
  <si>
    <t>South Africa</t>
  </si>
  <si>
    <t>Market Share</t>
  </si>
  <si>
    <t>CAGR</t>
  </si>
  <si>
    <t>Always should start from 100th Row</t>
  </si>
  <si>
    <t>U.S.</t>
  </si>
  <si>
    <t>Russia</t>
  </si>
  <si>
    <t>Rest of Europe</t>
  </si>
  <si>
    <t>Europe</t>
  </si>
  <si>
    <t>Asia Pacific</t>
  </si>
  <si>
    <t>Argentina</t>
  </si>
  <si>
    <t>CMI_Trend_25</t>
  </si>
  <si>
    <t>CMI_Trend_38</t>
  </si>
  <si>
    <t>South Korea</t>
  </si>
  <si>
    <t>ASEAN</t>
  </si>
  <si>
    <t>Global</t>
  </si>
  <si>
    <t>Brazil</t>
  </si>
  <si>
    <t>CMI_Trend_46</t>
  </si>
  <si>
    <t>Spain</t>
  </si>
  <si>
    <t>GCC</t>
  </si>
  <si>
    <t>U.K.</t>
  </si>
  <si>
    <t>Germany</t>
  </si>
  <si>
    <t>CMI_Trend_56</t>
  </si>
  <si>
    <t>Australia</t>
  </si>
  <si>
    <t>Rest of Asia Pacific</t>
  </si>
  <si>
    <t>Rest of Middle East &amp; Africa</t>
  </si>
  <si>
    <t>Middle East &amp; Africa</t>
  </si>
  <si>
    <t>USD Mn</t>
  </si>
  <si>
    <t>CMI_Trend_60</t>
  </si>
  <si>
    <t>CMI_Trend_20</t>
  </si>
  <si>
    <t>CMI_Trend_52</t>
  </si>
  <si>
    <t>Share</t>
  </si>
  <si>
    <t>Value</t>
  </si>
  <si>
    <t>Volume</t>
  </si>
  <si>
    <t>Regions</t>
  </si>
  <si>
    <t>Expected CAGR</t>
  </si>
  <si>
    <t>Construction Safety Net Market</t>
  </si>
  <si>
    <t>By Product Type</t>
  </si>
  <si>
    <t>Netherlands</t>
  </si>
  <si>
    <t>Ireland</t>
  </si>
  <si>
    <t>Sweden</t>
  </si>
  <si>
    <t>Poland</t>
  </si>
  <si>
    <t>Hungary</t>
  </si>
  <si>
    <t>Slovakia</t>
  </si>
  <si>
    <t>Turkey</t>
  </si>
  <si>
    <t>Singapore</t>
  </si>
  <si>
    <t>Malaysia</t>
  </si>
  <si>
    <t>Thailand</t>
  </si>
  <si>
    <t>Indonesia</t>
  </si>
  <si>
    <t>Rest of ASEAN</t>
  </si>
  <si>
    <t>By Component</t>
  </si>
  <si>
    <t>Hardware</t>
  </si>
  <si>
    <t>Kiosk Scanner Devices</t>
  </si>
  <si>
    <t>Single-plane Kiosk Scanners</t>
  </si>
  <si>
    <t>Multi-plane (Bioptic) Kiosk Scanners</t>
  </si>
  <si>
    <t>Software</t>
  </si>
  <si>
    <t>Scanning &amp; Decoding software</t>
  </si>
  <si>
    <t>Computer Vision Software</t>
  </si>
  <si>
    <t>POS &amp; Payment Integration Software</t>
  </si>
  <si>
    <t>Store Operations &amp; Workflow Software</t>
  </si>
  <si>
    <t>Others (Analytics &amp; Dashboard Software, etc.)</t>
  </si>
  <si>
    <t>Managed Services</t>
  </si>
  <si>
    <t>Professional Services</t>
  </si>
  <si>
    <t>Services</t>
  </si>
  <si>
    <t>Single-Plane Self-Scanning Kiosks</t>
  </si>
  <si>
    <t>Multi-Plane Self-Scanning Kiosks</t>
  </si>
  <si>
    <t>Presentation Self-Scanning Kiosks</t>
  </si>
  <si>
    <t>Dedicated Mobile Self-Scanning Devices</t>
  </si>
  <si>
    <t>Smartphone-Based Self-Scanning</t>
  </si>
  <si>
    <t>Smart-Cart-Based Self-Scanning</t>
  </si>
  <si>
    <t>Mobile Self-Scanning Solutions</t>
  </si>
  <si>
    <t>Fixed-Position Self-Scanning Kiosks</t>
  </si>
  <si>
    <t>By Model Type</t>
  </si>
  <si>
    <t>Cash Model</t>
  </si>
  <si>
    <t>Cashless Model</t>
  </si>
  <si>
    <t>By Technology</t>
  </si>
  <si>
    <t>Barcode Scanning (1D/2D)</t>
  </si>
  <si>
    <t>RFID-Based Scanning</t>
  </si>
  <si>
    <t>Computer Vision and AI Scanning</t>
  </si>
  <si>
    <t>By Retail Format</t>
  </si>
  <si>
    <t>Supermarkets &amp; Hypermarkets</t>
  </si>
  <si>
    <t>Convenience Stores</t>
  </si>
  <si>
    <t>Specialty and Discount Stores</t>
  </si>
  <si>
    <t>Department Stores</t>
  </si>
  <si>
    <t>Warehouse Clubs</t>
  </si>
  <si>
    <t>Pharmacies &amp; Drugstores</t>
  </si>
  <si>
    <t>Cross - By Product Type By Technology</t>
  </si>
  <si>
    <t>Barcode-Based Fixed Kiosks</t>
  </si>
  <si>
    <t>RFID-Based Fixed Kiosks</t>
  </si>
  <si>
    <t>Computer Vision / AI-Based Fixed Kiosks</t>
  </si>
  <si>
    <t>Barcode-Based Mobile Self-Scanning</t>
  </si>
  <si>
    <t>Smart-Cart Barcode Self-Scanning</t>
  </si>
  <si>
    <t>RFID-Based Mobile Self-Scanning Solutions</t>
  </si>
  <si>
    <t>Computer Vision / AI Smart-Cart Self-Scanning</t>
  </si>
  <si>
    <t>Cross - By Product Type, by Retail Format</t>
  </si>
  <si>
    <t>ASP1</t>
  </si>
  <si>
    <t>ASP2</t>
  </si>
  <si>
    <t>ASP3</t>
  </si>
  <si>
    <t>ASP4</t>
  </si>
  <si>
    <t>ASP5</t>
  </si>
  <si>
    <t>ASP6</t>
  </si>
  <si>
    <t>ASP7</t>
  </si>
  <si>
    <t>ASP8</t>
  </si>
  <si>
    <t>ASP9</t>
  </si>
  <si>
    <t>Presentation Kiosk Scanners</t>
  </si>
  <si>
    <t>Dedicated / Retailer-Supplied Mobile Devices</t>
  </si>
  <si>
    <t>Smart-Cart Units</t>
  </si>
  <si>
    <t>Kiosk Terminals / Display + Controller</t>
  </si>
  <si>
    <t>Payment Units</t>
  </si>
  <si>
    <t>Kiosk Cabinet / Enclosure</t>
  </si>
  <si>
    <t>Receipt Printer</t>
  </si>
  <si>
    <t>Others (Scale / Bagging Hardware, Power &amp; Internal Electronics, Mounting / Wiring / Minor Internal Hardware, Embedded Scan Modules, Network &amp; Accessories)</t>
  </si>
  <si>
    <t>Value Table</t>
  </si>
  <si>
    <t>Price Table</t>
  </si>
  <si>
    <t>Share Table</t>
  </si>
  <si>
    <t>Volume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</si>
</sst>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* #,##0.00_ ;_ * \-#,##0.00_ ;_ * &quot;-&quot;??_ ;_ @_ "/>
    <numFmt numFmtId="165" formatCode="0.0%"/>
    <numFmt numFmtId="166" formatCode="_ * #,##0.0_ ;_ * \-#,##0.0_ ;_ * &quot;-&quot;??_ ;_ @_ "/>
    <numFmt numFmtId="167" formatCode="_ * #,##0.000_ ;_ * \-#,##0.000_ ;_ * &quot;-&quot;??_ ;_ @_ "/>
    <numFmt numFmtId="168" formatCode="#,##0.0"/>
    <numFmt numFmtId="169" formatCode="0.0"/>
    <numFmt numFmtId="170" formatCode="_ * #,##0_ ;_ * \-#,##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rgb="FFE2F0D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6">
    <xf numFmtId="0" fontId="0" fillId="0" borderId="0" xfId="0"/>
    <xf numFmtId="165" fontId="0" fillId="0" borderId="0" xfId="2" applyNumberFormat="1" applyFont="1" applyFill="1" applyAlignment="1">
      <alignment horizontal="center" vertical="center"/>
    </xf>
    <xf numFmtId="165" fontId="0" fillId="0" borderId="0" xfId="2" applyNumberFormat="1" applyFont="1" applyFill="1" applyAlignment="1">
      <alignment vertical="center"/>
    </xf>
    <xf numFmtId="9" fontId="0" fillId="0" borderId="0" xfId="0" applyNumberFormat="1"/>
    <xf numFmtId="0" fontId="2" fillId="0" borderId="0" xfId="0" applyFont="1"/>
    <xf numFmtId="165" fontId="0" fillId="0" borderId="0" xfId="0" applyNumberFormat="1" applyAlignment="1">
      <alignment horizontal="center"/>
    </xf>
    <xf numFmtId="0" fontId="3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165" fontId="2" fillId="0" borderId="0" xfId="2" applyNumberFormat="1" applyFont="1" applyFill="1" applyAlignment="1">
      <alignment horizontal="center" vertical="center"/>
    </xf>
    <xf numFmtId="10" fontId="2" fillId="0" borderId="0" xfId="0" applyNumberFormat="1" applyFont="1"/>
    <xf numFmtId="165" fontId="1" fillId="0" borderId="0" xfId="2" applyNumberFormat="1" applyFont="1" applyFill="1" applyAlignment="1">
      <alignment horizontal="center" vertical="center"/>
    </xf>
    <xf numFmtId="0" fontId="0" fillId="0" borderId="0" xfId="0" applyAlignment="1">
      <alignment horizontal="left"/>
    </xf>
    <xf numFmtId="165" fontId="0" fillId="0" borderId="0" xfId="2" applyNumberFormat="1" applyFont="1"/>
    <xf numFmtId="165" fontId="0" fillId="0" borderId="0" xfId="2" applyNumberFormat="1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165" fontId="0" fillId="0" borderId="0" xfId="2" applyNumberFormat="1" applyFont="1" applyAlignment="1">
      <alignment horizontal="center" vertical="center"/>
    </xf>
    <xf numFmtId="165" fontId="1" fillId="0" borderId="0" xfId="2" applyNumberFormat="1" applyFont="1" applyAlignment="1">
      <alignment horizontal="center" vertical="center"/>
    </xf>
    <xf numFmtId="165" fontId="2" fillId="0" borderId="0" xfId="2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5" fontId="2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left" vertical="center"/>
    </xf>
    <xf numFmtId="167" fontId="0" fillId="0" borderId="0" xfId="1" applyNumberFormat="1" applyFont="1" applyAlignment="1">
      <alignment horizontal="center"/>
    </xf>
    <xf numFmtId="165" fontId="2" fillId="0" borderId="0" xfId="2" applyNumberFormat="1" applyFont="1"/>
    <xf numFmtId="165" fontId="0" fillId="0" borderId="1" xfId="0" applyNumberFormat="1" applyBorder="1" applyAlignment="1">
      <alignment horizontal="center"/>
    </xf>
    <xf numFmtId="166" fontId="0" fillId="0" borderId="1" xfId="1" applyNumberFormat="1" applyFont="1" applyBorder="1" applyAlignment="1">
      <alignment horizontal="center"/>
    </xf>
    <xf numFmtId="0" fontId="2" fillId="0" borderId="1" xfId="0" applyFont="1" applyBorder="1"/>
    <xf numFmtId="9" fontId="0" fillId="0" borderId="0" xfId="2" applyFont="1"/>
    <xf numFmtId="10" fontId="0" fillId="0" borderId="0" xfId="2" applyNumberFormat="1" applyFont="1"/>
    <xf numFmtId="165" fontId="4" fillId="2" borderId="1" xfId="0" applyNumberFormat="1" applyFont="1" applyFill="1" applyBorder="1" applyAlignment="1">
      <alignment horizontal="center"/>
    </xf>
    <xf numFmtId="165" fontId="0" fillId="0" borderId="0" xfId="0" applyNumberFormat="1"/>
    <xf numFmtId="165" fontId="0" fillId="0" borderId="0" xfId="0" applyNumberFormat="1" applyAlignment="1">
      <alignment horizontal="center" vertical="center" wrapText="1"/>
    </xf>
    <xf numFmtId="168" fontId="0" fillId="0" borderId="0" xfId="0" applyNumberFormat="1"/>
    <xf numFmtId="165" fontId="1" fillId="0" borderId="0" xfId="2" applyNumberFormat="1" applyFont="1" applyAlignment="1">
      <alignment horizontal="center"/>
    </xf>
    <xf numFmtId="165" fontId="2" fillId="0" borderId="0" xfId="2" applyNumberFormat="1" applyFont="1" applyAlignment="1">
      <alignment horizontal="center"/>
    </xf>
    <xf numFmtId="165" fontId="0" fillId="0" borderId="1" xfId="2" applyNumberFormat="1" applyFont="1" applyBorder="1" applyAlignment="1">
      <alignment horizontal="center"/>
    </xf>
    <xf numFmtId="0" fontId="0" fillId="0" borderId="0" xfId="0" applyAlignment="1">
      <alignment horizontal="left" indent="1"/>
    </xf>
    <xf numFmtId="0" fontId="0" fillId="4" borderId="0" xfId="0" applyFill="1" applyAlignment="1">
      <alignment horizontal="left" indent="1"/>
    </xf>
    <xf numFmtId="0" fontId="0" fillId="5" borderId="0" xfId="0" applyFill="1" applyAlignment="1">
      <alignment horizontal="left" indent="3"/>
    </xf>
    <xf numFmtId="0" fontId="0" fillId="5" borderId="0" xfId="0" applyFill="1" applyAlignment="1">
      <alignment horizontal="left" indent="2"/>
    </xf>
    <xf numFmtId="0" fontId="2" fillId="6" borderId="0" xfId="0" applyFont="1" applyFill="1"/>
    <xf numFmtId="0" fontId="2" fillId="7" borderId="0" xfId="0" applyFont="1" applyFill="1"/>
    <xf numFmtId="0" fontId="2" fillId="7" borderId="0" xfId="0" applyFont="1" applyFill="1" applyAlignment="1">
      <alignment horizontal="left"/>
    </xf>
    <xf numFmtId="2" fontId="2" fillId="0" borderId="0" xfId="2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0" fontId="0" fillId="0" borderId="0" xfId="0" applyNumberFormat="1"/>
    <xf numFmtId="10" fontId="0" fillId="10" borderId="0" xfId="0" applyNumberFormat="1" applyFill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65" fontId="0" fillId="10" borderId="0" xfId="0" applyNumberFormat="1" applyFill="1"/>
    <xf numFmtId="165" fontId="0" fillId="8" borderId="0" xfId="0" applyNumberFormat="1" applyFill="1" applyAlignment="1">
      <alignment horizontal="center" vertical="center" wrapText="1"/>
    </xf>
    <xf numFmtId="168" fontId="0" fillId="10" borderId="0" xfId="0" applyNumberFormat="1" applyFill="1"/>
    <xf numFmtId="2" fontId="0" fillId="10" borderId="0" xfId="0" applyNumberFormat="1" applyFill="1" applyAlignment="1">
      <alignment horizontal="center" vertical="center"/>
    </xf>
    <xf numFmtId="2" fontId="0" fillId="0" borderId="0" xfId="2" applyNumberFormat="1" applyFont="1" applyAlignment="1">
      <alignment horizontal="center" vertical="center"/>
    </xf>
    <xf numFmtId="2" fontId="2" fillId="0" borderId="0" xfId="2" applyNumberFormat="1" applyFont="1"/>
    <xf numFmtId="2" fontId="0" fillId="0" borderId="0" xfId="2" applyNumberFormat="1" applyFont="1" applyAlignment="1">
      <alignment horizontal="center"/>
    </xf>
    <xf numFmtId="2" fontId="0" fillId="0" borderId="0" xfId="2" applyNumberFormat="1" applyFont="1" applyFill="1" applyAlignment="1">
      <alignment vertical="center"/>
    </xf>
    <xf numFmtId="2" fontId="0" fillId="0" borderId="0" xfId="2" applyNumberFormat="1" applyFont="1"/>
    <xf numFmtId="2" fontId="0" fillId="0" borderId="0" xfId="0" applyNumberFormat="1"/>
    <xf numFmtId="2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left" vertical="center"/>
    </xf>
    <xf numFmtId="169" fontId="0" fillId="10" borderId="0" xfId="0" applyNumberFormat="1" applyFill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169" fontId="0" fillId="0" borderId="0" xfId="2" applyNumberFormat="1" applyFont="1" applyAlignment="1">
      <alignment horizontal="center" vertical="center"/>
    </xf>
    <xf numFmtId="169" fontId="2" fillId="0" borderId="0" xfId="2" applyNumberFormat="1" applyFont="1"/>
    <xf numFmtId="169" fontId="0" fillId="0" borderId="0" xfId="2" applyNumberFormat="1" applyFont="1" applyAlignment="1">
      <alignment horizontal="center"/>
    </xf>
    <xf numFmtId="169" fontId="0" fillId="0" borderId="0" xfId="2" applyNumberFormat="1" applyFont="1" applyFill="1" applyAlignment="1">
      <alignment vertical="center"/>
    </xf>
    <xf numFmtId="169" fontId="0" fillId="0" borderId="0" xfId="2" applyNumberFormat="1" applyFont="1"/>
    <xf numFmtId="1" fontId="0" fillId="0" borderId="0" xfId="0" applyNumberFormat="1" applyAlignment="1">
      <alignment horizontal="center" vertical="center"/>
    </xf>
    <xf numFmtId="170" fontId="0" fillId="0" borderId="0" xfId="1" applyNumberFormat="1" applyFont="1"/>
    <xf numFmtId="170" fontId="0" fillId="0" borderId="0" xfId="0" applyNumberFormat="1"/>
    <xf numFmtId="2" fontId="0" fillId="9" borderId="0" xfId="0" applyNumberFormat="1" applyFill="1" applyAlignment="1">
      <alignment horizontal="center" vertical="center"/>
    </xf>
    <xf numFmtId="0" fontId="0" fillId="8" borderId="0" xfId="0" applyFill="1"/>
    <xf numFmtId="169" fontId="0" fillId="0" borderId="0" xfId="0" applyNumberFormat="1"/>
    <xf numFmtId="1" fontId="0" fillId="0" borderId="0" xfId="0" applyNumberFormat="1"/>
    <xf numFmtId="0" fontId="0" fillId="10" borderId="0" xfId="0" applyFill="1"/>
    <xf numFmtId="0" fontId="4" fillId="3" borderId="2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154A3-6DE4-42C5-9AA4-C8EB1FF2B756}">
  <sheetPr codeName="Sheet1"/>
  <dimension ref="A1:DD159"/>
  <sheetViews>
    <sheetView tabSelected="1" zoomScaleNormal="85" workbookViewId="0">
      <pane xSplit="2" ySplit="3" topLeftCell="C4" activePane="bottomRight" state="frozen"/>
      <selection activeCell="D309" sqref="D309:P313"/>
      <selection pane="topRight" activeCell="D309" sqref="D309:P313"/>
      <selection pane="bottomLeft" activeCell="D309" sqref="D309:P313"/>
      <selection pane="bottomRight" activeCell="C4" sqref="C4"/>
    </sheetView>
  </sheetViews>
  <sheetFormatPr defaultRowHeight="14.5" x14ac:dyDescent="0.35"/>
  <cols>
    <col min="2" max="2" width="30.81640625" bestFit="1" customWidth="1"/>
    <col min="3" max="4" width="13.54296875" bestFit="1" customWidth="1"/>
    <col min="5" max="5" width="15.54296875" customWidth="1"/>
    <col min="6" max="6" width="13.54296875" bestFit="1" customWidth="1"/>
    <col min="7" max="24" width="10.54296875" customWidth="1"/>
    <col min="25" max="25" width="8.7265625" customWidth="1"/>
    <col min="26" max="26" width="13.453125" bestFit="1" customWidth="1"/>
    <col min="27" max="29" width="13.26953125" bestFit="1" customWidth="1"/>
    <col min="30" max="30" width="18.453125" bestFit="1" customWidth="1"/>
    <col min="31" max="31" width="18.453125" customWidth="1"/>
    <col min="33" max="33" width="13.453125" bestFit="1" customWidth="1"/>
    <col min="34" max="37" width="13.26953125" bestFit="1" customWidth="1"/>
    <col min="40" max="54" width="9.1796875" customWidth="1"/>
    <col min="62" max="62" width="9.1796875" customWidth="1"/>
    <col min="65" max="65" width="9.1796875" customWidth="1"/>
    <col min="67" max="67" width="9.1796875" customWidth="1"/>
  </cols>
  <sheetData>
    <row r="1" spans="1:108" x14ac:dyDescent="0.35">
      <c r="B1" t="s">
        <v>1</v>
      </c>
      <c r="C1" t="s">
        <v>49</v>
      </c>
      <c r="AG1" s="3"/>
      <c r="AN1" s="3">
        <v>0.99</v>
      </c>
      <c r="AO1" s="3">
        <v>0.99</v>
      </c>
      <c r="BP1" s="3">
        <v>0.99</v>
      </c>
    </row>
    <row r="2" spans="1:108" x14ac:dyDescent="0.35">
      <c r="B2" s="3"/>
      <c r="C2" t="s">
        <v>15</v>
      </c>
      <c r="AM2" s="12">
        <f>VLOOKUP(AM3,$B$120:$D$159,3,0)</f>
        <v>0.12254788922712656</v>
      </c>
      <c r="AN2" s="12">
        <f t="shared" ref="AN2:BT2" si="0">VLOOKUP(AN3,$B$120:$D$159,3,0)</f>
        <v>0.11430959692994426</v>
      </c>
      <c r="AO2" s="12">
        <f t="shared" si="0"/>
        <v>0.1548364647016523</v>
      </c>
      <c r="AP2" s="12">
        <f t="shared" si="0"/>
        <v>0.16341376988402972</v>
      </c>
      <c r="AQ2" s="12">
        <f t="shared" si="0"/>
        <v>9.7694978474406072E-2</v>
      </c>
      <c r="AR2" s="12">
        <f t="shared" si="0"/>
        <v>0.14806968007666488</v>
      </c>
      <c r="AS2" s="12">
        <f t="shared" si="0"/>
        <v>0.11581248108088804</v>
      </c>
      <c r="AT2" s="12">
        <f t="shared" si="0"/>
        <v>7.7070547384016974E-2</v>
      </c>
      <c r="AU2" s="12">
        <f t="shared" si="0"/>
        <v>0.14163131669056445</v>
      </c>
      <c r="AV2" s="12">
        <f t="shared" si="0"/>
        <v>0.1355054348443463</v>
      </c>
      <c r="AW2" s="12">
        <f t="shared" si="0"/>
        <v>0.12854555065364054</v>
      </c>
      <c r="AX2" s="12">
        <f t="shared" si="0"/>
        <v>0.10363036242786322</v>
      </c>
      <c r="AY2" s="12">
        <f t="shared" si="0"/>
        <v>9.0646755684802072E-2</v>
      </c>
      <c r="AZ2" s="12">
        <f t="shared" si="0"/>
        <v>8.4202284898151791E-2</v>
      </c>
      <c r="BA2" s="12">
        <f t="shared" si="0"/>
        <v>0.10905746048666691</v>
      </c>
      <c r="BB2" s="12">
        <f t="shared" si="0"/>
        <v>0.12198902491386507</v>
      </c>
      <c r="BC2" s="12">
        <f t="shared" si="0"/>
        <v>0.16701918380698191</v>
      </c>
      <c r="BD2" s="12">
        <f t="shared" si="0"/>
        <v>0.15210650081359028</v>
      </c>
      <c r="BE2" s="12">
        <f t="shared" si="0"/>
        <v>0.13793380176359865</v>
      </c>
      <c r="BF2" s="12">
        <f t="shared" si="0"/>
        <v>0.15834517942879031</v>
      </c>
      <c r="BG2" s="12">
        <f t="shared" si="0"/>
        <v>0.16105296837683525</v>
      </c>
      <c r="BH2" s="12">
        <f t="shared" si="0"/>
        <v>0.1481165047838853</v>
      </c>
      <c r="BI2" s="12">
        <f t="shared" si="0"/>
        <v>0.15523913882532586</v>
      </c>
      <c r="BJ2" s="12">
        <f t="shared" si="0"/>
        <v>0.14131121514650974</v>
      </c>
      <c r="BK2" s="12">
        <f t="shared" si="0"/>
        <v>0.13346065895221412</v>
      </c>
      <c r="BL2" s="12">
        <f t="shared" si="0"/>
        <v>0.12985826024407288</v>
      </c>
      <c r="BM2" s="12">
        <f t="shared" si="0"/>
        <v>0.12102638747687328</v>
      </c>
      <c r="BN2" s="12">
        <f t="shared" si="0"/>
        <v>0.14706775632641317</v>
      </c>
      <c r="BO2" s="12">
        <f t="shared" si="0"/>
        <v>0.1229268405383622</v>
      </c>
      <c r="BP2" s="12">
        <f t="shared" si="0"/>
        <v>0.13887533926231319</v>
      </c>
      <c r="BQ2" s="12">
        <f t="shared" si="0"/>
        <v>0.13187533926231318</v>
      </c>
      <c r="BR2" s="12">
        <f t="shared" si="0"/>
        <v>0.15146892305137549</v>
      </c>
      <c r="BS2" s="12">
        <f t="shared" si="0"/>
        <v>0.13264781879648352</v>
      </c>
      <c r="BT2" s="12">
        <f t="shared" si="0"/>
        <v>0.14310258641771215</v>
      </c>
    </row>
    <row r="3" spans="1:108" x14ac:dyDescent="0.35">
      <c r="A3" t="s">
        <v>2</v>
      </c>
      <c r="B3" t="s">
        <v>3</v>
      </c>
      <c r="C3" s="14" t="s">
        <v>18</v>
      </c>
      <c r="D3" s="14" t="s">
        <v>5</v>
      </c>
      <c r="E3" s="14" t="s">
        <v>33</v>
      </c>
      <c r="F3" s="14" t="s">
        <v>34</v>
      </c>
      <c r="G3" s="14" t="s">
        <v>10</v>
      </c>
      <c r="H3" s="14" t="s">
        <v>9</v>
      </c>
      <c r="I3" s="14" t="s">
        <v>31</v>
      </c>
      <c r="J3" s="14" t="s">
        <v>19</v>
      </c>
      <c r="K3" s="21" t="s">
        <v>51</v>
      </c>
      <c r="L3" s="14" t="s">
        <v>52</v>
      </c>
      <c r="M3" s="14" t="s">
        <v>53</v>
      </c>
      <c r="N3" s="14" t="s">
        <v>54</v>
      </c>
      <c r="O3" s="14" t="s">
        <v>55</v>
      </c>
      <c r="P3" s="14" t="s">
        <v>56</v>
      </c>
      <c r="Q3" s="14" t="s">
        <v>57</v>
      </c>
      <c r="R3" s="14" t="s">
        <v>20</v>
      </c>
      <c r="S3" s="14" t="s">
        <v>11</v>
      </c>
      <c r="T3" s="14" t="s">
        <v>12</v>
      </c>
      <c r="U3" s="14" t="s">
        <v>13</v>
      </c>
      <c r="V3" s="14" t="s">
        <v>26</v>
      </c>
      <c r="W3" s="14" t="s">
        <v>58</v>
      </c>
      <c r="X3" s="14" t="s">
        <v>59</v>
      </c>
      <c r="Y3" s="14" t="s">
        <v>60</v>
      </c>
      <c r="Z3" s="14" t="s">
        <v>61</v>
      </c>
      <c r="AA3" s="14" t="s">
        <v>62</v>
      </c>
      <c r="AB3" s="14" t="s">
        <v>36</v>
      </c>
      <c r="AC3" s="14" t="s">
        <v>37</v>
      </c>
      <c r="AD3" s="14" t="s">
        <v>29</v>
      </c>
      <c r="AE3" s="14" t="s">
        <v>23</v>
      </c>
      <c r="AF3" s="14" t="s">
        <v>7</v>
      </c>
      <c r="AG3" s="14" t="s">
        <v>8</v>
      </c>
      <c r="AH3" s="14" t="s">
        <v>32</v>
      </c>
      <c r="AI3" s="14" t="s">
        <v>14</v>
      </c>
      <c r="AJ3" s="14" t="s">
        <v>38</v>
      </c>
      <c r="AK3" s="14"/>
      <c r="AL3" s="14"/>
      <c r="AM3" s="14" t="str">
        <f>C3</f>
        <v>U.S.</v>
      </c>
      <c r="AN3" s="14" t="str">
        <f t="shared" ref="AN3:BT3" si="1">D3</f>
        <v>Canada</v>
      </c>
      <c r="AO3" s="14" t="str">
        <f t="shared" si="1"/>
        <v>U.K.</v>
      </c>
      <c r="AP3" s="14" t="str">
        <f t="shared" si="1"/>
        <v>Germany</v>
      </c>
      <c r="AQ3" s="14" t="str">
        <f t="shared" si="1"/>
        <v>Italy</v>
      </c>
      <c r="AR3" s="14" t="str">
        <f t="shared" si="1"/>
        <v>France</v>
      </c>
      <c r="AS3" s="14" t="str">
        <f t="shared" si="1"/>
        <v>Spain</v>
      </c>
      <c r="AT3" s="14" t="str">
        <f t="shared" si="1"/>
        <v>Russia</v>
      </c>
      <c r="AU3" s="14" t="str">
        <f t="shared" si="1"/>
        <v>Netherlands</v>
      </c>
      <c r="AV3" s="14" t="str">
        <f t="shared" si="1"/>
        <v>Ireland</v>
      </c>
      <c r="AW3" s="14" t="str">
        <f t="shared" si="1"/>
        <v>Sweden</v>
      </c>
      <c r="AX3" s="14" t="str">
        <f t="shared" si="1"/>
        <v>Poland</v>
      </c>
      <c r="AY3" s="14" t="str">
        <f t="shared" si="1"/>
        <v>Hungary</v>
      </c>
      <c r="AZ3" s="14" t="str">
        <f t="shared" si="1"/>
        <v>Slovakia</v>
      </c>
      <c r="BA3" s="14" t="str">
        <f t="shared" si="1"/>
        <v>Turkey</v>
      </c>
      <c r="BB3" s="14" t="str">
        <f t="shared" si="1"/>
        <v>Rest of Europe</v>
      </c>
      <c r="BC3" s="14" t="str">
        <f t="shared" si="1"/>
        <v>China</v>
      </c>
      <c r="BD3" s="14" t="str">
        <f t="shared" si="1"/>
        <v>Japan</v>
      </c>
      <c r="BE3" s="14" t="str">
        <f t="shared" si="1"/>
        <v>India</v>
      </c>
      <c r="BF3" s="14" t="str">
        <f t="shared" si="1"/>
        <v>South Korea</v>
      </c>
      <c r="BG3" s="14" t="str">
        <f t="shared" si="1"/>
        <v>Singapore</v>
      </c>
      <c r="BH3" s="14" t="str">
        <f t="shared" si="1"/>
        <v>Malaysia</v>
      </c>
      <c r="BI3" s="14" t="str">
        <f t="shared" si="1"/>
        <v>Thailand</v>
      </c>
      <c r="BJ3" s="14" t="str">
        <f t="shared" si="1"/>
        <v>Indonesia</v>
      </c>
      <c r="BK3" s="14" t="str">
        <f t="shared" si="1"/>
        <v>Rest of ASEAN</v>
      </c>
      <c r="BL3" s="14" t="str">
        <f t="shared" si="1"/>
        <v>Australia</v>
      </c>
      <c r="BM3" s="14" t="str">
        <f t="shared" si="1"/>
        <v>Rest of Asia Pacific</v>
      </c>
      <c r="BN3" s="14" t="str">
        <f t="shared" si="1"/>
        <v>Brazil</v>
      </c>
      <c r="BO3" s="14" t="str">
        <f t="shared" si="1"/>
        <v>Argentina</v>
      </c>
      <c r="BP3" s="14" t="str">
        <f t="shared" si="1"/>
        <v>Mexico</v>
      </c>
      <c r="BQ3" s="14" t="str">
        <f t="shared" si="1"/>
        <v>Rest of Latin America</v>
      </c>
      <c r="BR3" s="14" t="str">
        <f t="shared" si="1"/>
        <v>GCC</v>
      </c>
      <c r="BS3" s="14" t="str">
        <f t="shared" si="1"/>
        <v>South Africa</v>
      </c>
      <c r="BT3" s="14" t="str">
        <f t="shared" si="1"/>
        <v>Rest of Middle East &amp; Africa</v>
      </c>
      <c r="BW3" s="14" t="str">
        <f>AM3</f>
        <v>U.S.</v>
      </c>
      <c r="BX3" s="14" t="str">
        <f t="shared" ref="BX3" si="2">AN3</f>
        <v>Canada</v>
      </c>
      <c r="BY3" s="14" t="str">
        <f t="shared" ref="BY3" si="3">AO3</f>
        <v>U.K.</v>
      </c>
      <c r="BZ3" s="14" t="str">
        <f t="shared" ref="BZ3" si="4">AP3</f>
        <v>Germany</v>
      </c>
      <c r="CA3" s="14" t="str">
        <f t="shared" ref="CA3" si="5">AQ3</f>
        <v>Italy</v>
      </c>
      <c r="CB3" s="14" t="str">
        <f t="shared" ref="CB3" si="6">AR3</f>
        <v>France</v>
      </c>
      <c r="CC3" s="14" t="str">
        <f t="shared" ref="CC3" si="7">AS3</f>
        <v>Spain</v>
      </c>
      <c r="CD3" s="14" t="str">
        <f t="shared" ref="CD3" si="8">AT3</f>
        <v>Russia</v>
      </c>
      <c r="CE3" s="14" t="str">
        <f t="shared" ref="CE3" si="9">AU3</f>
        <v>Netherlands</v>
      </c>
      <c r="CF3" s="14" t="str">
        <f t="shared" ref="CF3" si="10">AV3</f>
        <v>Ireland</v>
      </c>
      <c r="CG3" s="14" t="str">
        <f t="shared" ref="CG3" si="11">AW3</f>
        <v>Sweden</v>
      </c>
      <c r="CH3" s="14" t="str">
        <f t="shared" ref="CH3" si="12">AX3</f>
        <v>Poland</v>
      </c>
      <c r="CI3" s="14" t="str">
        <f t="shared" ref="CI3" si="13">AY3</f>
        <v>Hungary</v>
      </c>
      <c r="CJ3" s="14" t="str">
        <f t="shared" ref="CJ3" si="14">AZ3</f>
        <v>Slovakia</v>
      </c>
      <c r="CK3" s="14" t="str">
        <f t="shared" ref="CK3" si="15">BA3</f>
        <v>Turkey</v>
      </c>
      <c r="CL3" s="14" t="str">
        <f t="shared" ref="CL3" si="16">BB3</f>
        <v>Rest of Europe</v>
      </c>
      <c r="CM3" s="14" t="str">
        <f t="shared" ref="CM3" si="17">BC3</f>
        <v>China</v>
      </c>
      <c r="CN3" s="14" t="str">
        <f t="shared" ref="CN3" si="18">BD3</f>
        <v>Japan</v>
      </c>
      <c r="CO3" s="14" t="str">
        <f t="shared" ref="CO3" si="19">BE3</f>
        <v>India</v>
      </c>
      <c r="CP3" s="14" t="str">
        <f t="shared" ref="CP3" si="20">BF3</f>
        <v>South Korea</v>
      </c>
      <c r="CQ3" s="14" t="str">
        <f t="shared" ref="CQ3" si="21">BG3</f>
        <v>Singapore</v>
      </c>
      <c r="CR3" s="14" t="str">
        <f t="shared" ref="CR3" si="22">BH3</f>
        <v>Malaysia</v>
      </c>
      <c r="CS3" s="14" t="str">
        <f t="shared" ref="CS3" si="23">BI3</f>
        <v>Thailand</v>
      </c>
      <c r="CT3" s="14" t="str">
        <f t="shared" ref="CT3" si="24">BJ3</f>
        <v>Indonesia</v>
      </c>
      <c r="CU3" s="14" t="str">
        <f t="shared" ref="CU3" si="25">BK3</f>
        <v>Rest of ASEAN</v>
      </c>
      <c r="CV3" s="14" t="str">
        <f t="shared" ref="CV3" si="26">BL3</f>
        <v>Australia</v>
      </c>
      <c r="CW3" s="14" t="str">
        <f t="shared" ref="CW3" si="27">BM3</f>
        <v>Rest of Asia Pacific</v>
      </c>
      <c r="CX3" s="14" t="str">
        <f t="shared" ref="CX3" si="28">BN3</f>
        <v>Brazil</v>
      </c>
      <c r="CY3" s="14" t="str">
        <f t="shared" ref="CY3" si="29">BO3</f>
        <v>Argentina</v>
      </c>
      <c r="CZ3" s="14" t="str">
        <f t="shared" ref="CZ3" si="30">BP3</f>
        <v>Mexico</v>
      </c>
      <c r="DA3" s="14" t="str">
        <f t="shared" ref="DA3" si="31">BQ3</f>
        <v>Rest of Latin America</v>
      </c>
      <c r="DB3" s="14" t="str">
        <f t="shared" ref="DB3" si="32">BR3</f>
        <v>GCC</v>
      </c>
      <c r="DC3" s="14" t="str">
        <f t="shared" ref="DC3" si="33">BS3</f>
        <v>South Africa</v>
      </c>
      <c r="DD3" s="14" t="str">
        <f t="shared" ref="DD3" si="34">BT3</f>
        <v>Rest of Middle East &amp; Africa</v>
      </c>
    </row>
    <row r="4" spans="1:108" x14ac:dyDescent="0.35">
      <c r="B4" s="4" t="s">
        <v>63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13"/>
      <c r="Z4" s="2"/>
      <c r="AA4" s="2"/>
      <c r="AB4" s="2"/>
      <c r="AC4" s="2"/>
      <c r="AD4" s="2"/>
      <c r="AE4" s="2"/>
      <c r="AF4" s="12"/>
      <c r="AG4" s="2"/>
      <c r="AH4" s="2"/>
      <c r="AI4" s="2"/>
      <c r="AJ4" s="2"/>
      <c r="AK4" s="2"/>
      <c r="AL4" s="4" t="s">
        <v>63</v>
      </c>
      <c r="AM4" s="12">
        <f>AM5*C5+AM17*C17+AM23*C23</f>
        <v>0.12254788922712656</v>
      </c>
      <c r="AN4" s="12">
        <f t="shared" ref="AN4:BT4" si="35">AN5*D5+AN17*D17+AN23*D23</f>
        <v>0.1117334057946843</v>
      </c>
      <c r="AO4" s="12">
        <f t="shared" si="35"/>
        <v>0.12917936513568096</v>
      </c>
      <c r="AP4" s="12">
        <f t="shared" si="35"/>
        <v>0.12403877169153553</v>
      </c>
      <c r="AQ4" s="12">
        <f t="shared" si="35"/>
        <v>0.11825065205314317</v>
      </c>
      <c r="AR4" s="12">
        <f t="shared" si="35"/>
        <v>0.12734856541899833</v>
      </c>
      <c r="AS4" s="12">
        <f t="shared" si="35"/>
        <v>0.12162103503893798</v>
      </c>
      <c r="AT4" s="12">
        <f t="shared" si="35"/>
        <v>7.7668254713109661E-2</v>
      </c>
      <c r="AU4" s="12">
        <f t="shared" si="35"/>
        <v>0.12963676291111487</v>
      </c>
      <c r="AV4" s="12">
        <f t="shared" si="35"/>
        <v>0.12802869383966495</v>
      </c>
      <c r="AW4" s="12">
        <f t="shared" si="35"/>
        <v>0.13095140151668927</v>
      </c>
      <c r="AX4" s="12">
        <f t="shared" si="35"/>
        <v>0.11790083476103064</v>
      </c>
      <c r="AY4" s="12">
        <f t="shared" si="35"/>
        <v>9.0675684505586662E-2</v>
      </c>
      <c r="AZ4" s="12">
        <f t="shared" si="35"/>
        <v>8.4186912074385473E-2</v>
      </c>
      <c r="BA4" s="12">
        <f t="shared" si="35"/>
        <v>0.114618327641755</v>
      </c>
      <c r="BB4" s="12">
        <f t="shared" si="35"/>
        <v>0.12198902491386507</v>
      </c>
      <c r="BC4" s="12">
        <f t="shared" si="35"/>
        <v>0.12913254681849906</v>
      </c>
      <c r="BD4" s="12">
        <f t="shared" si="35"/>
        <v>0.13297259693073246</v>
      </c>
      <c r="BE4" s="12">
        <f t="shared" si="35"/>
        <v>0.13201999163011263</v>
      </c>
      <c r="BF4" s="12">
        <f t="shared" si="35"/>
        <v>0.13290859674088817</v>
      </c>
      <c r="BG4" s="12">
        <f t="shared" si="35"/>
        <v>0.13107861073530505</v>
      </c>
      <c r="BH4" s="12">
        <f t="shared" si="35"/>
        <v>0.12938532711616263</v>
      </c>
      <c r="BI4" s="12">
        <f t="shared" si="35"/>
        <v>0.13586798378237336</v>
      </c>
      <c r="BJ4" s="12">
        <f t="shared" si="35"/>
        <v>0.11966616252278303</v>
      </c>
      <c r="BK4" s="12">
        <f t="shared" si="35"/>
        <v>0.1302527253933875</v>
      </c>
      <c r="BL4" s="12">
        <f t="shared" si="35"/>
        <v>0.1322651921079242</v>
      </c>
      <c r="BM4" s="12">
        <f t="shared" si="35"/>
        <v>0.12476753551717966</v>
      </c>
      <c r="BN4" s="12">
        <f t="shared" si="35"/>
        <v>0.13040907657327983</v>
      </c>
      <c r="BO4" s="12">
        <f t="shared" si="35"/>
        <v>0.12292684053836218</v>
      </c>
      <c r="BP4" s="12">
        <f t="shared" si="35"/>
        <v>0.131078500625324</v>
      </c>
      <c r="BQ4" s="12">
        <f t="shared" si="35"/>
        <v>0.12854381779641322</v>
      </c>
      <c r="BR4" s="12">
        <f t="shared" si="35"/>
        <v>0.13027211273885392</v>
      </c>
      <c r="BS4" s="12">
        <f t="shared" si="35"/>
        <v>0.13112091538679466</v>
      </c>
      <c r="BT4" s="12">
        <f t="shared" si="35"/>
        <v>0.12900922989294622</v>
      </c>
      <c r="BV4" s="4" t="s">
        <v>63</v>
      </c>
    </row>
    <row r="5" spans="1:108" x14ac:dyDescent="0.35">
      <c r="B5" s="41" t="s">
        <v>64</v>
      </c>
      <c r="C5" s="46">
        <f>1-SUM(C17,C23)</f>
        <v>0.50201611272576763</v>
      </c>
      <c r="D5" s="46">
        <f t="shared" ref="D5:AJ5" si="36">1-SUM(D17,D23)</f>
        <v>0.51108622979394736</v>
      </c>
      <c r="E5" s="46">
        <f t="shared" si="36"/>
        <v>0.52036581492489875</v>
      </c>
      <c r="F5" s="46">
        <f t="shared" si="36"/>
        <v>0.4723204051862695</v>
      </c>
      <c r="G5" s="46">
        <f t="shared" si="36"/>
        <v>0.49468867382506732</v>
      </c>
      <c r="H5" s="46">
        <f t="shared" si="36"/>
        <v>0.51170775372062538</v>
      </c>
      <c r="I5" s="46">
        <f t="shared" si="36"/>
        <v>0.48019089194032583</v>
      </c>
      <c r="J5" s="46">
        <f t="shared" si="36"/>
        <v>0.5081164824116442</v>
      </c>
      <c r="K5" s="46">
        <f t="shared" si="36"/>
        <v>0.49854747440109359</v>
      </c>
      <c r="L5" s="46">
        <f t="shared" si="36"/>
        <v>0.48919421911321348</v>
      </c>
      <c r="M5" s="46">
        <f t="shared" si="36"/>
        <v>0.52656766335428085</v>
      </c>
      <c r="N5" s="46">
        <f t="shared" si="36"/>
        <v>0.50826581492489875</v>
      </c>
      <c r="O5" s="46">
        <f t="shared" si="36"/>
        <v>0.50018142387755415</v>
      </c>
      <c r="P5" s="46">
        <f t="shared" si="36"/>
        <v>0.48513393979368158</v>
      </c>
      <c r="Q5" s="46">
        <f t="shared" si="36"/>
        <v>0.47857920576229573</v>
      </c>
      <c r="R5" s="46">
        <f t="shared" si="36"/>
        <v>0.50981833084102601</v>
      </c>
      <c r="S5" s="46">
        <f t="shared" si="36"/>
        <v>0.49776100900850551</v>
      </c>
      <c r="T5" s="46">
        <f t="shared" si="36"/>
        <v>0.51892313675741941</v>
      </c>
      <c r="U5" s="46">
        <f t="shared" si="36"/>
        <v>0.53214466068409738</v>
      </c>
      <c r="V5" s="46">
        <f t="shared" si="36"/>
        <v>0.512909232464131</v>
      </c>
      <c r="W5" s="46">
        <f t="shared" si="36"/>
        <v>0.52713334419194369</v>
      </c>
      <c r="X5" s="46">
        <f t="shared" si="36"/>
        <v>0.49221537335401488</v>
      </c>
      <c r="Y5" s="46">
        <f t="shared" si="36"/>
        <v>0.49503578822306371</v>
      </c>
      <c r="Z5" s="46">
        <f t="shared" si="36"/>
        <v>0.52298401167868913</v>
      </c>
      <c r="AA5" s="46">
        <f t="shared" si="36"/>
        <v>0.47855620309211222</v>
      </c>
      <c r="AB5" s="46">
        <f t="shared" si="36"/>
        <v>0.52839791597197738</v>
      </c>
      <c r="AC5" s="46">
        <f t="shared" si="36"/>
        <v>0.53698008890406368</v>
      </c>
      <c r="AD5" s="46">
        <f t="shared" si="36"/>
        <v>0.52074133351120966</v>
      </c>
      <c r="AE5" s="46">
        <f t="shared" si="36"/>
        <v>0.47537772701879011</v>
      </c>
      <c r="AF5" s="46">
        <f t="shared" si="36"/>
        <v>0.50547750110292877</v>
      </c>
      <c r="AG5" s="46">
        <f t="shared" si="36"/>
        <v>0.49644133351120967</v>
      </c>
      <c r="AH5" s="46">
        <f t="shared" si="36"/>
        <v>0.52330013408723597</v>
      </c>
      <c r="AI5" s="46">
        <f t="shared" si="36"/>
        <v>0.51629532817084267</v>
      </c>
      <c r="AJ5" s="46">
        <f t="shared" si="36"/>
        <v>0.48160036000309714</v>
      </c>
      <c r="AK5" s="31"/>
      <c r="AL5" s="41" t="s">
        <v>64</v>
      </c>
      <c r="AM5" s="48">
        <f>AM6*C6+SUMPRODUCT(AM10:AM16,C10:C16)</f>
        <v>0.11121949989138862</v>
      </c>
      <c r="AN5" s="48">
        <f t="shared" ref="AN5:BT5" si="37">AN6*D6+SUMPRODUCT(AN10:AN16,D10:D16)</f>
        <v>0.10896506983401991</v>
      </c>
      <c r="AO5" s="48">
        <f t="shared" si="37"/>
        <v>0.12151638661030761</v>
      </c>
      <c r="AP5" s="48">
        <f t="shared" si="37"/>
        <v>0.11976997311603439</v>
      </c>
      <c r="AQ5" s="48">
        <f t="shared" si="37"/>
        <v>0.1031626076556233</v>
      </c>
      <c r="AR5" s="48">
        <f t="shared" si="37"/>
        <v>0.11798566013059492</v>
      </c>
      <c r="AS5" s="48">
        <f t="shared" si="37"/>
        <v>0.1107060559817023</v>
      </c>
      <c r="AT5" s="48">
        <f t="shared" si="37"/>
        <v>5.4672083011662542E-2</v>
      </c>
      <c r="AU5" s="48">
        <f t="shared" si="37"/>
        <v>0.11602985567926141</v>
      </c>
      <c r="AV5" s="48">
        <f t="shared" si="37"/>
        <v>0.11352964143514305</v>
      </c>
      <c r="AW5" s="48">
        <f t="shared" si="37"/>
        <v>0.11312602386393319</v>
      </c>
      <c r="AX5" s="48">
        <f t="shared" si="37"/>
        <v>0.10767408951555102</v>
      </c>
      <c r="AY5" s="48">
        <f t="shared" si="37"/>
        <v>7.2724386471981969E-2</v>
      </c>
      <c r="AZ5" s="48">
        <f t="shared" si="37"/>
        <v>6.0700268806535618E-2</v>
      </c>
      <c r="BA5" s="48">
        <f t="shared" si="37"/>
        <v>0.10774102124400231</v>
      </c>
      <c r="BB5" s="48">
        <f t="shared" si="37"/>
        <v>0.11095322318192657</v>
      </c>
      <c r="BC5" s="48">
        <f t="shared" si="37"/>
        <v>0.12220568994981071</v>
      </c>
      <c r="BD5" s="48">
        <f t="shared" si="37"/>
        <v>0.12018708093843666</v>
      </c>
      <c r="BE5" s="48">
        <f t="shared" si="37"/>
        <v>0.11691010031799395</v>
      </c>
      <c r="BF5" s="48">
        <f t="shared" si="37"/>
        <v>0.12201329813975581</v>
      </c>
      <c r="BG5" s="48">
        <f t="shared" si="37"/>
        <v>0.12164894017689966</v>
      </c>
      <c r="BH5" s="48">
        <f t="shared" si="37"/>
        <v>0.11867152462049881</v>
      </c>
      <c r="BI5" s="48">
        <f t="shared" si="37"/>
        <v>0.12243466001619163</v>
      </c>
      <c r="BJ5" s="48">
        <f t="shared" si="37"/>
        <v>0.1166822721767543</v>
      </c>
      <c r="BK5" s="48">
        <f t="shared" si="37"/>
        <v>0.11371192497183528</v>
      </c>
      <c r="BL5" s="48">
        <f t="shared" si="37"/>
        <v>0.11426568056421352</v>
      </c>
      <c r="BM5" s="48">
        <f t="shared" si="37"/>
        <v>0.11220874139491793</v>
      </c>
      <c r="BN5" s="48">
        <f t="shared" si="37"/>
        <v>0.11976663804614739</v>
      </c>
      <c r="BO5" s="48">
        <f t="shared" si="37"/>
        <v>0.11109042891807921</v>
      </c>
      <c r="BP5" s="48">
        <f t="shared" si="37"/>
        <v>0.11687480172084751</v>
      </c>
      <c r="BQ5" s="48">
        <f t="shared" si="37"/>
        <v>0.1122034452939167</v>
      </c>
      <c r="BR5" s="48">
        <f t="shared" si="37"/>
        <v>0.12053075961150028</v>
      </c>
      <c r="BS5" s="48">
        <f t="shared" si="37"/>
        <v>0.11431124888184033</v>
      </c>
      <c r="BT5" s="48">
        <f t="shared" si="37"/>
        <v>0.11650164402428738</v>
      </c>
      <c r="BV5" s="41" t="s">
        <v>64</v>
      </c>
      <c r="BW5" t="s">
        <v>43</v>
      </c>
      <c r="BX5" t="s">
        <v>24</v>
      </c>
      <c r="BY5" t="s">
        <v>41</v>
      </c>
      <c r="BZ5" t="s">
        <v>24</v>
      </c>
      <c r="CA5" t="s">
        <v>41</v>
      </c>
      <c r="CB5" t="s">
        <v>42</v>
      </c>
      <c r="CC5" t="s">
        <v>25</v>
      </c>
      <c r="CD5" t="s">
        <v>24</v>
      </c>
      <c r="CE5" t="s">
        <v>43</v>
      </c>
      <c r="CF5" t="s">
        <v>42</v>
      </c>
      <c r="CG5" t="s">
        <v>30</v>
      </c>
      <c r="CH5" t="s">
        <v>24</v>
      </c>
      <c r="CI5" t="s">
        <v>43</v>
      </c>
      <c r="CJ5" t="s">
        <v>43</v>
      </c>
      <c r="CK5" t="s">
        <v>35</v>
      </c>
      <c r="CL5" t="s">
        <v>24</v>
      </c>
      <c r="CM5" t="s">
        <v>30</v>
      </c>
      <c r="CN5" t="s">
        <v>41</v>
      </c>
      <c r="CO5" t="s">
        <v>24</v>
      </c>
      <c r="CP5" t="s">
        <v>24</v>
      </c>
      <c r="CQ5" t="s">
        <v>25</v>
      </c>
      <c r="CR5" t="s">
        <v>25</v>
      </c>
      <c r="CS5" t="s">
        <v>43</v>
      </c>
      <c r="CT5" t="s">
        <v>43</v>
      </c>
      <c r="CU5" t="s">
        <v>35</v>
      </c>
      <c r="CV5" t="s">
        <v>24</v>
      </c>
      <c r="CW5" t="s">
        <v>35</v>
      </c>
      <c r="CX5" t="s">
        <v>35</v>
      </c>
      <c r="CY5" t="s">
        <v>35</v>
      </c>
      <c r="CZ5" t="s">
        <v>25</v>
      </c>
      <c r="DA5" t="s">
        <v>43</v>
      </c>
      <c r="DB5" t="s">
        <v>42</v>
      </c>
      <c r="DC5" t="s">
        <v>35</v>
      </c>
      <c r="DD5" t="s">
        <v>41</v>
      </c>
    </row>
    <row r="6" spans="1:108" x14ac:dyDescent="0.35">
      <c r="B6" s="37" t="s">
        <v>65</v>
      </c>
      <c r="C6" s="47">
        <f>1-SUM(C10:C16)</f>
        <v>0.21041162831036242</v>
      </c>
      <c r="D6" s="47">
        <f t="shared" ref="D6:AJ6" si="38">1-SUM(D10:D16)</f>
        <v>0.17891162831036256</v>
      </c>
      <c r="E6" s="47">
        <f t="shared" si="38"/>
        <v>0.21171162831036239</v>
      </c>
      <c r="F6" s="47">
        <f t="shared" si="38"/>
        <v>0.23071162831036229</v>
      </c>
      <c r="G6" s="47">
        <f t="shared" si="38"/>
        <v>0.2459116283103624</v>
      </c>
      <c r="H6" s="47">
        <f t="shared" si="38"/>
        <v>0.24771162831036242</v>
      </c>
      <c r="I6" s="47">
        <f t="shared" si="38"/>
        <v>0.18281162831036246</v>
      </c>
      <c r="J6" s="47">
        <f t="shared" si="38"/>
        <v>0.16791162831036244</v>
      </c>
      <c r="K6" s="47">
        <f t="shared" si="38"/>
        <v>0.22831162831036245</v>
      </c>
      <c r="L6" s="47">
        <f t="shared" si="38"/>
        <v>0.22731162831036245</v>
      </c>
      <c r="M6" s="47">
        <f t="shared" si="38"/>
        <v>0.22521162831036245</v>
      </c>
      <c r="N6" s="47">
        <f t="shared" si="38"/>
        <v>0.22461162831036241</v>
      </c>
      <c r="O6" s="47">
        <f t="shared" si="38"/>
        <v>0.16791162831036244</v>
      </c>
      <c r="P6" s="47">
        <f t="shared" si="38"/>
        <v>0.2297116283103624</v>
      </c>
      <c r="Q6" s="47">
        <f t="shared" si="38"/>
        <v>0.24301162831036249</v>
      </c>
      <c r="R6" s="47">
        <f t="shared" si="38"/>
        <v>0.22331162831036244</v>
      </c>
      <c r="S6" s="47">
        <f t="shared" si="38"/>
        <v>0.19671162831036249</v>
      </c>
      <c r="T6" s="47">
        <f t="shared" si="38"/>
        <v>0.1723116283103624</v>
      </c>
      <c r="U6" s="47">
        <f t="shared" si="38"/>
        <v>0.23941162831036245</v>
      </c>
      <c r="V6" s="47">
        <f t="shared" si="38"/>
        <v>0.16181162831036244</v>
      </c>
      <c r="W6" s="47">
        <f t="shared" si="38"/>
        <v>0.2026116283103625</v>
      </c>
      <c r="X6" s="47">
        <f t="shared" si="38"/>
        <v>0.17251162831036237</v>
      </c>
      <c r="Y6" s="47">
        <f t="shared" si="38"/>
        <v>0.23931162831036246</v>
      </c>
      <c r="Z6" s="47">
        <f t="shared" si="38"/>
        <v>0.19521162831036243</v>
      </c>
      <c r="AA6" s="47">
        <f t="shared" si="38"/>
        <v>0.20381162831036237</v>
      </c>
      <c r="AB6" s="47">
        <f t="shared" si="38"/>
        <v>0.22931162831036245</v>
      </c>
      <c r="AC6" s="47">
        <f t="shared" si="38"/>
        <v>0.2360116283103626</v>
      </c>
      <c r="AD6" s="47">
        <f t="shared" si="38"/>
        <v>0.16761162831036247</v>
      </c>
      <c r="AE6" s="47">
        <f t="shared" si="38"/>
        <v>0.19431162831036242</v>
      </c>
      <c r="AF6" s="47">
        <f t="shared" si="38"/>
        <v>0.22731162831036256</v>
      </c>
      <c r="AG6" s="47">
        <f t="shared" si="38"/>
        <v>0.19381162831036258</v>
      </c>
      <c r="AH6" s="47">
        <f t="shared" si="38"/>
        <v>0.2358116283103624</v>
      </c>
      <c r="AI6" s="47">
        <f t="shared" si="38"/>
        <v>0.21731162831036255</v>
      </c>
      <c r="AJ6" s="47">
        <f t="shared" si="38"/>
        <v>0.18281162831036246</v>
      </c>
      <c r="AK6" s="73"/>
      <c r="AL6" s="37" t="s">
        <v>65</v>
      </c>
      <c r="AM6" s="30">
        <f>SUMPRODUCT(AM7:AM9,C7:C9)</f>
        <v>0.10029207098480997</v>
      </c>
      <c r="AN6" s="30">
        <f t="shared" ref="AN6:BT6" si="39">SUMPRODUCT(AN7:AN9,D7:D9)</f>
        <v>9.7049338956401235E-2</v>
      </c>
      <c r="AO6" s="30">
        <f t="shared" si="39"/>
        <v>0.1120975601069789</v>
      </c>
      <c r="AP6" s="30">
        <f t="shared" si="39"/>
        <v>0.11192878282512439</v>
      </c>
      <c r="AQ6" s="30">
        <f t="shared" si="39"/>
        <v>9.1847156291097243E-2</v>
      </c>
      <c r="AR6" s="30">
        <f t="shared" si="39"/>
        <v>0.10812435763417923</v>
      </c>
      <c r="AS6" s="30">
        <f t="shared" si="39"/>
        <v>9.8955533693994513E-2</v>
      </c>
      <c r="AT6" s="30">
        <f t="shared" si="39"/>
        <v>3.955752964986612E-2</v>
      </c>
      <c r="AU6" s="30">
        <f t="shared" si="39"/>
        <v>0.10729986836234939</v>
      </c>
      <c r="AV6" s="30">
        <f t="shared" si="39"/>
        <v>0.10315765992831728</v>
      </c>
      <c r="AW6" s="30">
        <f t="shared" si="39"/>
        <v>0.10251768612685773</v>
      </c>
      <c r="AX6" s="30">
        <f t="shared" si="39"/>
        <v>9.4979198216916499E-2</v>
      </c>
      <c r="AY6" s="30">
        <f t="shared" si="39"/>
        <v>5.9020573232577526E-2</v>
      </c>
      <c r="AZ6" s="30">
        <f t="shared" si="39"/>
        <v>4.708244700428596E-2</v>
      </c>
      <c r="BA6" s="30">
        <f t="shared" si="39"/>
        <v>9.5033152691565842E-2</v>
      </c>
      <c r="BB6" s="30">
        <f t="shared" si="39"/>
        <v>9.9967859089265879E-2</v>
      </c>
      <c r="BC6" s="30">
        <f t="shared" si="39"/>
        <v>0.11350782060429299</v>
      </c>
      <c r="BD6" s="30">
        <f t="shared" si="39"/>
        <v>0.11110543860017177</v>
      </c>
      <c r="BE6" s="30">
        <f t="shared" si="39"/>
        <v>0.10786176665807279</v>
      </c>
      <c r="BF6" s="30">
        <f t="shared" si="39"/>
        <v>0.11221508488342219</v>
      </c>
      <c r="BG6" s="30">
        <f t="shared" si="39"/>
        <v>0.11324580649324319</v>
      </c>
      <c r="BH6" s="30">
        <f t="shared" si="39"/>
        <v>0.109406173370172</v>
      </c>
      <c r="BI6" s="30">
        <f t="shared" si="39"/>
        <v>0.1132036893992252</v>
      </c>
      <c r="BJ6" s="30">
        <f t="shared" si="39"/>
        <v>0.10686932884429985</v>
      </c>
      <c r="BK6" s="30">
        <f t="shared" si="39"/>
        <v>0.10283761297135983</v>
      </c>
      <c r="BL6" s="30">
        <f t="shared" si="39"/>
        <v>0.10407617950938848</v>
      </c>
      <c r="BM6" s="30">
        <f t="shared" si="39"/>
        <v>0.10218206813569468</v>
      </c>
      <c r="BN6" s="30">
        <f t="shared" si="39"/>
        <v>0.10941418575836974</v>
      </c>
      <c r="BO6" s="30">
        <f t="shared" si="39"/>
        <v>9.994820139045521E-2</v>
      </c>
      <c r="BP6" s="30">
        <f t="shared" si="39"/>
        <v>0.106973733653157</v>
      </c>
      <c r="BQ6" s="30">
        <f t="shared" si="39"/>
        <v>0.10235518700975647</v>
      </c>
      <c r="BR6" s="30">
        <f t="shared" si="39"/>
        <v>0.11198859475241983</v>
      </c>
      <c r="BS6" s="30">
        <f t="shared" si="39"/>
        <v>0.10413022923344194</v>
      </c>
      <c r="BT6" s="30">
        <f t="shared" si="39"/>
        <v>0.10681530009357838</v>
      </c>
      <c r="BV6" s="37" t="s">
        <v>65</v>
      </c>
      <c r="BW6" t="s">
        <v>30</v>
      </c>
      <c r="BX6" t="s">
        <v>41</v>
      </c>
      <c r="BY6" t="s">
        <v>35</v>
      </c>
      <c r="BZ6" t="s">
        <v>43</v>
      </c>
      <c r="CA6" t="s">
        <v>24</v>
      </c>
      <c r="CB6" t="s">
        <v>41</v>
      </c>
      <c r="CC6" t="s">
        <v>41</v>
      </c>
      <c r="CD6" t="s">
        <v>43</v>
      </c>
      <c r="CE6" t="s">
        <v>43</v>
      </c>
      <c r="CF6" t="s">
        <v>41</v>
      </c>
      <c r="CG6" t="s">
        <v>24</v>
      </c>
      <c r="CH6" t="s">
        <v>24</v>
      </c>
      <c r="CI6" t="s">
        <v>41</v>
      </c>
      <c r="CJ6" t="s">
        <v>35</v>
      </c>
      <c r="CK6" t="s">
        <v>41</v>
      </c>
      <c r="CL6" t="s">
        <v>24</v>
      </c>
      <c r="CM6" t="s">
        <v>41</v>
      </c>
      <c r="CN6" t="s">
        <v>41</v>
      </c>
      <c r="CO6" t="s">
        <v>24</v>
      </c>
      <c r="CP6" t="s">
        <v>43</v>
      </c>
      <c r="CQ6" t="s">
        <v>24</v>
      </c>
      <c r="CR6" t="s">
        <v>35</v>
      </c>
      <c r="CS6" t="s">
        <v>30</v>
      </c>
      <c r="CT6" t="s">
        <v>43</v>
      </c>
      <c r="CU6" t="s">
        <v>30</v>
      </c>
      <c r="CV6" t="s">
        <v>41</v>
      </c>
      <c r="CW6" t="s">
        <v>42</v>
      </c>
      <c r="CX6" t="s">
        <v>24</v>
      </c>
      <c r="CY6" t="s">
        <v>42</v>
      </c>
      <c r="CZ6" t="s">
        <v>25</v>
      </c>
      <c r="DA6" t="s">
        <v>43</v>
      </c>
      <c r="DB6" t="s">
        <v>43</v>
      </c>
      <c r="DC6" t="s">
        <v>24</v>
      </c>
      <c r="DD6" t="s">
        <v>30</v>
      </c>
    </row>
    <row r="7" spans="1:108" x14ac:dyDescent="0.35">
      <c r="B7" s="38" t="s">
        <v>66</v>
      </c>
      <c r="C7" s="47">
        <f>1-SUM(C8:C9)</f>
        <v>0.25346900030930364</v>
      </c>
      <c r="D7" s="47">
        <f t="shared" ref="D7:AJ7" si="40">1-SUM(D8:D9)</f>
        <v>0.23326900030930364</v>
      </c>
      <c r="E7" s="47">
        <f t="shared" si="40"/>
        <v>0.23586900030930358</v>
      </c>
      <c r="F7" s="47">
        <f t="shared" si="40"/>
        <v>0.24916900030930367</v>
      </c>
      <c r="G7" s="47">
        <f t="shared" si="40"/>
        <v>0.23116900030930365</v>
      </c>
      <c r="H7" s="47">
        <f t="shared" si="40"/>
        <v>0.24966900030930361</v>
      </c>
      <c r="I7" s="47">
        <f t="shared" si="40"/>
        <v>0.24746900030930363</v>
      </c>
      <c r="J7" s="47">
        <f t="shared" si="40"/>
        <v>0.23616900030930366</v>
      </c>
      <c r="K7" s="47">
        <f t="shared" si="40"/>
        <v>0.25126900030930366</v>
      </c>
      <c r="L7" s="47">
        <f t="shared" si="40"/>
        <v>0.25436900030930365</v>
      </c>
      <c r="M7" s="47">
        <f t="shared" si="40"/>
        <v>0.24926900030930366</v>
      </c>
      <c r="N7" s="47">
        <f t="shared" si="40"/>
        <v>0.25616900030930356</v>
      </c>
      <c r="O7" s="47">
        <f t="shared" si="40"/>
        <v>0.23896900030930368</v>
      </c>
      <c r="P7" s="47">
        <f t="shared" si="40"/>
        <v>0.23626900030930365</v>
      </c>
      <c r="Q7" s="47">
        <f t="shared" si="40"/>
        <v>0.25456900030930363</v>
      </c>
      <c r="R7" s="47">
        <f t="shared" si="40"/>
        <v>0.24266900030930361</v>
      </c>
      <c r="S7" s="47">
        <f t="shared" si="40"/>
        <v>0.26206900030930358</v>
      </c>
      <c r="T7" s="47">
        <f t="shared" si="40"/>
        <v>0.25936900030930365</v>
      </c>
      <c r="U7" s="47">
        <f t="shared" si="40"/>
        <v>0.25256900030930363</v>
      </c>
      <c r="V7" s="47">
        <f t="shared" si="40"/>
        <v>0.26016900030930357</v>
      </c>
      <c r="W7" s="47">
        <f t="shared" si="40"/>
        <v>0.23086900030930357</v>
      </c>
      <c r="X7" s="47">
        <f t="shared" si="40"/>
        <v>0.24906900030930368</v>
      </c>
      <c r="Y7" s="47">
        <f t="shared" si="40"/>
        <v>0.23336900030930363</v>
      </c>
      <c r="Z7" s="47">
        <f t="shared" si="40"/>
        <v>0.25386900030930359</v>
      </c>
      <c r="AA7" s="47">
        <f t="shared" si="40"/>
        <v>0.24986900030930359</v>
      </c>
      <c r="AB7" s="47">
        <f t="shared" si="40"/>
        <v>0.24646900030930363</v>
      </c>
      <c r="AC7" s="47">
        <f t="shared" si="40"/>
        <v>0.25726900030930355</v>
      </c>
      <c r="AD7" s="47">
        <f t="shared" si="40"/>
        <v>0.25146900030930353</v>
      </c>
      <c r="AE7" s="47">
        <f t="shared" si="40"/>
        <v>0.2629690003093037</v>
      </c>
      <c r="AF7" s="47">
        <f t="shared" si="40"/>
        <v>0.25446900030930353</v>
      </c>
      <c r="AG7" s="47">
        <f t="shared" si="40"/>
        <v>0.24586900030930359</v>
      </c>
      <c r="AH7" s="47">
        <f t="shared" si="40"/>
        <v>0.26266900030930362</v>
      </c>
      <c r="AI7" s="47">
        <f t="shared" si="40"/>
        <v>0.26406900030930358</v>
      </c>
      <c r="AJ7" s="47">
        <f t="shared" si="40"/>
        <v>0.22606900030930355</v>
      </c>
      <c r="AK7" s="73"/>
      <c r="AL7" s="38" t="s">
        <v>66</v>
      </c>
      <c r="AM7" s="30">
        <v>9.3614017319971224E-2</v>
      </c>
      <c r="AN7" s="30">
        <v>8.9828082168449203E-2</v>
      </c>
      <c r="AO7" s="30">
        <v>0.10626790544548986</v>
      </c>
      <c r="AP7" s="30">
        <v>0.10655045591990601</v>
      </c>
      <c r="AQ7" s="30">
        <v>8.3474924650025706E-2</v>
      </c>
      <c r="AR7" s="30">
        <v>0.10242371726990773</v>
      </c>
      <c r="AS7" s="30">
        <v>9.1703229827015856E-2</v>
      </c>
      <c r="AT7" s="30">
        <v>3.0911608483501891E-2</v>
      </c>
      <c r="AU7" s="30">
        <v>0.10121616110349965</v>
      </c>
      <c r="AV7" s="30">
        <v>9.7108626993228545E-2</v>
      </c>
      <c r="AW7" s="30">
        <v>9.6156347339816955E-2</v>
      </c>
      <c r="AX7" s="30">
        <v>8.7348651677400774E-2</v>
      </c>
      <c r="AY7" s="30">
        <v>5.0180968247303837E-2</v>
      </c>
      <c r="AZ7" s="30">
        <v>3.7528662398056065E-2</v>
      </c>
      <c r="BA7" s="30">
        <v>8.7632559507715688E-2</v>
      </c>
      <c r="BB7" s="30">
        <v>9.3167265148850112E-2</v>
      </c>
      <c r="BC7" s="30">
        <v>0.10834423129668316</v>
      </c>
      <c r="BD7" s="30">
        <v>0.10552377754630492</v>
      </c>
      <c r="BE7" s="30">
        <v>0.10168964500404572</v>
      </c>
      <c r="BF7" s="30">
        <v>0.1067819004631964</v>
      </c>
      <c r="BG7" s="30">
        <v>0.10760694613798651</v>
      </c>
      <c r="BH7" s="30">
        <v>0.10352669084011432</v>
      </c>
      <c r="BI7" s="30">
        <v>0.10733927895938025</v>
      </c>
      <c r="BJ7" s="30">
        <v>0.10081315194188697</v>
      </c>
      <c r="BK7" s="30">
        <v>9.6667973311958685E-2</v>
      </c>
      <c r="BL7" s="30">
        <v>9.7656650129522585E-2</v>
      </c>
      <c r="BM7" s="30">
        <v>9.5495980820207355E-2</v>
      </c>
      <c r="BN7" s="30">
        <v>0.10352087861033329</v>
      </c>
      <c r="BO7" s="30">
        <v>9.3297619764763431E-2</v>
      </c>
      <c r="BP7" s="30">
        <v>0.10081061021911653</v>
      </c>
      <c r="BQ7" s="30">
        <v>9.5975852025436029E-2</v>
      </c>
      <c r="BR7" s="30">
        <v>0.10639824887505066</v>
      </c>
      <c r="BS7" s="30">
        <v>9.7905392882443154E-2</v>
      </c>
      <c r="BT7" s="30">
        <v>0.10061837363107033</v>
      </c>
      <c r="BV7" s="38" t="s">
        <v>66</v>
      </c>
      <c r="BW7" t="s">
        <v>42</v>
      </c>
      <c r="BX7" t="s">
        <v>30</v>
      </c>
      <c r="BY7" t="s">
        <v>41</v>
      </c>
      <c r="BZ7" t="s">
        <v>42</v>
      </c>
      <c r="CA7" t="s">
        <v>24</v>
      </c>
      <c r="CB7" t="s">
        <v>42</v>
      </c>
      <c r="CC7" t="s">
        <v>41</v>
      </c>
      <c r="CD7" t="s">
        <v>41</v>
      </c>
      <c r="CE7" t="s">
        <v>42</v>
      </c>
      <c r="CF7" t="s">
        <v>41</v>
      </c>
      <c r="CG7" t="s">
        <v>41</v>
      </c>
      <c r="CH7" t="s">
        <v>25</v>
      </c>
      <c r="CI7" t="s">
        <v>24</v>
      </c>
      <c r="CJ7" t="s">
        <v>25</v>
      </c>
      <c r="CK7" t="s">
        <v>30</v>
      </c>
      <c r="CL7" t="s">
        <v>43</v>
      </c>
      <c r="CM7" t="s">
        <v>30</v>
      </c>
      <c r="CN7" t="s">
        <v>42</v>
      </c>
      <c r="CO7" t="s">
        <v>42</v>
      </c>
      <c r="CP7" t="s">
        <v>42</v>
      </c>
      <c r="CQ7" t="s">
        <v>30</v>
      </c>
      <c r="CR7" t="s">
        <v>41</v>
      </c>
      <c r="CS7" t="s">
        <v>43</v>
      </c>
      <c r="CT7" t="s">
        <v>30</v>
      </c>
      <c r="CU7" t="s">
        <v>42</v>
      </c>
      <c r="CV7" t="s">
        <v>41</v>
      </c>
      <c r="CW7" t="s">
        <v>35</v>
      </c>
      <c r="CX7" t="s">
        <v>35</v>
      </c>
      <c r="CY7" t="s">
        <v>42</v>
      </c>
      <c r="CZ7" t="s">
        <v>35</v>
      </c>
      <c r="DA7" t="s">
        <v>43</v>
      </c>
      <c r="DB7" t="s">
        <v>30</v>
      </c>
      <c r="DC7" t="s">
        <v>43</v>
      </c>
      <c r="DD7" t="s">
        <v>30</v>
      </c>
    </row>
    <row r="8" spans="1:108" x14ac:dyDescent="0.35">
      <c r="B8" s="38" t="s">
        <v>67</v>
      </c>
      <c r="C8" s="47">
        <v>0.66682665130814112</v>
      </c>
      <c r="D8" s="15">
        <v>0.68392665130814112</v>
      </c>
      <c r="E8" s="15">
        <v>0.67372665130814113</v>
      </c>
      <c r="F8" s="15">
        <v>0.66402665130814109</v>
      </c>
      <c r="G8" s="15">
        <v>0.68242665130814106</v>
      </c>
      <c r="H8" s="15">
        <v>0.67942665130814106</v>
      </c>
      <c r="I8" s="15">
        <v>0.66162665130814113</v>
      </c>
      <c r="J8" s="15">
        <v>0.67912665130814109</v>
      </c>
      <c r="K8" s="15">
        <v>0.65812665130814108</v>
      </c>
      <c r="L8" s="15">
        <v>0.67132665130814106</v>
      </c>
      <c r="M8" s="15">
        <v>0.68082665130814113</v>
      </c>
      <c r="N8" s="15">
        <v>0.67442665130814117</v>
      </c>
      <c r="O8" s="15">
        <v>0.67232665130814107</v>
      </c>
      <c r="P8" s="15">
        <v>0.67182665130814112</v>
      </c>
      <c r="Q8" s="15">
        <v>0.66312665130814108</v>
      </c>
      <c r="R8" s="15">
        <v>0.67362665130814114</v>
      </c>
      <c r="S8" s="15">
        <v>0.66232665130814117</v>
      </c>
      <c r="T8" s="15">
        <v>0.66922665130814107</v>
      </c>
      <c r="U8" s="15">
        <v>0.66732665130814106</v>
      </c>
      <c r="V8" s="15">
        <v>0.66542665130814116</v>
      </c>
      <c r="W8" s="15">
        <v>0.67782665130814113</v>
      </c>
      <c r="X8" s="15">
        <v>0.66522665130814107</v>
      </c>
      <c r="Y8" s="15">
        <v>0.68152665130814116</v>
      </c>
      <c r="Z8" s="15">
        <v>0.65662665130814113</v>
      </c>
      <c r="AA8" s="15">
        <v>0.68002665130814111</v>
      </c>
      <c r="AB8" s="15">
        <v>0.67942665130814106</v>
      </c>
      <c r="AC8" s="15">
        <v>0.67342665130814117</v>
      </c>
      <c r="AD8" s="15">
        <v>0.66642665130814116</v>
      </c>
      <c r="AE8" s="15">
        <v>0.65202665130814108</v>
      </c>
      <c r="AF8" s="15">
        <v>0.65742665130814115</v>
      </c>
      <c r="AG8" s="15">
        <v>0.66282665130814111</v>
      </c>
      <c r="AH8" s="15">
        <v>0.66912665130814108</v>
      </c>
      <c r="AI8" s="15">
        <v>0.65422665130814117</v>
      </c>
      <c r="AJ8" s="15">
        <v>0.68382665130814113</v>
      </c>
      <c r="AK8" s="73"/>
      <c r="AL8" s="38" t="s">
        <v>67</v>
      </c>
      <c r="AM8" s="30">
        <v>0.10158704983935442</v>
      </c>
      <c r="AN8" s="30">
        <v>9.8212010602002811E-2</v>
      </c>
      <c r="AO8" s="30">
        <v>0.11298871893833257</v>
      </c>
      <c r="AP8" s="30">
        <v>0.11287796841124387</v>
      </c>
      <c r="AQ8" s="30">
        <v>9.3125536267745376E-2</v>
      </c>
      <c r="AR8" s="30">
        <v>0.10928099050002996</v>
      </c>
      <c r="AS8" s="30">
        <v>0.10017184440636294</v>
      </c>
      <c r="AT8" s="30">
        <v>4.0958091622360318E-2</v>
      </c>
      <c r="AU8" s="30">
        <v>0.10835472212055218</v>
      </c>
      <c r="AV8" s="30">
        <v>0.10439212971443301</v>
      </c>
      <c r="AW8" s="30">
        <v>0.10381521056553671</v>
      </c>
      <c r="AX8" s="30">
        <v>9.6618990691441975E-2</v>
      </c>
      <c r="AY8" s="30">
        <v>6.0431435688236806E-2</v>
      </c>
      <c r="AZ8" s="30">
        <v>4.8526246917157664E-2</v>
      </c>
      <c r="BA8" s="30">
        <v>9.6448559669268616E-2</v>
      </c>
      <c r="BB8" s="30">
        <v>0.10114029766823331</v>
      </c>
      <c r="BC8" s="30">
        <v>0.11460846866310766</v>
      </c>
      <c r="BD8" s="30">
        <v>0.1123124780441259</v>
      </c>
      <c r="BE8" s="30">
        <v>0.10904671845980782</v>
      </c>
      <c r="BF8" s="30">
        <v>0.11336896976753159</v>
      </c>
      <c r="BG8" s="30">
        <v>0.11406293276316538</v>
      </c>
      <c r="BH8" s="30">
        <v>0.11045322945639939</v>
      </c>
      <c r="BI8" s="30">
        <v>0.11412797945720124</v>
      </c>
      <c r="BJ8" s="30">
        <v>0.10795171295893946</v>
      </c>
      <c r="BK8" s="30">
        <v>0.10409936064101129</v>
      </c>
      <c r="BL8" s="30">
        <v>0.10531551335524234</v>
      </c>
      <c r="BM8" s="30">
        <v>0.10363089819535599</v>
      </c>
      <c r="BN8" s="30">
        <v>0.11051738226314647</v>
      </c>
      <c r="BO8" s="30">
        <v>0.10127065228414663</v>
      </c>
      <c r="BP8" s="30">
        <v>0.10809411294032099</v>
      </c>
      <c r="BQ8" s="30">
        <v>0.10340723935448869</v>
      </c>
      <c r="BR8" s="30">
        <v>0.11325552210517284</v>
      </c>
      <c r="BS8" s="30">
        <v>0.10541184472997109</v>
      </c>
      <c r="BT8" s="30">
        <v>0.10768554903795234</v>
      </c>
      <c r="BV8" s="38" t="s">
        <v>67</v>
      </c>
      <c r="BW8" t="s">
        <v>41</v>
      </c>
      <c r="BX8" t="s">
        <v>43</v>
      </c>
      <c r="BY8" t="s">
        <v>43</v>
      </c>
      <c r="BZ8" t="s">
        <v>30</v>
      </c>
      <c r="CA8" t="s">
        <v>41</v>
      </c>
      <c r="CB8" t="s">
        <v>42</v>
      </c>
      <c r="CC8" t="s">
        <v>42</v>
      </c>
      <c r="CD8" t="s">
        <v>35</v>
      </c>
      <c r="CE8" t="s">
        <v>35</v>
      </c>
      <c r="CF8" t="s">
        <v>35</v>
      </c>
      <c r="CG8" t="s">
        <v>24</v>
      </c>
      <c r="CH8" t="s">
        <v>24</v>
      </c>
      <c r="CI8" t="s">
        <v>43</v>
      </c>
      <c r="CJ8" t="s">
        <v>25</v>
      </c>
      <c r="CK8" t="s">
        <v>35</v>
      </c>
      <c r="CL8" t="s">
        <v>25</v>
      </c>
      <c r="CM8" t="s">
        <v>25</v>
      </c>
      <c r="CN8" t="s">
        <v>41</v>
      </c>
      <c r="CO8" t="s">
        <v>42</v>
      </c>
      <c r="CP8" t="s">
        <v>35</v>
      </c>
      <c r="CQ8" t="s">
        <v>42</v>
      </c>
      <c r="CR8" t="s">
        <v>42</v>
      </c>
      <c r="CS8" t="s">
        <v>25</v>
      </c>
      <c r="CT8" t="s">
        <v>25</v>
      </c>
      <c r="CU8" t="s">
        <v>25</v>
      </c>
      <c r="CV8" t="s">
        <v>41</v>
      </c>
      <c r="CW8" t="s">
        <v>25</v>
      </c>
      <c r="CX8" t="s">
        <v>30</v>
      </c>
      <c r="CY8" t="s">
        <v>25</v>
      </c>
      <c r="CZ8" t="s">
        <v>30</v>
      </c>
      <c r="DA8" t="s">
        <v>42</v>
      </c>
      <c r="DB8" t="s">
        <v>25</v>
      </c>
      <c r="DC8" t="s">
        <v>43</v>
      </c>
      <c r="DD8" t="s">
        <v>42</v>
      </c>
    </row>
    <row r="9" spans="1:108" x14ac:dyDescent="0.35">
      <c r="A9" s="45">
        <v>1E-3</v>
      </c>
      <c r="B9" s="38" t="s">
        <v>117</v>
      </c>
      <c r="C9" s="47">
        <v>7.9704348382555273E-2</v>
      </c>
      <c r="D9" s="15">
        <v>8.2804348382555279E-2</v>
      </c>
      <c r="E9" s="15">
        <v>9.0404348382555275E-2</v>
      </c>
      <c r="F9" s="15">
        <v>8.6804348382555269E-2</v>
      </c>
      <c r="G9" s="15">
        <v>8.6404348382555271E-2</v>
      </c>
      <c r="H9" s="15">
        <v>7.0904348382555271E-2</v>
      </c>
      <c r="I9" s="15">
        <v>9.0904348382555275E-2</v>
      </c>
      <c r="J9" s="15">
        <v>8.4704348382555264E-2</v>
      </c>
      <c r="K9" s="15">
        <v>9.0604348382555266E-2</v>
      </c>
      <c r="L9" s="15">
        <v>7.4304348382555285E-2</v>
      </c>
      <c r="M9" s="15">
        <v>6.990434838255527E-2</v>
      </c>
      <c r="N9" s="15">
        <v>6.940434838255527E-2</v>
      </c>
      <c r="O9" s="15">
        <v>8.8704348382555268E-2</v>
      </c>
      <c r="P9" s="15">
        <v>9.1904348382555276E-2</v>
      </c>
      <c r="Q9" s="15">
        <v>8.2304348382555279E-2</v>
      </c>
      <c r="R9" s="15">
        <v>8.3704348382555277E-2</v>
      </c>
      <c r="S9" s="15">
        <v>7.5604348382555281E-2</v>
      </c>
      <c r="T9" s="15">
        <v>7.1404348382555272E-2</v>
      </c>
      <c r="U9" s="15">
        <v>8.0104348382555271E-2</v>
      </c>
      <c r="V9" s="15">
        <v>7.4404348382555274E-2</v>
      </c>
      <c r="W9" s="15">
        <v>9.1304348382555273E-2</v>
      </c>
      <c r="X9" s="15">
        <v>8.5704348382555265E-2</v>
      </c>
      <c r="Y9" s="15">
        <v>8.5104348382555262E-2</v>
      </c>
      <c r="Z9" s="15">
        <v>8.9504348382555263E-2</v>
      </c>
      <c r="AA9" s="15">
        <v>7.0104348382555276E-2</v>
      </c>
      <c r="AB9" s="15">
        <v>7.410434838255528E-2</v>
      </c>
      <c r="AC9" s="15">
        <v>6.9304348382555281E-2</v>
      </c>
      <c r="AD9" s="15">
        <v>8.2104348382555273E-2</v>
      </c>
      <c r="AE9" s="15">
        <v>8.5004348382555273E-2</v>
      </c>
      <c r="AF9" s="15">
        <v>8.8104348382555278E-2</v>
      </c>
      <c r="AG9" s="15">
        <v>9.1304348382555273E-2</v>
      </c>
      <c r="AH9" s="15">
        <v>6.8204348382555277E-2</v>
      </c>
      <c r="AI9" s="15">
        <v>8.1704348382555275E-2</v>
      </c>
      <c r="AJ9" s="15">
        <v>9.0104348382555266E-2</v>
      </c>
      <c r="AK9" s="73"/>
      <c r="AL9" s="38" t="s">
        <v>117</v>
      </c>
      <c r="AM9" s="30">
        <v>0.11069493093127311</v>
      </c>
      <c r="AN9" s="30">
        <v>0.10778927283821277</v>
      </c>
      <c r="AO9" s="30">
        <v>0.1206661453109156</v>
      </c>
      <c r="AP9" s="30">
        <v>0.12010611293951839</v>
      </c>
      <c r="AQ9" s="30">
        <v>0.10414977614947106</v>
      </c>
      <c r="AR9" s="30">
        <v>0.11711429972621407</v>
      </c>
      <c r="AS9" s="30">
        <v>0.10984584666516087</v>
      </c>
      <c r="AT9" s="30">
        <v>5.2434549745193529E-2</v>
      </c>
      <c r="AU9" s="30">
        <v>0.11650935647738661</v>
      </c>
      <c r="AV9" s="30">
        <v>0.11271233617993089</v>
      </c>
      <c r="AW9" s="30">
        <v>0.11256420480198824</v>
      </c>
      <c r="AX9" s="30">
        <v>0.10720883153511052</v>
      </c>
      <c r="AY9" s="30">
        <v>7.2140912397586063E-2</v>
      </c>
      <c r="AZ9" s="30">
        <v>6.1089182268894163E-2</v>
      </c>
      <c r="BA9" s="30">
        <v>0.10651939294162203</v>
      </c>
      <c r="BB9" s="30">
        <v>0.110248178760152</v>
      </c>
      <c r="BC9" s="30">
        <v>0.12176433174609956</v>
      </c>
      <c r="BD9" s="30">
        <v>0.12006745417804811</v>
      </c>
      <c r="BE9" s="30">
        <v>0.11745096741485617</v>
      </c>
      <c r="BF9" s="30">
        <v>0.12089361535530019</v>
      </c>
      <c r="BG9" s="30">
        <v>0.12143783790373741</v>
      </c>
      <c r="BH9" s="30">
        <v>0.11836566301820151</v>
      </c>
      <c r="BI9" s="30">
        <v>0.12188295559112348</v>
      </c>
      <c r="BJ9" s="30">
        <v>0.11610634731577393</v>
      </c>
      <c r="BK9" s="30">
        <v>0.11258850099964601</v>
      </c>
      <c r="BL9" s="30">
        <v>0.11406450759169387</v>
      </c>
      <c r="BM9" s="30">
        <v>0.11292370616588827</v>
      </c>
      <c r="BN9" s="30">
        <v>0.11850973939627996</v>
      </c>
      <c r="BO9" s="30">
        <v>0.11037853337606532</v>
      </c>
      <c r="BP9" s="30">
        <v>0.11641431940581885</v>
      </c>
      <c r="BQ9" s="30">
        <v>0.11189637971312337</v>
      </c>
      <c r="BR9" s="30">
        <v>0.12108883133135695</v>
      </c>
      <c r="BS9" s="30">
        <v>0.11398673398111722</v>
      </c>
      <c r="BT9" s="30">
        <v>0.11575863705121847</v>
      </c>
      <c r="BV9" s="38" t="s">
        <v>117</v>
      </c>
      <c r="BW9" t="s">
        <v>43</v>
      </c>
      <c r="BX9" t="s">
        <v>41</v>
      </c>
      <c r="BY9" t="s">
        <v>42</v>
      </c>
      <c r="BZ9" t="s">
        <v>41</v>
      </c>
      <c r="CA9" t="s">
        <v>24</v>
      </c>
      <c r="CB9" t="s">
        <v>42</v>
      </c>
      <c r="CC9" t="s">
        <v>30</v>
      </c>
      <c r="CD9" t="s">
        <v>42</v>
      </c>
      <c r="CE9" t="s">
        <v>42</v>
      </c>
      <c r="CF9" t="s">
        <v>43</v>
      </c>
      <c r="CG9" t="s">
        <v>35</v>
      </c>
      <c r="CH9" t="s">
        <v>24</v>
      </c>
      <c r="CI9" t="s">
        <v>24</v>
      </c>
      <c r="CJ9" t="s">
        <v>43</v>
      </c>
      <c r="CK9" t="s">
        <v>30</v>
      </c>
      <c r="CL9" t="s">
        <v>30</v>
      </c>
      <c r="CM9" t="s">
        <v>42</v>
      </c>
      <c r="CN9" t="s">
        <v>41</v>
      </c>
      <c r="CO9" t="s">
        <v>42</v>
      </c>
      <c r="CP9" t="s">
        <v>24</v>
      </c>
      <c r="CQ9" t="s">
        <v>41</v>
      </c>
      <c r="CR9" t="s">
        <v>35</v>
      </c>
      <c r="CS9" t="s">
        <v>41</v>
      </c>
      <c r="CT9" t="s">
        <v>43</v>
      </c>
      <c r="CU9" t="s">
        <v>24</v>
      </c>
      <c r="CV9" t="s">
        <v>35</v>
      </c>
      <c r="CW9" t="s">
        <v>24</v>
      </c>
      <c r="CX9" t="s">
        <v>41</v>
      </c>
      <c r="CY9" t="s">
        <v>25</v>
      </c>
      <c r="CZ9" t="s">
        <v>41</v>
      </c>
      <c r="DA9" t="s">
        <v>43</v>
      </c>
      <c r="DB9" t="s">
        <v>30</v>
      </c>
      <c r="DC9" t="s">
        <v>25</v>
      </c>
      <c r="DD9" t="s">
        <v>24</v>
      </c>
    </row>
    <row r="10" spans="1:108" x14ac:dyDescent="0.35">
      <c r="B10" s="37" t="s">
        <v>118</v>
      </c>
      <c r="C10" s="47">
        <v>9.3461816818822485E-2</v>
      </c>
      <c r="D10" s="15">
        <v>0.10436181681882248</v>
      </c>
      <c r="E10" s="15">
        <v>9.8761816818822484E-2</v>
      </c>
      <c r="F10" s="15">
        <v>7.9961816818822487E-2</v>
      </c>
      <c r="G10" s="15">
        <v>0.10046181681882249</v>
      </c>
      <c r="H10" s="15">
        <v>8.9661816818822487E-2</v>
      </c>
      <c r="I10" s="15">
        <v>0.11056181681882249</v>
      </c>
      <c r="J10" s="15">
        <v>0.10566181681882249</v>
      </c>
      <c r="K10" s="15">
        <v>8.7361816818822491E-2</v>
      </c>
      <c r="L10" s="15">
        <v>0.10236181681882249</v>
      </c>
      <c r="M10" s="15">
        <v>9.0461816818822482E-2</v>
      </c>
      <c r="N10" s="15">
        <v>8.2761816818822484E-2</v>
      </c>
      <c r="O10" s="15">
        <v>8.8561816818822484E-2</v>
      </c>
      <c r="P10" s="15">
        <v>8.2061816818822492E-2</v>
      </c>
      <c r="Q10" s="15">
        <v>9.426181681882248E-2</v>
      </c>
      <c r="R10" s="15">
        <v>9.8161816818822481E-2</v>
      </c>
      <c r="S10" s="15">
        <v>9.0761816818822491E-2</v>
      </c>
      <c r="T10" s="15">
        <v>8.3061816818822493E-2</v>
      </c>
      <c r="U10" s="15">
        <v>8.8561816818822484E-2</v>
      </c>
      <c r="V10" s="15">
        <v>0.10126181681882249</v>
      </c>
      <c r="W10" s="15">
        <v>8.7061816818822482E-2</v>
      </c>
      <c r="X10" s="15">
        <v>7.9961816818822487E-2</v>
      </c>
      <c r="Y10" s="15">
        <v>8.5661816818822484E-2</v>
      </c>
      <c r="Z10" s="15">
        <v>0.10266181681882248</v>
      </c>
      <c r="AA10" s="15">
        <v>0.10996181681882249</v>
      </c>
      <c r="AB10" s="15">
        <v>7.7961816818822485E-2</v>
      </c>
      <c r="AC10" s="15">
        <v>9.5461816818822487E-2</v>
      </c>
      <c r="AD10" s="15">
        <v>0.10686181681882248</v>
      </c>
      <c r="AE10" s="15">
        <v>8.8461816818822481E-2</v>
      </c>
      <c r="AF10" s="15">
        <v>8.2661816818822481E-2</v>
      </c>
      <c r="AG10" s="15">
        <v>0.10126181681882249</v>
      </c>
      <c r="AH10" s="15">
        <v>7.9761816818822481E-2</v>
      </c>
      <c r="AI10" s="15">
        <v>8.926181681882249E-2</v>
      </c>
      <c r="AJ10" s="15">
        <v>9.376181681882248E-2</v>
      </c>
      <c r="AK10" s="73"/>
      <c r="AL10" s="37" t="s">
        <v>118</v>
      </c>
      <c r="AM10" s="30">
        <v>0.13523749576337668</v>
      </c>
      <c r="AN10" s="30">
        <v>0.13359665624320663</v>
      </c>
      <c r="AO10" s="30">
        <v>0.14135413328432106</v>
      </c>
      <c r="AP10" s="30">
        <v>0.13958344294752634</v>
      </c>
      <c r="AQ10" s="30">
        <v>0.13385625993986455</v>
      </c>
      <c r="AR10" s="30">
        <v>0.13822233765439021</v>
      </c>
      <c r="AS10" s="30">
        <v>0.13591391071060926</v>
      </c>
      <c r="AT10" s="30">
        <v>8.3359604066826118E-2</v>
      </c>
      <c r="AU10" s="30">
        <v>0.13848325362919359</v>
      </c>
      <c r="AV10" s="30">
        <v>0.13513239245154293</v>
      </c>
      <c r="AW10" s="30">
        <v>0.13613969465487324</v>
      </c>
      <c r="AX10" s="30">
        <v>0.13574476133529223</v>
      </c>
      <c r="AY10" s="30">
        <v>0.10369387058719183</v>
      </c>
      <c r="AZ10" s="30">
        <v>9.4941914011856005E-2</v>
      </c>
      <c r="BA10" s="30">
        <v>0.1336567782462397</v>
      </c>
      <c r="BB10" s="30">
        <v>0.13479074359225557</v>
      </c>
      <c r="BC10" s="30">
        <v>0.1410468884540273</v>
      </c>
      <c r="BD10" s="30">
        <v>0.14096441172694246</v>
      </c>
      <c r="BE10" s="30">
        <v>0.14009748890133297</v>
      </c>
      <c r="BF10" s="30">
        <v>0.14116991236803489</v>
      </c>
      <c r="BG10" s="30">
        <v>0.14131063660591869</v>
      </c>
      <c r="BH10" s="30">
        <v>0.13968691345070267</v>
      </c>
      <c r="BI10" s="30">
        <v>0.14277991314001784</v>
      </c>
      <c r="BJ10" s="30">
        <v>0.13808024446758088</v>
      </c>
      <c r="BK10" s="30">
        <v>0.13546377522841049</v>
      </c>
      <c r="BL10" s="30">
        <v>0.13763999744457886</v>
      </c>
      <c r="BM10" s="30">
        <v>0.13796458447637047</v>
      </c>
      <c r="BN10" s="30">
        <v>0.14004635599476595</v>
      </c>
      <c r="BO10" s="30">
        <v>0.13492109820816889</v>
      </c>
      <c r="BP10" s="30">
        <v>0.13883437567743095</v>
      </c>
      <c r="BQ10" s="30">
        <v>0.13477165394188781</v>
      </c>
      <c r="BR10" s="30">
        <v>0.14219686925953309</v>
      </c>
      <c r="BS10" s="30">
        <v>0.13709307158592979</v>
      </c>
      <c r="BT10" s="30">
        <v>0.13751279523150739</v>
      </c>
      <c r="BV10" s="37" t="s">
        <v>118</v>
      </c>
      <c r="BW10" t="s">
        <v>35</v>
      </c>
      <c r="BX10" t="s">
        <v>25</v>
      </c>
      <c r="BY10" t="s">
        <v>43</v>
      </c>
      <c r="BZ10" t="s">
        <v>35</v>
      </c>
      <c r="CA10" t="s">
        <v>35</v>
      </c>
      <c r="CB10" t="s">
        <v>30</v>
      </c>
      <c r="CC10" t="s">
        <v>41</v>
      </c>
      <c r="CD10" t="s">
        <v>25</v>
      </c>
      <c r="CE10" t="s">
        <v>30</v>
      </c>
      <c r="CF10" t="s">
        <v>30</v>
      </c>
      <c r="CG10" t="s">
        <v>43</v>
      </c>
      <c r="CH10" t="s">
        <v>35</v>
      </c>
      <c r="CI10" t="s">
        <v>42</v>
      </c>
      <c r="CJ10" t="s">
        <v>43</v>
      </c>
      <c r="CK10" t="s">
        <v>43</v>
      </c>
      <c r="CL10" t="s">
        <v>41</v>
      </c>
      <c r="CM10" t="s">
        <v>41</v>
      </c>
      <c r="CN10" t="s">
        <v>41</v>
      </c>
      <c r="CO10" t="s">
        <v>43</v>
      </c>
      <c r="CP10" t="s">
        <v>41</v>
      </c>
      <c r="CQ10" t="s">
        <v>41</v>
      </c>
      <c r="CR10" t="s">
        <v>25</v>
      </c>
      <c r="CS10" t="s">
        <v>35</v>
      </c>
      <c r="CT10" t="s">
        <v>25</v>
      </c>
      <c r="CU10" t="s">
        <v>30</v>
      </c>
      <c r="CV10" t="s">
        <v>41</v>
      </c>
      <c r="CW10" t="s">
        <v>35</v>
      </c>
      <c r="CX10" t="s">
        <v>25</v>
      </c>
      <c r="CY10" t="s">
        <v>35</v>
      </c>
      <c r="CZ10" t="s">
        <v>25</v>
      </c>
      <c r="DA10" t="s">
        <v>30</v>
      </c>
      <c r="DB10" t="s">
        <v>41</v>
      </c>
      <c r="DC10" t="s">
        <v>25</v>
      </c>
      <c r="DD10" t="s">
        <v>25</v>
      </c>
    </row>
    <row r="11" spans="1:108" x14ac:dyDescent="0.35">
      <c r="B11" s="37" t="s">
        <v>119</v>
      </c>
      <c r="C11" s="18">
        <v>5.3710556274410841E-2</v>
      </c>
      <c r="D11" s="15">
        <v>6.941055627441084E-2</v>
      </c>
      <c r="E11" s="15">
        <v>5.901055627441084E-2</v>
      </c>
      <c r="F11" s="15">
        <v>4.3710556274410839E-2</v>
      </c>
      <c r="G11" s="15">
        <v>3.7510556274410842E-2</v>
      </c>
      <c r="H11" s="15">
        <v>5.7510556274410839E-2</v>
      </c>
      <c r="I11" s="15">
        <v>5.3610556274410838E-2</v>
      </c>
      <c r="J11" s="15">
        <v>6.6810556274410848E-2</v>
      </c>
      <c r="K11" s="15">
        <v>4.131055627441084E-2</v>
      </c>
      <c r="L11" s="15">
        <v>4.4910556274410839E-2</v>
      </c>
      <c r="M11" s="15">
        <v>3.8510556274410843E-2</v>
      </c>
      <c r="N11" s="15">
        <v>5.8210556274410838E-2</v>
      </c>
      <c r="O11" s="15">
        <v>5.151055627441084E-2</v>
      </c>
      <c r="P11" s="15">
        <v>5.271055627441084E-2</v>
      </c>
      <c r="Q11" s="15">
        <v>6.5510556274410839E-2</v>
      </c>
      <c r="R11" s="15">
        <v>6.3010556274410837E-2</v>
      </c>
      <c r="S11" s="15">
        <v>6.4710556274410844E-2</v>
      </c>
      <c r="T11" s="15">
        <v>6.1110556274410838E-2</v>
      </c>
      <c r="U11" s="15">
        <v>3.7510556274410842E-2</v>
      </c>
      <c r="V11" s="15">
        <v>6.9310556274410837E-2</v>
      </c>
      <c r="W11" s="15">
        <v>4.3810556274410842E-2</v>
      </c>
      <c r="X11" s="15">
        <v>5.7510556274410839E-2</v>
      </c>
      <c r="Y11" s="15">
        <v>4.8210556274410843E-2</v>
      </c>
      <c r="Z11" s="15">
        <v>4.4410556274410845E-2</v>
      </c>
      <c r="AA11" s="15">
        <v>6.1810556274410844E-2</v>
      </c>
      <c r="AB11" s="15">
        <v>6.2610556274410839E-2</v>
      </c>
      <c r="AC11" s="15">
        <v>4.0810556274410839E-2</v>
      </c>
      <c r="AD11" s="15">
        <v>5.3810556274410844E-2</v>
      </c>
      <c r="AE11" s="15">
        <v>5.8010556274410839E-2</v>
      </c>
      <c r="AF11" s="15">
        <v>5.1310556274410841E-2</v>
      </c>
      <c r="AG11" s="15">
        <v>5.391055627441084E-2</v>
      </c>
      <c r="AH11" s="15">
        <v>4.181055627441084E-2</v>
      </c>
      <c r="AI11" s="15">
        <v>6.2510556274410836E-2</v>
      </c>
      <c r="AJ11" s="15">
        <v>6.5310556274410847E-2</v>
      </c>
      <c r="AK11" s="73"/>
      <c r="AL11" s="37" t="s">
        <v>119</v>
      </c>
      <c r="AM11" s="30">
        <v>0.14299110300347354</v>
      </c>
      <c r="AN11" s="30">
        <v>0.14174985115929667</v>
      </c>
      <c r="AO11" s="30">
        <v>0.14788998373153306</v>
      </c>
      <c r="AP11" s="30">
        <v>0.14573681640303007</v>
      </c>
      <c r="AQ11" s="30">
        <v>0.14324127773937839</v>
      </c>
      <c r="AR11" s="30">
        <v>0.14489089233984265</v>
      </c>
      <c r="AS11" s="30">
        <v>0.14414946113090218</v>
      </c>
      <c r="AT11" s="30">
        <v>9.3129598634588126E-2</v>
      </c>
      <c r="AU11" s="30">
        <v>0.14542535479974966</v>
      </c>
      <c r="AV11" s="30">
        <v>0.14221544639558542</v>
      </c>
      <c r="AW11" s="30">
        <v>0.1435877788328174</v>
      </c>
      <c r="AX11" s="30">
        <v>0.14475997198728421</v>
      </c>
      <c r="AY11" s="30">
        <v>0.11366223561908863</v>
      </c>
      <c r="AZ11" s="30">
        <v>0.10563683476422747</v>
      </c>
      <c r="BA11" s="30">
        <v>0.14223015387403656</v>
      </c>
      <c r="BB11" s="30">
        <v>0.14254435083235242</v>
      </c>
      <c r="BC11" s="30">
        <v>0.14713872817497603</v>
      </c>
      <c r="BD11" s="30">
        <v>0.14756628086554052</v>
      </c>
      <c r="BE11" s="30">
        <v>0.14725208884481028</v>
      </c>
      <c r="BF11" s="30">
        <v>0.14757569939134738</v>
      </c>
      <c r="BG11" s="30">
        <v>0.14758894846746723</v>
      </c>
      <c r="BH11" s="30">
        <v>0.14642282727439199</v>
      </c>
      <c r="BI11" s="30">
        <v>0.14938178227861587</v>
      </c>
      <c r="BJ11" s="30">
        <v>0.14502234563813698</v>
      </c>
      <c r="BK11" s="30">
        <v>0.14269064385818553</v>
      </c>
      <c r="BL11" s="30">
        <v>0.14508808162252301</v>
      </c>
      <c r="BM11" s="30">
        <v>0.14587562135025764</v>
      </c>
      <c r="BN11" s="30">
        <v>0.14685030935202789</v>
      </c>
      <c r="BO11" s="30">
        <v>0.14267470544826574</v>
      </c>
      <c r="BP11" s="30">
        <v>0.14591742962147344</v>
      </c>
      <c r="BQ11" s="30">
        <v>0.1419985225716629</v>
      </c>
      <c r="BR11" s="30">
        <v>0.14886542394498561</v>
      </c>
      <c r="BS11" s="30">
        <v>0.14439293888873289</v>
      </c>
      <c r="BT11" s="30">
        <v>0.14438547539035787</v>
      </c>
      <c r="BV11" s="37" t="s">
        <v>119</v>
      </c>
      <c r="BW11" t="s">
        <v>24</v>
      </c>
      <c r="BX11" t="s">
        <v>42</v>
      </c>
      <c r="BY11" t="s">
        <v>30</v>
      </c>
      <c r="BZ11" t="s">
        <v>24</v>
      </c>
      <c r="CA11" t="s">
        <v>41</v>
      </c>
      <c r="CB11" t="s">
        <v>24</v>
      </c>
      <c r="CC11" t="s">
        <v>24</v>
      </c>
      <c r="CD11" t="s">
        <v>41</v>
      </c>
      <c r="CE11" t="s">
        <v>42</v>
      </c>
      <c r="CF11" t="s">
        <v>25</v>
      </c>
      <c r="CG11" t="s">
        <v>24</v>
      </c>
      <c r="CH11" t="s">
        <v>41</v>
      </c>
      <c r="CI11" t="s">
        <v>25</v>
      </c>
      <c r="CJ11" t="s">
        <v>35</v>
      </c>
      <c r="CK11" t="s">
        <v>41</v>
      </c>
      <c r="CL11" t="s">
        <v>25</v>
      </c>
      <c r="CM11" t="s">
        <v>30</v>
      </c>
      <c r="CN11" t="s">
        <v>35</v>
      </c>
      <c r="CO11" t="s">
        <v>35</v>
      </c>
      <c r="CP11" t="s">
        <v>42</v>
      </c>
      <c r="CQ11" t="s">
        <v>24</v>
      </c>
      <c r="CR11" t="s">
        <v>24</v>
      </c>
      <c r="CS11" t="s">
        <v>30</v>
      </c>
      <c r="CT11" t="s">
        <v>30</v>
      </c>
      <c r="CU11" t="s">
        <v>43</v>
      </c>
      <c r="CV11" t="s">
        <v>24</v>
      </c>
      <c r="CW11" t="s">
        <v>35</v>
      </c>
      <c r="CX11" t="s">
        <v>25</v>
      </c>
      <c r="CY11" t="s">
        <v>42</v>
      </c>
      <c r="CZ11" t="s">
        <v>35</v>
      </c>
      <c r="DA11" t="s">
        <v>24</v>
      </c>
      <c r="DB11" t="s">
        <v>25</v>
      </c>
      <c r="DC11" t="s">
        <v>35</v>
      </c>
      <c r="DD11" t="s">
        <v>41</v>
      </c>
    </row>
    <row r="12" spans="1:108" x14ac:dyDescent="0.35">
      <c r="B12" s="37" t="s">
        <v>120</v>
      </c>
      <c r="C12" s="47">
        <v>0.2291998708054126</v>
      </c>
      <c r="D12" s="15">
        <v>0.21569987080541259</v>
      </c>
      <c r="E12" s="15">
        <v>0.2258998708054126</v>
      </c>
      <c r="F12" s="15">
        <v>0.23809987080541259</v>
      </c>
      <c r="G12" s="15">
        <v>0.2147998708054126</v>
      </c>
      <c r="H12" s="15">
        <v>0.2407998708054126</v>
      </c>
      <c r="I12" s="15">
        <v>0.23639987080541261</v>
      </c>
      <c r="J12" s="15">
        <v>0.2160998708054126</v>
      </c>
      <c r="K12" s="15">
        <v>0.2225998708054126</v>
      </c>
      <c r="L12" s="15">
        <v>0.2366998708054126</v>
      </c>
      <c r="M12" s="15">
        <v>0.24539987080541259</v>
      </c>
      <c r="N12" s="15">
        <v>0.2339998708054126</v>
      </c>
      <c r="O12" s="15">
        <v>0.23099987080541259</v>
      </c>
      <c r="P12" s="15">
        <v>0.2286998708054126</v>
      </c>
      <c r="Q12" s="15">
        <v>0.22529987080541261</v>
      </c>
      <c r="R12" s="15">
        <v>0.21749987080541261</v>
      </c>
      <c r="S12" s="15">
        <v>0.2278998708054126</v>
      </c>
      <c r="T12" s="15">
        <v>0.2200998708054126</v>
      </c>
      <c r="U12" s="15">
        <v>0.2150998708054126</v>
      </c>
      <c r="V12" s="15">
        <v>0.22829987080541259</v>
      </c>
      <c r="W12" s="15">
        <v>0.23459987080541259</v>
      </c>
      <c r="X12" s="15">
        <v>0.23229987080541259</v>
      </c>
      <c r="Y12" s="15">
        <v>0.24539987080541259</v>
      </c>
      <c r="Z12" s="15">
        <v>0.24569987080541261</v>
      </c>
      <c r="AA12" s="15">
        <v>0.2235998708054126</v>
      </c>
      <c r="AB12" s="15">
        <v>0.2258998708054126</v>
      </c>
      <c r="AC12" s="15">
        <v>0.21819987080541259</v>
      </c>
      <c r="AD12" s="15">
        <v>0.24439987080541259</v>
      </c>
      <c r="AE12" s="15">
        <v>0.23839987080541258</v>
      </c>
      <c r="AF12" s="15">
        <v>0.23529987080541259</v>
      </c>
      <c r="AG12" s="15">
        <v>0.2228998708054126</v>
      </c>
      <c r="AH12" s="15">
        <v>0.23009987080541261</v>
      </c>
      <c r="AI12" s="15">
        <v>0.2276998708054126</v>
      </c>
      <c r="AJ12" s="15">
        <v>0.22379987080541261</v>
      </c>
      <c r="AK12" s="73"/>
      <c r="AL12" s="37" t="s">
        <v>120</v>
      </c>
      <c r="AM12" s="30">
        <v>0.12656345235685126</v>
      </c>
      <c r="AN12" s="30">
        <v>0.124475589826752</v>
      </c>
      <c r="AO12" s="30">
        <v>0.13404240743567375</v>
      </c>
      <c r="AP12" s="30">
        <v>0.13269959820316266</v>
      </c>
      <c r="AQ12" s="30">
        <v>0.12335714007949621</v>
      </c>
      <c r="AR12" s="30">
        <v>0.13076215415408682</v>
      </c>
      <c r="AS12" s="30">
        <v>0.12670071231015001</v>
      </c>
      <c r="AT12" s="30">
        <v>7.242980657540371E-2</v>
      </c>
      <c r="AU12" s="30">
        <v>0.13071705074823081</v>
      </c>
      <c r="AV12" s="30">
        <v>0.12720850419426025</v>
      </c>
      <c r="AW12" s="30">
        <v>0.12780744316799814</v>
      </c>
      <c r="AX12" s="30">
        <v>0.12565934868891057</v>
      </c>
      <c r="AY12" s="30">
        <v>9.2542153934378452E-2</v>
      </c>
      <c r="AZ12" s="30">
        <v>8.2977391698205727E-2</v>
      </c>
      <c r="BA12" s="30">
        <v>0.12406565117039513</v>
      </c>
      <c r="BB12" s="30">
        <v>0.12611670018573015</v>
      </c>
      <c r="BC12" s="30">
        <v>0.13423188215710735</v>
      </c>
      <c r="BD12" s="30">
        <v>0.13357883006164215</v>
      </c>
      <c r="BE12" s="30">
        <v>0.13209356136872422</v>
      </c>
      <c r="BF12" s="30">
        <v>0.13400368986377564</v>
      </c>
      <c r="BG12" s="30">
        <v>0.13428702192949413</v>
      </c>
      <c r="BH12" s="30">
        <v>0.13215137456150733</v>
      </c>
      <c r="BI12" s="30">
        <v>0.13539433147471752</v>
      </c>
      <c r="BJ12" s="30">
        <v>0.13031404158661813</v>
      </c>
      <c r="BK12" s="30">
        <v>0.12737899994294699</v>
      </c>
      <c r="BL12" s="30">
        <v>0.12930774595770375</v>
      </c>
      <c r="BM12" s="30">
        <v>0.12911442285355093</v>
      </c>
      <c r="BN12" s="30">
        <v>0.13243470055113429</v>
      </c>
      <c r="BO12" s="30">
        <v>0.12624705480164347</v>
      </c>
      <c r="BP12" s="30">
        <v>0.13091048742014819</v>
      </c>
      <c r="BQ12" s="30">
        <v>0.12668687865642439</v>
      </c>
      <c r="BR12" s="30">
        <v>0.13473668575922976</v>
      </c>
      <c r="BS12" s="30">
        <v>0.12892663190364353</v>
      </c>
      <c r="BT12" s="30">
        <v>0.12982425437935419</v>
      </c>
      <c r="BV12" s="37" t="s">
        <v>120</v>
      </c>
      <c r="BW12" t="s">
        <v>43</v>
      </c>
      <c r="BX12" t="s">
        <v>43</v>
      </c>
      <c r="BY12" t="s">
        <v>41</v>
      </c>
      <c r="BZ12" t="s">
        <v>30</v>
      </c>
      <c r="CA12" t="s">
        <v>35</v>
      </c>
      <c r="CB12" t="s">
        <v>43</v>
      </c>
      <c r="CC12" t="s">
        <v>24</v>
      </c>
      <c r="CD12" t="s">
        <v>43</v>
      </c>
      <c r="CE12" t="s">
        <v>42</v>
      </c>
      <c r="CF12" t="s">
        <v>35</v>
      </c>
      <c r="CG12" t="s">
        <v>30</v>
      </c>
      <c r="CH12" t="s">
        <v>41</v>
      </c>
      <c r="CI12" t="s">
        <v>30</v>
      </c>
      <c r="CJ12" t="s">
        <v>41</v>
      </c>
      <c r="CK12" t="s">
        <v>43</v>
      </c>
      <c r="CL12" t="s">
        <v>30</v>
      </c>
      <c r="CM12" t="s">
        <v>30</v>
      </c>
      <c r="CN12" t="s">
        <v>35</v>
      </c>
      <c r="CO12" t="s">
        <v>43</v>
      </c>
      <c r="CP12" t="s">
        <v>43</v>
      </c>
      <c r="CQ12" t="s">
        <v>25</v>
      </c>
      <c r="CR12" t="s">
        <v>42</v>
      </c>
      <c r="CS12" t="s">
        <v>24</v>
      </c>
      <c r="CT12" t="s">
        <v>30</v>
      </c>
      <c r="CU12" t="s">
        <v>42</v>
      </c>
      <c r="CV12" t="s">
        <v>30</v>
      </c>
      <c r="CW12" t="s">
        <v>43</v>
      </c>
      <c r="CX12" t="s">
        <v>25</v>
      </c>
      <c r="CY12" t="s">
        <v>25</v>
      </c>
      <c r="CZ12" t="s">
        <v>35</v>
      </c>
      <c r="DA12" t="s">
        <v>43</v>
      </c>
      <c r="DB12" t="s">
        <v>43</v>
      </c>
      <c r="DC12" t="s">
        <v>30</v>
      </c>
      <c r="DD12" t="s">
        <v>35</v>
      </c>
    </row>
    <row r="13" spans="1:108" x14ac:dyDescent="0.35">
      <c r="B13" s="37" t="s">
        <v>121</v>
      </c>
      <c r="C13" s="47">
        <v>5.1866343414365662E-2</v>
      </c>
      <c r="D13" s="15">
        <v>5.3666343414365665E-2</v>
      </c>
      <c r="E13" s="15">
        <v>4.6666343414365666E-2</v>
      </c>
      <c r="F13" s="15">
        <v>5.1466343414365665E-2</v>
      </c>
      <c r="G13" s="15">
        <v>3.6366343414365662E-2</v>
      </c>
      <c r="H13" s="15">
        <v>4.1966343414365663E-2</v>
      </c>
      <c r="I13" s="15">
        <v>4.2166343414365662E-2</v>
      </c>
      <c r="J13" s="15">
        <v>6.0466343414365659E-2</v>
      </c>
      <c r="K13" s="15">
        <v>5.736634341436566E-2</v>
      </c>
      <c r="L13" s="15">
        <v>5.0866343414365661E-2</v>
      </c>
      <c r="M13" s="15">
        <v>6.7366343414365662E-2</v>
      </c>
      <c r="N13" s="15">
        <v>4.986634341436566E-2</v>
      </c>
      <c r="O13" s="15">
        <v>6.6166343414365669E-2</v>
      </c>
      <c r="P13" s="15">
        <v>3.7866343414365664E-2</v>
      </c>
      <c r="Q13" s="15">
        <v>5.3766343414365661E-2</v>
      </c>
      <c r="R13" s="15">
        <v>3.6566343414365661E-2</v>
      </c>
      <c r="S13" s="15">
        <v>4.6866343414365665E-2</v>
      </c>
      <c r="T13" s="15">
        <v>6.6366343414365661E-2</v>
      </c>
      <c r="U13" s="15">
        <v>3.9266343414365662E-2</v>
      </c>
      <c r="V13" s="15">
        <v>6.776634341436566E-2</v>
      </c>
      <c r="W13" s="15">
        <v>6.076634341436566E-2</v>
      </c>
      <c r="X13" s="15">
        <v>6.5166343414365668E-2</v>
      </c>
      <c r="Y13" s="15">
        <v>4.526634341436566E-2</v>
      </c>
      <c r="Z13" s="15">
        <v>4.8866343414365659E-2</v>
      </c>
      <c r="AA13" s="15">
        <v>4.0366343414365666E-2</v>
      </c>
      <c r="AB13" s="15">
        <v>4.186634341436566E-2</v>
      </c>
      <c r="AC13" s="15">
        <v>5.1666343414365663E-2</v>
      </c>
      <c r="AD13" s="15">
        <v>6.3666343414365667E-2</v>
      </c>
      <c r="AE13" s="15">
        <v>6.2766343414365655E-2</v>
      </c>
      <c r="AF13" s="15">
        <v>5.6666343414365661E-2</v>
      </c>
      <c r="AG13" s="15">
        <v>6.8166343414365657E-2</v>
      </c>
      <c r="AH13" s="15">
        <v>5.5066343414365664E-2</v>
      </c>
      <c r="AI13" s="15">
        <v>4.4666343414365664E-2</v>
      </c>
      <c r="AJ13" s="15">
        <v>5.6766343414365664E-2</v>
      </c>
      <c r="AK13" s="73"/>
      <c r="AL13" s="37" t="s">
        <v>121</v>
      </c>
      <c r="AM13" s="30">
        <v>0.10752989351512129</v>
      </c>
      <c r="AN13" s="30">
        <v>0.10446112296273863</v>
      </c>
      <c r="AO13" s="30">
        <v>0.117998198564165</v>
      </c>
      <c r="AP13" s="30">
        <v>0.11759429403779377</v>
      </c>
      <c r="AQ13" s="30">
        <v>0.10031879379933324</v>
      </c>
      <c r="AR13" s="30">
        <v>0.11439218285370036</v>
      </c>
      <c r="AS13" s="30">
        <v>0.10648407911417695</v>
      </c>
      <c r="AT13" s="30">
        <v>4.8446419136429206E-2</v>
      </c>
      <c r="AU13" s="30">
        <v>0.11367557740254575</v>
      </c>
      <c r="AV13" s="30">
        <v>0.10982101991134513</v>
      </c>
      <c r="AW13" s="30">
        <v>0.10952388248853209</v>
      </c>
      <c r="AX13" s="30">
        <v>0.10352880517518767</v>
      </c>
      <c r="AY13" s="30">
        <v>6.807180658311375E-2</v>
      </c>
      <c r="AZ13" s="30">
        <v>5.6723495009293995E-2</v>
      </c>
      <c r="BA13" s="30">
        <v>0.1030197244899657</v>
      </c>
      <c r="BB13" s="30">
        <v>0.10708314134400018</v>
      </c>
      <c r="BC13" s="30">
        <v>0.11927763103339208</v>
      </c>
      <c r="BD13" s="30">
        <v>0.11737255847425965</v>
      </c>
      <c r="BE13" s="30">
        <v>0.11453044593143624</v>
      </c>
      <c r="BF13" s="30">
        <v>0.11827876074880991</v>
      </c>
      <c r="BG13" s="30">
        <v>0.1188750189039163</v>
      </c>
      <c r="BH13" s="30">
        <v>0.11561605001566246</v>
      </c>
      <c r="BI13" s="30">
        <v>0.11918805988733498</v>
      </c>
      <c r="BJ13" s="30">
        <v>0.11327256824093307</v>
      </c>
      <c r="BK13" s="30">
        <v>0.10963847929922182</v>
      </c>
      <c r="BL13" s="30">
        <v>0.11102418527823772</v>
      </c>
      <c r="BM13" s="30">
        <v>0.10969440566986563</v>
      </c>
      <c r="BN13" s="30">
        <v>0.11573235252502839</v>
      </c>
      <c r="BO13" s="30">
        <v>0.1072134959599135</v>
      </c>
      <c r="BP13" s="30">
        <v>0.11352300313723311</v>
      </c>
      <c r="BQ13" s="30">
        <v>0.1089463580126992</v>
      </c>
      <c r="BR13" s="30">
        <v>0.11836671445884328</v>
      </c>
      <c r="BS13" s="30">
        <v>0.11100691408169887</v>
      </c>
      <c r="BT13" s="30">
        <v>0.11295319576712597</v>
      </c>
      <c r="BV13" s="37" t="s">
        <v>121</v>
      </c>
      <c r="BW13" t="s">
        <v>41</v>
      </c>
      <c r="BX13" t="s">
        <v>25</v>
      </c>
      <c r="BY13" t="s">
        <v>30</v>
      </c>
      <c r="BZ13" t="s">
        <v>24</v>
      </c>
      <c r="CA13" t="s">
        <v>42</v>
      </c>
      <c r="CB13" t="s">
        <v>35</v>
      </c>
      <c r="CC13" t="s">
        <v>43</v>
      </c>
      <c r="CD13" t="s">
        <v>35</v>
      </c>
      <c r="CE13" t="s">
        <v>35</v>
      </c>
      <c r="CF13" t="s">
        <v>35</v>
      </c>
      <c r="CG13" t="s">
        <v>43</v>
      </c>
      <c r="CH13" t="s">
        <v>35</v>
      </c>
      <c r="CI13" t="s">
        <v>41</v>
      </c>
      <c r="CJ13" t="s">
        <v>35</v>
      </c>
      <c r="CK13" t="s">
        <v>41</v>
      </c>
      <c r="CL13" t="s">
        <v>42</v>
      </c>
      <c r="CM13" t="s">
        <v>35</v>
      </c>
      <c r="CN13" t="s">
        <v>25</v>
      </c>
      <c r="CO13" t="s">
        <v>25</v>
      </c>
      <c r="CP13" t="s">
        <v>30</v>
      </c>
      <c r="CQ13" t="s">
        <v>35</v>
      </c>
      <c r="CR13" t="s">
        <v>42</v>
      </c>
      <c r="CS13" t="s">
        <v>41</v>
      </c>
      <c r="CT13" t="s">
        <v>35</v>
      </c>
      <c r="CU13" t="s">
        <v>42</v>
      </c>
      <c r="CV13" t="s">
        <v>35</v>
      </c>
      <c r="CW13" t="s">
        <v>42</v>
      </c>
      <c r="CX13" t="s">
        <v>42</v>
      </c>
      <c r="CY13" t="s">
        <v>30</v>
      </c>
      <c r="CZ13" t="s">
        <v>42</v>
      </c>
      <c r="DA13" t="s">
        <v>30</v>
      </c>
      <c r="DB13" t="s">
        <v>43</v>
      </c>
      <c r="DC13" t="s">
        <v>42</v>
      </c>
      <c r="DD13" t="s">
        <v>41</v>
      </c>
    </row>
    <row r="14" spans="1:108" x14ac:dyDescent="0.35">
      <c r="B14" s="37" t="s">
        <v>122</v>
      </c>
      <c r="C14" s="47">
        <v>0.1929894989522877</v>
      </c>
      <c r="D14" s="15">
        <v>0.19238949895228771</v>
      </c>
      <c r="E14" s="15">
        <v>0.17768949895228769</v>
      </c>
      <c r="F14" s="15">
        <v>0.20478949895228771</v>
      </c>
      <c r="G14" s="15">
        <v>0.2060894989522877</v>
      </c>
      <c r="H14" s="15">
        <v>0.17928949895228771</v>
      </c>
      <c r="I14" s="15">
        <v>0.20288949895228769</v>
      </c>
      <c r="J14" s="15">
        <v>0.20238949895228769</v>
      </c>
      <c r="K14" s="15">
        <v>0.1803894989522877</v>
      </c>
      <c r="L14" s="15">
        <v>0.18388949895228771</v>
      </c>
      <c r="M14" s="15">
        <v>0.1841894989522877</v>
      </c>
      <c r="N14" s="15">
        <v>0.19118949895228771</v>
      </c>
      <c r="O14" s="15">
        <v>0.1995894989522877</v>
      </c>
      <c r="P14" s="15">
        <v>0.2010894989522877</v>
      </c>
      <c r="Q14" s="15">
        <v>0.17718949895228769</v>
      </c>
      <c r="R14" s="15">
        <v>0.18958949895228772</v>
      </c>
      <c r="S14" s="15">
        <v>0.18938949895228771</v>
      </c>
      <c r="T14" s="15">
        <v>0.20188949895228769</v>
      </c>
      <c r="U14" s="15">
        <v>0.1939894989522877</v>
      </c>
      <c r="V14" s="15">
        <v>0.20898949895228769</v>
      </c>
      <c r="W14" s="15">
        <v>0.19158949895228769</v>
      </c>
      <c r="X14" s="15">
        <v>0.19338949895228771</v>
      </c>
      <c r="Y14" s="15">
        <v>0.18608949895228771</v>
      </c>
      <c r="Z14" s="15">
        <v>0.19558949895228769</v>
      </c>
      <c r="AA14" s="15">
        <v>0.1904894989522877</v>
      </c>
      <c r="AB14" s="15">
        <v>0.17778949895228771</v>
      </c>
      <c r="AC14" s="15">
        <v>0.19108949895228769</v>
      </c>
      <c r="AD14" s="15">
        <v>0.19318949895228771</v>
      </c>
      <c r="AE14" s="15">
        <v>0.18708949895228771</v>
      </c>
      <c r="AF14" s="15">
        <v>0.18358949895228771</v>
      </c>
      <c r="AG14" s="15">
        <v>0.1871894989522877</v>
      </c>
      <c r="AH14" s="15">
        <v>0.1985894989522877</v>
      </c>
      <c r="AI14" s="15">
        <v>0.1912894989522877</v>
      </c>
      <c r="AJ14" s="15">
        <v>0.1919894989522877</v>
      </c>
      <c r="AK14" s="73"/>
      <c r="AL14" s="37" t="s">
        <v>122</v>
      </c>
      <c r="AM14" s="30">
        <v>9.1631134823585841E-2</v>
      </c>
      <c r="AN14" s="30">
        <v>8.7743010409187458E-2</v>
      </c>
      <c r="AO14" s="30">
        <v>0.10459644814188164</v>
      </c>
      <c r="AP14" s="30">
        <v>0.10497681204798755</v>
      </c>
      <c r="AQ14" s="30">
        <v>8.1074830481380575E-2</v>
      </c>
      <c r="AR14" s="30">
        <v>0.10071832261261952</v>
      </c>
      <c r="AS14" s="30">
        <v>8.9597096736852497E-2</v>
      </c>
      <c r="AT14" s="30">
        <v>2.8413061598380897E-2</v>
      </c>
      <c r="AU14" s="30">
        <v>9.9440810550785783E-2</v>
      </c>
      <c r="AV14" s="30">
        <v>9.5297229633047043E-2</v>
      </c>
      <c r="AW14" s="30">
        <v>9.4251598325490321E-2</v>
      </c>
      <c r="AX14" s="30">
        <v>8.5043130795375996E-2</v>
      </c>
      <c r="AY14" s="30">
        <v>4.763169073978317E-2</v>
      </c>
      <c r="AZ14" s="30">
        <v>3.4793577875017787E-2</v>
      </c>
      <c r="BA14" s="30">
        <v>8.5440032089073428E-2</v>
      </c>
      <c r="BB14" s="30">
        <v>9.1184382652464729E-2</v>
      </c>
      <c r="BC14" s="30">
        <v>0.10678632386348393</v>
      </c>
      <c r="BD14" s="30">
        <v>0.10383543683558956</v>
      </c>
      <c r="BE14" s="30">
        <v>9.985995070083209E-2</v>
      </c>
      <c r="BF14" s="30">
        <v>0.10514370515992999</v>
      </c>
      <c r="BG14" s="30">
        <v>0.10600135092125507</v>
      </c>
      <c r="BH14" s="30">
        <v>0.10180406997416665</v>
      </c>
      <c r="BI14" s="30">
        <v>0.10565093824866489</v>
      </c>
      <c r="BJ14" s="30">
        <v>9.9037801389173105E-2</v>
      </c>
      <c r="BK14" s="30">
        <v>9.4819797248106547E-2</v>
      </c>
      <c r="BL14" s="30">
        <v>9.5751901115195964E-2</v>
      </c>
      <c r="BM14" s="30">
        <v>9.3472837777267462E-2</v>
      </c>
      <c r="BN14" s="30">
        <v>0.10178085753361847</v>
      </c>
      <c r="BO14" s="30">
        <v>9.1314737268378049E-2</v>
      </c>
      <c r="BP14" s="30">
        <v>9.8999212858935051E-2</v>
      </c>
      <c r="BQ14" s="30">
        <v>9.4127675961583904E-2</v>
      </c>
      <c r="BR14" s="30">
        <v>0.10469285421776242</v>
      </c>
      <c r="BS14" s="30">
        <v>9.6038548373501634E-2</v>
      </c>
      <c r="BT14" s="30">
        <v>9.8860776583883619E-2</v>
      </c>
      <c r="BV14" s="37" t="s">
        <v>122</v>
      </c>
      <c r="BW14" t="s">
        <v>43</v>
      </c>
      <c r="BX14" t="s">
        <v>30</v>
      </c>
      <c r="BY14" t="s">
        <v>25</v>
      </c>
      <c r="BZ14" t="s">
        <v>25</v>
      </c>
      <c r="CA14" t="s">
        <v>30</v>
      </c>
      <c r="CB14" t="s">
        <v>42</v>
      </c>
      <c r="CC14" t="s">
        <v>42</v>
      </c>
      <c r="CD14" t="s">
        <v>42</v>
      </c>
      <c r="CE14" t="s">
        <v>30</v>
      </c>
      <c r="CF14" t="s">
        <v>42</v>
      </c>
      <c r="CG14" t="s">
        <v>25</v>
      </c>
      <c r="CH14" t="s">
        <v>42</v>
      </c>
      <c r="CI14" t="s">
        <v>42</v>
      </c>
      <c r="CJ14" t="s">
        <v>35</v>
      </c>
      <c r="CK14" t="s">
        <v>41</v>
      </c>
      <c r="CL14" t="s">
        <v>41</v>
      </c>
      <c r="CM14" t="s">
        <v>42</v>
      </c>
      <c r="CN14" t="s">
        <v>24</v>
      </c>
      <c r="CO14" t="s">
        <v>24</v>
      </c>
      <c r="CP14" t="s">
        <v>35</v>
      </c>
      <c r="CQ14" t="s">
        <v>24</v>
      </c>
      <c r="CR14" t="s">
        <v>25</v>
      </c>
      <c r="CS14" t="s">
        <v>25</v>
      </c>
      <c r="CT14" t="s">
        <v>42</v>
      </c>
      <c r="CU14" t="s">
        <v>43</v>
      </c>
      <c r="CV14" t="s">
        <v>41</v>
      </c>
      <c r="CW14" t="s">
        <v>30</v>
      </c>
      <c r="CX14" t="s">
        <v>41</v>
      </c>
      <c r="CY14" t="s">
        <v>41</v>
      </c>
      <c r="CZ14" t="s">
        <v>25</v>
      </c>
      <c r="DA14" t="s">
        <v>35</v>
      </c>
      <c r="DB14" t="s">
        <v>30</v>
      </c>
      <c r="DC14" t="s">
        <v>30</v>
      </c>
      <c r="DD14" t="s">
        <v>35</v>
      </c>
    </row>
    <row r="15" spans="1:108" x14ac:dyDescent="0.35">
      <c r="B15" s="37" t="s">
        <v>123</v>
      </c>
      <c r="C15" s="47">
        <v>6.5035020106904484E-2</v>
      </c>
      <c r="D15" s="15">
        <v>7.8035020106904482E-2</v>
      </c>
      <c r="E15" s="15">
        <v>7.0535020106904489E-2</v>
      </c>
      <c r="F15" s="15">
        <v>6.2335020106904483E-2</v>
      </c>
      <c r="G15" s="15">
        <v>7.0335020106904483E-2</v>
      </c>
      <c r="H15" s="15">
        <v>4.9035020106904484E-2</v>
      </c>
      <c r="I15" s="15">
        <v>7.7235020106904487E-2</v>
      </c>
      <c r="J15" s="15">
        <v>6.1035020106904481E-2</v>
      </c>
      <c r="K15" s="15">
        <v>8.1335020106904479E-2</v>
      </c>
      <c r="L15" s="15">
        <v>5.2735020106904486E-2</v>
      </c>
      <c r="M15" s="15">
        <v>4.9235020106904483E-2</v>
      </c>
      <c r="N15" s="15">
        <v>6.1835020106904483E-2</v>
      </c>
      <c r="O15" s="15">
        <v>7.6435020106904478E-2</v>
      </c>
      <c r="P15" s="15">
        <v>7.1635020106904479E-2</v>
      </c>
      <c r="Q15" s="15">
        <v>5.1535020106904486E-2</v>
      </c>
      <c r="R15" s="15">
        <v>6.7335020106904481E-2</v>
      </c>
      <c r="S15" s="15">
        <v>8.0635020106904487E-2</v>
      </c>
      <c r="T15" s="15">
        <v>8.1335020106904479E-2</v>
      </c>
      <c r="U15" s="15">
        <v>6.7535020106904486E-2</v>
      </c>
      <c r="V15" s="15">
        <v>6.343502010690448E-2</v>
      </c>
      <c r="W15" s="15">
        <v>6.7535020106904486E-2</v>
      </c>
      <c r="X15" s="15">
        <v>8.183502010690448E-2</v>
      </c>
      <c r="Y15" s="15">
        <v>5.1835020106904481E-2</v>
      </c>
      <c r="Z15" s="15">
        <v>7.0735020106904481E-2</v>
      </c>
      <c r="AA15" s="15">
        <v>6.6435020106904483E-2</v>
      </c>
      <c r="AB15" s="15">
        <v>7.6735020106904486E-2</v>
      </c>
      <c r="AC15" s="15">
        <v>7.6935020106904478E-2</v>
      </c>
      <c r="AD15" s="15">
        <v>6.7635020106904489E-2</v>
      </c>
      <c r="AE15" s="15">
        <v>7.1735020106904482E-2</v>
      </c>
      <c r="AF15" s="15">
        <v>5.763502010690448E-2</v>
      </c>
      <c r="AG15" s="15">
        <v>8.1935020106904483E-2</v>
      </c>
      <c r="AH15" s="15">
        <v>6.4435020106904481E-2</v>
      </c>
      <c r="AI15" s="15">
        <v>7.3635020106904481E-2</v>
      </c>
      <c r="AJ15" s="15">
        <v>7.7935020106904479E-2</v>
      </c>
      <c r="AK15" s="73"/>
      <c r="AL15" s="37" t="s">
        <v>123</v>
      </c>
      <c r="AM15" s="30">
        <v>8.2793053012555365E-2</v>
      </c>
      <c r="AN15" s="30">
        <v>7.8449451752122826E-2</v>
      </c>
      <c r="AO15" s="30">
        <v>9.7146447236703196E-2</v>
      </c>
      <c r="AP15" s="30">
        <v>9.7962784082742588E-2</v>
      </c>
      <c r="AQ15" s="30">
        <v>7.0377157444611579E-2</v>
      </c>
      <c r="AR15" s="30">
        <v>9.3117056512039567E-2</v>
      </c>
      <c r="AS15" s="30">
        <v>8.0209663749918517E-2</v>
      </c>
      <c r="AT15" s="30">
        <v>2.2377581482692803E-2</v>
      </c>
      <c r="AU15" s="30">
        <v>9.1527737811102045E-2</v>
      </c>
      <c r="AV15" s="30">
        <v>8.7223489463999243E-2</v>
      </c>
      <c r="AW15" s="30">
        <v>8.5761772201760872E-2</v>
      </c>
      <c r="AX15" s="30">
        <v>7.4766988759971162E-2</v>
      </c>
      <c r="AY15" s="30">
        <v>3.6269079384062958E-2</v>
      </c>
      <c r="AZ15" s="30">
        <v>2.2602789556113306E-2</v>
      </c>
      <c r="BA15" s="30">
        <v>7.5667523262044289E-2</v>
      </c>
      <c r="BB15" s="30">
        <v>8.2346300841434253E-2</v>
      </c>
      <c r="BC15" s="30">
        <v>9.9842436177891375E-2</v>
      </c>
      <c r="BD15" s="30">
        <v>9.6310183396015409E-2</v>
      </c>
      <c r="BE15" s="30">
        <v>9.170465760078382E-2</v>
      </c>
      <c r="BF15" s="30">
        <v>9.7841959272764609E-2</v>
      </c>
      <c r="BG15" s="30">
        <v>9.8844909777244264E-2</v>
      </c>
      <c r="BH15" s="30">
        <v>9.4126023407924253E-2</v>
      </c>
      <c r="BI15" s="30">
        <v>9.8125684809090744E-2</v>
      </c>
      <c r="BJ15" s="30">
        <v>9.1124728649489367E-2</v>
      </c>
      <c r="BK15" s="30">
        <v>8.6582127450077984E-2</v>
      </c>
      <c r="BL15" s="30">
        <v>8.7262074991466501E-2</v>
      </c>
      <c r="BM15" s="30">
        <v>8.4455307105876301E-2</v>
      </c>
      <c r="BN15" s="30">
        <v>9.4025254941454403E-2</v>
      </c>
      <c r="BO15" s="30">
        <v>8.2476655457347572E-2</v>
      </c>
      <c r="BP15" s="30">
        <v>9.0925472689887266E-2</v>
      </c>
      <c r="BQ15" s="30">
        <v>8.5890006163555355E-2</v>
      </c>
      <c r="BR15" s="30">
        <v>9.7091588117182479E-2</v>
      </c>
      <c r="BS15" s="30">
        <v>8.7717669789634398E-2</v>
      </c>
      <c r="BT15" s="30">
        <v>9.1026834571596715E-2</v>
      </c>
      <c r="BV15" s="37" t="s">
        <v>123</v>
      </c>
      <c r="BW15" t="s">
        <v>30</v>
      </c>
      <c r="BX15" t="s">
        <v>42</v>
      </c>
      <c r="BY15" t="s">
        <v>41</v>
      </c>
      <c r="BZ15" t="s">
        <v>24</v>
      </c>
      <c r="CA15" t="s">
        <v>42</v>
      </c>
      <c r="CB15" t="s">
        <v>35</v>
      </c>
      <c r="CC15" t="s">
        <v>41</v>
      </c>
      <c r="CD15" t="s">
        <v>35</v>
      </c>
      <c r="CE15" t="s">
        <v>30</v>
      </c>
      <c r="CF15" t="s">
        <v>35</v>
      </c>
      <c r="CG15" t="s">
        <v>41</v>
      </c>
      <c r="CH15" t="s">
        <v>42</v>
      </c>
      <c r="CI15" t="s">
        <v>30</v>
      </c>
      <c r="CJ15" t="s">
        <v>43</v>
      </c>
      <c r="CK15" t="s">
        <v>24</v>
      </c>
      <c r="CL15" t="s">
        <v>25</v>
      </c>
      <c r="CM15" t="s">
        <v>42</v>
      </c>
      <c r="CN15" t="s">
        <v>35</v>
      </c>
      <c r="CO15" t="s">
        <v>41</v>
      </c>
      <c r="CP15" t="s">
        <v>43</v>
      </c>
      <c r="CQ15" t="s">
        <v>24</v>
      </c>
      <c r="CR15" t="s">
        <v>30</v>
      </c>
      <c r="CS15" t="s">
        <v>41</v>
      </c>
      <c r="CT15" t="s">
        <v>43</v>
      </c>
      <c r="CU15" t="s">
        <v>25</v>
      </c>
      <c r="CV15" t="s">
        <v>42</v>
      </c>
      <c r="CW15" t="s">
        <v>42</v>
      </c>
      <c r="CX15" t="s">
        <v>41</v>
      </c>
      <c r="CY15" t="s">
        <v>24</v>
      </c>
      <c r="CZ15" t="s">
        <v>41</v>
      </c>
      <c r="DA15" t="s">
        <v>35</v>
      </c>
      <c r="DB15" t="s">
        <v>42</v>
      </c>
      <c r="DC15" t="s">
        <v>24</v>
      </c>
      <c r="DD15" t="s">
        <v>25</v>
      </c>
    </row>
    <row r="16" spans="1:108" x14ac:dyDescent="0.35">
      <c r="B16" s="37" t="s">
        <v>124</v>
      </c>
      <c r="C16" s="47">
        <v>0.10332526531743377</v>
      </c>
      <c r="D16" s="15">
        <v>0.10752526531743377</v>
      </c>
      <c r="E16" s="15">
        <v>0.10972526531743378</v>
      </c>
      <c r="F16" s="15">
        <v>8.8925265317433777E-2</v>
      </c>
      <c r="G16" s="15">
        <v>8.8525265317433766E-2</v>
      </c>
      <c r="H16" s="15">
        <v>9.402526531743377E-2</v>
      </c>
      <c r="I16" s="15">
        <v>9.4325265317433779E-2</v>
      </c>
      <c r="J16" s="15">
        <v>0.11962526531743377</v>
      </c>
      <c r="K16" s="15">
        <v>0.10132526531743377</v>
      </c>
      <c r="L16" s="15">
        <v>0.10122526531743377</v>
      </c>
      <c r="M16" s="15">
        <v>9.9625265317433778E-2</v>
      </c>
      <c r="N16" s="15">
        <v>9.7525265317433774E-2</v>
      </c>
      <c r="O16" s="15">
        <v>0.11882526531743377</v>
      </c>
      <c r="P16" s="15">
        <v>9.6225265317433778E-2</v>
      </c>
      <c r="Q16" s="15">
        <v>8.9425265317433777E-2</v>
      </c>
      <c r="R16" s="15">
        <v>0.10452526531743378</v>
      </c>
      <c r="S16" s="15">
        <v>0.10302526531743378</v>
      </c>
      <c r="T16" s="15">
        <v>0.11382526531743377</v>
      </c>
      <c r="U16" s="15">
        <v>0.11862526531743377</v>
      </c>
      <c r="V16" s="15">
        <v>9.9125265317433778E-2</v>
      </c>
      <c r="W16" s="15">
        <v>0.11202526531743377</v>
      </c>
      <c r="X16" s="15">
        <v>0.11732526531743377</v>
      </c>
      <c r="Y16" s="15">
        <v>9.822526531743378E-2</v>
      </c>
      <c r="Z16" s="15">
        <v>9.6825265317433767E-2</v>
      </c>
      <c r="AA16" s="15">
        <v>0.10352526531743378</v>
      </c>
      <c r="AB16" s="15">
        <v>0.10782526531743378</v>
      </c>
      <c r="AC16" s="15">
        <v>8.9825265317433775E-2</v>
      </c>
      <c r="AD16" s="15">
        <v>0.10282526531743377</v>
      </c>
      <c r="AE16" s="15">
        <v>9.9225265317433767E-2</v>
      </c>
      <c r="AF16" s="15">
        <v>0.10552526531743377</v>
      </c>
      <c r="AG16" s="15">
        <v>9.0825265317433776E-2</v>
      </c>
      <c r="AH16" s="15">
        <v>9.4425265317433768E-2</v>
      </c>
      <c r="AI16" s="15">
        <v>9.3625265317433773E-2</v>
      </c>
      <c r="AJ16" s="15">
        <v>0.10762526531743377</v>
      </c>
      <c r="AK16" s="73"/>
      <c r="AL16" s="37" t="s">
        <v>124</v>
      </c>
      <c r="AM16" s="30">
        <v>0.11752599107496886</v>
      </c>
      <c r="AN16" s="30">
        <v>0.11497237653568473</v>
      </c>
      <c r="AO16" s="30">
        <v>0.12642434096264021</v>
      </c>
      <c r="AP16" s="30">
        <v>0.12552733984198433</v>
      </c>
      <c r="AQ16" s="30">
        <v>0.11241813680444455</v>
      </c>
      <c r="AR16" s="30">
        <v>0.12298941007385666</v>
      </c>
      <c r="AS16" s="30">
        <v>0.11710150696563762</v>
      </c>
      <c r="AT16" s="30">
        <v>6.1042081495167683E-2</v>
      </c>
      <c r="AU16" s="30">
        <v>0.12262546594117948</v>
      </c>
      <c r="AV16" s="30">
        <v>0.11895262743979501</v>
      </c>
      <c r="AW16" s="30">
        <v>0.11912609392009239</v>
      </c>
      <c r="AX16" s="30">
        <v>0.11515138578951903</v>
      </c>
      <c r="AY16" s="30">
        <v>8.0923211907813763E-2</v>
      </c>
      <c r="AZ16" s="30">
        <v>7.0511589753464693E-2</v>
      </c>
      <c r="BA16" s="30">
        <v>0.11407268300835545</v>
      </c>
      <c r="BB16" s="30">
        <v>0.11707923890384775</v>
      </c>
      <c r="BC16" s="30">
        <v>0.12713134637954068</v>
      </c>
      <c r="BD16" s="30">
        <v>0.1258838134222143</v>
      </c>
      <c r="BE16" s="30">
        <v>0.12375429191976942</v>
      </c>
      <c r="BF16" s="30">
        <v>0.12653722291355546</v>
      </c>
      <c r="BG16" s="30">
        <v>0.12696913767158347</v>
      </c>
      <c r="BH16" s="30">
        <v>0.1243001179148102</v>
      </c>
      <c r="BI16" s="30">
        <v>0.12769931483528968</v>
      </c>
      <c r="BJ16" s="30">
        <v>0.12222245677956679</v>
      </c>
      <c r="BK16" s="30">
        <v>0.11895549544905334</v>
      </c>
      <c r="BL16" s="30">
        <v>0.12062639670979804</v>
      </c>
      <c r="BM16" s="30">
        <v>0.11989346450044165</v>
      </c>
      <c r="BN16" s="30">
        <v>0.12450413828174331</v>
      </c>
      <c r="BO16" s="30">
        <v>0.11720959351976107</v>
      </c>
      <c r="BP16" s="30">
        <v>0.12265461066568305</v>
      </c>
      <c r="BQ16" s="30">
        <v>0.11826337416253073</v>
      </c>
      <c r="BR16" s="30">
        <v>0.12696394167899958</v>
      </c>
      <c r="BS16" s="30">
        <v>0.12041804150577112</v>
      </c>
      <c r="BT16" s="30">
        <v>0.12181358542037338</v>
      </c>
      <c r="BV16" s="37" t="s">
        <v>124</v>
      </c>
      <c r="BW16" t="s">
        <v>25</v>
      </c>
      <c r="BX16" t="s">
        <v>41</v>
      </c>
      <c r="BY16" t="s">
        <v>30</v>
      </c>
      <c r="BZ16" t="s">
        <v>25</v>
      </c>
      <c r="CA16" t="s">
        <v>41</v>
      </c>
      <c r="CB16" t="s">
        <v>35</v>
      </c>
      <c r="CC16" t="s">
        <v>43</v>
      </c>
      <c r="CD16" t="s">
        <v>30</v>
      </c>
      <c r="CE16" t="s">
        <v>25</v>
      </c>
      <c r="CF16" t="s">
        <v>41</v>
      </c>
      <c r="CG16" t="s">
        <v>41</v>
      </c>
      <c r="CH16" t="s">
        <v>24</v>
      </c>
      <c r="CI16" t="s">
        <v>25</v>
      </c>
      <c r="CJ16" t="s">
        <v>43</v>
      </c>
      <c r="CK16" t="s">
        <v>30</v>
      </c>
      <c r="CL16" t="s">
        <v>41</v>
      </c>
      <c r="CM16" t="s">
        <v>24</v>
      </c>
      <c r="CN16" t="s">
        <v>43</v>
      </c>
      <c r="CO16" t="s">
        <v>30</v>
      </c>
      <c r="CP16" t="s">
        <v>25</v>
      </c>
      <c r="CQ16" t="s">
        <v>35</v>
      </c>
      <c r="CR16" t="s">
        <v>25</v>
      </c>
      <c r="CS16" t="s">
        <v>30</v>
      </c>
      <c r="CT16" t="s">
        <v>41</v>
      </c>
      <c r="CU16" t="s">
        <v>25</v>
      </c>
      <c r="CV16" t="s">
        <v>43</v>
      </c>
      <c r="CW16" t="s">
        <v>25</v>
      </c>
      <c r="CX16" t="s">
        <v>25</v>
      </c>
      <c r="CY16" t="s">
        <v>35</v>
      </c>
      <c r="CZ16" t="s">
        <v>41</v>
      </c>
      <c r="DA16" t="s">
        <v>30</v>
      </c>
      <c r="DB16" t="s">
        <v>35</v>
      </c>
      <c r="DC16" t="s">
        <v>25</v>
      </c>
      <c r="DD16" t="s">
        <v>43</v>
      </c>
    </row>
    <row r="17" spans="1:108" hidden="1" x14ac:dyDescent="0.35">
      <c r="B17" s="41" t="s">
        <v>68</v>
      </c>
      <c r="C17" s="46">
        <v>0.17226104631856468</v>
      </c>
      <c r="D17" s="15">
        <v>0.17346104631856468</v>
      </c>
      <c r="E17" s="15">
        <v>0.16956104631856467</v>
      </c>
      <c r="F17" s="15">
        <v>0.18166104631856467</v>
      </c>
      <c r="G17" s="15">
        <v>0.16406104631856469</v>
      </c>
      <c r="H17" s="15">
        <v>0.1707610463185647</v>
      </c>
      <c r="I17" s="15">
        <v>0.1851610463185647</v>
      </c>
      <c r="J17" s="15">
        <v>0.1672610463185647</v>
      </c>
      <c r="K17" s="15">
        <v>0.16986104631856469</v>
      </c>
      <c r="L17" s="15">
        <v>0.18606104631856468</v>
      </c>
      <c r="M17" s="15">
        <v>0.16886104631856469</v>
      </c>
      <c r="N17" s="15">
        <v>0.1816610463185647</v>
      </c>
      <c r="O17" s="15">
        <v>0.1700610463185647</v>
      </c>
      <c r="P17" s="15">
        <v>0.1760610463185647</v>
      </c>
      <c r="Q17" s="15">
        <v>0.18506104631856468</v>
      </c>
      <c r="R17" s="15">
        <v>0.17106104631856467</v>
      </c>
      <c r="S17" s="15">
        <v>0.1778610463185647</v>
      </c>
      <c r="T17" s="15">
        <v>0.17626104631856471</v>
      </c>
      <c r="U17" s="15">
        <v>0.1609610463185647</v>
      </c>
      <c r="V17" s="15">
        <v>0.17396104631856468</v>
      </c>
      <c r="W17" s="15">
        <v>0.16536104631856469</v>
      </c>
      <c r="X17" s="15">
        <v>0.1798610463185647</v>
      </c>
      <c r="Y17" s="15">
        <v>0.17166104631856469</v>
      </c>
      <c r="Z17" s="15">
        <v>0.15496104631856469</v>
      </c>
      <c r="AA17" s="15">
        <v>0.18276104631856468</v>
      </c>
      <c r="AB17" s="15">
        <v>0.15786104631856468</v>
      </c>
      <c r="AC17" s="15">
        <v>0.16236104631856471</v>
      </c>
      <c r="AD17" s="15">
        <v>0.1624610463185647</v>
      </c>
      <c r="AE17" s="15">
        <v>0.1838610463185647</v>
      </c>
      <c r="AF17" s="15">
        <v>0.1861610463185647</v>
      </c>
      <c r="AG17" s="15">
        <v>0.18676104631856469</v>
      </c>
      <c r="AH17" s="15">
        <v>0.16956104631856467</v>
      </c>
      <c r="AI17" s="15">
        <v>0.16226104631856469</v>
      </c>
      <c r="AJ17" s="15">
        <v>0.1788610463185647</v>
      </c>
      <c r="AK17" s="74"/>
      <c r="AL17" s="41" t="s">
        <v>68</v>
      </c>
      <c r="AM17" s="48">
        <f>SUMPRODUCT(AM18:AM22,C18:C22)</f>
        <v>0.12570370717415033</v>
      </c>
      <c r="AN17" s="48">
        <f>((((((((((((((SUMPRODUCT(AN18:AN22,D18:D22))*0.99)*0.99)*0.99)*0.99)*0.99)*0.99)*0.99)*0.99)*0.99)*0.99)*0.99)*0.99)*0.99)*0.99</f>
        <v>0.10716311138525926</v>
      </c>
      <c r="AO17" s="48">
        <f>((((((((((SUMPRODUCT(AO18:AO22,E18:E22))*0.99)*0.99)*0.99)*0.99)*0.99)*0.99)/0.99)/0.99)/0.99)/0.99</f>
        <v>0.13057581496272658</v>
      </c>
      <c r="AP17" s="48">
        <f>((((((((((((((((SUMPRODUCT(AP18:AP22,F18:F22))*0.99)*0.99)*0.99)*0.99)*0.99)*0.99)*0.99)*0.99)*0.99)/0.99)/0.99)/0.99)/0.99)*0.99)*0.99)*0.99</f>
        <v>0.12179526794386428</v>
      </c>
      <c r="AQ17" s="48">
        <f t="shared" ref="AQ17:BR17" si="41">SUMPRODUCT(AQ18:AQ22,G18:G22)</f>
        <v>0.12315276705100583</v>
      </c>
      <c r="AR17" s="48">
        <f t="shared" si="41"/>
        <v>0.12991998550450151</v>
      </c>
      <c r="AS17" s="48">
        <f>((((((((SUMPRODUCT(AS18:AS22,I18:I22))*0.99)*0.99)*0.99)*0.99)/0.99)/0.99)/0.99)*0.99</f>
        <v>0.12341688048227017</v>
      </c>
      <c r="AT17" s="48">
        <f>(((((((((((((((((((((SUMPRODUCT(AT18:AT22,J18:J22))/0.99)/0.99)/0.99)/0.99)/0.99)/0.99)/0.99)/0.99)/0.99)/0.99)/0.99)/0.99)/0.99)/0.99)/0.99)/0.99)/0.99)/0.99)/0.99)/0.99)/0.99</f>
        <v>8.9175118959768165E-2</v>
      </c>
      <c r="AU17" s="48">
        <f>((((SUMPRODUCT(AU18:AU22,K18:K22))/0.99)/0.99)/0.99)/0.99</f>
        <v>0.13565184043430722</v>
      </c>
      <c r="AV17" s="48">
        <f>((((((SUMPRODUCT(AV18:AV22,L18:L22))/0.99)/0.99)/0.99)/0.99)/0.99)/0.99</f>
        <v>0.13359596773421717</v>
      </c>
      <c r="AW17" s="48">
        <f>(((((((((((SUMPRODUCT(AW18:AW22,M18:M22))/0.99)/0.99)/0.99)/0.99)/0.99)/0.99)/0.99)/0.99)/0.99)/0.99)/0.99</f>
        <v>0.14205170438786505</v>
      </c>
      <c r="AX17" s="48">
        <f>((((((((((((((SUMPRODUCT(AX18:AX22,N18:N22))*0.99)*0.99)*0.99)*0.99)*0.99)*0.99)*0.99)*0.99)/0.99)/0.99)/0.99)/0.99)/0.99)*0.99</f>
        <v>0.11961424225655259</v>
      </c>
      <c r="AY17" s="48">
        <f>((((((((((SUMPRODUCT(AY18:AY22,O18:O22))/0.99)/0.99)/0.99)/0.99)/0.99)/0.99)/0.99)/0.99)*0.99)*0.99</f>
        <v>9.70954225533813E-2</v>
      </c>
      <c r="AZ17" s="48">
        <f>(((((((((((((SUMPRODUCT(AZ18:AZ22,P18:P22))/0.99)/0.99)/0.99)/0.99)/0.99)/0.99)/0.99)/0.99)/0.99)/0.99)/0.99)/0.99)/0.99</f>
        <v>9.2920255443285985E-2</v>
      </c>
      <c r="BA17" s="48">
        <f>(((((((((SUMPRODUCT(BA18:BA22,Q18:Q22))*0.99)*0.99)*0.99)*0.99)*0.99)*0.99)*0.99)*0.99)*0.99</f>
        <v>0.11302042930365835</v>
      </c>
      <c r="BB17" s="48">
        <f t="shared" si="41"/>
        <v>0.12489439536684969</v>
      </c>
      <c r="BC17" s="48">
        <f>(((((((((((((((((SUMPRODUCT(BC18:BC22,S18:S22))*0.99)*0.99)*0.99)*0.99)*0.99)*0.99)*0.99)*0.99)*0.99)*0.99)/0.99)/0.99)/0.99)/0.99)/0.99)/0.99)/0.99</f>
        <v>0.13003986980281226</v>
      </c>
      <c r="BD17" s="48">
        <f>(((((((((SUMPRODUCT(BD18:BD22,T18:T22))*0.99)/0.99)/0.99)/0.99)/0.99)/0.99)/0.99)/0.99)*0.99</f>
        <v>0.13948824027235251</v>
      </c>
      <c r="BE17" s="48">
        <f>(((((((SUMPRODUCT(BE18:BE22,U18:U22))/0.99)/0.99)/0.99)/0.99)/0.99)/0.99)/0.99</f>
        <v>0.14122289703529187</v>
      </c>
      <c r="BF17" s="48">
        <f>(((((((((SUMPRODUCT(BF18:BF22,V18:V22))/0.99)/0.99)/0.99)/0.99)/0.99)/0.99)*0.99)*0.99)*0.99</f>
        <v>0.13761875422863473</v>
      </c>
      <c r="BG17" s="48">
        <f>(((SUMPRODUCT(BG18:BG22,W18:W22))/0.99)/0.99)*0.99</f>
        <v>0.13458588311622469</v>
      </c>
      <c r="BH17" s="48">
        <f>(((((SUMPRODUCT(BH18:BH22,X18:X22))/0.99)/0.99)/0.99)*0.99)*0.99</f>
        <v>0.13262754977811936</v>
      </c>
      <c r="BI17" s="48">
        <f>(((((SUMPRODUCT(BI18:BI22,Y18:Y22))/0.99)/0.99)/0.99)/0.99)/0.99</f>
        <v>0.14184823212954742</v>
      </c>
      <c r="BJ17" s="48">
        <f>(((((((((((SUMPRODUCT(BJ18:BJ22,Z18:Z22))*0.99)*0.99)*0.99)*0.99)*0.99)*0.99)*0.99)*0.99)*0.99)*0.99)*0.99</f>
        <v>0.11602706445270218</v>
      </c>
      <c r="BK17" s="48">
        <f>((((((((SUMPRODUCT(BK18:BK22,AA18:AA22))/0.99)/0.99)/0.99)/0.99)/0.99)/0.99)/0.99)/0.99</f>
        <v>0.13721227319669013</v>
      </c>
      <c r="BL17" s="48">
        <f>(((((((((((SUMPRODUCT(BL18:BL22,AB18:AB22))/0.99)/0.99)/0.99)/0.99)/0.99)/0.99)/0.99)/0.99)/0.99)/0.99)/0.99</f>
        <v>0.14327006642194851</v>
      </c>
      <c r="BM17" s="48">
        <f>((SUMPRODUCT(BM18:BM22,AC18:AC22))/0.99)/0.99</f>
        <v>0.13069205793001959</v>
      </c>
      <c r="BN17" s="48">
        <f>((SUMPRODUCT(BN18:BN22,AD18:AD22))/0.99)/0.99</f>
        <v>0.13455161511219926</v>
      </c>
      <c r="BO17" s="48">
        <f t="shared" si="41"/>
        <v>0.12593746502555794</v>
      </c>
      <c r="BP17" s="48">
        <f>((((((((((((SUMPRODUCT(BP18:BP22,AF18:AF22))/0.99)/0.99)/0.99)/0.99)/0.99)/0.99)/0.99)/0.99)/0.99)*0.99)*0.99)*0.99</f>
        <v>0.13777641307873553</v>
      </c>
      <c r="BQ17" s="48">
        <f>((((((((SUMPRODUCT(BQ18:BQ22,AG18:AG22))/0.99)/0.99)/0.99)/0.99)/0.99)/0.99)/0.99)/0.99</f>
        <v>0.13661523153955743</v>
      </c>
      <c r="BR17" s="48">
        <f t="shared" si="41"/>
        <v>0.1341282300260917</v>
      </c>
      <c r="BS17" s="48">
        <f>(((((((((SUMPRODUCT(BS18:BS22,AI18:AI22))/0.99)/0.99)/0.99)/0.99)/0.99)/0.99)/0.99)/0.99)/0.99</f>
        <v>0.14092926735760705</v>
      </c>
      <c r="BT17" s="48">
        <f>(((SUMPRODUCT(BT18:BT22,AJ18:AJ22))/0.99)/0.99)/0.99</f>
        <v>0.13308135011619324</v>
      </c>
      <c r="BV17" s="41" t="s">
        <v>68</v>
      </c>
      <c r="BW17" t="s">
        <v>41</v>
      </c>
      <c r="BX17" t="s">
        <v>24</v>
      </c>
      <c r="BY17" t="s">
        <v>24</v>
      </c>
      <c r="BZ17" t="s">
        <v>43</v>
      </c>
      <c r="CA17" t="s">
        <v>25</v>
      </c>
      <c r="CB17" t="s">
        <v>35</v>
      </c>
      <c r="CC17" t="s">
        <v>43</v>
      </c>
      <c r="CD17" t="s">
        <v>43</v>
      </c>
      <c r="CE17" t="s">
        <v>35</v>
      </c>
      <c r="CF17" t="s">
        <v>42</v>
      </c>
      <c r="CG17" t="s">
        <v>30</v>
      </c>
      <c r="CH17" t="s">
        <v>43</v>
      </c>
      <c r="CI17" t="s">
        <v>30</v>
      </c>
      <c r="CJ17" t="s">
        <v>43</v>
      </c>
      <c r="CK17" t="s">
        <v>42</v>
      </c>
      <c r="CL17" t="s">
        <v>35</v>
      </c>
      <c r="CM17" t="s">
        <v>42</v>
      </c>
      <c r="CN17" t="s">
        <v>35</v>
      </c>
      <c r="CO17" t="s">
        <v>24</v>
      </c>
      <c r="CP17" t="s">
        <v>25</v>
      </c>
      <c r="CQ17" t="s">
        <v>35</v>
      </c>
      <c r="CR17" t="s">
        <v>35</v>
      </c>
      <c r="CS17" t="s">
        <v>30</v>
      </c>
      <c r="CT17" t="s">
        <v>35</v>
      </c>
      <c r="CU17" t="s">
        <v>24</v>
      </c>
      <c r="CV17" t="s">
        <v>24</v>
      </c>
      <c r="CW17" t="s">
        <v>35</v>
      </c>
      <c r="CX17" t="s">
        <v>35</v>
      </c>
      <c r="CY17" t="s">
        <v>25</v>
      </c>
      <c r="CZ17" t="s">
        <v>35</v>
      </c>
      <c r="DA17" t="s">
        <v>41</v>
      </c>
      <c r="DB17" t="s">
        <v>43</v>
      </c>
      <c r="DC17" t="s">
        <v>24</v>
      </c>
      <c r="DD17" t="s">
        <v>42</v>
      </c>
    </row>
    <row r="18" spans="1:108" x14ac:dyDescent="0.35">
      <c r="B18" s="37" t="s">
        <v>69</v>
      </c>
      <c r="C18" s="47">
        <f>1-SUM(C19:C22)</f>
        <v>0.31824149003950497</v>
      </c>
      <c r="D18" s="47">
        <f t="shared" ref="D18:AJ18" si="42">1-SUM(D19:D22)</f>
        <v>0.32424149003950486</v>
      </c>
      <c r="E18" s="47">
        <f t="shared" si="42"/>
        <v>0.31814149003950498</v>
      </c>
      <c r="F18" s="47">
        <f t="shared" si="42"/>
        <v>0.30774149003950491</v>
      </c>
      <c r="G18" s="47">
        <f t="shared" si="42"/>
        <v>0.2836414900395049</v>
      </c>
      <c r="H18" s="47">
        <f t="shared" si="42"/>
        <v>0.327041490039505</v>
      </c>
      <c r="I18" s="47">
        <f t="shared" si="42"/>
        <v>0.32214149003950487</v>
      </c>
      <c r="J18" s="47">
        <f t="shared" si="42"/>
        <v>0.28574149003950489</v>
      </c>
      <c r="K18" s="47">
        <f t="shared" si="42"/>
        <v>0.31114149003950486</v>
      </c>
      <c r="L18" s="47">
        <f t="shared" si="42"/>
        <v>0.34554149003950496</v>
      </c>
      <c r="M18" s="47">
        <f t="shared" si="42"/>
        <v>0.316941490039505</v>
      </c>
      <c r="N18" s="47">
        <f t="shared" si="42"/>
        <v>0.30874149003950491</v>
      </c>
      <c r="O18" s="47">
        <f t="shared" si="42"/>
        <v>0.3289414900395049</v>
      </c>
      <c r="P18" s="47">
        <f t="shared" si="42"/>
        <v>0.31944149003950495</v>
      </c>
      <c r="Q18" s="47">
        <f t="shared" si="42"/>
        <v>0.3027414900395049</v>
      </c>
      <c r="R18" s="47">
        <f t="shared" si="42"/>
        <v>0.3289414900395049</v>
      </c>
      <c r="S18" s="47">
        <f t="shared" si="42"/>
        <v>0.30454149003950493</v>
      </c>
      <c r="T18" s="47">
        <f t="shared" si="42"/>
        <v>0.31814149003950498</v>
      </c>
      <c r="U18" s="47">
        <f t="shared" si="42"/>
        <v>0.31204149003950499</v>
      </c>
      <c r="V18" s="47">
        <f t="shared" si="42"/>
        <v>0.31504149003950499</v>
      </c>
      <c r="W18" s="47">
        <f t="shared" si="42"/>
        <v>0.33544149003950485</v>
      </c>
      <c r="X18" s="47">
        <f t="shared" si="42"/>
        <v>0.31844149003950495</v>
      </c>
      <c r="Y18" s="47">
        <f t="shared" si="42"/>
        <v>0.30894149003950488</v>
      </c>
      <c r="Z18" s="47">
        <f t="shared" si="42"/>
        <v>0.30864149003950492</v>
      </c>
      <c r="AA18" s="47">
        <f t="shared" si="42"/>
        <v>0.31304149003950488</v>
      </c>
      <c r="AB18" s="47">
        <f t="shared" si="42"/>
        <v>0.3249414900395049</v>
      </c>
      <c r="AC18" s="47">
        <f t="shared" si="42"/>
        <v>0.33164149003950494</v>
      </c>
      <c r="AD18" s="47">
        <f t="shared" si="42"/>
        <v>0.30314149003950497</v>
      </c>
      <c r="AE18" s="47">
        <f t="shared" si="42"/>
        <v>0.28894149003950498</v>
      </c>
      <c r="AF18" s="47">
        <f t="shared" si="42"/>
        <v>0.34774149003950494</v>
      </c>
      <c r="AG18" s="47">
        <f t="shared" si="42"/>
        <v>0.3098414900395049</v>
      </c>
      <c r="AH18" s="47">
        <f t="shared" si="42"/>
        <v>0.30314149003950497</v>
      </c>
      <c r="AI18" s="47">
        <f t="shared" si="42"/>
        <v>0.28014149003950495</v>
      </c>
      <c r="AJ18" s="47">
        <f t="shared" si="42"/>
        <v>0.31774149003950491</v>
      </c>
      <c r="AK18" s="73"/>
      <c r="AL18" s="37" t="s">
        <v>69</v>
      </c>
      <c r="AM18" s="30">
        <v>0.11230834026835525</v>
      </c>
      <c r="AN18" s="30">
        <v>0.10948583037554115</v>
      </c>
      <c r="AO18" s="30">
        <v>0.12202615772975103</v>
      </c>
      <c r="AP18" s="30">
        <v>0.12138653763479088</v>
      </c>
      <c r="AQ18" s="30">
        <v>0.1061026575474497</v>
      </c>
      <c r="AR18" s="30">
        <v>0.11850192590602784</v>
      </c>
      <c r="AS18" s="30">
        <v>0.11155954114731075</v>
      </c>
      <c r="AT18" s="30">
        <v>5.4467539032728274E-2</v>
      </c>
      <c r="AU18" s="30">
        <v>0.11795390357665443</v>
      </c>
      <c r="AV18" s="30">
        <v>0.11418621343660657</v>
      </c>
      <c r="AW18" s="30">
        <v>0.11411403937368608</v>
      </c>
      <c r="AX18" s="30">
        <v>0.10908476161401205</v>
      </c>
      <c r="AY18" s="30">
        <v>7.4215179602498599E-2</v>
      </c>
      <c r="AZ18" s="30">
        <v>6.3314634818514626E-2</v>
      </c>
      <c r="BA18" s="30">
        <v>0.10830338378096549</v>
      </c>
      <c r="BB18" s="30">
        <v>0.11186158809723414</v>
      </c>
      <c r="BC18" s="30">
        <v>0.12303195219441923</v>
      </c>
      <c r="BD18" s="30">
        <v>0.12144120409606377</v>
      </c>
      <c r="BE18" s="30">
        <v>0.11893973232058919</v>
      </c>
      <c r="BF18" s="30">
        <v>0.12222656352700084</v>
      </c>
      <c r="BG18" s="30">
        <v>0.12274426040682122</v>
      </c>
      <c r="BH18" s="30">
        <v>0.11976730562407401</v>
      </c>
      <c r="BI18" s="30">
        <v>0.12325670550913911</v>
      </c>
      <c r="BJ18" s="30">
        <v>0.11755089441504177</v>
      </c>
      <c r="BK18" s="30">
        <v>0.11409230393472986</v>
      </c>
      <c r="BL18" s="30">
        <v>0.11561434216339171</v>
      </c>
      <c r="BM18" s="30">
        <v>0.11456987424780048</v>
      </c>
      <c r="BN18" s="30">
        <v>0.11992554000827237</v>
      </c>
      <c r="BO18" s="30">
        <v>0.11199194271314745</v>
      </c>
      <c r="BP18" s="30">
        <v>0.11788819666249455</v>
      </c>
      <c r="BQ18" s="30">
        <v>0.11340018264820721</v>
      </c>
      <c r="BR18" s="30">
        <v>0.1224764575111707</v>
      </c>
      <c r="BS18" s="30">
        <v>0.11550572684483829</v>
      </c>
      <c r="BT18" s="30">
        <v>0.1171887386794936</v>
      </c>
      <c r="BV18" s="37" t="s">
        <v>69</v>
      </c>
      <c r="BW18" t="s">
        <v>35</v>
      </c>
      <c r="BX18" t="s">
        <v>25</v>
      </c>
      <c r="BY18" t="s">
        <v>25</v>
      </c>
      <c r="BZ18" t="s">
        <v>43</v>
      </c>
      <c r="CA18" t="s">
        <v>41</v>
      </c>
      <c r="CB18" t="s">
        <v>30</v>
      </c>
      <c r="CC18" t="s">
        <v>25</v>
      </c>
      <c r="CD18" t="s">
        <v>30</v>
      </c>
      <c r="CE18" t="s">
        <v>43</v>
      </c>
      <c r="CF18" t="s">
        <v>25</v>
      </c>
      <c r="CG18" t="s">
        <v>42</v>
      </c>
      <c r="CH18" t="s">
        <v>25</v>
      </c>
      <c r="CI18" t="s">
        <v>25</v>
      </c>
      <c r="CJ18" t="s">
        <v>42</v>
      </c>
      <c r="CK18" t="s">
        <v>35</v>
      </c>
      <c r="CL18" t="s">
        <v>30</v>
      </c>
      <c r="CM18" t="s">
        <v>42</v>
      </c>
      <c r="CN18" t="s">
        <v>30</v>
      </c>
      <c r="CO18" t="s">
        <v>43</v>
      </c>
      <c r="CP18" t="s">
        <v>41</v>
      </c>
      <c r="CQ18" t="s">
        <v>30</v>
      </c>
      <c r="CR18" t="s">
        <v>42</v>
      </c>
      <c r="CS18" t="s">
        <v>43</v>
      </c>
      <c r="CT18" t="s">
        <v>43</v>
      </c>
      <c r="CU18" t="s">
        <v>42</v>
      </c>
      <c r="CV18" t="s">
        <v>41</v>
      </c>
      <c r="CW18" t="s">
        <v>42</v>
      </c>
      <c r="CX18" t="s">
        <v>24</v>
      </c>
      <c r="CY18" t="s">
        <v>30</v>
      </c>
      <c r="CZ18" t="s">
        <v>41</v>
      </c>
      <c r="DA18" t="s">
        <v>30</v>
      </c>
      <c r="DB18" t="s">
        <v>24</v>
      </c>
      <c r="DC18" t="s">
        <v>25</v>
      </c>
      <c r="DD18" t="s">
        <v>41</v>
      </c>
    </row>
    <row r="19" spans="1:108" x14ac:dyDescent="0.35">
      <c r="B19" s="37" t="s">
        <v>70</v>
      </c>
      <c r="C19" s="47">
        <v>8.1608E-2</v>
      </c>
      <c r="D19" s="15">
        <v>7.2408E-2</v>
      </c>
      <c r="E19" s="15">
        <v>7.6607999999999996E-2</v>
      </c>
      <c r="F19" s="15">
        <v>7.0207999999999993E-2</v>
      </c>
      <c r="G19" s="15">
        <v>9.1908000000000004E-2</v>
      </c>
      <c r="H19" s="15">
        <v>8.1308000000000005E-2</v>
      </c>
      <c r="I19" s="15">
        <v>9.3308000000000002E-2</v>
      </c>
      <c r="J19" s="15">
        <v>8.9207999999999996E-2</v>
      </c>
      <c r="K19" s="15">
        <v>9.2707999999999999E-2</v>
      </c>
      <c r="L19" s="15">
        <v>7.6008000000000006E-2</v>
      </c>
      <c r="M19" s="15">
        <v>8.5907999999999998E-2</v>
      </c>
      <c r="N19" s="15">
        <v>7.5608000000000009E-2</v>
      </c>
      <c r="O19" s="15">
        <v>9.2508000000000007E-2</v>
      </c>
      <c r="P19" s="15">
        <v>7.3707999999999996E-2</v>
      </c>
      <c r="Q19" s="15">
        <v>9.3007999999999993E-2</v>
      </c>
      <c r="R19" s="15">
        <v>7.3308000000000012E-2</v>
      </c>
      <c r="S19" s="15">
        <v>9.2607999999999996E-2</v>
      </c>
      <c r="T19" s="15">
        <v>7.1108000000000005E-2</v>
      </c>
      <c r="U19" s="15">
        <v>9.2008000000000006E-2</v>
      </c>
      <c r="V19" s="15">
        <v>8.6307999999999996E-2</v>
      </c>
      <c r="W19" s="15">
        <v>7.8908000000000006E-2</v>
      </c>
      <c r="X19" s="15">
        <v>7.2307999999999997E-2</v>
      </c>
      <c r="Y19" s="15">
        <v>8.6608000000000004E-2</v>
      </c>
      <c r="Z19" s="15">
        <v>9.0808E-2</v>
      </c>
      <c r="AA19" s="15">
        <v>8.9607999999999993E-2</v>
      </c>
      <c r="AB19" s="15">
        <v>7.3707999999999996E-2</v>
      </c>
      <c r="AC19" s="15">
        <v>7.1008000000000002E-2</v>
      </c>
      <c r="AD19" s="15">
        <v>8.5608000000000004E-2</v>
      </c>
      <c r="AE19" s="15">
        <v>8.8307999999999998E-2</v>
      </c>
      <c r="AF19" s="15">
        <v>8.4807999999999995E-2</v>
      </c>
      <c r="AG19" s="15">
        <v>8.2308000000000006E-2</v>
      </c>
      <c r="AH19" s="15">
        <v>8.6307999999999996E-2</v>
      </c>
      <c r="AI19" s="15">
        <v>8.9707999999999996E-2</v>
      </c>
      <c r="AJ19" s="15">
        <v>8.3507999999999999E-2</v>
      </c>
      <c r="AK19" s="73"/>
      <c r="AL19" s="37" t="s">
        <v>70</v>
      </c>
      <c r="AM19" s="30">
        <v>0.14496433082603644</v>
      </c>
      <c r="AN19" s="30">
        <v>0.14382477068423846</v>
      </c>
      <c r="AO19" s="30">
        <v>0.14955330269355824</v>
      </c>
      <c r="AP19" s="30">
        <v>0.1473027981878991</v>
      </c>
      <c r="AQ19" s="30">
        <v>0.1456296858265822</v>
      </c>
      <c r="AR19" s="30">
        <v>0.14658798341424853</v>
      </c>
      <c r="AS19" s="30">
        <v>0.14624533943892423</v>
      </c>
      <c r="AT19" s="30">
        <v>9.5615980071050391E-2</v>
      </c>
      <c r="AU19" s="30">
        <v>0.14719206115365785</v>
      </c>
      <c r="AV19" s="30">
        <v>0.14401802404471131</v>
      </c>
      <c r="AW19" s="30">
        <v>0.14548325360599229</v>
      </c>
      <c r="AX19" s="30">
        <v>0.14705426726610382</v>
      </c>
      <c r="AY19" s="30">
        <v>0.11619910067006527</v>
      </c>
      <c r="AZ19" s="30">
        <v>0.10835860213458762</v>
      </c>
      <c r="BA19" s="30">
        <v>0.14441200585572664</v>
      </c>
      <c r="BB19" s="30">
        <v>0.14451757865491532</v>
      </c>
      <c r="BC19" s="30">
        <v>0.14868905014199629</v>
      </c>
      <c r="BD19" s="30">
        <v>0.14924640102920225</v>
      </c>
      <c r="BE19" s="30">
        <v>0.14907287434897773</v>
      </c>
      <c r="BF19" s="30">
        <v>0.14920591830602817</v>
      </c>
      <c r="BG19" s="30">
        <v>0.14918672602574601</v>
      </c>
      <c r="BH19" s="30">
        <v>0.14813706068288282</v>
      </c>
      <c r="BI19" s="30">
        <v>0.1510619024422776</v>
      </c>
      <c r="BJ19" s="30">
        <v>0.14678905199204517</v>
      </c>
      <c r="BK19" s="30">
        <v>0.14452982113512233</v>
      </c>
      <c r="BL19" s="30">
        <v>0.14698355639569793</v>
      </c>
      <c r="BM19" s="30">
        <v>0.1478889136903892</v>
      </c>
      <c r="BN19" s="30">
        <v>0.14858185824949338</v>
      </c>
      <c r="BO19" s="30">
        <v>0.14464793327082864</v>
      </c>
      <c r="BP19" s="30">
        <v>0.14772000727059925</v>
      </c>
      <c r="BQ19" s="30">
        <v>0.14383769984859968</v>
      </c>
      <c r="BR19" s="30">
        <v>0.15056251501939147</v>
      </c>
      <c r="BS19" s="30">
        <v>0.14625069371392166</v>
      </c>
      <c r="BT19" s="30">
        <v>0.14613451468072702</v>
      </c>
      <c r="BV19" s="37" t="s">
        <v>70</v>
      </c>
      <c r="BW19" t="s">
        <v>35</v>
      </c>
      <c r="BX19" t="s">
        <v>42</v>
      </c>
      <c r="BY19" t="s">
        <v>24</v>
      </c>
      <c r="BZ19" t="s">
        <v>24</v>
      </c>
      <c r="CA19" t="s">
        <v>43</v>
      </c>
      <c r="CB19" t="s">
        <v>43</v>
      </c>
      <c r="CC19" t="s">
        <v>41</v>
      </c>
      <c r="CD19" t="s">
        <v>35</v>
      </c>
      <c r="CE19" t="s">
        <v>24</v>
      </c>
      <c r="CF19" t="s">
        <v>35</v>
      </c>
      <c r="CG19" t="s">
        <v>24</v>
      </c>
      <c r="CH19" t="s">
        <v>24</v>
      </c>
      <c r="CI19" t="s">
        <v>25</v>
      </c>
      <c r="CJ19" t="s">
        <v>25</v>
      </c>
      <c r="CK19" t="s">
        <v>24</v>
      </c>
      <c r="CL19" t="s">
        <v>35</v>
      </c>
      <c r="CM19" t="s">
        <v>24</v>
      </c>
      <c r="CN19" t="s">
        <v>35</v>
      </c>
      <c r="CO19" t="s">
        <v>30</v>
      </c>
      <c r="CP19" t="s">
        <v>25</v>
      </c>
      <c r="CQ19" t="s">
        <v>24</v>
      </c>
      <c r="CR19" t="s">
        <v>41</v>
      </c>
      <c r="CS19" t="s">
        <v>24</v>
      </c>
      <c r="CT19" t="s">
        <v>30</v>
      </c>
      <c r="CU19" t="s">
        <v>24</v>
      </c>
      <c r="CV19" t="s">
        <v>30</v>
      </c>
      <c r="CW19" t="s">
        <v>43</v>
      </c>
      <c r="CX19" t="s">
        <v>35</v>
      </c>
      <c r="CY19" t="s">
        <v>41</v>
      </c>
      <c r="CZ19" t="s">
        <v>35</v>
      </c>
      <c r="DA19" t="s">
        <v>35</v>
      </c>
      <c r="DB19" t="s">
        <v>30</v>
      </c>
      <c r="DC19" t="s">
        <v>35</v>
      </c>
      <c r="DD19" t="s">
        <v>43</v>
      </c>
    </row>
    <row r="20" spans="1:108" x14ac:dyDescent="0.35">
      <c r="B20" s="37" t="s">
        <v>71</v>
      </c>
      <c r="C20" s="47">
        <v>0.27722772277227725</v>
      </c>
      <c r="D20" s="15">
        <v>0.28582772277227725</v>
      </c>
      <c r="E20" s="15">
        <v>0.28112772277227727</v>
      </c>
      <c r="F20" s="15">
        <v>0.29432772277227726</v>
      </c>
      <c r="G20" s="15">
        <v>0.28732772277227725</v>
      </c>
      <c r="H20" s="15">
        <v>0.26172772277227724</v>
      </c>
      <c r="I20" s="15">
        <v>0.27132772277227724</v>
      </c>
      <c r="J20" s="15">
        <v>0.28042772277227723</v>
      </c>
      <c r="K20" s="15">
        <v>0.28392772277227724</v>
      </c>
      <c r="L20" s="15">
        <v>0.26252772277227726</v>
      </c>
      <c r="M20" s="15">
        <v>0.26772772277227724</v>
      </c>
      <c r="N20" s="15">
        <v>0.28372772277227726</v>
      </c>
      <c r="O20" s="15">
        <v>0.28152772277227728</v>
      </c>
      <c r="P20" s="15">
        <v>0.29192772277227724</v>
      </c>
      <c r="Q20" s="15">
        <v>0.27582772277227724</v>
      </c>
      <c r="R20" s="15">
        <v>0.28782772277227725</v>
      </c>
      <c r="S20" s="15">
        <v>0.28662772277227727</v>
      </c>
      <c r="T20" s="15">
        <v>0.27572772277227725</v>
      </c>
      <c r="U20" s="15">
        <v>0.28932772277227725</v>
      </c>
      <c r="V20" s="15">
        <v>0.27752772277227727</v>
      </c>
      <c r="W20" s="15">
        <v>0.27652772277227727</v>
      </c>
      <c r="X20" s="15">
        <v>0.28212772277227727</v>
      </c>
      <c r="Y20" s="15">
        <v>0.28232772277227725</v>
      </c>
      <c r="Z20" s="15">
        <v>0.27652772277227727</v>
      </c>
      <c r="AA20" s="15">
        <v>0.26212772277227725</v>
      </c>
      <c r="AB20" s="15">
        <v>0.26672772277227724</v>
      </c>
      <c r="AC20" s="15">
        <v>0.27532772277227724</v>
      </c>
      <c r="AD20" s="15">
        <v>0.28482772277227725</v>
      </c>
      <c r="AE20" s="15">
        <v>0.27832772277227724</v>
      </c>
      <c r="AF20" s="15">
        <v>0.26382772277227723</v>
      </c>
      <c r="AG20" s="15">
        <v>0.28062772277227727</v>
      </c>
      <c r="AH20" s="15">
        <v>0.29332772277227726</v>
      </c>
      <c r="AI20" s="15">
        <v>0.29342772277227724</v>
      </c>
      <c r="AJ20" s="15">
        <v>0.26662772277227725</v>
      </c>
      <c r="AK20" s="73"/>
      <c r="AL20" s="37" t="s">
        <v>71</v>
      </c>
      <c r="AM20" s="30">
        <v>0.1292391489700716</v>
      </c>
      <c r="AN20" s="30">
        <v>0.12728918037220691</v>
      </c>
      <c r="AO20" s="30">
        <v>0.13629786768334826</v>
      </c>
      <c r="AP20" s="30">
        <v>0.13482306925411133</v>
      </c>
      <c r="AQ20" s="30">
        <v>0.12659582106546499</v>
      </c>
      <c r="AR20" s="30">
        <v>0.1330634093807723</v>
      </c>
      <c r="AS20" s="30">
        <v>0.12954272296212468</v>
      </c>
      <c r="AT20" s="30">
        <v>7.5801339407367913E-2</v>
      </c>
      <c r="AU20" s="30">
        <v>0.13311270428283745</v>
      </c>
      <c r="AV20" s="30">
        <v>0.12965279919947056</v>
      </c>
      <c r="AW20" s="30">
        <v>0.13037770665862808</v>
      </c>
      <c r="AX20" s="30">
        <v>0.12877041272169512</v>
      </c>
      <c r="AY20" s="30">
        <v>9.5982142539586215E-2</v>
      </c>
      <c r="AZ20" s="30">
        <v>8.6668107819057649E-2</v>
      </c>
      <c r="BA20" s="30">
        <v>0.12702424211017499</v>
      </c>
      <c r="BB20" s="30">
        <v>0.12879239679895049</v>
      </c>
      <c r="BC20" s="30">
        <v>0.13633411849754642</v>
      </c>
      <c r="BD20" s="30">
        <v>0.13585707273606087</v>
      </c>
      <c r="BE20" s="30">
        <v>0.13456254622247199</v>
      </c>
      <c r="BF20" s="30">
        <v>0.13621426645252144</v>
      </c>
      <c r="BG20" s="30">
        <v>0.13645360804412393</v>
      </c>
      <c r="BH20" s="30">
        <v>0.13447587479048262</v>
      </c>
      <c r="BI20" s="30">
        <v>0.13767257414913622</v>
      </c>
      <c r="BJ20" s="30">
        <v>0.1327096951212248</v>
      </c>
      <c r="BK20" s="30">
        <v>0.12987292403764178</v>
      </c>
      <c r="BL20" s="30">
        <v>0.13187800944833375</v>
      </c>
      <c r="BM20" s="30">
        <v>0.1318444469462153</v>
      </c>
      <c r="BN20" s="30">
        <v>0.1347826805804023</v>
      </c>
      <c r="BO20" s="30">
        <v>0.12892275141486381</v>
      </c>
      <c r="BP20" s="30">
        <v>0.13335478242535856</v>
      </c>
      <c r="BQ20" s="30">
        <v>0.12918080275111915</v>
      </c>
      <c r="BR20" s="30">
        <v>0.13703794098591526</v>
      </c>
      <c r="BS20" s="30">
        <v>0.13144574715080995</v>
      </c>
      <c r="BT20" s="30">
        <v>0.13219595137861481</v>
      </c>
      <c r="BV20" s="37" t="s">
        <v>71</v>
      </c>
      <c r="BW20" t="s">
        <v>42</v>
      </c>
      <c r="BX20" t="s">
        <v>35</v>
      </c>
      <c r="BY20" t="s">
        <v>41</v>
      </c>
      <c r="BZ20" t="s">
        <v>35</v>
      </c>
      <c r="CA20" t="s">
        <v>42</v>
      </c>
      <c r="CB20" t="s">
        <v>25</v>
      </c>
      <c r="CC20" t="s">
        <v>35</v>
      </c>
      <c r="CD20" t="s">
        <v>35</v>
      </c>
      <c r="CE20" t="s">
        <v>35</v>
      </c>
      <c r="CF20" t="s">
        <v>25</v>
      </c>
      <c r="CG20" t="s">
        <v>25</v>
      </c>
      <c r="CH20" t="s">
        <v>42</v>
      </c>
      <c r="CI20" t="s">
        <v>30</v>
      </c>
      <c r="CJ20" t="s">
        <v>43</v>
      </c>
      <c r="CK20" t="s">
        <v>43</v>
      </c>
      <c r="CL20" t="s">
        <v>41</v>
      </c>
      <c r="CM20" t="s">
        <v>25</v>
      </c>
      <c r="CN20" t="s">
        <v>25</v>
      </c>
      <c r="CO20" t="s">
        <v>42</v>
      </c>
      <c r="CP20" t="s">
        <v>42</v>
      </c>
      <c r="CQ20" t="s">
        <v>43</v>
      </c>
      <c r="CR20" t="s">
        <v>25</v>
      </c>
      <c r="CS20" t="s">
        <v>41</v>
      </c>
      <c r="CT20" t="s">
        <v>35</v>
      </c>
      <c r="CU20" t="s">
        <v>30</v>
      </c>
      <c r="CV20" t="s">
        <v>35</v>
      </c>
      <c r="CW20" t="s">
        <v>25</v>
      </c>
      <c r="CX20" t="s">
        <v>35</v>
      </c>
      <c r="CY20" t="s">
        <v>43</v>
      </c>
      <c r="CZ20" t="s">
        <v>25</v>
      </c>
      <c r="DA20" t="s">
        <v>42</v>
      </c>
      <c r="DB20" t="s">
        <v>42</v>
      </c>
      <c r="DC20" t="s">
        <v>35</v>
      </c>
      <c r="DD20" t="s">
        <v>43</v>
      </c>
    </row>
    <row r="21" spans="1:108" x14ac:dyDescent="0.35">
      <c r="A21" s="3"/>
      <c r="B21" s="37" t="s">
        <v>72</v>
      </c>
      <c r="C21" s="47">
        <v>0.21782178217821782</v>
      </c>
      <c r="D21" s="15">
        <v>0.21702178217821783</v>
      </c>
      <c r="E21" s="15">
        <v>0.21672178217821783</v>
      </c>
      <c r="F21" s="15">
        <v>0.21882178217821782</v>
      </c>
      <c r="G21" s="15">
        <v>0.22262178217821782</v>
      </c>
      <c r="H21" s="15">
        <v>0.22382178217821783</v>
      </c>
      <c r="I21" s="15">
        <v>0.21282178217821782</v>
      </c>
      <c r="J21" s="15">
        <v>0.23102178217821781</v>
      </c>
      <c r="K21" s="15">
        <v>0.21792178217821781</v>
      </c>
      <c r="L21" s="15">
        <v>0.20472178217821782</v>
      </c>
      <c r="M21" s="15">
        <v>0.22862178217821782</v>
      </c>
      <c r="N21" s="15">
        <v>0.21212178217821781</v>
      </c>
      <c r="O21" s="15">
        <v>0.20252178217821781</v>
      </c>
      <c r="P21" s="15">
        <v>0.21102178217821782</v>
      </c>
      <c r="Q21" s="15">
        <v>0.22712178217821782</v>
      </c>
      <c r="R21" s="15">
        <v>0.20742178217821783</v>
      </c>
      <c r="S21" s="15">
        <v>0.22482178217821783</v>
      </c>
      <c r="T21" s="15">
        <v>0.22092178217821781</v>
      </c>
      <c r="U21" s="15">
        <v>0.21362178217821781</v>
      </c>
      <c r="V21" s="15">
        <v>0.22612178217821782</v>
      </c>
      <c r="W21" s="15">
        <v>0.20412178217821783</v>
      </c>
      <c r="X21" s="15">
        <v>0.22202178217821783</v>
      </c>
      <c r="Y21" s="15">
        <v>0.21962178217821782</v>
      </c>
      <c r="Z21" s="15">
        <v>0.20352178217821781</v>
      </c>
      <c r="AA21" s="15">
        <v>0.21452178217821782</v>
      </c>
      <c r="AB21" s="15">
        <v>0.22582178217821783</v>
      </c>
      <c r="AC21" s="15">
        <v>0.23192178217821782</v>
      </c>
      <c r="AD21" s="15">
        <v>0.21412178217821781</v>
      </c>
      <c r="AE21" s="15">
        <v>0.22712178217821782</v>
      </c>
      <c r="AF21" s="15">
        <v>0.20672178217821782</v>
      </c>
      <c r="AG21" s="15">
        <v>0.22232178217821782</v>
      </c>
      <c r="AH21" s="15">
        <v>0.20422178217821782</v>
      </c>
      <c r="AI21" s="15">
        <v>0.21932178217821782</v>
      </c>
      <c r="AJ21" s="15">
        <v>0.22522178217821781</v>
      </c>
      <c r="AK21" s="73"/>
      <c r="AL21" s="37" t="s">
        <v>72</v>
      </c>
      <c r="AM21" s="30">
        <v>0.13658155886647819</v>
      </c>
      <c r="AN21" s="30">
        <v>0.13500998659639263</v>
      </c>
      <c r="AO21" s="30">
        <v>0.14248710212855895</v>
      </c>
      <c r="AP21" s="30">
        <v>0.14065011062426605</v>
      </c>
      <c r="AQ21" s="30">
        <v>0.13548312286387817</v>
      </c>
      <c r="AR21" s="30">
        <v>0.1393783103553777</v>
      </c>
      <c r="AS21" s="30">
        <v>0.13734151712796885</v>
      </c>
      <c r="AT21" s="30">
        <v>8.5053201486633936E-2</v>
      </c>
      <c r="AU21" s="30">
        <v>0.13968664474153805</v>
      </c>
      <c r="AV21" s="30">
        <v>0.13636021727793257</v>
      </c>
      <c r="AW21" s="30">
        <v>0.13743079630890076</v>
      </c>
      <c r="AX21" s="30">
        <v>0.13730751936891666</v>
      </c>
      <c r="AY21" s="30">
        <v>0.10542185489471949</v>
      </c>
      <c r="AZ21" s="30">
        <v>9.6795844437880224E-2</v>
      </c>
      <c r="BA21" s="30">
        <v>0.13514294558661791</v>
      </c>
      <c r="BB21" s="30">
        <v>0.13613480669535707</v>
      </c>
      <c r="BC21" s="30">
        <v>0.14210288945399968</v>
      </c>
      <c r="BD21" s="30">
        <v>0.14210882470092015</v>
      </c>
      <c r="BE21" s="30">
        <v>0.14133771599869624</v>
      </c>
      <c r="BF21" s="30">
        <v>0.14228033513227242</v>
      </c>
      <c r="BG21" s="30">
        <v>0.14239896195714793</v>
      </c>
      <c r="BH21" s="30">
        <v>0.14085456264361934</v>
      </c>
      <c r="BI21" s="30">
        <v>0.14392432611399553</v>
      </c>
      <c r="BJ21" s="30">
        <v>0.13928363557992535</v>
      </c>
      <c r="BK21" s="30">
        <v>0.13671652987221175</v>
      </c>
      <c r="BL21" s="30">
        <v>0.1389310990986064</v>
      </c>
      <c r="BM21" s="30">
        <v>0.13933593750473641</v>
      </c>
      <c r="BN21" s="30">
        <v>0.14122579962397475</v>
      </c>
      <c r="BO21" s="30">
        <v>0.13626516131127039</v>
      </c>
      <c r="BP21" s="30">
        <v>0.14006220050382059</v>
      </c>
      <c r="BQ21" s="30">
        <v>0.13602440858568907</v>
      </c>
      <c r="BR21" s="30">
        <v>0.14335284196052064</v>
      </c>
      <c r="BS21" s="30">
        <v>0.13835848031704223</v>
      </c>
      <c r="BT21" s="30">
        <v>0.13870415243272835</v>
      </c>
      <c r="BV21" s="37" t="s">
        <v>72</v>
      </c>
      <c r="BW21" t="s">
        <v>25</v>
      </c>
      <c r="BX21" t="s">
        <v>43</v>
      </c>
      <c r="BY21" t="s">
        <v>42</v>
      </c>
      <c r="BZ21" t="s">
        <v>41</v>
      </c>
      <c r="CA21" t="s">
        <v>24</v>
      </c>
      <c r="CB21" t="s">
        <v>24</v>
      </c>
      <c r="CC21" t="s">
        <v>30</v>
      </c>
      <c r="CD21" t="s">
        <v>41</v>
      </c>
      <c r="CE21" t="s">
        <v>43</v>
      </c>
      <c r="CF21" t="s">
        <v>35</v>
      </c>
      <c r="CG21" t="s">
        <v>35</v>
      </c>
      <c r="CH21" t="s">
        <v>42</v>
      </c>
      <c r="CI21" t="s">
        <v>25</v>
      </c>
      <c r="CJ21" t="s">
        <v>41</v>
      </c>
      <c r="CK21" t="s">
        <v>35</v>
      </c>
      <c r="CL21" t="s">
        <v>43</v>
      </c>
      <c r="CM21" t="s">
        <v>24</v>
      </c>
      <c r="CN21" t="s">
        <v>24</v>
      </c>
      <c r="CO21" t="s">
        <v>24</v>
      </c>
      <c r="CP21" t="s">
        <v>24</v>
      </c>
      <c r="CQ21" t="s">
        <v>25</v>
      </c>
      <c r="CR21" t="s">
        <v>41</v>
      </c>
      <c r="CS21" t="s">
        <v>42</v>
      </c>
      <c r="CT21" t="s">
        <v>24</v>
      </c>
      <c r="CU21" t="s">
        <v>41</v>
      </c>
      <c r="CV21" t="s">
        <v>42</v>
      </c>
      <c r="CW21" t="s">
        <v>41</v>
      </c>
      <c r="CX21" t="s">
        <v>35</v>
      </c>
      <c r="CY21" t="s">
        <v>42</v>
      </c>
      <c r="CZ21" t="s">
        <v>35</v>
      </c>
      <c r="DA21" t="s">
        <v>43</v>
      </c>
      <c r="DB21" t="s">
        <v>43</v>
      </c>
      <c r="DC21" t="s">
        <v>43</v>
      </c>
      <c r="DD21" t="s">
        <v>41</v>
      </c>
    </row>
    <row r="22" spans="1:108" x14ac:dyDescent="0.35">
      <c r="B22" s="37" t="s">
        <v>73</v>
      </c>
      <c r="C22" s="47">
        <v>0.10510100501</v>
      </c>
      <c r="D22" s="15">
        <v>0.10050100501000001</v>
      </c>
      <c r="E22" s="15">
        <v>0.10740100500999999</v>
      </c>
      <c r="F22" s="15">
        <v>0.10890100501</v>
      </c>
      <c r="G22" s="15">
        <v>0.11450100501</v>
      </c>
      <c r="H22" s="15">
        <v>0.10610100501</v>
      </c>
      <c r="I22" s="15">
        <v>0.10040100501</v>
      </c>
      <c r="J22" s="15">
        <v>0.11360100501000001</v>
      </c>
      <c r="K22" s="15">
        <v>9.4301005009999994E-2</v>
      </c>
      <c r="L22" s="15">
        <v>0.11120100500999999</v>
      </c>
      <c r="M22" s="15">
        <v>0.10080100501</v>
      </c>
      <c r="N22" s="15">
        <v>0.11980100501</v>
      </c>
      <c r="O22" s="15">
        <v>9.450100501E-2</v>
      </c>
      <c r="P22" s="15">
        <v>0.10390100500999999</v>
      </c>
      <c r="Q22" s="15">
        <v>0.10130100501</v>
      </c>
      <c r="R22" s="15">
        <v>0.10250100500999999</v>
      </c>
      <c r="S22" s="15">
        <v>9.1401005009999994E-2</v>
      </c>
      <c r="T22" s="15">
        <v>0.11410100500999999</v>
      </c>
      <c r="U22" s="15">
        <v>9.3001005009999999E-2</v>
      </c>
      <c r="V22" s="15">
        <v>9.500100501E-2</v>
      </c>
      <c r="W22" s="15">
        <v>0.10500100501</v>
      </c>
      <c r="X22" s="15">
        <v>0.10510100501</v>
      </c>
      <c r="Y22" s="15">
        <v>0.10250100500999999</v>
      </c>
      <c r="Z22" s="15">
        <v>0.12050100501</v>
      </c>
      <c r="AA22" s="15">
        <v>0.12070100501</v>
      </c>
      <c r="AB22" s="15">
        <v>0.10880100500999999</v>
      </c>
      <c r="AC22" s="15">
        <v>9.0101005009999999E-2</v>
      </c>
      <c r="AD22" s="15">
        <v>0.11230100501</v>
      </c>
      <c r="AE22" s="15">
        <v>0.11730100501</v>
      </c>
      <c r="AF22" s="15">
        <v>9.6901005009999999E-2</v>
      </c>
      <c r="AG22" s="15">
        <v>0.10490100500999999</v>
      </c>
      <c r="AH22" s="15">
        <v>0.11300100501</v>
      </c>
      <c r="AI22" s="15">
        <v>0.11740100501</v>
      </c>
      <c r="AJ22" s="15">
        <v>0.10690100500999999</v>
      </c>
      <c r="AK22" s="73"/>
      <c r="AL22" s="37" t="s">
        <v>73</v>
      </c>
      <c r="AM22" s="30">
        <v>0.11943911464085577</v>
      </c>
      <c r="AN22" s="30">
        <v>0.11698409428823964</v>
      </c>
      <c r="AO22" s="30">
        <v>0.1280369954506069</v>
      </c>
      <c r="AP22" s="30">
        <v>0.12704562203024747</v>
      </c>
      <c r="AQ22" s="30">
        <v>0.11473379429940604</v>
      </c>
      <c r="AR22" s="30">
        <v>0.12463480798015887</v>
      </c>
      <c r="AS22" s="30">
        <v>0.11913354509953147</v>
      </c>
      <c r="AT22" s="30">
        <v>6.3452728084217619E-2</v>
      </c>
      <c r="AU22" s="30">
        <v>0.12433835865484187</v>
      </c>
      <c r="AV22" s="30">
        <v>0.12070029881380015</v>
      </c>
      <c r="AW22" s="30">
        <v>0.12096383278412036</v>
      </c>
      <c r="AX22" s="30">
        <v>0.11737579713970567</v>
      </c>
      <c r="AY22" s="30">
        <v>8.3382804387203593E-2</v>
      </c>
      <c r="AZ22" s="30">
        <v>7.3150452452215395E-2</v>
      </c>
      <c r="BA22" s="30">
        <v>0.11618807606926758</v>
      </c>
      <c r="BB22" s="30">
        <v>0.11899236246973466</v>
      </c>
      <c r="BC22" s="30">
        <v>0.12863444574592117</v>
      </c>
      <c r="BD22" s="30">
        <v>0.12751275734945353</v>
      </c>
      <c r="BE22" s="30">
        <v>0.12551961653997665</v>
      </c>
      <c r="BF22" s="30">
        <v>0.12811778557721165</v>
      </c>
      <c r="BG22" s="30">
        <v>0.12851824713823282</v>
      </c>
      <c r="BH22" s="30">
        <v>0.12596213600198414</v>
      </c>
      <c r="BI22" s="30">
        <v>0.12932825876252879</v>
      </c>
      <c r="BJ22" s="30">
        <v>0.12393534949322918</v>
      </c>
      <c r="BK22" s="30">
        <v>0.12073865163108077</v>
      </c>
      <c r="BL22" s="30">
        <v>0.12246413557382599</v>
      </c>
      <c r="BM22" s="30">
        <v>0.12184543222402792</v>
      </c>
      <c r="BN22" s="30">
        <v>0.12618294443040382</v>
      </c>
      <c r="BO22" s="30">
        <v>0.11912271708564798</v>
      </c>
      <c r="BP22" s="30">
        <v>0.1244022820396881</v>
      </c>
      <c r="BQ22" s="30">
        <v>0.12004653034455817</v>
      </c>
      <c r="BR22" s="30">
        <v>0.12860933958530177</v>
      </c>
      <c r="BS22" s="30">
        <v>0.12221920936640493</v>
      </c>
      <c r="BT22" s="30">
        <v>0.12350934920689915</v>
      </c>
      <c r="BV22" s="37" t="s">
        <v>73</v>
      </c>
      <c r="BW22" t="s">
        <v>30</v>
      </c>
      <c r="BX22" t="s">
        <v>41</v>
      </c>
      <c r="BY22" t="s">
        <v>41</v>
      </c>
      <c r="BZ22" t="s">
        <v>25</v>
      </c>
      <c r="CA22" t="s">
        <v>24</v>
      </c>
      <c r="CB22" t="s">
        <v>43</v>
      </c>
      <c r="CC22" t="s">
        <v>30</v>
      </c>
      <c r="CD22" t="s">
        <v>24</v>
      </c>
      <c r="CE22" t="s">
        <v>24</v>
      </c>
      <c r="CF22" t="s">
        <v>43</v>
      </c>
      <c r="CG22" t="s">
        <v>35</v>
      </c>
      <c r="CH22" t="s">
        <v>24</v>
      </c>
      <c r="CI22" t="s">
        <v>25</v>
      </c>
      <c r="CJ22" t="s">
        <v>42</v>
      </c>
      <c r="CK22" t="s">
        <v>35</v>
      </c>
      <c r="CL22" t="s">
        <v>30</v>
      </c>
      <c r="CM22" t="s">
        <v>41</v>
      </c>
      <c r="CN22" t="s">
        <v>24</v>
      </c>
      <c r="CO22" t="s">
        <v>35</v>
      </c>
      <c r="CP22" t="s">
        <v>41</v>
      </c>
      <c r="CQ22" t="s">
        <v>35</v>
      </c>
      <c r="CR22" t="s">
        <v>41</v>
      </c>
      <c r="CS22" t="s">
        <v>30</v>
      </c>
      <c r="CT22" t="s">
        <v>41</v>
      </c>
      <c r="CU22" t="s">
        <v>42</v>
      </c>
      <c r="CV22" t="s">
        <v>35</v>
      </c>
      <c r="CW22" t="s">
        <v>43</v>
      </c>
      <c r="CX22" t="s">
        <v>35</v>
      </c>
      <c r="CY22" t="s">
        <v>25</v>
      </c>
      <c r="CZ22" t="s">
        <v>43</v>
      </c>
      <c r="DA22" t="s">
        <v>30</v>
      </c>
      <c r="DB22" t="s">
        <v>42</v>
      </c>
      <c r="DC22" t="s">
        <v>24</v>
      </c>
      <c r="DD22" t="s">
        <v>41</v>
      </c>
    </row>
    <row r="23" spans="1:108" hidden="1" x14ac:dyDescent="0.35">
      <c r="A23" s="3">
        <v>0.99</v>
      </c>
      <c r="B23" s="41" t="s">
        <v>76</v>
      </c>
      <c r="C23" s="46">
        <v>0.32572284095566767</v>
      </c>
      <c r="D23" s="15">
        <v>0.31545272388748796</v>
      </c>
      <c r="E23" s="15">
        <v>0.31007313875653658</v>
      </c>
      <c r="F23" s="15">
        <v>0.34601854849516583</v>
      </c>
      <c r="G23" s="15">
        <v>0.34125027985636797</v>
      </c>
      <c r="H23" s="15">
        <v>0.31753119996080986</v>
      </c>
      <c r="I23" s="15">
        <v>0.3346480617411095</v>
      </c>
      <c r="J23" s="15">
        <v>0.3246224712697911</v>
      </c>
      <c r="K23" s="15">
        <v>0.33159147928034177</v>
      </c>
      <c r="L23" s="15">
        <v>0.32474473456822189</v>
      </c>
      <c r="M23" s="15">
        <v>0.30457129032715441</v>
      </c>
      <c r="N23" s="15">
        <v>0.31007313875653658</v>
      </c>
      <c r="O23" s="15">
        <v>0.32975752980388112</v>
      </c>
      <c r="P23" s="15">
        <v>0.33880501388775375</v>
      </c>
      <c r="Q23" s="15">
        <v>0.33635974791913953</v>
      </c>
      <c r="R23" s="15">
        <v>0.31912062284040932</v>
      </c>
      <c r="S23" s="15">
        <v>0.3243779446729298</v>
      </c>
      <c r="T23" s="15">
        <v>0.30481581692401583</v>
      </c>
      <c r="U23" s="15">
        <v>0.30689429299733789</v>
      </c>
      <c r="V23" s="15">
        <v>0.31312972121730431</v>
      </c>
      <c r="W23" s="15">
        <v>0.30750560948949168</v>
      </c>
      <c r="X23" s="15">
        <v>0.32792358032742047</v>
      </c>
      <c r="Y23" s="15">
        <v>0.33330316545837163</v>
      </c>
      <c r="Z23" s="15">
        <v>0.3220549420027462</v>
      </c>
      <c r="AA23" s="15">
        <v>0.33868275058932307</v>
      </c>
      <c r="AB23" s="15">
        <v>0.31374103770945788</v>
      </c>
      <c r="AC23" s="15">
        <v>0.30065886477737164</v>
      </c>
      <c r="AD23" s="15">
        <v>0.31679762017022567</v>
      </c>
      <c r="AE23" s="15">
        <v>0.34076122666264519</v>
      </c>
      <c r="AF23" s="15">
        <v>0.3083614525785065</v>
      </c>
      <c r="AG23" s="15">
        <v>0.31679762017022567</v>
      </c>
      <c r="AH23" s="15">
        <v>0.30713881959419936</v>
      </c>
      <c r="AI23" s="15">
        <v>0.32144362551059269</v>
      </c>
      <c r="AJ23" s="15">
        <v>0.33953859367833822</v>
      </c>
      <c r="AK23" s="74"/>
      <c r="AL23" s="41" t="s">
        <v>76</v>
      </c>
      <c r="AM23" s="48">
        <f>SUMPRODUCT(AM24:AM25,C24:C25)</f>
        <v>0.13833864391026535</v>
      </c>
      <c r="AN23" s="48">
        <f>((((((((((((((SUMPRODUCT(AN24:AN25,D24:D25))*0.99)*0.99)*0.99)*0.99)*0.99)*0.99)*0.99)*0.99)*0.99)*0.99)*0.99)*0.99)*0.99)*0.99</f>
        <v>0.11873168563825642</v>
      </c>
      <c r="AO23" s="48">
        <f>((((((((((SUMPRODUCT(AO24:AO25,E24:E25))*0.99)*0.99)*0.99)*0.99)*0.99)*0.99)/0.99)/0.99)/0.99)/0.99</f>
        <v>0.14127576467013947</v>
      </c>
      <c r="AP23" s="48">
        <f>((((((((((((((((SUMPRODUCT(AP24:AP25,F24:F25))*0.99)*0.99)*0.99)*0.99)*0.99)*0.99)*0.99)*0.99)*0.99)/0.99)/0.99)/0.99)/0.99)*0.99)*0.99)*0.99</f>
        <v>0.13104359244927219</v>
      </c>
      <c r="AQ23" s="48">
        <f t="shared" ref="AQ23:BR23" si="43">SUMPRODUCT(AQ24:AQ25,G24:G25)</f>
        <v>0.13776606039420769</v>
      </c>
      <c r="AR23" s="48">
        <f t="shared" si="43"/>
        <v>0.14105421969687693</v>
      </c>
      <c r="AS23" s="48">
        <f>((((((((SUMPRODUCT(AS24:AS25,I24:I25))*0.99)*0.99)*0.99)*0.99)/0.99)/0.99)/0.99)*0.99</f>
        <v>0.13628943886040601</v>
      </c>
      <c r="AT23" s="48">
        <f>(((((((((((((((((((((SUMPRODUCT(AT24:AT25,J24:J25))/0.99)/0.99)/0.99)/0.99)/0.99)/0.99)/0.99)/0.99)/0.99)/0.99)/0.99)/0.99)/0.99)/0.99)/0.99)/0.99)/0.99)/0.99)/0.99)/0.99)/0.99</f>
        <v>0.10773420696205362</v>
      </c>
      <c r="AU23" s="48">
        <f>((((SUMPRODUCT(AU24:AU25,K24:K25))/0.99)/0.99)/0.99)/0.99</f>
        <v>0.14701345149665707</v>
      </c>
      <c r="AV23" s="48">
        <f>((((((SUMPRODUCT(AV24:AV25,L24:L25))/0.99)/0.99)/0.99)/0.99)/0.99)/0.99</f>
        <v>0.14668026588440522</v>
      </c>
      <c r="AW23" s="48">
        <f>(((((((((((SUMPRODUCT(AW24:AW25,M24:M25))/0.99)/0.99)/0.99)/0.99)/0.99)/0.99)/0.99)/0.99)/0.99)/0.99)/0.99</f>
        <v>0.1556151138898117</v>
      </c>
      <c r="AX23" s="48">
        <f>((((((((((((((SUMPRODUCT(AX24:AX25,N24:N25))*0.99)*0.99)*0.99)*0.99)*0.99)*0.99)*0.99)*0.99)/0.99)/0.99)/0.99)/0.99)/0.99)*0.99</f>
        <v>0.13366048949092108</v>
      </c>
      <c r="AY23" s="48">
        <f>((((((((((SUMPRODUCT(AY24:AY25,O24:O25))/0.99)/0.99)/0.99)/0.99)/0.99)/0.99)/0.99)/0.99)*0.99)*0.99</f>
        <v>0.11459373861671025</v>
      </c>
      <c r="AZ23" s="48">
        <f>(((((((((((((SUMPRODUCT(AZ24:AZ25,P24:P25))/0.99)/0.99)/0.99)/0.99)/0.99)/0.99)/0.99)/0.99)/0.99)/0.99)/0.99)/0.99)/0.99</f>
        <v>0.11327906185271876</v>
      </c>
      <c r="BA23" s="48">
        <f>(((((((((SUMPRODUCT(BA24:BA25,Q24:Q25))*0.99)*0.99)*0.99)*0.99)*0.99)*0.99)*0.99)*0.99)*0.99</f>
        <v>0.12528263748908439</v>
      </c>
      <c r="BB23" s="48">
        <f t="shared" si="43"/>
        <v>0.13806212687507524</v>
      </c>
      <c r="BC23" s="48">
        <f>(((((((((((((((((SUMPRODUCT(BC24:BC25,S24:S25))*0.99)*0.99)*0.99)*0.99)*0.99)*0.99)*0.99)*0.99)*0.99)*0.99)/0.99)/0.99)/0.99)/0.99)/0.99)/0.99)/0.99</f>
        <v>0.13926437576325304</v>
      </c>
      <c r="BD23" s="48">
        <f>(((((((((SUMPRODUCT(BD24:BD25,T24:T25))*0.99)/0.99)/0.99)/0.99)/0.99)/0.99)/0.99)/0.99)*0.99</f>
        <v>0.1509711575248481</v>
      </c>
      <c r="BE23" s="48">
        <f>(((((((SUMPRODUCT(BE24:BE25,U24:U25))/0.99)/0.99)/0.99)/0.99)/0.99)/0.99)/0.99</f>
        <v>0.15339327504313929</v>
      </c>
      <c r="BF23" s="48">
        <f>(((((((((SUMPRODUCT(BF24:BF25,V24:V25))/0.99)/0.99)/0.99)/0.99)/0.99)/0.99)*0.99)*0.99)*0.99</f>
        <v>0.14813843598943138</v>
      </c>
      <c r="BG23" s="48">
        <f>(((SUMPRODUCT(BG24:BG25,W24:W25))/0.99)/0.99)*0.99</f>
        <v>0.14535713902861577</v>
      </c>
      <c r="BH23" s="48">
        <f>(((((SUMPRODUCT(BH24:BH25,X24:X25))/0.99)/0.99)/0.99)*0.99)*0.99</f>
        <v>0.14368850327197275</v>
      </c>
      <c r="BI23" s="48">
        <f>(((((SUMPRODUCT(BI24:BI25,Y24:Y25))/0.99)/0.99)/0.99)/0.99)/0.99</f>
        <v>0.15273971172649026</v>
      </c>
      <c r="BJ23" s="48">
        <f>(((((((((((SUMPRODUCT(BJ24:BJ25,Z24:Z25))*0.99)*0.99)*0.99)*0.99)*0.99)*0.99)*0.99)*0.99)*0.99)*0.99)*0.99</f>
        <v>0.12626269345927427</v>
      </c>
      <c r="BK23" s="48">
        <f>((((((((SUMPRODUCT(BK24:BK25,AA24:AA25))/0.99)/0.99)/0.99)/0.99)/0.99)/0.99)/0.99)/0.99</f>
        <v>0.14986922016864945</v>
      </c>
      <c r="BL23" s="48">
        <f>(((((((((((SUMPRODUCT(BL24:BL25,AB24:AB25))/0.99)/0.99)/0.99)/0.99)/0.99)/0.99)/0.99)/0.99)/0.99)/0.99)/0.99</f>
        <v>0.15704251633413194</v>
      </c>
      <c r="BM23" s="48">
        <f>((SUMPRODUCT(BM24:BM25,AC24:AC25))/0.99)/0.99</f>
        <v>0.14399833628101139</v>
      </c>
      <c r="BN23" s="48">
        <f>((SUMPRODUCT(BN24:BN25,AD24:AD25))/0.99)/0.99</f>
        <v>0.14577837285260772</v>
      </c>
      <c r="BO23" s="48">
        <f t="shared" si="43"/>
        <v>0.13781477228314171</v>
      </c>
      <c r="BP23" s="48">
        <f>((((((((((((SUMPRODUCT(BP24:BP25,AF24:AF25))/0.99)/0.99)/0.99)/0.99)/0.99)/0.99)/0.99)/0.99)/0.99)*0.99)*0.99)*0.99</f>
        <v>0.15031812927724031</v>
      </c>
      <c r="BQ23" s="48">
        <f>((((((((SUMPRODUCT(BQ24:BQ25,AG24:AG25))/0.99)/0.99)/0.99)/0.99)/0.99)/0.99)/0.99)/0.99</f>
        <v>0.14939186152767842</v>
      </c>
      <c r="BR23" s="48">
        <f t="shared" si="43"/>
        <v>0.14474050237991393</v>
      </c>
      <c r="BS23" s="48">
        <f>(((((((((SUMPRODUCT(BS24:BS25,AI24:AI25))/0.99)/0.99)/0.99)/0.99)/0.99)/0.99)/0.99)/0.99)/0.99</f>
        <v>0.15316907023794593</v>
      </c>
      <c r="BT23" s="48">
        <f>(((SUMPRODUCT(BT24:BT25,AJ24:AJ25))/0.99)/0.99)/0.99</f>
        <v>0.14460484780455041</v>
      </c>
      <c r="BV23" s="41" t="s">
        <v>76</v>
      </c>
      <c r="BW23" t="s">
        <v>25</v>
      </c>
      <c r="BX23" t="s">
        <v>43</v>
      </c>
      <c r="BY23" t="s">
        <v>25</v>
      </c>
      <c r="BZ23" t="s">
        <v>42</v>
      </c>
      <c r="CA23" t="s">
        <v>42</v>
      </c>
      <c r="CB23" t="s">
        <v>42</v>
      </c>
      <c r="CC23" t="s">
        <v>30</v>
      </c>
      <c r="CD23" t="s">
        <v>43</v>
      </c>
      <c r="CE23" t="s">
        <v>35</v>
      </c>
      <c r="CF23" t="s">
        <v>24</v>
      </c>
      <c r="CG23" t="s">
        <v>30</v>
      </c>
      <c r="CH23" t="s">
        <v>30</v>
      </c>
      <c r="CI23" t="s">
        <v>42</v>
      </c>
      <c r="CJ23" t="s">
        <v>25</v>
      </c>
      <c r="CK23" t="s">
        <v>43</v>
      </c>
      <c r="CL23" t="s">
        <v>43</v>
      </c>
      <c r="CM23" t="s">
        <v>25</v>
      </c>
      <c r="CN23" t="s">
        <v>25</v>
      </c>
      <c r="CO23" t="s">
        <v>43</v>
      </c>
      <c r="CP23" t="s">
        <v>25</v>
      </c>
      <c r="CQ23" t="s">
        <v>43</v>
      </c>
      <c r="CR23" t="s">
        <v>24</v>
      </c>
      <c r="CS23" t="s">
        <v>30</v>
      </c>
      <c r="CT23" t="s">
        <v>41</v>
      </c>
      <c r="CU23" t="s">
        <v>41</v>
      </c>
      <c r="CV23" t="s">
        <v>25</v>
      </c>
      <c r="CW23" t="s">
        <v>41</v>
      </c>
      <c r="CX23" t="s">
        <v>42</v>
      </c>
      <c r="CY23" t="s">
        <v>30</v>
      </c>
      <c r="CZ23" t="s">
        <v>24</v>
      </c>
      <c r="DA23" t="s">
        <v>24</v>
      </c>
      <c r="DB23" t="s">
        <v>35</v>
      </c>
      <c r="DC23" t="s">
        <v>25</v>
      </c>
      <c r="DD23" t="s">
        <v>43</v>
      </c>
    </row>
    <row r="24" spans="1:108" x14ac:dyDescent="0.35">
      <c r="B24" s="37" t="s">
        <v>74</v>
      </c>
      <c r="C24" s="15">
        <v>0.57425742574257421</v>
      </c>
      <c r="D24" s="15">
        <v>0.56085742574257424</v>
      </c>
      <c r="E24" s="15">
        <v>0.58995742574257426</v>
      </c>
      <c r="F24" s="15">
        <v>0.57145742574257419</v>
      </c>
      <c r="G24" s="15">
        <v>0.58395742574257425</v>
      </c>
      <c r="H24" s="15">
        <v>0.58865742574257418</v>
      </c>
      <c r="I24" s="15">
        <v>0.56355742574257417</v>
      </c>
      <c r="J24" s="15">
        <v>0.5723574257425742</v>
      </c>
      <c r="K24" s="15">
        <v>0.57095742574257424</v>
      </c>
      <c r="L24" s="15">
        <v>0.58505742574257424</v>
      </c>
      <c r="M24" s="15">
        <v>0.59065742574257418</v>
      </c>
      <c r="N24" s="15">
        <v>0.56085742574257424</v>
      </c>
      <c r="O24" s="15">
        <v>0.58635742574257421</v>
      </c>
      <c r="P24" s="15">
        <v>0.58435742574257421</v>
      </c>
      <c r="Q24" s="15">
        <v>0.57815742574257423</v>
      </c>
      <c r="R24" s="15">
        <v>0.58705742574257425</v>
      </c>
      <c r="S24" s="15">
        <v>0.57845742574257419</v>
      </c>
      <c r="T24" s="15">
        <v>0.5713574257425742</v>
      </c>
      <c r="U24" s="15">
        <v>0.5753574257425742</v>
      </c>
      <c r="V24" s="15">
        <v>0.57485742574257426</v>
      </c>
      <c r="W24" s="15">
        <v>0.58185742574257426</v>
      </c>
      <c r="X24" s="15">
        <v>0.56305742574257422</v>
      </c>
      <c r="Y24" s="15">
        <v>0.55955742574257417</v>
      </c>
      <c r="Z24" s="15">
        <v>0.58815742574257424</v>
      </c>
      <c r="AA24" s="15">
        <v>0.56915742574257422</v>
      </c>
      <c r="AB24" s="15">
        <v>0.57325742574257421</v>
      </c>
      <c r="AC24" s="15">
        <v>0.57455742574257418</v>
      </c>
      <c r="AD24" s="15">
        <v>0.58365742574257418</v>
      </c>
      <c r="AE24" s="15">
        <v>0.55865742574257427</v>
      </c>
      <c r="AF24" s="15">
        <v>0.5622574257425742</v>
      </c>
      <c r="AG24" s="15">
        <v>0.5894574257425742</v>
      </c>
      <c r="AH24" s="15">
        <v>0.56345742574257418</v>
      </c>
      <c r="AI24" s="15">
        <v>0.56705742574257423</v>
      </c>
      <c r="AJ24" s="15">
        <v>0.5783574257425742</v>
      </c>
      <c r="AK24" s="73"/>
      <c r="AL24" s="37" t="s">
        <v>74</v>
      </c>
      <c r="AM24" s="30">
        <v>0.1440008583634152</v>
      </c>
      <c r="AN24" s="30">
        <v>0.14281164498148</v>
      </c>
      <c r="AO24" s="30">
        <v>0.14874115013917874</v>
      </c>
      <c r="AP24" s="30">
        <v>0.14653817267966551</v>
      </c>
      <c r="AQ24" s="30">
        <v>0.14446349234643258</v>
      </c>
      <c r="AR24" s="30">
        <v>0.1457593408733043</v>
      </c>
      <c r="AS24" s="30">
        <v>0.14522198014320864</v>
      </c>
      <c r="AT24" s="30">
        <v>9.4401948919547271E-2</v>
      </c>
      <c r="AU24" s="30">
        <v>0.1463294274009482</v>
      </c>
      <c r="AV24" s="30">
        <v>0.14313787533263123</v>
      </c>
      <c r="AW24" s="30">
        <v>0.14455774580265346</v>
      </c>
      <c r="AX24" s="30">
        <v>0.14593402646218417</v>
      </c>
      <c r="AY24" s="30">
        <v>0.11496041976862349</v>
      </c>
      <c r="AZ24" s="30">
        <v>0.10702963855470199</v>
      </c>
      <c r="BA24" s="30">
        <v>0.14334666799770701</v>
      </c>
      <c r="BB24" s="30">
        <v>0.14355410619229408</v>
      </c>
      <c r="BC24" s="30">
        <v>0.14793207088884511</v>
      </c>
      <c r="BD24" s="30">
        <v>0.14842604491366757</v>
      </c>
      <c r="BE24" s="30">
        <v>0.14818383524586659</v>
      </c>
      <c r="BF24" s="30">
        <v>0.14840992758748098</v>
      </c>
      <c r="BG24" s="30">
        <v>0.14840657552249772</v>
      </c>
      <c r="BH24" s="30">
        <v>0.14730004801526234</v>
      </c>
      <c r="BI24" s="30">
        <v>0.15024154632674286</v>
      </c>
      <c r="BJ24" s="30">
        <v>0.14592641823933553</v>
      </c>
      <c r="BK24" s="30">
        <v>0.14363180183905047</v>
      </c>
      <c r="BL24" s="30">
        <v>0.14605804859235913</v>
      </c>
      <c r="BM24" s="30">
        <v>0.14690587883412837</v>
      </c>
      <c r="BN24" s="30">
        <v>0.14773639090846266</v>
      </c>
      <c r="BO24" s="30">
        <v>0.1436844608082074</v>
      </c>
      <c r="BP24" s="30">
        <v>0.14683985855851919</v>
      </c>
      <c r="BQ24" s="30">
        <v>0.14293968055252787</v>
      </c>
      <c r="BR24" s="30">
        <v>0.14973387247844719</v>
      </c>
      <c r="BS24" s="30">
        <v>0.14534360351586922</v>
      </c>
      <c r="BT24" s="30">
        <v>0.14528050726554445</v>
      </c>
      <c r="BV24" s="37" t="s">
        <v>74</v>
      </c>
      <c r="BW24" t="s">
        <v>41</v>
      </c>
      <c r="BX24" t="s">
        <v>43</v>
      </c>
      <c r="BY24" t="s">
        <v>30</v>
      </c>
      <c r="BZ24" t="s">
        <v>41</v>
      </c>
      <c r="CA24" t="s">
        <v>30</v>
      </c>
      <c r="CB24" t="s">
        <v>35</v>
      </c>
      <c r="CC24" t="s">
        <v>41</v>
      </c>
      <c r="CD24" t="s">
        <v>41</v>
      </c>
      <c r="CE24" t="s">
        <v>35</v>
      </c>
      <c r="CF24" t="s">
        <v>24</v>
      </c>
      <c r="CG24" t="s">
        <v>41</v>
      </c>
      <c r="CH24" t="s">
        <v>41</v>
      </c>
      <c r="CI24" t="s">
        <v>24</v>
      </c>
      <c r="CJ24" t="s">
        <v>25</v>
      </c>
      <c r="CK24" t="s">
        <v>30</v>
      </c>
      <c r="CL24" t="s">
        <v>25</v>
      </c>
      <c r="CM24" t="s">
        <v>30</v>
      </c>
      <c r="CN24" t="s">
        <v>24</v>
      </c>
      <c r="CO24" t="s">
        <v>43</v>
      </c>
      <c r="CP24" t="s">
        <v>41</v>
      </c>
      <c r="CQ24" t="s">
        <v>41</v>
      </c>
      <c r="CR24" t="s">
        <v>41</v>
      </c>
      <c r="CS24" t="s">
        <v>24</v>
      </c>
      <c r="CT24" t="s">
        <v>43</v>
      </c>
      <c r="CU24" t="s">
        <v>42</v>
      </c>
      <c r="CV24" t="s">
        <v>41</v>
      </c>
      <c r="CW24" t="s">
        <v>25</v>
      </c>
      <c r="CX24" t="s">
        <v>41</v>
      </c>
      <c r="CY24" t="s">
        <v>42</v>
      </c>
      <c r="CZ24" t="s">
        <v>35</v>
      </c>
      <c r="DA24" t="s">
        <v>42</v>
      </c>
      <c r="DB24" t="s">
        <v>43</v>
      </c>
      <c r="DC24" t="s">
        <v>41</v>
      </c>
      <c r="DD24" t="s">
        <v>24</v>
      </c>
    </row>
    <row r="25" spans="1:108" x14ac:dyDescent="0.35">
      <c r="B25" s="37" t="s">
        <v>75</v>
      </c>
      <c r="C25" s="15">
        <f t="shared" ref="C25:AJ25" si="44">1-C24</f>
        <v>0.42574257425742579</v>
      </c>
      <c r="D25" s="15">
        <f t="shared" si="44"/>
        <v>0.43914257425742576</v>
      </c>
      <c r="E25" s="15">
        <f t="shared" si="44"/>
        <v>0.41004257425742574</v>
      </c>
      <c r="F25" s="15">
        <f t="shared" si="44"/>
        <v>0.42854257425742581</v>
      </c>
      <c r="G25" s="15">
        <f t="shared" si="44"/>
        <v>0.41604257425742575</v>
      </c>
      <c r="H25" s="15">
        <f t="shared" si="44"/>
        <v>0.41134257425742582</v>
      </c>
      <c r="I25" s="15">
        <f t="shared" si="44"/>
        <v>0.43644257425742583</v>
      </c>
      <c r="J25" s="15">
        <f t="shared" si="44"/>
        <v>0.4276425742574258</v>
      </c>
      <c r="K25" s="15">
        <f t="shared" si="44"/>
        <v>0.42904257425742576</v>
      </c>
      <c r="L25" s="15">
        <f t="shared" si="44"/>
        <v>0.41494257425742576</v>
      </c>
      <c r="M25" s="15">
        <f t="shared" si="44"/>
        <v>0.40934257425742582</v>
      </c>
      <c r="N25" s="15">
        <f t="shared" si="44"/>
        <v>0.43914257425742576</v>
      </c>
      <c r="O25" s="15">
        <f t="shared" si="44"/>
        <v>0.41364257425742579</v>
      </c>
      <c r="P25" s="15">
        <f t="shared" si="44"/>
        <v>0.41564257425742579</v>
      </c>
      <c r="Q25" s="15">
        <f t="shared" si="44"/>
        <v>0.42184257425742577</v>
      </c>
      <c r="R25" s="15">
        <f t="shared" si="44"/>
        <v>0.41294257425742575</v>
      </c>
      <c r="S25" s="15">
        <f t="shared" si="44"/>
        <v>0.42154257425742581</v>
      </c>
      <c r="T25" s="15">
        <f t="shared" si="44"/>
        <v>0.4286425742574258</v>
      </c>
      <c r="U25" s="15">
        <f t="shared" si="44"/>
        <v>0.4246425742574258</v>
      </c>
      <c r="V25" s="15">
        <f t="shared" si="44"/>
        <v>0.42514257425742574</v>
      </c>
      <c r="W25" s="15">
        <f t="shared" si="44"/>
        <v>0.41814257425742574</v>
      </c>
      <c r="X25" s="15">
        <f t="shared" si="44"/>
        <v>0.43694257425742578</v>
      </c>
      <c r="Y25" s="15">
        <f t="shared" si="44"/>
        <v>0.44044257425742583</v>
      </c>
      <c r="Z25" s="15">
        <f t="shared" si="44"/>
        <v>0.41184257425742576</v>
      </c>
      <c r="AA25" s="15">
        <f t="shared" si="44"/>
        <v>0.43084257425742578</v>
      </c>
      <c r="AB25" s="15">
        <f t="shared" si="44"/>
        <v>0.42674257425742579</v>
      </c>
      <c r="AC25" s="15">
        <f t="shared" si="44"/>
        <v>0.42544257425742582</v>
      </c>
      <c r="AD25" s="15">
        <f t="shared" si="44"/>
        <v>0.41634257425742582</v>
      </c>
      <c r="AE25" s="15">
        <f t="shared" si="44"/>
        <v>0.44134257425742573</v>
      </c>
      <c r="AF25" s="15">
        <f t="shared" si="44"/>
        <v>0.4377425742574258</v>
      </c>
      <c r="AG25" s="15">
        <f t="shared" si="44"/>
        <v>0.4105425742574258</v>
      </c>
      <c r="AH25" s="15">
        <f t="shared" si="44"/>
        <v>0.43654257425742582</v>
      </c>
      <c r="AI25" s="15">
        <f t="shared" si="44"/>
        <v>0.43294257425742577</v>
      </c>
      <c r="AJ25" s="15">
        <f t="shared" si="44"/>
        <v>0.4216425742574258</v>
      </c>
      <c r="AK25" s="73"/>
      <c r="AL25" s="37" t="s">
        <v>75</v>
      </c>
      <c r="AM25" s="30">
        <v>0.13070123836880745</v>
      </c>
      <c r="AN25" s="30">
        <v>0.1288266195903035</v>
      </c>
      <c r="AO25" s="30">
        <v>0.13753032599013143</v>
      </c>
      <c r="AP25" s="30">
        <v>0.13598340428491204</v>
      </c>
      <c r="AQ25" s="30">
        <v>0.12836554380311624</v>
      </c>
      <c r="AR25" s="30">
        <v>0.13432089158338759</v>
      </c>
      <c r="AS25" s="30">
        <v>0.13109569186929293</v>
      </c>
      <c r="AT25" s="30">
        <v>7.7643656801181848E-2</v>
      </c>
      <c r="AU25" s="30">
        <v>0.13442176885267179</v>
      </c>
      <c r="AV25" s="30">
        <v>0.13098844308257876</v>
      </c>
      <c r="AW25" s="30">
        <v>0.13178218390131705</v>
      </c>
      <c r="AX25" s="30">
        <v>0.13047040132228913</v>
      </c>
      <c r="AY25" s="30">
        <v>9.7861866438998427E-2</v>
      </c>
      <c r="AZ25" s="30">
        <v>8.8684837551187806E-2</v>
      </c>
      <c r="BA25" s="30">
        <v>0.12864091435428335</v>
      </c>
      <c r="BB25" s="30">
        <v>0.13025448619768634</v>
      </c>
      <c r="BC25" s="30">
        <v>0.13748285017803916</v>
      </c>
      <c r="BD25" s="30">
        <v>0.13710198011664998</v>
      </c>
      <c r="BE25" s="30">
        <v>0.13591168145793484</v>
      </c>
      <c r="BF25" s="30">
        <v>0.13742219883899964</v>
      </c>
      <c r="BG25" s="30">
        <v>0.13763750257611113</v>
      </c>
      <c r="BH25" s="30">
        <v>0.13574605883352828</v>
      </c>
      <c r="BI25" s="30">
        <v>0.1389174815297253</v>
      </c>
      <c r="BJ25" s="30">
        <v>0.13401875969105917</v>
      </c>
      <c r="BK25" s="30">
        <v>0.13123568690174567</v>
      </c>
      <c r="BL25" s="30">
        <v>0.13328248669102266</v>
      </c>
      <c r="BM25" s="30">
        <v>0.13333622268209513</v>
      </c>
      <c r="BN25" s="30">
        <v>0.1360656947652969</v>
      </c>
      <c r="BO25" s="30">
        <v>0.13038484081359966</v>
      </c>
      <c r="BP25" s="30">
        <v>0.1346904263084667</v>
      </c>
      <c r="BQ25" s="30">
        <v>0.13054356561522301</v>
      </c>
      <c r="BR25" s="30">
        <v>0.13829542318853053</v>
      </c>
      <c r="BS25" s="30">
        <v>0.13282227529636939</v>
      </c>
      <c r="BT25" s="30">
        <v>0.13349192530275081</v>
      </c>
      <c r="BV25" s="37" t="s">
        <v>75</v>
      </c>
      <c r="BW25" t="s">
        <v>25</v>
      </c>
      <c r="BX25" t="s">
        <v>35</v>
      </c>
      <c r="BY25" t="s">
        <v>25</v>
      </c>
      <c r="BZ25" t="s">
        <v>43</v>
      </c>
      <c r="CA25" t="s">
        <v>25</v>
      </c>
      <c r="CB25" t="s">
        <v>41</v>
      </c>
      <c r="CC25" t="s">
        <v>30</v>
      </c>
      <c r="CD25" t="s">
        <v>24</v>
      </c>
      <c r="CE25" t="s">
        <v>41</v>
      </c>
      <c r="CF25" t="s">
        <v>25</v>
      </c>
      <c r="CG25" t="s">
        <v>35</v>
      </c>
      <c r="CH25" t="s">
        <v>43</v>
      </c>
      <c r="CI25" t="s">
        <v>42</v>
      </c>
      <c r="CJ25" t="s">
        <v>41</v>
      </c>
      <c r="CK25" t="s">
        <v>43</v>
      </c>
      <c r="CL25" t="s">
        <v>41</v>
      </c>
      <c r="CM25" t="s">
        <v>30</v>
      </c>
      <c r="CN25" t="s">
        <v>43</v>
      </c>
      <c r="CO25" t="s">
        <v>30</v>
      </c>
      <c r="CP25" t="s">
        <v>41</v>
      </c>
      <c r="CQ25" t="s">
        <v>30</v>
      </c>
      <c r="CR25" t="s">
        <v>35</v>
      </c>
      <c r="CS25" t="s">
        <v>42</v>
      </c>
      <c r="CT25" t="s">
        <v>30</v>
      </c>
      <c r="CU25" t="s">
        <v>43</v>
      </c>
      <c r="CV25" t="s">
        <v>24</v>
      </c>
      <c r="CW25" t="s">
        <v>30</v>
      </c>
      <c r="CX25" t="s">
        <v>41</v>
      </c>
      <c r="CY25" t="s">
        <v>24</v>
      </c>
      <c r="CZ25" t="s">
        <v>43</v>
      </c>
      <c r="DA25" t="s">
        <v>43</v>
      </c>
      <c r="DB25" t="s">
        <v>41</v>
      </c>
      <c r="DC25" t="s">
        <v>30</v>
      </c>
      <c r="DD25" t="s">
        <v>41</v>
      </c>
    </row>
    <row r="26" spans="1:108" x14ac:dyDescent="0.35">
      <c r="B26" s="4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73"/>
      <c r="AL26" s="4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>
        <f>AY4-AY2</f>
        <v>2.8928820784590581E-5</v>
      </c>
      <c r="AZ26" s="12">
        <f>AZ4-AZ2</f>
        <v>-1.5372823766318655E-5</v>
      </c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V26" s="4"/>
    </row>
    <row r="27" spans="1:108" x14ac:dyDescent="0.35">
      <c r="B27" s="7" t="s">
        <v>50</v>
      </c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13"/>
      <c r="Z27" s="2"/>
      <c r="AA27" s="2"/>
      <c r="AB27" s="2"/>
      <c r="AC27" s="2"/>
      <c r="AD27" s="2"/>
      <c r="AE27" s="2"/>
      <c r="AF27" s="12"/>
      <c r="AG27" s="2"/>
      <c r="AH27" s="2"/>
      <c r="AI27" s="2"/>
      <c r="AJ27" s="2"/>
      <c r="AK27" s="2"/>
      <c r="AL27" s="7" t="s">
        <v>50</v>
      </c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V27" s="7" t="s">
        <v>50</v>
      </c>
    </row>
    <row r="28" spans="1:108" x14ac:dyDescent="0.35">
      <c r="B28" s="42" t="s">
        <v>84</v>
      </c>
      <c r="C28" s="15">
        <f>C55</f>
        <v>0.86763319870163769</v>
      </c>
      <c r="D28" s="15">
        <f t="shared" ref="D28:AJ28" si="45">D55</f>
        <v>0.88113319870163764</v>
      </c>
      <c r="E28" s="15">
        <f t="shared" si="45"/>
        <v>0.87273319870163768</v>
      </c>
      <c r="F28" s="15">
        <f t="shared" si="45"/>
        <v>0.87643319870163772</v>
      </c>
      <c r="G28" s="15">
        <f t="shared" si="45"/>
        <v>0.85173319870163766</v>
      </c>
      <c r="H28" s="15">
        <f t="shared" si="45"/>
        <v>0.88033319870163773</v>
      </c>
      <c r="I28" s="15">
        <f t="shared" si="45"/>
        <v>0.86713319870163774</v>
      </c>
      <c r="J28" s="15">
        <f t="shared" si="45"/>
        <v>0.85233319870163771</v>
      </c>
      <c r="K28" s="15">
        <f t="shared" si="45"/>
        <v>0.87513319870163775</v>
      </c>
      <c r="L28" s="15">
        <f t="shared" si="45"/>
        <v>0.88213319870163764</v>
      </c>
      <c r="M28" s="15">
        <f t="shared" si="45"/>
        <v>0.8786331987016377</v>
      </c>
      <c r="N28" s="15">
        <f t="shared" si="45"/>
        <v>0.85963319870163768</v>
      </c>
      <c r="O28" s="15">
        <f t="shared" si="45"/>
        <v>0.87203319870163765</v>
      </c>
      <c r="P28" s="15">
        <f t="shared" si="45"/>
        <v>0.85803319870163763</v>
      </c>
      <c r="Q28" s="15">
        <f t="shared" si="45"/>
        <v>0.86473319870163767</v>
      </c>
      <c r="R28" s="15">
        <f t="shared" si="45"/>
        <v>0.85663319870163768</v>
      </c>
      <c r="S28" s="15">
        <f t="shared" si="45"/>
        <v>0.87393319870163766</v>
      </c>
      <c r="T28" s="15">
        <f t="shared" si="45"/>
        <v>0.8655331987016377</v>
      </c>
      <c r="U28" s="15">
        <f t="shared" si="45"/>
        <v>0.85193319870163764</v>
      </c>
      <c r="V28" s="15">
        <f t="shared" si="45"/>
        <v>0.87093319870163766</v>
      </c>
      <c r="W28" s="15">
        <f t="shared" si="45"/>
        <v>0.87923319870163774</v>
      </c>
      <c r="X28" s="15">
        <f t="shared" si="45"/>
        <v>0.85113319870163773</v>
      </c>
      <c r="Y28" s="15">
        <f t="shared" si="45"/>
        <v>0.85303319870163774</v>
      </c>
      <c r="Z28" s="15">
        <f t="shared" si="45"/>
        <v>0.8695331987016377</v>
      </c>
      <c r="AA28" s="15">
        <f t="shared" si="45"/>
        <v>0.88103319870163765</v>
      </c>
      <c r="AB28" s="15">
        <f t="shared" si="45"/>
        <v>0.87803319870163765</v>
      </c>
      <c r="AC28" s="15">
        <f t="shared" si="45"/>
        <v>0.85773319870163767</v>
      </c>
      <c r="AD28" s="15">
        <f t="shared" si="45"/>
        <v>0.86373319870163767</v>
      </c>
      <c r="AE28" s="15">
        <f t="shared" si="45"/>
        <v>0.8665331987016377</v>
      </c>
      <c r="AF28" s="15">
        <f t="shared" si="45"/>
        <v>0.86003319870163764</v>
      </c>
      <c r="AG28" s="15">
        <f t="shared" si="45"/>
        <v>0.87993319870163766</v>
      </c>
      <c r="AH28" s="15">
        <f t="shared" si="45"/>
        <v>0.85553319870163769</v>
      </c>
      <c r="AI28" s="15">
        <f t="shared" si="45"/>
        <v>0.86803319870163764</v>
      </c>
      <c r="AJ28" s="15">
        <f t="shared" si="45"/>
        <v>0.87743319870163772</v>
      </c>
      <c r="AK28" s="5"/>
      <c r="AL28" s="42" t="s">
        <v>84</v>
      </c>
      <c r="AM28" s="48">
        <f>SUMPRODUCT(AM29:AM31,C29:C31)</f>
        <v>0.11499797862484644</v>
      </c>
      <c r="AN28" s="48">
        <f t="shared" ref="AN28:BT28" si="46">SUMPRODUCT(AN29:AN31,D29:D31)</f>
        <v>0.10754377865812899</v>
      </c>
      <c r="AO28" s="48">
        <f t="shared" si="46"/>
        <v>0.14755070831708816</v>
      </c>
      <c r="AP28" s="48">
        <f t="shared" si="46"/>
        <v>0.15643187955764695</v>
      </c>
      <c r="AQ28" s="48">
        <f t="shared" si="46"/>
        <v>8.9225007106179019E-2</v>
      </c>
      <c r="AR28" s="48">
        <f t="shared" si="46"/>
        <v>0.14127369555580416</v>
      </c>
      <c r="AS28" s="48">
        <f t="shared" si="46"/>
        <v>0.10818509126745116</v>
      </c>
      <c r="AT28" s="48">
        <f t="shared" si="46"/>
        <v>6.8624908355439163E-2</v>
      </c>
      <c r="AU28" s="48">
        <f t="shared" si="46"/>
        <v>0.1344541514300043</v>
      </c>
      <c r="AV28" s="48">
        <f t="shared" si="46"/>
        <v>0.12879108041717233</v>
      </c>
      <c r="AW28" s="48">
        <f t="shared" si="46"/>
        <v>0.12159993300987672</v>
      </c>
      <c r="AX28" s="48">
        <f t="shared" si="46"/>
        <v>9.5709580575048886E-2</v>
      </c>
      <c r="AY28" s="48">
        <f t="shared" si="46"/>
        <v>8.3230448193388484E-2</v>
      </c>
      <c r="AZ28" s="48">
        <f t="shared" si="46"/>
        <v>7.6091007639247102E-2</v>
      </c>
      <c r="BA28" s="48">
        <f t="shared" si="46"/>
        <v>0.10138889347418135</v>
      </c>
      <c r="BB28" s="48">
        <f t="shared" si="46"/>
        <v>0.11377696379375574</v>
      </c>
      <c r="BC28" s="48">
        <f t="shared" si="46"/>
        <v>0.15988119007708085</v>
      </c>
      <c r="BD28" s="48">
        <f t="shared" si="46"/>
        <v>0.14435666923908813</v>
      </c>
      <c r="BE28" s="48">
        <f t="shared" si="46"/>
        <v>0.12958867734743451</v>
      </c>
      <c r="BF28" s="48">
        <f t="shared" si="46"/>
        <v>0.15110449386096902</v>
      </c>
      <c r="BG28" s="48">
        <f t="shared" si="46"/>
        <v>0.15406384928290989</v>
      </c>
      <c r="BH28" s="48">
        <f t="shared" si="46"/>
        <v>0.13959945831712306</v>
      </c>
      <c r="BI28" s="48">
        <f t="shared" si="46"/>
        <v>0.14691259502744847</v>
      </c>
      <c r="BJ28" s="48">
        <f t="shared" si="46"/>
        <v>0.13381954281824104</v>
      </c>
      <c r="BK28" s="48">
        <f t="shared" si="46"/>
        <v>0.1266026671704345</v>
      </c>
      <c r="BL28" s="48">
        <f t="shared" si="46"/>
        <v>0.1229295454376247</v>
      </c>
      <c r="BM28" s="48">
        <f t="shared" si="46"/>
        <v>0.11289438601903506</v>
      </c>
      <c r="BN28" s="48">
        <f t="shared" si="46"/>
        <v>0.1393917041667003</v>
      </c>
      <c r="BO28" s="48">
        <f t="shared" si="46"/>
        <v>0.1153800805796199</v>
      </c>
      <c r="BP28" s="48">
        <f t="shared" si="46"/>
        <v>0.13088857107037871</v>
      </c>
      <c r="BQ28" s="48">
        <f t="shared" si="46"/>
        <v>0.12512807499245199</v>
      </c>
      <c r="BR28" s="48">
        <f t="shared" si="46"/>
        <v>0.143279663799491</v>
      </c>
      <c r="BS28" s="48">
        <f t="shared" si="46"/>
        <v>0.12514542010879018</v>
      </c>
      <c r="BT28" s="48">
        <f t="shared" si="46"/>
        <v>0.13614676432108253</v>
      </c>
      <c r="BV28" s="42" t="s">
        <v>84</v>
      </c>
      <c r="BW28" t="s">
        <v>43</v>
      </c>
      <c r="BX28" t="s">
        <v>43</v>
      </c>
      <c r="BY28" t="s">
        <v>35</v>
      </c>
      <c r="BZ28" t="s">
        <v>35</v>
      </c>
      <c r="CA28" t="s">
        <v>42</v>
      </c>
      <c r="CB28" t="s">
        <v>30</v>
      </c>
      <c r="CC28" t="s">
        <v>42</v>
      </c>
      <c r="CD28" t="s">
        <v>43</v>
      </c>
      <c r="CE28" t="s">
        <v>43</v>
      </c>
      <c r="CF28" t="s">
        <v>35</v>
      </c>
      <c r="CG28" t="s">
        <v>35</v>
      </c>
      <c r="CH28" t="s">
        <v>35</v>
      </c>
      <c r="CI28" t="s">
        <v>24</v>
      </c>
      <c r="CJ28" t="s">
        <v>25</v>
      </c>
      <c r="CK28" t="s">
        <v>30</v>
      </c>
      <c r="CL28" t="s">
        <v>42</v>
      </c>
      <c r="CM28" t="s">
        <v>35</v>
      </c>
      <c r="CN28" t="s">
        <v>43</v>
      </c>
      <c r="CO28" t="s">
        <v>24</v>
      </c>
      <c r="CP28" t="s">
        <v>43</v>
      </c>
      <c r="CQ28" t="s">
        <v>24</v>
      </c>
      <c r="CR28" t="s">
        <v>42</v>
      </c>
      <c r="CS28" t="s">
        <v>30</v>
      </c>
      <c r="CT28" t="s">
        <v>42</v>
      </c>
      <c r="CU28" t="s">
        <v>25</v>
      </c>
      <c r="CV28" t="s">
        <v>25</v>
      </c>
      <c r="CW28" t="s">
        <v>43</v>
      </c>
      <c r="CX28" t="s">
        <v>24</v>
      </c>
      <c r="CY28" t="s">
        <v>25</v>
      </c>
      <c r="CZ28" t="s">
        <v>41</v>
      </c>
      <c r="DA28" t="s">
        <v>42</v>
      </c>
      <c r="DB28" t="s">
        <v>24</v>
      </c>
      <c r="DC28" t="s">
        <v>25</v>
      </c>
      <c r="DD28" t="s">
        <v>24</v>
      </c>
    </row>
    <row r="29" spans="1:108" x14ac:dyDescent="0.35">
      <c r="B29" s="37" t="s">
        <v>77</v>
      </c>
      <c r="C29" s="15">
        <v>0.37799855146286337</v>
      </c>
      <c r="D29" s="15">
        <v>0.36609855146286335</v>
      </c>
      <c r="E29" s="15">
        <v>0.36199855146286336</v>
      </c>
      <c r="F29" s="15">
        <v>0.38649855146286338</v>
      </c>
      <c r="G29" s="15">
        <v>0.36679855146286339</v>
      </c>
      <c r="H29" s="15">
        <v>0.37899855146286338</v>
      </c>
      <c r="I29" s="15">
        <v>0.38259855146286337</v>
      </c>
      <c r="J29" s="15">
        <v>0.36959855146286336</v>
      </c>
      <c r="K29" s="15">
        <v>0.39509855146286338</v>
      </c>
      <c r="L29" s="15">
        <v>0.39329855146286335</v>
      </c>
      <c r="M29" s="15">
        <v>0.37209855146286336</v>
      </c>
      <c r="N29" s="15">
        <v>0.37969855146286335</v>
      </c>
      <c r="O29" s="15">
        <v>0.38099855146286338</v>
      </c>
      <c r="P29" s="15">
        <v>0.36589855146286338</v>
      </c>
      <c r="Q29" s="15">
        <v>0.37049855146286337</v>
      </c>
      <c r="R29" s="15">
        <v>0.37189855146286338</v>
      </c>
      <c r="S29" s="15">
        <v>0.36239855146286337</v>
      </c>
      <c r="T29" s="15">
        <v>0.38409855146286337</v>
      </c>
      <c r="U29" s="15">
        <v>0.37239855146286338</v>
      </c>
      <c r="V29" s="15">
        <v>0.36289855146286337</v>
      </c>
      <c r="W29" s="15">
        <v>0.37399855146286337</v>
      </c>
      <c r="X29" s="15">
        <v>0.37499855146286337</v>
      </c>
      <c r="Y29" s="15">
        <v>0.38049855146286338</v>
      </c>
      <c r="Z29" s="15">
        <v>0.37649855146286337</v>
      </c>
      <c r="AA29" s="15">
        <v>0.3676985514628634</v>
      </c>
      <c r="AB29" s="15">
        <v>0.38049855146286338</v>
      </c>
      <c r="AC29" s="15">
        <v>0.36809855146286335</v>
      </c>
      <c r="AD29" s="15">
        <v>0.3701985514628634</v>
      </c>
      <c r="AE29" s="15">
        <v>0.3641985514628634</v>
      </c>
      <c r="AF29" s="15">
        <v>0.39009855146286337</v>
      </c>
      <c r="AG29" s="15">
        <v>0.37399855146286337</v>
      </c>
      <c r="AH29" s="15">
        <v>0.38859855146286337</v>
      </c>
      <c r="AI29" s="15">
        <v>0.37639855146286338</v>
      </c>
      <c r="AJ29" s="15">
        <v>0.39249855146286339</v>
      </c>
      <c r="AK29" s="5"/>
      <c r="AL29" s="37" t="s">
        <v>77</v>
      </c>
      <c r="AM29" s="30">
        <v>0.10635960746139397</v>
      </c>
      <c r="AN29" s="30">
        <v>9.8786494785429932E-2</v>
      </c>
      <c r="AO29" s="30">
        <v>0.13873345531124934</v>
      </c>
      <c r="AP29" s="30">
        <v>0.14798896165478551</v>
      </c>
      <c r="AQ29" s="30">
        <v>8.0544310848771963E-2</v>
      </c>
      <c r="AR29" s="30">
        <v>0.1325884550029709</v>
      </c>
      <c r="AS29" s="30">
        <v>9.9703866912488726E-2</v>
      </c>
      <c r="AT29" s="30">
        <v>6.0003191965868286E-2</v>
      </c>
      <c r="AU29" s="30">
        <v>0.12592559009885546</v>
      </c>
      <c r="AV29" s="30">
        <v>0.12032183963491316</v>
      </c>
      <c r="AW29" s="30">
        <v>0.11294170747076643</v>
      </c>
      <c r="AX29" s="30">
        <v>8.7029482093470806E-2</v>
      </c>
      <c r="AY29" s="30">
        <v>7.4651209092434279E-2</v>
      </c>
      <c r="AZ29" s="30">
        <v>6.7457256868551863E-2</v>
      </c>
      <c r="BA29" s="30">
        <v>9.2631884957423014E-2</v>
      </c>
      <c r="BB29" s="30">
        <v>0.10500642423816212</v>
      </c>
      <c r="BC29" s="30">
        <v>0.15099510061149832</v>
      </c>
      <c r="BD29" s="30">
        <v>0.13588580512396708</v>
      </c>
      <c r="BE29" s="30">
        <v>0.1207708879158049</v>
      </c>
      <c r="BF29" s="30">
        <v>0.14233555609380086</v>
      </c>
      <c r="BG29" s="30">
        <v>0.14549157507528354</v>
      </c>
      <c r="BH29" s="30">
        <v>0.1308773716781704</v>
      </c>
      <c r="BI29" s="30">
        <v>0.13837215525431085</v>
      </c>
      <c r="BJ29" s="30">
        <v>0.12508400123778418</v>
      </c>
      <c r="BK29" s="30">
        <v>0.11794723920200878</v>
      </c>
      <c r="BL29" s="30">
        <v>0.11443059017392784</v>
      </c>
      <c r="BM29" s="30">
        <v>0.104047204525856</v>
      </c>
      <c r="BN29" s="30">
        <v>0.13065751430763811</v>
      </c>
      <c r="BO29" s="30">
        <v>0.10650457964587187</v>
      </c>
      <c r="BP29" s="30">
        <v>0.12228706402360975</v>
      </c>
      <c r="BQ29" s="30">
        <v>0.11656501956470136</v>
      </c>
      <c r="BR29" s="30">
        <v>0.13465396834306709</v>
      </c>
      <c r="BS29" s="30">
        <v>0.11649277144988374</v>
      </c>
      <c r="BT29" s="30">
        <v>0.12762544323920225</v>
      </c>
      <c r="BV29" s="37" t="s">
        <v>77</v>
      </c>
      <c r="BW29" t="s">
        <v>25</v>
      </c>
      <c r="BX29" t="s">
        <v>42</v>
      </c>
      <c r="BY29" t="s">
        <v>25</v>
      </c>
      <c r="BZ29" t="s">
        <v>43</v>
      </c>
      <c r="CA29" t="s">
        <v>41</v>
      </c>
      <c r="CB29" t="s">
        <v>42</v>
      </c>
      <c r="CC29" t="s">
        <v>25</v>
      </c>
      <c r="CD29" t="s">
        <v>41</v>
      </c>
      <c r="CE29" t="s">
        <v>24</v>
      </c>
      <c r="CF29" t="s">
        <v>35</v>
      </c>
      <c r="CG29" t="s">
        <v>35</v>
      </c>
      <c r="CH29" t="s">
        <v>35</v>
      </c>
      <c r="CI29" t="s">
        <v>25</v>
      </c>
      <c r="CJ29" t="s">
        <v>43</v>
      </c>
      <c r="CK29" t="s">
        <v>30</v>
      </c>
      <c r="CL29" t="s">
        <v>30</v>
      </c>
      <c r="CM29" t="s">
        <v>43</v>
      </c>
      <c r="CN29" t="s">
        <v>41</v>
      </c>
      <c r="CO29" t="s">
        <v>24</v>
      </c>
      <c r="CP29" t="s">
        <v>41</v>
      </c>
      <c r="CQ29" t="s">
        <v>30</v>
      </c>
      <c r="CR29" t="s">
        <v>43</v>
      </c>
      <c r="CS29" t="s">
        <v>41</v>
      </c>
      <c r="CT29" t="s">
        <v>42</v>
      </c>
      <c r="CU29" t="s">
        <v>42</v>
      </c>
      <c r="CV29" t="s">
        <v>30</v>
      </c>
      <c r="CW29" t="s">
        <v>43</v>
      </c>
      <c r="CX29" t="s">
        <v>24</v>
      </c>
      <c r="CY29" t="s">
        <v>24</v>
      </c>
      <c r="CZ29" t="s">
        <v>30</v>
      </c>
      <c r="DA29" t="s">
        <v>24</v>
      </c>
      <c r="DB29" t="s">
        <v>41</v>
      </c>
      <c r="DC29" t="s">
        <v>24</v>
      </c>
      <c r="DD29" t="s">
        <v>42</v>
      </c>
    </row>
    <row r="30" spans="1:108" x14ac:dyDescent="0.35">
      <c r="B30" s="37" t="s">
        <v>78</v>
      </c>
      <c r="C30" s="15">
        <v>0.44083481901244792</v>
      </c>
      <c r="D30" s="15">
        <v>0.44323481901244793</v>
      </c>
      <c r="E30" s="15">
        <v>0.4465348190124479</v>
      </c>
      <c r="F30" s="15">
        <v>0.42473481901244792</v>
      </c>
      <c r="G30" s="15">
        <v>0.43403481901244795</v>
      </c>
      <c r="H30" s="15">
        <v>0.4480348190124479</v>
      </c>
      <c r="I30" s="15">
        <v>0.4254348190124479</v>
      </c>
      <c r="J30" s="15">
        <v>0.4294348190124479</v>
      </c>
      <c r="K30" s="15">
        <v>0.44533481901244792</v>
      </c>
      <c r="L30" s="15">
        <v>0.43563481901244794</v>
      </c>
      <c r="M30" s="15">
        <v>0.43693481901244791</v>
      </c>
      <c r="N30" s="15">
        <v>0.44813481901244789</v>
      </c>
      <c r="O30" s="15">
        <v>0.43643481901244791</v>
      </c>
      <c r="P30" s="15">
        <v>0.4269348190124479</v>
      </c>
      <c r="Q30" s="15">
        <v>0.4480348190124479</v>
      </c>
      <c r="R30" s="15">
        <v>0.45133481901244793</v>
      </c>
      <c r="S30" s="15">
        <v>0.45593481901244792</v>
      </c>
      <c r="T30" s="15">
        <v>0.42573481901244792</v>
      </c>
      <c r="U30" s="15">
        <v>0.45803481901244791</v>
      </c>
      <c r="V30" s="15">
        <v>0.44123481901244793</v>
      </c>
      <c r="W30" s="15">
        <v>0.42783481901244791</v>
      </c>
      <c r="X30" s="15">
        <v>0.44843481901244792</v>
      </c>
      <c r="Y30" s="15">
        <v>0.43083481901244791</v>
      </c>
      <c r="Z30" s="15">
        <v>0.45183481901244793</v>
      </c>
      <c r="AA30" s="15">
        <v>0.43173481901244792</v>
      </c>
      <c r="AB30" s="15">
        <v>0.4254348190124479</v>
      </c>
      <c r="AC30" s="15">
        <v>0.4571348190124479</v>
      </c>
      <c r="AD30" s="15">
        <v>0.44473481901244794</v>
      </c>
      <c r="AE30" s="15">
        <v>0.45653481901244791</v>
      </c>
      <c r="AF30" s="15">
        <v>0.44933481901244793</v>
      </c>
      <c r="AG30" s="15">
        <v>0.42663481901244793</v>
      </c>
      <c r="AH30" s="15">
        <v>0.45083481901244793</v>
      </c>
      <c r="AI30" s="15">
        <v>0.44093481901244791</v>
      </c>
      <c r="AJ30" s="15">
        <v>0.4415348190124479</v>
      </c>
      <c r="AK30" s="5"/>
      <c r="AL30" s="37" t="s">
        <v>78</v>
      </c>
      <c r="AM30" s="30">
        <v>0.12248521389803579</v>
      </c>
      <c r="AN30" s="30">
        <v>0.11491210122207175</v>
      </c>
      <c r="AO30" s="30">
        <v>0.15485906174789116</v>
      </c>
      <c r="AP30" s="30">
        <v>0.16411456809142733</v>
      </c>
      <c r="AQ30" s="30">
        <v>9.6669917285413784E-2</v>
      </c>
      <c r="AR30" s="30">
        <v>0.14871406143961272</v>
      </c>
      <c r="AS30" s="30">
        <v>0.11582947334913055</v>
      </c>
      <c r="AT30" s="30">
        <v>7.6128798402510106E-2</v>
      </c>
      <c r="AU30" s="30">
        <v>0.14205119653549728</v>
      </c>
      <c r="AV30" s="30">
        <v>0.13644744607155498</v>
      </c>
      <c r="AW30" s="30">
        <v>0.12906731390740825</v>
      </c>
      <c r="AX30" s="30">
        <v>0.10315508853011263</v>
      </c>
      <c r="AY30" s="30">
        <v>9.0776815529076099E-2</v>
      </c>
      <c r="AZ30" s="30">
        <v>8.3582863305193683E-2</v>
      </c>
      <c r="BA30" s="30">
        <v>0.10875749139406483</v>
      </c>
      <c r="BB30" s="30">
        <v>0.12113203067480394</v>
      </c>
      <c r="BC30" s="30">
        <v>0.16712070704814014</v>
      </c>
      <c r="BD30" s="30">
        <v>0.15201141156060891</v>
      </c>
      <c r="BE30" s="30">
        <v>0.13689649435244672</v>
      </c>
      <c r="BF30" s="30">
        <v>0.15846116253044268</v>
      </c>
      <c r="BG30" s="30">
        <v>0.16161718151192536</v>
      </c>
      <c r="BH30" s="30">
        <v>0.14700297811481222</v>
      </c>
      <c r="BI30" s="30">
        <v>0.15449776169095267</v>
      </c>
      <c r="BJ30" s="30">
        <v>0.141209607674426</v>
      </c>
      <c r="BK30" s="30">
        <v>0.1340728456386506</v>
      </c>
      <c r="BL30" s="30">
        <v>0.13055619661056966</v>
      </c>
      <c r="BM30" s="30">
        <v>0.12017281096249782</v>
      </c>
      <c r="BN30" s="30">
        <v>0.14678312074427993</v>
      </c>
      <c r="BO30" s="30">
        <v>0.12263018608251369</v>
      </c>
      <c r="BP30" s="30">
        <v>0.13841267046025157</v>
      </c>
      <c r="BQ30" s="30">
        <v>0.13269062600134318</v>
      </c>
      <c r="BR30" s="30">
        <v>0.15077957477970891</v>
      </c>
      <c r="BS30" s="30">
        <v>0.13261837788652556</v>
      </c>
      <c r="BT30" s="30">
        <v>0.14375104967584407</v>
      </c>
      <c r="BV30" s="37" t="s">
        <v>78</v>
      </c>
      <c r="BW30" t="s">
        <v>43</v>
      </c>
      <c r="BX30" t="s">
        <v>42</v>
      </c>
      <c r="BY30" t="s">
        <v>25</v>
      </c>
      <c r="BZ30" t="s">
        <v>43</v>
      </c>
      <c r="CA30" t="s">
        <v>25</v>
      </c>
      <c r="CB30" t="s">
        <v>42</v>
      </c>
      <c r="CC30" t="s">
        <v>41</v>
      </c>
      <c r="CD30" t="s">
        <v>43</v>
      </c>
      <c r="CE30" t="s">
        <v>25</v>
      </c>
      <c r="CF30" t="s">
        <v>35</v>
      </c>
      <c r="CG30" t="s">
        <v>41</v>
      </c>
      <c r="CH30" t="s">
        <v>41</v>
      </c>
      <c r="CI30" t="s">
        <v>30</v>
      </c>
      <c r="CJ30" t="s">
        <v>43</v>
      </c>
      <c r="CK30" t="s">
        <v>41</v>
      </c>
      <c r="CL30" t="s">
        <v>42</v>
      </c>
      <c r="CM30" t="s">
        <v>35</v>
      </c>
      <c r="CN30" t="s">
        <v>24</v>
      </c>
      <c r="CO30" t="s">
        <v>25</v>
      </c>
      <c r="CP30" t="s">
        <v>41</v>
      </c>
      <c r="CQ30" t="s">
        <v>41</v>
      </c>
      <c r="CR30" t="s">
        <v>25</v>
      </c>
      <c r="CS30" t="s">
        <v>43</v>
      </c>
      <c r="CT30" t="s">
        <v>35</v>
      </c>
      <c r="CU30" t="s">
        <v>25</v>
      </c>
      <c r="CV30" t="s">
        <v>42</v>
      </c>
      <c r="CW30" t="s">
        <v>35</v>
      </c>
      <c r="CX30" t="s">
        <v>42</v>
      </c>
      <c r="CY30" t="s">
        <v>25</v>
      </c>
      <c r="CZ30" t="s">
        <v>30</v>
      </c>
      <c r="DA30" t="s">
        <v>35</v>
      </c>
      <c r="DB30" t="s">
        <v>35</v>
      </c>
      <c r="DC30" t="s">
        <v>30</v>
      </c>
      <c r="DD30" t="s">
        <v>41</v>
      </c>
    </row>
    <row r="31" spans="1:108" x14ac:dyDescent="0.35">
      <c r="B31" s="37" t="s">
        <v>79</v>
      </c>
      <c r="C31" s="15">
        <f t="shared" ref="C31:AJ31" si="47">1-SUM(C29:C30)</f>
        <v>0.18116662952468876</v>
      </c>
      <c r="D31" s="15">
        <f t="shared" si="47"/>
        <v>0.19066662952468871</v>
      </c>
      <c r="E31" s="15">
        <f t="shared" si="47"/>
        <v>0.19146662952468874</v>
      </c>
      <c r="F31" s="15">
        <f t="shared" si="47"/>
        <v>0.1887666295246887</v>
      </c>
      <c r="G31" s="15">
        <f t="shared" si="47"/>
        <v>0.19916662952468867</v>
      </c>
      <c r="H31" s="15">
        <f t="shared" si="47"/>
        <v>0.17296662952468878</v>
      </c>
      <c r="I31" s="15">
        <f t="shared" si="47"/>
        <v>0.19196662952468868</v>
      </c>
      <c r="J31" s="15">
        <f t="shared" si="47"/>
        <v>0.2009666295246888</v>
      </c>
      <c r="K31" s="15">
        <f t="shared" si="47"/>
        <v>0.1595666295246887</v>
      </c>
      <c r="L31" s="15">
        <f t="shared" si="47"/>
        <v>0.17106662952468876</v>
      </c>
      <c r="M31" s="15">
        <f t="shared" si="47"/>
        <v>0.19096662952468879</v>
      </c>
      <c r="N31" s="15">
        <f t="shared" si="47"/>
        <v>0.17216662952468875</v>
      </c>
      <c r="O31" s="15">
        <f t="shared" si="47"/>
        <v>0.18256662952468872</v>
      </c>
      <c r="P31" s="15">
        <f t="shared" si="47"/>
        <v>0.20716662952468878</v>
      </c>
      <c r="Q31" s="15">
        <f t="shared" si="47"/>
        <v>0.18146662952468873</v>
      </c>
      <c r="R31" s="15">
        <f t="shared" si="47"/>
        <v>0.17676662952468869</v>
      </c>
      <c r="S31" s="15">
        <f t="shared" si="47"/>
        <v>0.18166662952468871</v>
      </c>
      <c r="T31" s="15">
        <f t="shared" si="47"/>
        <v>0.19016662952468866</v>
      </c>
      <c r="U31" s="15">
        <f t="shared" si="47"/>
        <v>0.16956662952468871</v>
      </c>
      <c r="V31" s="15">
        <f t="shared" si="47"/>
        <v>0.1958666295246887</v>
      </c>
      <c r="W31" s="15">
        <f t="shared" si="47"/>
        <v>0.19816662952468866</v>
      </c>
      <c r="X31" s="15">
        <f t="shared" si="47"/>
        <v>0.17656662952468871</v>
      </c>
      <c r="Y31" s="15">
        <f t="shared" si="47"/>
        <v>0.18866662952468871</v>
      </c>
      <c r="Z31" s="15">
        <f t="shared" si="47"/>
        <v>0.1716666295246887</v>
      </c>
      <c r="AA31" s="15">
        <f t="shared" si="47"/>
        <v>0.20056662952468862</v>
      </c>
      <c r="AB31" s="15">
        <f t="shared" si="47"/>
        <v>0.19406662952468867</v>
      </c>
      <c r="AC31" s="15">
        <f t="shared" si="47"/>
        <v>0.1747666295246888</v>
      </c>
      <c r="AD31" s="15">
        <f t="shared" si="47"/>
        <v>0.18506662952468866</v>
      </c>
      <c r="AE31" s="15">
        <f t="shared" si="47"/>
        <v>0.17926662952468875</v>
      </c>
      <c r="AF31" s="15">
        <f t="shared" si="47"/>
        <v>0.1605666295246887</v>
      </c>
      <c r="AG31" s="15">
        <f t="shared" si="47"/>
        <v>0.19936662952468875</v>
      </c>
      <c r="AH31" s="15">
        <f t="shared" si="47"/>
        <v>0.1605666295246887</v>
      </c>
      <c r="AI31" s="15">
        <f t="shared" si="47"/>
        <v>0.18266662952468871</v>
      </c>
      <c r="AJ31" s="15">
        <f t="shared" si="47"/>
        <v>0.16596662952468866</v>
      </c>
      <c r="AK31" s="5"/>
      <c r="AL31" s="37" t="s">
        <v>79</v>
      </c>
      <c r="AM31" s="30">
        <v>0.11480289733493579</v>
      </c>
      <c r="AN31" s="30">
        <v>0.10722978465897175</v>
      </c>
      <c r="AO31" s="30">
        <v>0.14717674518479115</v>
      </c>
      <c r="AP31" s="30">
        <v>0.15643225152832732</v>
      </c>
      <c r="AQ31" s="30">
        <v>8.8987600722313778E-2</v>
      </c>
      <c r="AR31" s="30">
        <v>0.14103174487651271</v>
      </c>
      <c r="AS31" s="30">
        <v>0.10814715678603054</v>
      </c>
      <c r="AT31" s="30">
        <v>6.84464818394101E-2</v>
      </c>
      <c r="AU31" s="30">
        <v>0.13436887997239727</v>
      </c>
      <c r="AV31" s="30">
        <v>0.12876512950845498</v>
      </c>
      <c r="AW31" s="30">
        <v>0.12138499734430824</v>
      </c>
      <c r="AX31" s="30">
        <v>9.5472771967012621E-2</v>
      </c>
      <c r="AY31" s="30">
        <v>8.3094498965976094E-2</v>
      </c>
      <c r="AZ31" s="30">
        <v>7.5900546742093677E-2</v>
      </c>
      <c r="BA31" s="30">
        <v>0.10107517483096483</v>
      </c>
      <c r="BB31" s="30">
        <v>0.11344971411170393</v>
      </c>
      <c r="BC31" s="30">
        <v>0.15943839048504013</v>
      </c>
      <c r="BD31" s="30">
        <v>0.1443290949975089</v>
      </c>
      <c r="BE31" s="30">
        <v>0.12921417778934671</v>
      </c>
      <c r="BF31" s="30">
        <v>0.15077884596734267</v>
      </c>
      <c r="BG31" s="30">
        <v>0.15393486494882536</v>
      </c>
      <c r="BH31" s="30">
        <v>0.13932066155171222</v>
      </c>
      <c r="BI31" s="30">
        <v>0.14681544512785266</v>
      </c>
      <c r="BJ31" s="30">
        <v>0.133527291111326</v>
      </c>
      <c r="BK31" s="30">
        <v>0.1263905290755506</v>
      </c>
      <c r="BL31" s="30">
        <v>0.12287388004746966</v>
      </c>
      <c r="BM31" s="30">
        <v>0.11249049439939782</v>
      </c>
      <c r="BN31" s="30">
        <v>0.13910080418117993</v>
      </c>
      <c r="BO31" s="30">
        <v>0.11494786951941369</v>
      </c>
      <c r="BP31" s="30">
        <v>0.13073035389715157</v>
      </c>
      <c r="BQ31" s="30">
        <v>0.12500830943824318</v>
      </c>
      <c r="BR31" s="30">
        <v>0.1430972582166089</v>
      </c>
      <c r="BS31" s="30">
        <v>0.12493606132342555</v>
      </c>
      <c r="BT31" s="30">
        <v>0.13606873311274406</v>
      </c>
      <c r="BV31" s="37" t="s">
        <v>79</v>
      </c>
      <c r="BW31" t="s">
        <v>25</v>
      </c>
      <c r="BX31" t="s">
        <v>42</v>
      </c>
      <c r="BY31" t="s">
        <v>35</v>
      </c>
      <c r="BZ31" t="s">
        <v>30</v>
      </c>
      <c r="CA31" t="s">
        <v>35</v>
      </c>
      <c r="CB31" t="s">
        <v>43</v>
      </c>
      <c r="CC31" t="s">
        <v>25</v>
      </c>
      <c r="CD31" t="s">
        <v>43</v>
      </c>
      <c r="CE31" t="s">
        <v>30</v>
      </c>
      <c r="CF31" t="s">
        <v>42</v>
      </c>
      <c r="CG31" t="s">
        <v>30</v>
      </c>
      <c r="CH31" t="s">
        <v>24</v>
      </c>
      <c r="CI31" t="s">
        <v>30</v>
      </c>
      <c r="CJ31" t="s">
        <v>42</v>
      </c>
      <c r="CK31" t="s">
        <v>25</v>
      </c>
      <c r="CL31" t="s">
        <v>43</v>
      </c>
      <c r="CM31" t="s">
        <v>25</v>
      </c>
      <c r="CN31" t="s">
        <v>41</v>
      </c>
      <c r="CO31" t="s">
        <v>41</v>
      </c>
      <c r="CP31" t="s">
        <v>42</v>
      </c>
      <c r="CQ31" t="s">
        <v>35</v>
      </c>
      <c r="CR31" t="s">
        <v>24</v>
      </c>
      <c r="CS31" t="s">
        <v>42</v>
      </c>
      <c r="CT31" t="s">
        <v>24</v>
      </c>
      <c r="CU31" t="s">
        <v>42</v>
      </c>
      <c r="CV31" t="s">
        <v>43</v>
      </c>
      <c r="CW31" t="s">
        <v>25</v>
      </c>
      <c r="CX31" t="s">
        <v>43</v>
      </c>
      <c r="CY31" t="s">
        <v>30</v>
      </c>
      <c r="CZ31" t="s">
        <v>42</v>
      </c>
      <c r="DA31" t="s">
        <v>24</v>
      </c>
      <c r="DB31" t="s">
        <v>24</v>
      </c>
      <c r="DC31" t="s">
        <v>42</v>
      </c>
      <c r="DD31" t="s">
        <v>24</v>
      </c>
    </row>
    <row r="32" spans="1:108" x14ac:dyDescent="0.35">
      <c r="B32" s="42" t="s">
        <v>83</v>
      </c>
      <c r="C32" s="15">
        <f>C62</f>
        <v>0.13236680129836231</v>
      </c>
      <c r="D32" s="15">
        <f t="shared" ref="D32:AJ32" si="48">D62</f>
        <v>0.11886680129836232</v>
      </c>
      <c r="E32" s="15">
        <f t="shared" si="48"/>
        <v>0.12726680129836232</v>
      </c>
      <c r="F32" s="15">
        <f t="shared" si="48"/>
        <v>0.12356680129836231</v>
      </c>
      <c r="G32" s="15">
        <f t="shared" si="48"/>
        <v>0.14826680129836231</v>
      </c>
      <c r="H32" s="15">
        <f t="shared" si="48"/>
        <v>0.11966680129836231</v>
      </c>
      <c r="I32" s="15">
        <f t="shared" si="48"/>
        <v>0.13286680129836231</v>
      </c>
      <c r="J32" s="15">
        <f t="shared" si="48"/>
        <v>0.14766680129836232</v>
      </c>
      <c r="K32" s="15">
        <f t="shared" si="48"/>
        <v>0.12486680129836231</v>
      </c>
      <c r="L32" s="15">
        <f t="shared" si="48"/>
        <v>0.11786680129836231</v>
      </c>
      <c r="M32" s="15">
        <f t="shared" si="48"/>
        <v>0.12136680129836232</v>
      </c>
      <c r="N32" s="15">
        <f t="shared" si="48"/>
        <v>0.14036680129836232</v>
      </c>
      <c r="O32" s="15">
        <f t="shared" si="48"/>
        <v>0.12796680129836233</v>
      </c>
      <c r="P32" s="15">
        <f t="shared" si="48"/>
        <v>0.14196680129836231</v>
      </c>
      <c r="Q32" s="15">
        <f t="shared" si="48"/>
        <v>0.13526680129836233</v>
      </c>
      <c r="R32" s="15">
        <f t="shared" si="48"/>
        <v>0.14336680129836232</v>
      </c>
      <c r="S32" s="15">
        <f t="shared" si="48"/>
        <v>0.12606680129836231</v>
      </c>
      <c r="T32" s="15">
        <f t="shared" si="48"/>
        <v>0.1344668012983623</v>
      </c>
      <c r="U32" s="15">
        <f t="shared" si="48"/>
        <v>0.1480668012983623</v>
      </c>
      <c r="V32" s="15">
        <f t="shared" si="48"/>
        <v>0.12906680129836232</v>
      </c>
      <c r="W32" s="15">
        <f t="shared" si="48"/>
        <v>0.12076680129836231</v>
      </c>
      <c r="X32" s="15">
        <f t="shared" si="48"/>
        <v>0.14886680129836233</v>
      </c>
      <c r="Y32" s="15">
        <f t="shared" si="48"/>
        <v>0.14696680129836232</v>
      </c>
      <c r="Z32" s="15">
        <f t="shared" si="48"/>
        <v>0.1304668012983623</v>
      </c>
      <c r="AA32" s="15">
        <f t="shared" si="48"/>
        <v>0.11896680129836232</v>
      </c>
      <c r="AB32" s="15">
        <f t="shared" si="48"/>
        <v>0.12196680129836232</v>
      </c>
      <c r="AC32" s="15">
        <f t="shared" si="48"/>
        <v>0.14226680129836231</v>
      </c>
      <c r="AD32" s="15">
        <f t="shared" si="48"/>
        <v>0.1362668012983623</v>
      </c>
      <c r="AE32" s="15">
        <f t="shared" si="48"/>
        <v>0.1334668012983623</v>
      </c>
      <c r="AF32" s="15">
        <f t="shared" si="48"/>
        <v>0.13996680129836231</v>
      </c>
      <c r="AG32" s="15">
        <f t="shared" si="48"/>
        <v>0.12006680129836231</v>
      </c>
      <c r="AH32" s="15">
        <f t="shared" si="48"/>
        <v>0.14446680129836231</v>
      </c>
      <c r="AI32" s="15">
        <f t="shared" si="48"/>
        <v>0.1319668012983623</v>
      </c>
      <c r="AJ32" s="15">
        <f t="shared" si="48"/>
        <v>0.12256680129836231</v>
      </c>
      <c r="AK32" s="5"/>
      <c r="AL32" s="42" t="s">
        <v>83</v>
      </c>
      <c r="AM32" s="48">
        <f>SUMPRODUCT(AM33:AM35,C33:C35)</f>
        <v>0.17203577456933095</v>
      </c>
      <c r="AN32" s="48">
        <f t="shared" ref="AN32:BT32" si="49">SUMPRODUCT(AN33:AN35,D33:D35)</f>
        <v>0.16446310514721893</v>
      </c>
      <c r="AO32" s="48">
        <f t="shared" si="49"/>
        <v>0.20479860258515831</v>
      </c>
      <c r="AP32" s="48">
        <f t="shared" si="49"/>
        <v>0.21293484194739448</v>
      </c>
      <c r="AQ32" s="48">
        <f t="shared" si="49"/>
        <v>0.14635156068429694</v>
      </c>
      <c r="AR32" s="48">
        <f t="shared" si="49"/>
        <v>0.1980645886617079</v>
      </c>
      <c r="AS32" s="48">
        <f t="shared" si="49"/>
        <v>0.1655913789096817</v>
      </c>
      <c r="AT32" s="48">
        <f t="shared" si="49"/>
        <v>0.12581879997034126</v>
      </c>
      <c r="AU32" s="48">
        <f t="shared" si="49"/>
        <v>0.19193272208234846</v>
      </c>
      <c r="AV32" s="48">
        <f t="shared" si="49"/>
        <v>0.18575669205006615</v>
      </c>
      <c r="AW32" s="48">
        <f t="shared" si="49"/>
        <v>0.17882824890401539</v>
      </c>
      <c r="AX32" s="48">
        <f t="shared" si="49"/>
        <v>0.1521387488651918</v>
      </c>
      <c r="AY32" s="48">
        <f t="shared" si="49"/>
        <v>0.14118538194313526</v>
      </c>
      <c r="AZ32" s="48">
        <f t="shared" si="49"/>
        <v>0.13322603628483687</v>
      </c>
      <c r="BA32" s="48">
        <f t="shared" si="49"/>
        <v>0.15808105251748403</v>
      </c>
      <c r="BB32" s="48">
        <f t="shared" si="49"/>
        <v>0.1710570387186271</v>
      </c>
      <c r="BC32" s="48">
        <f t="shared" si="49"/>
        <v>0.2165019154098953</v>
      </c>
      <c r="BD32" s="48">
        <f t="shared" si="49"/>
        <v>0.20199046062605208</v>
      </c>
      <c r="BE32" s="48">
        <f t="shared" si="49"/>
        <v>0.18594921423340588</v>
      </c>
      <c r="BF32" s="48">
        <f t="shared" si="49"/>
        <v>0.20720478839823783</v>
      </c>
      <c r="BG32" s="48">
        <f t="shared" si="49"/>
        <v>0.21193670025507655</v>
      </c>
      <c r="BH32" s="48">
        <f t="shared" si="49"/>
        <v>0.19681198920029938</v>
      </c>
      <c r="BI32" s="48">
        <f t="shared" si="49"/>
        <v>0.20356854538029984</v>
      </c>
      <c r="BJ32" s="48">
        <f t="shared" si="49"/>
        <v>0.19124160156202918</v>
      </c>
      <c r="BK32" s="48">
        <f t="shared" si="49"/>
        <v>0.18424893240522178</v>
      </c>
      <c r="BL32" s="48">
        <f t="shared" si="49"/>
        <v>0.17973774842967283</v>
      </c>
      <c r="BM32" s="48">
        <f t="shared" si="49"/>
        <v>0.17005460459162897</v>
      </c>
      <c r="BN32" s="48">
        <f t="shared" si="49"/>
        <v>0.19572275535873507</v>
      </c>
      <c r="BO32" s="48">
        <f t="shared" si="49"/>
        <v>0.17192417907698085</v>
      </c>
      <c r="BP32" s="48">
        <f t="shared" si="49"/>
        <v>0.18795044658548274</v>
      </c>
      <c r="BQ32" s="48">
        <f t="shared" si="49"/>
        <v>0.18132399423822634</v>
      </c>
      <c r="BR32" s="48">
        <f t="shared" si="49"/>
        <v>0.19996576176999606</v>
      </c>
      <c r="BS32" s="48">
        <f t="shared" si="49"/>
        <v>0.18199607204458473</v>
      </c>
      <c r="BT32" s="48">
        <f t="shared" si="49"/>
        <v>0.19289803809951123</v>
      </c>
      <c r="BV32" s="42" t="s">
        <v>83</v>
      </c>
      <c r="BW32" t="s">
        <v>30</v>
      </c>
      <c r="BX32" t="s">
        <v>43</v>
      </c>
      <c r="BY32" t="s">
        <v>30</v>
      </c>
      <c r="BZ32" t="s">
        <v>35</v>
      </c>
      <c r="CA32" t="s">
        <v>41</v>
      </c>
      <c r="CB32" t="s">
        <v>41</v>
      </c>
      <c r="CC32" t="s">
        <v>41</v>
      </c>
      <c r="CD32" t="s">
        <v>42</v>
      </c>
      <c r="CE32" t="s">
        <v>35</v>
      </c>
      <c r="CF32" t="s">
        <v>30</v>
      </c>
      <c r="CG32" t="s">
        <v>41</v>
      </c>
      <c r="CH32" t="s">
        <v>30</v>
      </c>
      <c r="CI32" t="s">
        <v>24</v>
      </c>
      <c r="CJ32" t="s">
        <v>25</v>
      </c>
      <c r="CK32" t="s">
        <v>25</v>
      </c>
      <c r="CL32" t="s">
        <v>42</v>
      </c>
      <c r="CM32" t="s">
        <v>42</v>
      </c>
      <c r="CN32" t="s">
        <v>30</v>
      </c>
      <c r="CO32" t="s">
        <v>25</v>
      </c>
      <c r="CP32" t="s">
        <v>25</v>
      </c>
      <c r="CQ32" t="s">
        <v>30</v>
      </c>
      <c r="CR32" t="s">
        <v>35</v>
      </c>
      <c r="CS32" t="s">
        <v>35</v>
      </c>
      <c r="CT32" t="s">
        <v>30</v>
      </c>
      <c r="CU32" t="s">
        <v>41</v>
      </c>
      <c r="CV32" t="s">
        <v>43</v>
      </c>
      <c r="CW32" t="s">
        <v>24</v>
      </c>
      <c r="CX32" t="s">
        <v>35</v>
      </c>
      <c r="CY32" t="s">
        <v>41</v>
      </c>
      <c r="CZ32" t="s">
        <v>25</v>
      </c>
      <c r="DA32" t="s">
        <v>43</v>
      </c>
      <c r="DB32" t="s">
        <v>43</v>
      </c>
      <c r="DC32" t="s">
        <v>24</v>
      </c>
      <c r="DD32" t="s">
        <v>35</v>
      </c>
    </row>
    <row r="33" spans="1:108" x14ac:dyDescent="0.35">
      <c r="B33" s="37" t="s">
        <v>80</v>
      </c>
      <c r="C33" s="15">
        <v>0.50546100897179469</v>
      </c>
      <c r="D33" s="15">
        <v>0.50976100897179466</v>
      </c>
      <c r="E33" s="15">
        <v>0.50276100897179465</v>
      </c>
      <c r="F33" s="15">
        <v>0.52026100897179473</v>
      </c>
      <c r="G33" s="15">
        <v>0.49716100897179472</v>
      </c>
      <c r="H33" s="15">
        <v>0.5154610089717947</v>
      </c>
      <c r="I33" s="15">
        <v>0.50586100897179465</v>
      </c>
      <c r="J33" s="15">
        <v>0.50286100897179464</v>
      </c>
      <c r="K33" s="15">
        <v>0.5033610089717947</v>
      </c>
      <c r="L33" s="15">
        <v>0.50486100897179464</v>
      </c>
      <c r="M33" s="15">
        <v>0.50626100897179471</v>
      </c>
      <c r="N33" s="15">
        <v>0.52106100897179464</v>
      </c>
      <c r="O33" s="15">
        <v>0.49056100897179467</v>
      </c>
      <c r="P33" s="15">
        <v>0.49616100897179471</v>
      </c>
      <c r="Q33" s="15">
        <v>0.51456100897179469</v>
      </c>
      <c r="R33" s="15">
        <v>0.49566100897179471</v>
      </c>
      <c r="S33" s="15">
        <v>0.51196100897179464</v>
      </c>
      <c r="T33" s="15">
        <v>0.49616100897179471</v>
      </c>
      <c r="U33" s="15">
        <v>0.51806100897179475</v>
      </c>
      <c r="V33" s="15">
        <v>0.51796100897179465</v>
      </c>
      <c r="W33" s="15">
        <v>0.49086100897179469</v>
      </c>
      <c r="X33" s="15">
        <v>0.4932610089717947</v>
      </c>
      <c r="Y33" s="15">
        <v>0.51976100897179467</v>
      </c>
      <c r="Z33" s="15">
        <v>0.50016100897179472</v>
      </c>
      <c r="AA33" s="15">
        <v>0.49636100897179469</v>
      </c>
      <c r="AB33" s="15">
        <v>0.51266100897179467</v>
      </c>
      <c r="AC33" s="15">
        <v>0.49536100897179469</v>
      </c>
      <c r="AD33" s="15">
        <v>0.5144610089717947</v>
      </c>
      <c r="AE33" s="15">
        <v>0.51276100897179466</v>
      </c>
      <c r="AF33" s="15">
        <v>0.50786100897179465</v>
      </c>
      <c r="AG33" s="15">
        <v>0.52216100897179474</v>
      </c>
      <c r="AH33" s="15">
        <v>0.51326100897179472</v>
      </c>
      <c r="AI33" s="15">
        <v>0.51556100897179469</v>
      </c>
      <c r="AJ33" s="15">
        <v>0.51776100897179467</v>
      </c>
      <c r="AK33" s="2"/>
      <c r="AL33" s="37" t="s">
        <v>80</v>
      </c>
      <c r="AM33" s="30">
        <v>0.15546195497493578</v>
      </c>
      <c r="AN33" s="30">
        <v>0.14788884229897176</v>
      </c>
      <c r="AO33" s="30">
        <v>0.18783580282479115</v>
      </c>
      <c r="AP33" s="30">
        <v>0.19709130916832732</v>
      </c>
      <c r="AQ33" s="30">
        <v>0.12964665836231376</v>
      </c>
      <c r="AR33" s="30">
        <v>0.18169080251651271</v>
      </c>
      <c r="AS33" s="30">
        <v>0.14880621442603054</v>
      </c>
      <c r="AT33" s="30">
        <v>0.1091055394794101</v>
      </c>
      <c r="AU33" s="30">
        <v>0.17502793761239727</v>
      </c>
      <c r="AV33" s="30">
        <v>0.16942418714845497</v>
      </c>
      <c r="AW33" s="30">
        <v>0.16204405498430824</v>
      </c>
      <c r="AX33" s="30">
        <v>0.13613182960701262</v>
      </c>
      <c r="AY33" s="30">
        <v>0.12375355660597609</v>
      </c>
      <c r="AZ33" s="30">
        <v>0.11655960438209367</v>
      </c>
      <c r="BA33" s="30">
        <v>0.14173423247096484</v>
      </c>
      <c r="BB33" s="30">
        <v>0.15410877175170393</v>
      </c>
      <c r="BC33" s="30">
        <v>0.20009744812504013</v>
      </c>
      <c r="BD33" s="30">
        <v>0.1849881526375089</v>
      </c>
      <c r="BE33" s="30">
        <v>0.16987323542934671</v>
      </c>
      <c r="BF33" s="30">
        <v>0.19143790360734267</v>
      </c>
      <c r="BG33" s="30">
        <v>0.19459392258882535</v>
      </c>
      <c r="BH33" s="30">
        <v>0.17997971919171221</v>
      </c>
      <c r="BI33" s="30">
        <v>0.18747450276785266</v>
      </c>
      <c r="BJ33" s="30">
        <v>0.17418634875132599</v>
      </c>
      <c r="BK33" s="30">
        <v>0.16704958671555059</v>
      </c>
      <c r="BL33" s="30">
        <v>0.16353293768746965</v>
      </c>
      <c r="BM33" s="30">
        <v>0.15314955203939781</v>
      </c>
      <c r="BN33" s="30">
        <v>0.17975986182117992</v>
      </c>
      <c r="BO33" s="30">
        <v>0.15560692715941368</v>
      </c>
      <c r="BP33" s="30">
        <v>0.17138941153715156</v>
      </c>
      <c r="BQ33" s="30">
        <v>0.16566736707824317</v>
      </c>
      <c r="BR33" s="30">
        <v>0.1837563158566089</v>
      </c>
      <c r="BS33" s="30">
        <v>0.16559511896342555</v>
      </c>
      <c r="BT33" s="30">
        <v>0.17672779075274406</v>
      </c>
      <c r="BV33" s="37" t="s">
        <v>80</v>
      </c>
      <c r="BW33" t="s">
        <v>43</v>
      </c>
      <c r="BX33" t="s">
        <v>30</v>
      </c>
      <c r="BY33" t="s">
        <v>41</v>
      </c>
      <c r="BZ33" t="s">
        <v>30</v>
      </c>
      <c r="CA33" t="s">
        <v>42</v>
      </c>
      <c r="CB33" t="s">
        <v>43</v>
      </c>
      <c r="CC33" t="s">
        <v>43</v>
      </c>
      <c r="CD33" t="s">
        <v>41</v>
      </c>
      <c r="CE33" t="s">
        <v>41</v>
      </c>
      <c r="CF33" t="s">
        <v>43</v>
      </c>
      <c r="CG33" t="s">
        <v>42</v>
      </c>
      <c r="CH33" t="s">
        <v>24</v>
      </c>
      <c r="CI33" t="s">
        <v>43</v>
      </c>
      <c r="CJ33" t="s">
        <v>41</v>
      </c>
      <c r="CK33" t="s">
        <v>43</v>
      </c>
      <c r="CL33" t="s">
        <v>41</v>
      </c>
      <c r="CM33" t="s">
        <v>42</v>
      </c>
      <c r="CN33" t="s">
        <v>24</v>
      </c>
      <c r="CO33" t="s">
        <v>41</v>
      </c>
      <c r="CP33" t="s">
        <v>35</v>
      </c>
      <c r="CQ33" t="s">
        <v>43</v>
      </c>
      <c r="CR33" t="s">
        <v>25</v>
      </c>
      <c r="CS33" t="s">
        <v>41</v>
      </c>
      <c r="CT33" t="s">
        <v>35</v>
      </c>
      <c r="CU33" t="s">
        <v>42</v>
      </c>
      <c r="CV33" t="s">
        <v>35</v>
      </c>
      <c r="CW33" t="s">
        <v>42</v>
      </c>
      <c r="CX33" t="s">
        <v>42</v>
      </c>
      <c r="CY33" t="s">
        <v>41</v>
      </c>
      <c r="CZ33" t="s">
        <v>41</v>
      </c>
      <c r="DA33" t="s">
        <v>25</v>
      </c>
      <c r="DB33" t="s">
        <v>30</v>
      </c>
      <c r="DC33" t="s">
        <v>30</v>
      </c>
      <c r="DD33" t="s">
        <v>43</v>
      </c>
    </row>
    <row r="34" spans="1:108" x14ac:dyDescent="0.35">
      <c r="B34" s="37" t="s">
        <v>81</v>
      </c>
      <c r="C34" s="15">
        <v>0.22930479148351329</v>
      </c>
      <c r="D34" s="15">
        <v>0.21900479148351329</v>
      </c>
      <c r="E34" s="15">
        <v>0.2134047914835133</v>
      </c>
      <c r="F34" s="15">
        <v>0.23590479148351329</v>
      </c>
      <c r="G34" s="15">
        <v>0.2416047914835133</v>
      </c>
      <c r="H34" s="15">
        <v>0.2169047914835133</v>
      </c>
      <c r="I34" s="15">
        <v>0.21620479148351329</v>
      </c>
      <c r="J34" s="15">
        <v>0.2275047914835133</v>
      </c>
      <c r="K34" s="15">
        <v>0.21530479148351328</v>
      </c>
      <c r="L34" s="15">
        <v>0.2446047914835133</v>
      </c>
      <c r="M34" s="15">
        <v>0.21530479148351328</v>
      </c>
      <c r="N34" s="15">
        <v>0.22460479148351328</v>
      </c>
      <c r="O34" s="15">
        <v>0.2156047914835133</v>
      </c>
      <c r="P34" s="15">
        <v>0.24620479148351329</v>
      </c>
      <c r="Q34" s="15">
        <v>0.22060479148351331</v>
      </c>
      <c r="R34" s="15">
        <v>0.23120479148351331</v>
      </c>
      <c r="S34" s="15">
        <v>0.22350479148351329</v>
      </c>
      <c r="T34" s="15">
        <v>0.22690479148351328</v>
      </c>
      <c r="U34" s="15">
        <v>0.22780479148351329</v>
      </c>
      <c r="V34" s="15">
        <v>0.24580479148351331</v>
      </c>
      <c r="W34" s="15">
        <v>0.22000479148351329</v>
      </c>
      <c r="X34" s="15">
        <v>0.2436047914835133</v>
      </c>
      <c r="Y34" s="15">
        <v>0.2227047914835133</v>
      </c>
      <c r="Z34" s="15">
        <v>0.21430479148351328</v>
      </c>
      <c r="AA34" s="15">
        <v>0.2151047914835133</v>
      </c>
      <c r="AB34" s="15">
        <v>0.2333047914835133</v>
      </c>
      <c r="AC34" s="15">
        <v>0.23440479148351329</v>
      </c>
      <c r="AD34" s="15">
        <v>0.24290479148351329</v>
      </c>
      <c r="AE34" s="15">
        <v>0.22660479148351328</v>
      </c>
      <c r="AF34" s="15">
        <v>0.22430479148351329</v>
      </c>
      <c r="AG34" s="15">
        <v>0.2421047914835133</v>
      </c>
      <c r="AH34" s="15">
        <v>0.23160479148351329</v>
      </c>
      <c r="AI34" s="15">
        <v>0.2151047914835133</v>
      </c>
      <c r="AJ34" s="15">
        <v>0.22310479148351328</v>
      </c>
      <c r="AK34" s="2"/>
      <c r="AL34" s="37" t="s">
        <v>81</v>
      </c>
      <c r="AM34" s="30">
        <v>0.17964199733493577</v>
      </c>
      <c r="AN34" s="30">
        <v>0.17206888465897174</v>
      </c>
      <c r="AO34" s="30">
        <v>0.21201584518479114</v>
      </c>
      <c r="AP34" s="30">
        <v>0.2212713515283273</v>
      </c>
      <c r="AQ34" s="30">
        <v>0.15382670072231375</v>
      </c>
      <c r="AR34" s="30">
        <v>0.20587084487651269</v>
      </c>
      <c r="AS34" s="30">
        <v>0.17298625678603052</v>
      </c>
      <c r="AT34" s="30">
        <v>0.13328558183941008</v>
      </c>
      <c r="AU34" s="30">
        <v>0.19920797997239725</v>
      </c>
      <c r="AV34" s="30">
        <v>0.19360422950845496</v>
      </c>
      <c r="AW34" s="30">
        <v>0.18622409734430823</v>
      </c>
      <c r="AX34" s="30">
        <v>0.1603118719670126</v>
      </c>
      <c r="AY34" s="30">
        <v>0.14793359896597608</v>
      </c>
      <c r="AZ34" s="30">
        <v>0.14073964674209366</v>
      </c>
      <c r="BA34" s="30">
        <v>0.16591427483096483</v>
      </c>
      <c r="BB34" s="30">
        <v>0.17828881411170391</v>
      </c>
      <c r="BC34" s="30">
        <v>0.22427749048504012</v>
      </c>
      <c r="BD34" s="30">
        <v>0.20916819499750888</v>
      </c>
      <c r="BE34" s="30">
        <v>0.1940532777893467</v>
      </c>
      <c r="BF34" s="30">
        <v>0.21561794596734266</v>
      </c>
      <c r="BG34" s="30">
        <v>0.21877396494882534</v>
      </c>
      <c r="BH34" s="30">
        <v>0.2041597615517122</v>
      </c>
      <c r="BI34" s="30">
        <v>0.21165454512785264</v>
      </c>
      <c r="BJ34" s="30">
        <v>0.19836639111132598</v>
      </c>
      <c r="BK34" s="30">
        <v>0.19122962907555058</v>
      </c>
      <c r="BL34" s="30">
        <v>0.18771298004746964</v>
      </c>
      <c r="BM34" s="30">
        <v>0.1773295943993978</v>
      </c>
      <c r="BN34" s="30">
        <v>0.20393990418117991</v>
      </c>
      <c r="BO34" s="30">
        <v>0.17978696951941367</v>
      </c>
      <c r="BP34" s="30">
        <v>0.19556945389715155</v>
      </c>
      <c r="BQ34" s="30">
        <v>0.18984740943824316</v>
      </c>
      <c r="BR34" s="30">
        <v>0.20793635821660889</v>
      </c>
      <c r="BS34" s="30">
        <v>0.18977516132342553</v>
      </c>
      <c r="BT34" s="30">
        <v>0.20090783311274404</v>
      </c>
      <c r="BV34" s="37" t="s">
        <v>81</v>
      </c>
      <c r="BW34" t="s">
        <v>35</v>
      </c>
      <c r="BX34" t="s">
        <v>43</v>
      </c>
      <c r="BY34" t="s">
        <v>42</v>
      </c>
      <c r="BZ34" t="s">
        <v>42</v>
      </c>
      <c r="CA34" t="s">
        <v>43</v>
      </c>
      <c r="CB34" t="s">
        <v>43</v>
      </c>
      <c r="CC34" t="s">
        <v>35</v>
      </c>
      <c r="CD34" t="s">
        <v>41</v>
      </c>
      <c r="CE34" t="s">
        <v>35</v>
      </c>
      <c r="CF34" t="s">
        <v>35</v>
      </c>
      <c r="CG34" t="s">
        <v>25</v>
      </c>
      <c r="CH34" t="s">
        <v>25</v>
      </c>
      <c r="CI34" t="s">
        <v>41</v>
      </c>
      <c r="CJ34" t="s">
        <v>41</v>
      </c>
      <c r="CK34" t="s">
        <v>42</v>
      </c>
      <c r="CL34" t="s">
        <v>35</v>
      </c>
      <c r="CM34" t="s">
        <v>42</v>
      </c>
      <c r="CN34" t="s">
        <v>24</v>
      </c>
      <c r="CO34" t="s">
        <v>41</v>
      </c>
      <c r="CP34" t="s">
        <v>41</v>
      </c>
      <c r="CQ34" t="s">
        <v>30</v>
      </c>
      <c r="CR34" t="s">
        <v>43</v>
      </c>
      <c r="CS34" t="s">
        <v>25</v>
      </c>
      <c r="CT34" t="s">
        <v>25</v>
      </c>
      <c r="CU34" t="s">
        <v>43</v>
      </c>
      <c r="CV34" t="s">
        <v>24</v>
      </c>
      <c r="CW34" t="s">
        <v>41</v>
      </c>
      <c r="CX34" t="s">
        <v>25</v>
      </c>
      <c r="CY34" t="s">
        <v>30</v>
      </c>
      <c r="CZ34" t="s">
        <v>43</v>
      </c>
      <c r="DA34" t="s">
        <v>30</v>
      </c>
      <c r="DB34" t="s">
        <v>35</v>
      </c>
      <c r="DC34" t="s">
        <v>35</v>
      </c>
      <c r="DD34" t="s">
        <v>41</v>
      </c>
    </row>
    <row r="35" spans="1:108" x14ac:dyDescent="0.35">
      <c r="B35" s="37" t="s">
        <v>82</v>
      </c>
      <c r="C35" s="15">
        <f t="shared" ref="C35:AJ35" si="50">1-SUM(C33:C34)</f>
        <v>0.26523419954469207</v>
      </c>
      <c r="D35" s="15">
        <f t="shared" si="50"/>
        <v>0.27123419954469208</v>
      </c>
      <c r="E35" s="15">
        <f t="shared" si="50"/>
        <v>0.28383419954469202</v>
      </c>
      <c r="F35" s="15">
        <f t="shared" si="50"/>
        <v>0.24383419954469199</v>
      </c>
      <c r="G35" s="15">
        <f t="shared" si="50"/>
        <v>0.26123419954469196</v>
      </c>
      <c r="H35" s="15">
        <f t="shared" si="50"/>
        <v>0.26763419954469203</v>
      </c>
      <c r="I35" s="15">
        <f t="shared" si="50"/>
        <v>0.27793419954469201</v>
      </c>
      <c r="J35" s="15">
        <f t="shared" si="50"/>
        <v>0.26963419954469203</v>
      </c>
      <c r="K35" s="15">
        <f t="shared" si="50"/>
        <v>0.28133419954469208</v>
      </c>
      <c r="L35" s="15">
        <f t="shared" si="50"/>
        <v>0.25053419954469203</v>
      </c>
      <c r="M35" s="15">
        <f t="shared" si="50"/>
        <v>0.27843419954469195</v>
      </c>
      <c r="N35" s="15">
        <f t="shared" si="50"/>
        <v>0.25433419954469205</v>
      </c>
      <c r="O35" s="15">
        <f t="shared" si="50"/>
        <v>0.29383419954469203</v>
      </c>
      <c r="P35" s="15">
        <f t="shared" si="50"/>
        <v>0.25763419954469202</v>
      </c>
      <c r="Q35" s="15">
        <f t="shared" si="50"/>
        <v>0.26483419954469201</v>
      </c>
      <c r="R35" s="15">
        <f t="shared" si="50"/>
        <v>0.27313419954469198</v>
      </c>
      <c r="S35" s="15">
        <f t="shared" si="50"/>
        <v>0.26453419954469204</v>
      </c>
      <c r="T35" s="15">
        <f t="shared" si="50"/>
        <v>0.27693419954469201</v>
      </c>
      <c r="U35" s="15">
        <f t="shared" si="50"/>
        <v>0.25413419954469196</v>
      </c>
      <c r="V35" s="15">
        <f t="shared" si="50"/>
        <v>0.23623419954469205</v>
      </c>
      <c r="W35" s="15">
        <f t="shared" si="50"/>
        <v>0.28913419954469199</v>
      </c>
      <c r="X35" s="15">
        <f t="shared" si="50"/>
        <v>0.26313419954469197</v>
      </c>
      <c r="Y35" s="15">
        <f t="shared" si="50"/>
        <v>0.25753419954469203</v>
      </c>
      <c r="Z35" s="15">
        <f t="shared" si="50"/>
        <v>0.28553419954469206</v>
      </c>
      <c r="AA35" s="15">
        <f t="shared" si="50"/>
        <v>0.28853419954469195</v>
      </c>
      <c r="AB35" s="15">
        <f t="shared" si="50"/>
        <v>0.25403419954469197</v>
      </c>
      <c r="AC35" s="15">
        <f t="shared" si="50"/>
        <v>0.27023419954469197</v>
      </c>
      <c r="AD35" s="15">
        <f t="shared" si="50"/>
        <v>0.24263419954469201</v>
      </c>
      <c r="AE35" s="15">
        <f t="shared" si="50"/>
        <v>0.26063419954469202</v>
      </c>
      <c r="AF35" s="15">
        <f t="shared" si="50"/>
        <v>0.26783419954469201</v>
      </c>
      <c r="AG35" s="15">
        <f t="shared" si="50"/>
        <v>0.23573419954469199</v>
      </c>
      <c r="AH35" s="15">
        <f t="shared" si="50"/>
        <v>0.25513419954469196</v>
      </c>
      <c r="AI35" s="15">
        <f t="shared" si="50"/>
        <v>0.26933419954469207</v>
      </c>
      <c r="AJ35" s="15">
        <f t="shared" si="50"/>
        <v>0.25913419954469208</v>
      </c>
      <c r="AK35" s="2"/>
      <c r="AL35" s="37" t="s">
        <v>82</v>
      </c>
      <c r="AM35" s="30">
        <v>0.19704490333493577</v>
      </c>
      <c r="AN35" s="30">
        <v>0.18947179065897174</v>
      </c>
      <c r="AO35" s="30">
        <v>0.22941875118479113</v>
      </c>
      <c r="AP35" s="30">
        <v>0.2386742575283273</v>
      </c>
      <c r="AQ35" s="30">
        <v>0.17122960672231374</v>
      </c>
      <c r="AR35" s="30">
        <v>0.22327375087651269</v>
      </c>
      <c r="AS35" s="30">
        <v>0.19038916278603052</v>
      </c>
      <c r="AT35" s="30">
        <v>0.15068848783941008</v>
      </c>
      <c r="AU35" s="30">
        <v>0.21661088597239725</v>
      </c>
      <c r="AV35" s="30">
        <v>0.21100713550845496</v>
      </c>
      <c r="AW35" s="30">
        <v>0.20362700334430822</v>
      </c>
      <c r="AX35" s="30">
        <v>0.1777147779670126</v>
      </c>
      <c r="AY35" s="30">
        <v>0.16533650496597607</v>
      </c>
      <c r="AZ35" s="30">
        <v>0.15814255274209366</v>
      </c>
      <c r="BA35" s="30">
        <v>0.18331718083096482</v>
      </c>
      <c r="BB35" s="30">
        <v>0.19569172011170391</v>
      </c>
      <c r="BC35" s="30">
        <v>0.24168039648504011</v>
      </c>
      <c r="BD35" s="30">
        <v>0.22657110099750888</v>
      </c>
      <c r="BE35" s="30">
        <v>0.21145618378934669</v>
      </c>
      <c r="BF35" s="30">
        <v>0.23302085196734265</v>
      </c>
      <c r="BG35" s="30">
        <v>0.23617687094882533</v>
      </c>
      <c r="BH35" s="30">
        <v>0.22156266755171219</v>
      </c>
      <c r="BI35" s="30">
        <v>0.22905745112785264</v>
      </c>
      <c r="BJ35" s="30">
        <v>0.21576929711132598</v>
      </c>
      <c r="BK35" s="30">
        <v>0.20863253507555057</v>
      </c>
      <c r="BL35" s="30">
        <v>0.20511588604746964</v>
      </c>
      <c r="BM35" s="30">
        <v>0.1947325003993978</v>
      </c>
      <c r="BN35" s="30">
        <v>0.22134281018117991</v>
      </c>
      <c r="BO35" s="30">
        <v>0.19718987551941367</v>
      </c>
      <c r="BP35" s="30">
        <v>0.21297235989715155</v>
      </c>
      <c r="BQ35" s="30">
        <v>0.20725031543824315</v>
      </c>
      <c r="BR35" s="30">
        <v>0.22533926421660888</v>
      </c>
      <c r="BS35" s="30">
        <v>0.20717806732342553</v>
      </c>
      <c r="BT35" s="30">
        <v>0.21831073911274404</v>
      </c>
      <c r="BV35" s="37" t="s">
        <v>82</v>
      </c>
      <c r="BW35" t="s">
        <v>25</v>
      </c>
      <c r="BX35" t="s">
        <v>43</v>
      </c>
      <c r="BY35" t="s">
        <v>30</v>
      </c>
      <c r="BZ35" t="s">
        <v>42</v>
      </c>
      <c r="CA35" t="s">
        <v>30</v>
      </c>
      <c r="CB35" t="s">
        <v>41</v>
      </c>
      <c r="CC35" t="s">
        <v>43</v>
      </c>
      <c r="CD35" t="s">
        <v>42</v>
      </c>
      <c r="CE35" t="s">
        <v>43</v>
      </c>
      <c r="CF35" t="s">
        <v>24</v>
      </c>
      <c r="CG35" t="s">
        <v>30</v>
      </c>
      <c r="CH35" t="s">
        <v>43</v>
      </c>
      <c r="CI35" t="s">
        <v>35</v>
      </c>
      <c r="CJ35" t="s">
        <v>43</v>
      </c>
      <c r="CK35" t="s">
        <v>42</v>
      </c>
      <c r="CL35" t="s">
        <v>43</v>
      </c>
      <c r="CM35" t="s">
        <v>25</v>
      </c>
      <c r="CN35" t="s">
        <v>41</v>
      </c>
      <c r="CO35" t="s">
        <v>30</v>
      </c>
      <c r="CP35" t="s">
        <v>42</v>
      </c>
      <c r="CQ35" t="s">
        <v>35</v>
      </c>
      <c r="CR35" t="s">
        <v>42</v>
      </c>
      <c r="CS35" t="s">
        <v>43</v>
      </c>
      <c r="CT35" t="s">
        <v>35</v>
      </c>
      <c r="CU35" t="s">
        <v>35</v>
      </c>
      <c r="CV35" t="s">
        <v>35</v>
      </c>
      <c r="CW35" t="s">
        <v>43</v>
      </c>
      <c r="CX35" t="s">
        <v>42</v>
      </c>
      <c r="CY35" t="s">
        <v>42</v>
      </c>
      <c r="CZ35" t="s">
        <v>41</v>
      </c>
      <c r="DA35" t="s">
        <v>41</v>
      </c>
      <c r="DB35" t="s">
        <v>25</v>
      </c>
      <c r="DC35" t="s">
        <v>41</v>
      </c>
      <c r="DD35" t="s">
        <v>43</v>
      </c>
    </row>
    <row r="36" spans="1:108" x14ac:dyDescent="0.35">
      <c r="B36" s="4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13"/>
      <c r="Z36" s="2"/>
      <c r="AA36" s="2"/>
      <c r="AB36" s="2"/>
      <c r="AC36" s="2"/>
      <c r="AD36" s="2"/>
      <c r="AE36" s="2"/>
      <c r="AF36" s="12"/>
      <c r="AG36" s="2"/>
      <c r="AH36" s="2"/>
      <c r="AI36" s="2"/>
      <c r="AJ36" s="2"/>
      <c r="AK36" s="2"/>
      <c r="AL36" s="4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V36" s="4"/>
    </row>
    <row r="37" spans="1:108" x14ac:dyDescent="0.35">
      <c r="B37" s="4" t="s">
        <v>85</v>
      </c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13"/>
      <c r="Z37" s="2"/>
      <c r="AA37" s="2"/>
      <c r="AB37" s="2"/>
      <c r="AC37" s="2"/>
      <c r="AD37" s="2"/>
      <c r="AE37" s="2"/>
      <c r="AF37" s="12"/>
      <c r="AG37" s="2"/>
      <c r="AH37" s="2"/>
      <c r="AI37" s="2"/>
      <c r="AJ37" s="2"/>
      <c r="AK37" s="2"/>
      <c r="AL37" s="4" t="s">
        <v>85</v>
      </c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V37" s="4" t="s">
        <v>85</v>
      </c>
    </row>
    <row r="38" spans="1:108" x14ac:dyDescent="0.35">
      <c r="B38" t="s">
        <v>86</v>
      </c>
      <c r="C38" s="15">
        <v>0.30125496222307591</v>
      </c>
      <c r="D38" s="15">
        <v>0.31665496222307593</v>
      </c>
      <c r="E38" s="15">
        <v>0.28595496222307593</v>
      </c>
      <c r="F38" s="15">
        <v>0.2851549622230759</v>
      </c>
      <c r="G38" s="15">
        <v>0.3144549622230759</v>
      </c>
      <c r="H38" s="15">
        <v>0.3108549622230759</v>
      </c>
      <c r="I38" s="15">
        <v>0.30145496222307588</v>
      </c>
      <c r="J38" s="15">
        <v>0.28605496222307591</v>
      </c>
      <c r="K38" s="15">
        <v>0.30855496222307588</v>
      </c>
      <c r="L38" s="15">
        <v>0.28555496222307591</v>
      </c>
      <c r="M38" s="15">
        <v>0.30405496222307593</v>
      </c>
      <c r="N38" s="15">
        <v>0.31715496222307593</v>
      </c>
      <c r="O38" s="15">
        <v>0.28585496222307588</v>
      </c>
      <c r="P38" s="15">
        <v>0.29935496222307589</v>
      </c>
      <c r="Q38" s="15">
        <v>0.31715496222307593</v>
      </c>
      <c r="R38" s="15">
        <v>0.30575496222307591</v>
      </c>
      <c r="S38" s="15">
        <v>0.3103549622230759</v>
      </c>
      <c r="T38" s="15">
        <v>0.28815496222307591</v>
      </c>
      <c r="U38" s="15">
        <v>0.30655496222307593</v>
      </c>
      <c r="V38" s="15">
        <v>0.31785496222307591</v>
      </c>
      <c r="W38" s="15">
        <v>0.30165496222307592</v>
      </c>
      <c r="X38" s="15">
        <v>0.29935496222307589</v>
      </c>
      <c r="Y38" s="15">
        <v>0.28845496222307593</v>
      </c>
      <c r="Z38" s="15">
        <v>0.29845496222307588</v>
      </c>
      <c r="AA38" s="15">
        <v>0.28495496222307592</v>
      </c>
      <c r="AB38" s="15">
        <v>0.30955496222307588</v>
      </c>
      <c r="AC38" s="15">
        <v>0.29235496222307589</v>
      </c>
      <c r="AD38" s="15">
        <v>0.2871549622230759</v>
      </c>
      <c r="AE38" s="15">
        <v>0.29045496222307593</v>
      </c>
      <c r="AF38" s="15">
        <v>0.29465496222307591</v>
      </c>
      <c r="AG38" s="15">
        <v>0.3028549622230759</v>
      </c>
      <c r="AH38" s="15">
        <v>0.3144549622230759</v>
      </c>
      <c r="AI38" s="15">
        <v>0.29015496222307591</v>
      </c>
      <c r="AJ38" s="15">
        <v>0.30615496222307592</v>
      </c>
      <c r="AK38" s="15"/>
      <c r="AL38" t="s">
        <v>86</v>
      </c>
      <c r="AM38" s="31">
        <v>0.10438051824492653</v>
      </c>
      <c r="AN38" s="31">
        <v>9.6542625947744223E-2</v>
      </c>
      <c r="AO38" s="31">
        <v>0.13627129371945229</v>
      </c>
      <c r="AP38" s="31">
        <v>0.1448277989018297</v>
      </c>
      <c r="AQ38" s="31">
        <v>7.9870807492206056E-2</v>
      </c>
      <c r="AR38" s="31">
        <v>0.13015190909446483</v>
      </c>
      <c r="AS38" s="31">
        <v>9.765031009868802E-2</v>
      </c>
      <c r="AT38" s="31">
        <v>5.850797640181693E-2</v>
      </c>
      <c r="AU38" s="31">
        <v>0.1236537457083644</v>
      </c>
      <c r="AV38" s="31">
        <v>0.11692986386214627</v>
      </c>
      <c r="AW38" s="31">
        <v>0.11045097967144052</v>
      </c>
      <c r="AX38" s="31">
        <v>8.5876391445663197E-2</v>
      </c>
      <c r="AY38" s="31">
        <v>7.2078984702602045E-2</v>
      </c>
      <c r="AZ38" s="31">
        <v>6.5985513915951782E-2</v>
      </c>
      <c r="BA38" s="31">
        <v>9.1303489504466886E-2</v>
      </c>
      <c r="BB38" s="31">
        <v>0.10393865393166504</v>
      </c>
      <c r="BC38" s="31">
        <v>0.14908841282478189</v>
      </c>
      <c r="BD38" s="31">
        <v>0.13359852983139026</v>
      </c>
      <c r="BE38" s="31">
        <v>0.11990423078139861</v>
      </c>
      <c r="BF38" s="31">
        <v>0.14060940844659028</v>
      </c>
      <c r="BG38" s="31">
        <v>0.14289599739463524</v>
      </c>
      <c r="BH38" s="31">
        <v>0.12989973380168529</v>
      </c>
      <c r="BI38" s="31">
        <v>0.13673896784312584</v>
      </c>
      <c r="BJ38" s="31">
        <v>0.12307104416430972</v>
      </c>
      <c r="BK38" s="31">
        <v>0.11486948797001409</v>
      </c>
      <c r="BL38" s="31">
        <v>0.11190668926187286</v>
      </c>
      <c r="BM38" s="31">
        <v>0.10262761649467325</v>
      </c>
      <c r="BN38" s="31">
        <v>0.12853378534421314</v>
      </c>
      <c r="BO38" s="31">
        <v>0.10447866955616217</v>
      </c>
      <c r="BP38" s="31">
        <v>0.12053636828011316</v>
      </c>
      <c r="BQ38" s="31">
        <v>0.11374956828011315</v>
      </c>
      <c r="BR38" s="31">
        <v>0.13364475206917548</v>
      </c>
      <c r="BS38" s="31">
        <v>0.11419184781428349</v>
      </c>
      <c r="BT38" s="31">
        <v>0.12506261543551214</v>
      </c>
      <c r="BV38" t="s">
        <v>86</v>
      </c>
      <c r="BW38" t="s">
        <v>24</v>
      </c>
      <c r="BX38" t="s">
        <v>43</v>
      </c>
      <c r="BY38" t="s">
        <v>30</v>
      </c>
      <c r="BZ38" t="s">
        <v>24</v>
      </c>
      <c r="CA38" t="s">
        <v>35</v>
      </c>
      <c r="CB38" t="s">
        <v>30</v>
      </c>
      <c r="CC38" t="s">
        <v>42</v>
      </c>
      <c r="CD38" t="s">
        <v>25</v>
      </c>
      <c r="CE38" t="s">
        <v>25</v>
      </c>
      <c r="CF38" t="s">
        <v>43</v>
      </c>
      <c r="CG38" t="s">
        <v>25</v>
      </c>
      <c r="CH38" t="s">
        <v>43</v>
      </c>
      <c r="CI38" t="s">
        <v>25</v>
      </c>
      <c r="CJ38" t="s">
        <v>42</v>
      </c>
      <c r="CK38" t="s">
        <v>43</v>
      </c>
      <c r="CL38" t="s">
        <v>41</v>
      </c>
      <c r="CM38" t="s">
        <v>43</v>
      </c>
      <c r="CN38" t="s">
        <v>35</v>
      </c>
      <c r="CO38" t="s">
        <v>42</v>
      </c>
      <c r="CP38" t="s">
        <v>30</v>
      </c>
      <c r="CQ38" t="s">
        <v>30</v>
      </c>
      <c r="CR38" t="s">
        <v>41</v>
      </c>
      <c r="CS38" t="s">
        <v>25</v>
      </c>
      <c r="CT38" t="s">
        <v>30</v>
      </c>
      <c r="CU38" t="s">
        <v>43</v>
      </c>
      <c r="CV38" t="s">
        <v>25</v>
      </c>
      <c r="CW38" t="s">
        <v>42</v>
      </c>
      <c r="CX38" t="s">
        <v>41</v>
      </c>
      <c r="CY38" t="s">
        <v>24</v>
      </c>
      <c r="CZ38" t="s">
        <v>42</v>
      </c>
      <c r="DA38" t="s">
        <v>25</v>
      </c>
      <c r="DB38" t="s">
        <v>35</v>
      </c>
      <c r="DC38" t="s">
        <v>43</v>
      </c>
      <c r="DD38" t="s">
        <v>30</v>
      </c>
    </row>
    <row r="39" spans="1:108" x14ac:dyDescent="0.35">
      <c r="B39" t="s">
        <v>87</v>
      </c>
      <c r="C39" s="15">
        <f>1-C38</f>
        <v>0.69874503777692409</v>
      </c>
      <c r="D39" s="15">
        <f t="shared" ref="D39:AJ39" si="51">1-D38</f>
        <v>0.68334503777692412</v>
      </c>
      <c r="E39" s="15">
        <f t="shared" si="51"/>
        <v>0.71404503777692407</v>
      </c>
      <c r="F39" s="15">
        <f t="shared" si="51"/>
        <v>0.7148450377769241</v>
      </c>
      <c r="G39" s="15">
        <f t="shared" si="51"/>
        <v>0.6855450377769241</v>
      </c>
      <c r="H39" s="15">
        <f t="shared" si="51"/>
        <v>0.68914503777692415</v>
      </c>
      <c r="I39" s="15">
        <f t="shared" si="51"/>
        <v>0.69854503777692412</v>
      </c>
      <c r="J39" s="15">
        <f t="shared" si="51"/>
        <v>0.71394503777692409</v>
      </c>
      <c r="K39" s="15">
        <f t="shared" si="51"/>
        <v>0.69144503777692412</v>
      </c>
      <c r="L39" s="15">
        <f t="shared" si="51"/>
        <v>0.71444503777692403</v>
      </c>
      <c r="M39" s="15">
        <f t="shared" si="51"/>
        <v>0.69594503777692407</v>
      </c>
      <c r="N39" s="15">
        <f t="shared" si="51"/>
        <v>0.68284503777692407</v>
      </c>
      <c r="O39" s="15">
        <f t="shared" si="51"/>
        <v>0.71414503777692406</v>
      </c>
      <c r="P39" s="15">
        <f t="shared" si="51"/>
        <v>0.70064503777692411</v>
      </c>
      <c r="Q39" s="15">
        <f t="shared" si="51"/>
        <v>0.68284503777692407</v>
      </c>
      <c r="R39" s="15">
        <f t="shared" si="51"/>
        <v>0.69424503777692403</v>
      </c>
      <c r="S39" s="15">
        <f t="shared" si="51"/>
        <v>0.6896450377769241</v>
      </c>
      <c r="T39" s="15">
        <f t="shared" si="51"/>
        <v>0.71184503777692409</v>
      </c>
      <c r="U39" s="15">
        <f t="shared" si="51"/>
        <v>0.69344503777692412</v>
      </c>
      <c r="V39" s="15">
        <f t="shared" si="51"/>
        <v>0.68214503777692403</v>
      </c>
      <c r="W39" s="15">
        <f t="shared" si="51"/>
        <v>0.69834503777692403</v>
      </c>
      <c r="X39" s="15">
        <f t="shared" si="51"/>
        <v>0.70064503777692411</v>
      </c>
      <c r="Y39" s="15">
        <f t="shared" si="51"/>
        <v>0.71154503777692413</v>
      </c>
      <c r="Z39" s="15">
        <f t="shared" si="51"/>
        <v>0.70154503777692412</v>
      </c>
      <c r="AA39" s="15">
        <f t="shared" si="51"/>
        <v>0.71504503777692408</v>
      </c>
      <c r="AB39" s="15">
        <f t="shared" si="51"/>
        <v>0.69044503777692412</v>
      </c>
      <c r="AC39" s="15">
        <f t="shared" si="51"/>
        <v>0.70764503777692411</v>
      </c>
      <c r="AD39" s="15">
        <f t="shared" si="51"/>
        <v>0.7128450377769241</v>
      </c>
      <c r="AE39" s="15">
        <f t="shared" si="51"/>
        <v>0.70954503777692413</v>
      </c>
      <c r="AF39" s="15">
        <f t="shared" si="51"/>
        <v>0.70534503777692414</v>
      </c>
      <c r="AG39" s="15">
        <f t="shared" si="51"/>
        <v>0.69714503777692416</v>
      </c>
      <c r="AH39" s="15">
        <f t="shared" si="51"/>
        <v>0.6855450377769241</v>
      </c>
      <c r="AI39" s="15">
        <f t="shared" si="51"/>
        <v>0.70984503777692409</v>
      </c>
      <c r="AJ39" s="15">
        <f t="shared" si="51"/>
        <v>0.69384503777692408</v>
      </c>
      <c r="AK39" s="15"/>
      <c r="AL39" t="s">
        <v>87</v>
      </c>
      <c r="AM39" s="31">
        <v>0.13038051824492652</v>
      </c>
      <c r="AN39" s="31">
        <v>0.12254262594774422</v>
      </c>
      <c r="AO39" s="31">
        <v>0.16227129371945229</v>
      </c>
      <c r="AP39" s="31">
        <v>0.1708277989018297</v>
      </c>
      <c r="AQ39" s="31">
        <v>0.10587080749220605</v>
      </c>
      <c r="AR39" s="31">
        <v>0.15615190909446483</v>
      </c>
      <c r="AS39" s="31">
        <v>0.12365031009868802</v>
      </c>
      <c r="AT39" s="31">
        <v>8.4507976401816925E-2</v>
      </c>
      <c r="AU39" s="31">
        <v>0.1496537457083644</v>
      </c>
      <c r="AV39" s="31">
        <v>0.14292986386214626</v>
      </c>
      <c r="AW39" s="31">
        <v>0.13645097967144051</v>
      </c>
      <c r="AX39" s="31">
        <v>0.11187639144566319</v>
      </c>
      <c r="AY39" s="31">
        <v>9.807898470260204E-2</v>
      </c>
      <c r="AZ39" s="31">
        <v>9.1985513915951778E-2</v>
      </c>
      <c r="BA39" s="31">
        <v>0.11730348950446688</v>
      </c>
      <c r="BB39" s="31">
        <v>0.12993865393166504</v>
      </c>
      <c r="BC39" s="31">
        <v>0.17508841282478188</v>
      </c>
      <c r="BD39" s="31">
        <v>0.15959852983139025</v>
      </c>
      <c r="BE39" s="31">
        <v>0.14590423078139861</v>
      </c>
      <c r="BF39" s="31">
        <v>0.16660940844659028</v>
      </c>
      <c r="BG39" s="31">
        <v>0.16889599739463523</v>
      </c>
      <c r="BH39" s="31">
        <v>0.15589973380168529</v>
      </c>
      <c r="BI39" s="31">
        <v>0.16273896784312583</v>
      </c>
      <c r="BJ39" s="31">
        <v>0.14907104416430972</v>
      </c>
      <c r="BK39" s="31">
        <v>0.14086948797001408</v>
      </c>
      <c r="BL39" s="31">
        <v>0.13790668926187286</v>
      </c>
      <c r="BM39" s="31">
        <v>0.12862761649467325</v>
      </c>
      <c r="BN39" s="31">
        <v>0.15453378534421314</v>
      </c>
      <c r="BO39" s="31">
        <v>0.13047866955616216</v>
      </c>
      <c r="BP39" s="31">
        <v>0.14653636828011316</v>
      </c>
      <c r="BQ39" s="31">
        <v>0.13974956828011315</v>
      </c>
      <c r="BR39" s="31">
        <v>0.15964475206917547</v>
      </c>
      <c r="BS39" s="31">
        <v>0.14019184781428348</v>
      </c>
      <c r="BT39" s="31">
        <v>0.15106261543551214</v>
      </c>
      <c r="BV39" t="s">
        <v>87</v>
      </c>
      <c r="BW39" t="s">
        <v>41</v>
      </c>
      <c r="BX39" t="s">
        <v>24</v>
      </c>
      <c r="BY39" t="s">
        <v>41</v>
      </c>
      <c r="BZ39" t="s">
        <v>30</v>
      </c>
      <c r="CA39" t="s">
        <v>43</v>
      </c>
      <c r="CB39" t="s">
        <v>42</v>
      </c>
      <c r="CC39" t="s">
        <v>25</v>
      </c>
      <c r="CD39" t="s">
        <v>42</v>
      </c>
      <c r="CE39" t="s">
        <v>35</v>
      </c>
      <c r="CF39" t="s">
        <v>43</v>
      </c>
      <c r="CG39" t="s">
        <v>25</v>
      </c>
      <c r="CH39" t="s">
        <v>35</v>
      </c>
      <c r="CI39" t="s">
        <v>25</v>
      </c>
      <c r="CJ39" t="s">
        <v>43</v>
      </c>
      <c r="CK39" t="s">
        <v>24</v>
      </c>
      <c r="CL39" t="s">
        <v>30</v>
      </c>
      <c r="CM39" t="s">
        <v>35</v>
      </c>
      <c r="CN39" t="s">
        <v>25</v>
      </c>
      <c r="CO39" t="s">
        <v>35</v>
      </c>
      <c r="CP39" t="s">
        <v>35</v>
      </c>
      <c r="CQ39" t="s">
        <v>43</v>
      </c>
      <c r="CR39" t="s">
        <v>25</v>
      </c>
      <c r="CS39" t="s">
        <v>25</v>
      </c>
      <c r="CT39" t="s">
        <v>42</v>
      </c>
      <c r="CU39" t="s">
        <v>35</v>
      </c>
      <c r="CV39" t="s">
        <v>25</v>
      </c>
      <c r="CW39" t="s">
        <v>24</v>
      </c>
      <c r="CX39" t="s">
        <v>42</v>
      </c>
      <c r="CY39" t="s">
        <v>43</v>
      </c>
      <c r="CZ39" t="s">
        <v>43</v>
      </c>
      <c r="DA39" t="s">
        <v>41</v>
      </c>
      <c r="DB39" t="s">
        <v>35</v>
      </c>
      <c r="DC39" t="s">
        <v>35</v>
      </c>
      <c r="DD39" t="s">
        <v>42</v>
      </c>
    </row>
    <row r="40" spans="1:108" x14ac:dyDescent="0.35">
      <c r="B40" s="4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13"/>
      <c r="Z40" s="2"/>
      <c r="AA40" s="2"/>
      <c r="AB40" s="2"/>
      <c r="AC40" s="2"/>
      <c r="AD40" s="2"/>
      <c r="AE40" s="2"/>
      <c r="AF40" s="12"/>
      <c r="AG40" s="2"/>
      <c r="AH40" s="2"/>
      <c r="AI40" s="2"/>
      <c r="AJ40" s="2"/>
      <c r="AK40" s="2"/>
      <c r="AL40" s="4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V40" s="4"/>
    </row>
    <row r="41" spans="1:108" x14ac:dyDescent="0.35">
      <c r="B41" s="4" t="s">
        <v>88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13"/>
      <c r="Z41" s="2"/>
      <c r="AA41" s="2"/>
      <c r="AB41" s="2"/>
      <c r="AC41" s="2"/>
      <c r="AD41" s="2"/>
      <c r="AE41" s="2"/>
      <c r="AF41" s="12"/>
      <c r="AG41" s="2"/>
      <c r="AH41" s="2"/>
      <c r="AI41" s="2"/>
      <c r="AJ41" s="2"/>
      <c r="AK41" s="2"/>
      <c r="AL41" s="4" t="s">
        <v>88</v>
      </c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V41" s="4" t="s">
        <v>88</v>
      </c>
    </row>
    <row r="42" spans="1:108" x14ac:dyDescent="0.35">
      <c r="B42" t="s">
        <v>89</v>
      </c>
      <c r="C42" s="15">
        <f>1-SUM(C43:C44)</f>
        <v>0.8511049840408933</v>
      </c>
      <c r="D42" s="15">
        <f t="shared" ref="D42:AJ42" si="52">1-SUM(D43:D44)</f>
        <v>0.85130498404089328</v>
      </c>
      <c r="E42" s="15">
        <f t="shared" si="52"/>
        <v>0.86910498404089331</v>
      </c>
      <c r="F42" s="15">
        <f t="shared" si="52"/>
        <v>0.85120498404089329</v>
      </c>
      <c r="G42" s="15">
        <f t="shared" si="52"/>
        <v>0.85190498404089321</v>
      </c>
      <c r="H42" s="15">
        <f t="shared" si="52"/>
        <v>0.85470498404089323</v>
      </c>
      <c r="I42" s="15">
        <f t="shared" si="52"/>
        <v>0.85260498404089324</v>
      </c>
      <c r="J42" s="15">
        <f t="shared" si="52"/>
        <v>0.82760498404089322</v>
      </c>
      <c r="K42" s="15">
        <f t="shared" si="52"/>
        <v>0.84480498404089321</v>
      </c>
      <c r="L42" s="15">
        <f t="shared" si="52"/>
        <v>0.85150498404089325</v>
      </c>
      <c r="M42" s="15">
        <f t="shared" si="52"/>
        <v>0.86300498404089321</v>
      </c>
      <c r="N42" s="15">
        <f t="shared" si="52"/>
        <v>0.85550498404089326</v>
      </c>
      <c r="O42" s="15">
        <f t="shared" si="52"/>
        <v>0.84250498404089325</v>
      </c>
      <c r="P42" s="15">
        <f t="shared" si="52"/>
        <v>0.84720498404089328</v>
      </c>
      <c r="Q42" s="15">
        <f t="shared" si="52"/>
        <v>0.83250498404089324</v>
      </c>
      <c r="R42" s="15">
        <f t="shared" si="52"/>
        <v>0.85370498404089323</v>
      </c>
      <c r="S42" s="15">
        <f t="shared" si="52"/>
        <v>0.83200498404089318</v>
      </c>
      <c r="T42" s="15">
        <f t="shared" si="52"/>
        <v>0.8530049840408932</v>
      </c>
      <c r="U42" s="15">
        <f t="shared" si="52"/>
        <v>0.8701049840408932</v>
      </c>
      <c r="V42" s="15">
        <f t="shared" si="52"/>
        <v>0.84450498404089325</v>
      </c>
      <c r="W42" s="15">
        <f t="shared" si="52"/>
        <v>0.85550498404089326</v>
      </c>
      <c r="X42" s="15">
        <f t="shared" si="52"/>
        <v>0.86430498404089318</v>
      </c>
      <c r="Y42" s="15">
        <f t="shared" si="52"/>
        <v>0.83210498404089328</v>
      </c>
      <c r="Z42" s="15">
        <f t="shared" si="52"/>
        <v>0.84060498404089323</v>
      </c>
      <c r="AA42" s="15">
        <f t="shared" si="52"/>
        <v>0.84770498404089323</v>
      </c>
      <c r="AB42" s="15">
        <f t="shared" si="52"/>
        <v>0.84020498404089317</v>
      </c>
      <c r="AC42" s="15">
        <f t="shared" si="52"/>
        <v>0.83950498404089324</v>
      </c>
      <c r="AD42" s="15">
        <f t="shared" si="52"/>
        <v>0.85810498404089319</v>
      </c>
      <c r="AE42" s="15">
        <f t="shared" si="52"/>
        <v>0.8733049840408933</v>
      </c>
      <c r="AF42" s="15">
        <f t="shared" si="52"/>
        <v>0.85530498404089328</v>
      </c>
      <c r="AG42" s="15">
        <f t="shared" si="52"/>
        <v>0.82790498404089319</v>
      </c>
      <c r="AH42" s="15">
        <f t="shared" si="52"/>
        <v>0.83210498404089328</v>
      </c>
      <c r="AI42" s="15">
        <f t="shared" si="52"/>
        <v>0.83710498404089329</v>
      </c>
      <c r="AJ42" s="15">
        <f t="shared" si="52"/>
        <v>0.85340498404089327</v>
      </c>
      <c r="AK42" s="2"/>
      <c r="AL42" t="s">
        <v>89</v>
      </c>
      <c r="AM42" s="31">
        <v>0.11471423369046488</v>
      </c>
      <c r="AN42" s="31">
        <v>0.1063173413932826</v>
      </c>
      <c r="AO42" s="31">
        <v>0.14787640916499062</v>
      </c>
      <c r="AP42" s="31">
        <v>0.15588301434736807</v>
      </c>
      <c r="AQ42" s="31">
        <v>8.95441229377444E-2</v>
      </c>
      <c r="AR42" s="31">
        <v>0.14015802454000323</v>
      </c>
      <c r="AS42" s="31">
        <v>0.10799312554422638</v>
      </c>
      <c r="AT42" s="31">
        <v>6.8057791847355331E-2</v>
      </c>
      <c r="AU42" s="31">
        <v>0.13337776115390279</v>
      </c>
      <c r="AV42" s="31">
        <v>0.12738057930768465</v>
      </c>
      <c r="AW42" s="31">
        <v>0.12146459511697888</v>
      </c>
      <c r="AX42" s="31">
        <v>9.5838306891201569E-2</v>
      </c>
      <c r="AY42" s="31">
        <v>8.2233300148140426E-2</v>
      </c>
      <c r="AZ42" s="31">
        <v>7.5792729361490119E-2</v>
      </c>
      <c r="BA42" s="31">
        <v>0.10018120495000525</v>
      </c>
      <c r="BB42" s="31">
        <v>0.11439716937720343</v>
      </c>
      <c r="BC42" s="31">
        <v>0.15825082827032028</v>
      </c>
      <c r="BD42" s="31">
        <v>0.14430274527692863</v>
      </c>
      <c r="BE42" s="31">
        <v>0.13108554622693699</v>
      </c>
      <c r="BF42" s="31">
        <v>0.15029572389212864</v>
      </c>
      <c r="BG42" s="31">
        <v>0.15326611284017358</v>
      </c>
      <c r="BH42" s="31">
        <v>0.14115124924722364</v>
      </c>
      <c r="BI42" s="31">
        <v>0.14631088328866421</v>
      </c>
      <c r="BJ42" s="31">
        <v>0.1331642596098481</v>
      </c>
      <c r="BK42" s="31">
        <v>0.12526560341555248</v>
      </c>
      <c r="BL42" s="31">
        <v>0.12098850470741124</v>
      </c>
      <c r="BM42" s="31">
        <v>0.11268833194021161</v>
      </c>
      <c r="BN42" s="31">
        <v>0.13947070078975152</v>
      </c>
      <c r="BO42" s="31">
        <v>0.11618778500170054</v>
      </c>
      <c r="BP42" s="31">
        <v>0.13139788372565153</v>
      </c>
      <c r="BQ42" s="31">
        <v>0.12287688372565153</v>
      </c>
      <c r="BR42" s="31">
        <v>0.14268106751471382</v>
      </c>
      <c r="BS42" s="31">
        <v>0.12381576325982185</v>
      </c>
      <c r="BT42" s="31">
        <v>0.1351428308810505</v>
      </c>
      <c r="BV42" t="s">
        <v>89</v>
      </c>
      <c r="BW42" t="s">
        <v>43</v>
      </c>
      <c r="BX42" t="s">
        <v>24</v>
      </c>
      <c r="BY42" t="s">
        <v>42</v>
      </c>
      <c r="BZ42" t="s">
        <v>25</v>
      </c>
      <c r="CA42" t="s">
        <v>43</v>
      </c>
      <c r="CB42" t="s">
        <v>35</v>
      </c>
      <c r="CC42" t="s">
        <v>30</v>
      </c>
      <c r="CD42" t="s">
        <v>42</v>
      </c>
      <c r="CE42" t="s">
        <v>35</v>
      </c>
      <c r="CF42" t="s">
        <v>42</v>
      </c>
      <c r="CG42" t="s">
        <v>30</v>
      </c>
      <c r="CH42" t="s">
        <v>42</v>
      </c>
      <c r="CI42" t="s">
        <v>24</v>
      </c>
      <c r="CJ42" t="s">
        <v>42</v>
      </c>
      <c r="CK42" t="s">
        <v>24</v>
      </c>
      <c r="CL42" t="s">
        <v>30</v>
      </c>
      <c r="CM42" t="s">
        <v>42</v>
      </c>
      <c r="CN42" t="s">
        <v>43</v>
      </c>
      <c r="CO42" t="s">
        <v>42</v>
      </c>
      <c r="CP42" t="s">
        <v>43</v>
      </c>
      <c r="CQ42" t="s">
        <v>43</v>
      </c>
      <c r="CR42" t="s">
        <v>30</v>
      </c>
      <c r="CS42" t="s">
        <v>30</v>
      </c>
      <c r="CT42" t="s">
        <v>30</v>
      </c>
      <c r="CU42" t="s">
        <v>25</v>
      </c>
      <c r="CV42" t="s">
        <v>43</v>
      </c>
      <c r="CW42" t="s">
        <v>41</v>
      </c>
      <c r="CX42" t="s">
        <v>43</v>
      </c>
      <c r="CY42" t="s">
        <v>24</v>
      </c>
      <c r="CZ42" t="s">
        <v>42</v>
      </c>
      <c r="DA42" t="s">
        <v>42</v>
      </c>
      <c r="DB42" t="s">
        <v>43</v>
      </c>
      <c r="DC42" t="s">
        <v>41</v>
      </c>
      <c r="DD42" t="s">
        <v>42</v>
      </c>
    </row>
    <row r="43" spans="1:108" x14ac:dyDescent="0.35">
      <c r="A43" s="15">
        <v>1E-3</v>
      </c>
      <c r="B43" t="s">
        <v>90</v>
      </c>
      <c r="C43" s="15">
        <v>3.5471548090005453E-2</v>
      </c>
      <c r="D43" s="15">
        <v>3.2171548090005456E-2</v>
      </c>
      <c r="E43" s="15">
        <v>2.9771548090005453E-2</v>
      </c>
      <c r="F43" s="15">
        <v>4.1171548090005443E-2</v>
      </c>
      <c r="G43" s="15">
        <v>2.8371548090005458E-2</v>
      </c>
      <c r="H43" s="15">
        <v>2.9471548090005458E-2</v>
      </c>
      <c r="I43" s="15">
        <v>3.3871548090005463E-2</v>
      </c>
      <c r="J43" s="15">
        <v>4.2171548090005451E-2</v>
      </c>
      <c r="K43" s="15">
        <v>3.5271548090005454E-2</v>
      </c>
      <c r="L43" s="15">
        <v>2.9371548090005459E-2</v>
      </c>
      <c r="M43" s="15">
        <v>3.5071548090005462E-2</v>
      </c>
      <c r="N43" s="15">
        <v>3.0771548090005457E-2</v>
      </c>
      <c r="O43" s="15">
        <v>3.5071548090005455E-2</v>
      </c>
      <c r="P43" s="15">
        <v>2.9271548090005456E-2</v>
      </c>
      <c r="Q43" s="15">
        <v>3.8671548090005455E-2</v>
      </c>
      <c r="R43" s="15">
        <v>3.6871548090005445E-2</v>
      </c>
      <c r="S43" s="15">
        <v>4.1371548090005449E-2</v>
      </c>
      <c r="T43" s="15">
        <v>3.3671548090005464E-2</v>
      </c>
      <c r="U43" s="15">
        <v>3.0671548090005454E-2</v>
      </c>
      <c r="V43" s="15">
        <v>3.9571548090005453E-2</v>
      </c>
      <c r="W43" s="15">
        <v>3.087154809000546E-2</v>
      </c>
      <c r="X43" s="15">
        <v>3.5671548090005452E-2</v>
      </c>
      <c r="Y43" s="15">
        <v>3.817154809000544E-2</v>
      </c>
      <c r="Z43" s="15">
        <v>4.2571548090005448E-2</v>
      </c>
      <c r="AA43" s="15">
        <v>3.2771548090005452E-2</v>
      </c>
      <c r="AB43" s="15">
        <v>2.9171548090005453E-2</v>
      </c>
      <c r="AC43" s="15">
        <v>4.0271548090005452E-2</v>
      </c>
      <c r="AD43" s="15">
        <v>3.1271548090005451E-2</v>
      </c>
      <c r="AE43" s="15">
        <v>2.8771548090005462E-2</v>
      </c>
      <c r="AF43" s="15">
        <v>3.7071548090005443E-2</v>
      </c>
      <c r="AG43" s="15">
        <v>4.2071548090005448E-2</v>
      </c>
      <c r="AH43" s="15">
        <v>4.0871548090005455E-2</v>
      </c>
      <c r="AI43" s="15">
        <v>3.3771548090005453E-2</v>
      </c>
      <c r="AJ43" s="15">
        <v>3.0171548090005457E-2</v>
      </c>
      <c r="AK43" s="2"/>
      <c r="AL43" t="s">
        <v>90</v>
      </c>
      <c r="AM43" s="31">
        <v>0.12771423369046486</v>
      </c>
      <c r="AN43" s="31">
        <v>0.11931734139328258</v>
      </c>
      <c r="AO43" s="31">
        <v>0.1608764091649906</v>
      </c>
      <c r="AP43" s="31">
        <v>0.16888301434736805</v>
      </c>
      <c r="AQ43" s="31">
        <v>0.10254412293774438</v>
      </c>
      <c r="AR43" s="31">
        <v>0.15315802454000321</v>
      </c>
      <c r="AS43" s="31">
        <v>0.12099312554422637</v>
      </c>
      <c r="AT43" s="31">
        <v>8.1057791847355315E-2</v>
      </c>
      <c r="AU43" s="31">
        <v>0.14637776115390277</v>
      </c>
      <c r="AV43" s="31">
        <v>0.14038057930768463</v>
      </c>
      <c r="AW43" s="31">
        <v>0.13446459511697886</v>
      </c>
      <c r="AX43" s="31">
        <v>0.10883830689120155</v>
      </c>
      <c r="AY43" s="31">
        <v>9.523330014814041E-2</v>
      </c>
      <c r="AZ43" s="31">
        <v>8.8792729361490103E-2</v>
      </c>
      <c r="BA43" s="31">
        <v>0.11318120495000523</v>
      </c>
      <c r="BB43" s="31">
        <v>0.12739716937720341</v>
      </c>
      <c r="BC43" s="31">
        <v>0.17125082827032026</v>
      </c>
      <c r="BD43" s="31">
        <v>0.15730274527692861</v>
      </c>
      <c r="BE43" s="31">
        <v>0.14408554622693698</v>
      </c>
      <c r="BF43" s="31">
        <v>0.16329572389212862</v>
      </c>
      <c r="BG43" s="31">
        <v>0.16626611284017356</v>
      </c>
      <c r="BH43" s="31">
        <v>0.15415124924722362</v>
      </c>
      <c r="BI43" s="31">
        <v>0.15931088328866419</v>
      </c>
      <c r="BJ43" s="31">
        <v>0.14616425960984808</v>
      </c>
      <c r="BK43" s="31">
        <v>0.13826560341555247</v>
      </c>
      <c r="BL43" s="31">
        <v>0.13398850470741122</v>
      </c>
      <c r="BM43" s="31">
        <v>0.12568833194021159</v>
      </c>
      <c r="BN43" s="31">
        <v>0.1524707007897515</v>
      </c>
      <c r="BO43" s="31">
        <v>0.12918778500170053</v>
      </c>
      <c r="BP43" s="31">
        <v>0.14439788372565152</v>
      </c>
      <c r="BQ43" s="31">
        <v>0.13587688372565151</v>
      </c>
      <c r="BR43" s="31">
        <v>0.15568106751471381</v>
      </c>
      <c r="BS43" s="31">
        <v>0.13681576325982184</v>
      </c>
      <c r="BT43" s="31">
        <v>0.14814283088105049</v>
      </c>
      <c r="BV43" t="s">
        <v>90</v>
      </c>
      <c r="BW43" t="s">
        <v>43</v>
      </c>
      <c r="BX43" t="s">
        <v>24</v>
      </c>
      <c r="BY43" t="s">
        <v>42</v>
      </c>
      <c r="BZ43" t="s">
        <v>35</v>
      </c>
      <c r="CA43" t="s">
        <v>25</v>
      </c>
      <c r="CB43" t="s">
        <v>30</v>
      </c>
      <c r="CC43" t="s">
        <v>24</v>
      </c>
      <c r="CD43" t="s">
        <v>25</v>
      </c>
      <c r="CE43" t="s">
        <v>35</v>
      </c>
      <c r="CF43" t="s">
        <v>42</v>
      </c>
      <c r="CG43" t="s">
        <v>24</v>
      </c>
      <c r="CH43" t="s">
        <v>25</v>
      </c>
      <c r="CI43" t="s">
        <v>25</v>
      </c>
      <c r="CJ43" t="s">
        <v>30</v>
      </c>
      <c r="CK43" t="s">
        <v>25</v>
      </c>
      <c r="CL43" t="s">
        <v>30</v>
      </c>
      <c r="CM43" t="s">
        <v>42</v>
      </c>
      <c r="CN43" t="s">
        <v>42</v>
      </c>
      <c r="CO43" t="s">
        <v>42</v>
      </c>
      <c r="CP43" t="s">
        <v>25</v>
      </c>
      <c r="CQ43" t="s">
        <v>30</v>
      </c>
      <c r="CR43" t="s">
        <v>42</v>
      </c>
      <c r="CS43" t="s">
        <v>43</v>
      </c>
      <c r="CT43" t="s">
        <v>41</v>
      </c>
      <c r="CU43" t="s">
        <v>41</v>
      </c>
      <c r="CV43" t="s">
        <v>30</v>
      </c>
      <c r="CW43" t="s">
        <v>30</v>
      </c>
      <c r="CX43" t="s">
        <v>25</v>
      </c>
      <c r="CY43" t="s">
        <v>41</v>
      </c>
      <c r="CZ43" t="s">
        <v>35</v>
      </c>
      <c r="DA43" t="s">
        <v>43</v>
      </c>
      <c r="DB43" t="s">
        <v>43</v>
      </c>
      <c r="DC43" t="s">
        <v>42</v>
      </c>
      <c r="DD43" t="s">
        <v>42</v>
      </c>
    </row>
    <row r="44" spans="1:108" x14ac:dyDescent="0.35">
      <c r="B44" t="s">
        <v>91</v>
      </c>
      <c r="C44" s="15">
        <v>0.1134234678691013</v>
      </c>
      <c r="D44" s="15">
        <v>0.11652346786910131</v>
      </c>
      <c r="E44" s="15">
        <v>0.1011234678691013</v>
      </c>
      <c r="F44" s="15">
        <v>0.10762346786910131</v>
      </c>
      <c r="G44" s="15">
        <v>0.1197234678691013</v>
      </c>
      <c r="H44" s="15">
        <v>0.1158234678691013</v>
      </c>
      <c r="I44" s="15">
        <v>0.11352346786910131</v>
      </c>
      <c r="J44" s="15">
        <v>0.1302234678691013</v>
      </c>
      <c r="K44" s="15">
        <v>0.11992346786910131</v>
      </c>
      <c r="L44" s="15">
        <v>0.1191234678691013</v>
      </c>
      <c r="M44" s="15">
        <v>0.10192346786910131</v>
      </c>
      <c r="N44" s="15">
        <v>0.1137234678691013</v>
      </c>
      <c r="O44" s="15">
        <v>0.1224234678691013</v>
      </c>
      <c r="P44" s="15">
        <v>0.1235234678691013</v>
      </c>
      <c r="Q44" s="15">
        <v>0.12882346786910132</v>
      </c>
      <c r="R44" s="15">
        <v>0.1094234678691013</v>
      </c>
      <c r="S44" s="15">
        <v>0.12662346786910131</v>
      </c>
      <c r="T44" s="15">
        <v>0.1133234678691013</v>
      </c>
      <c r="U44" s="15">
        <v>9.9223467869101301E-2</v>
      </c>
      <c r="V44" s="15">
        <v>0.11592346786910131</v>
      </c>
      <c r="W44" s="15">
        <v>0.11362346786910131</v>
      </c>
      <c r="X44" s="15">
        <v>0.10002346786910131</v>
      </c>
      <c r="Y44" s="15">
        <v>0.1297234678691013</v>
      </c>
      <c r="Z44" s="15">
        <v>0.11682346786910131</v>
      </c>
      <c r="AA44" s="15">
        <v>0.1195234678691013</v>
      </c>
      <c r="AB44" s="15">
        <v>0.13062346786910131</v>
      </c>
      <c r="AC44" s="15">
        <v>0.12022346786910131</v>
      </c>
      <c r="AD44" s="15">
        <v>0.11062346786910131</v>
      </c>
      <c r="AE44" s="15">
        <v>9.7923467869101305E-2</v>
      </c>
      <c r="AF44" s="15">
        <v>0.10762346786910131</v>
      </c>
      <c r="AG44" s="15">
        <v>0.13002346786910129</v>
      </c>
      <c r="AH44" s="15">
        <v>0.12702346786910129</v>
      </c>
      <c r="AI44" s="15">
        <v>0.12912346786910131</v>
      </c>
      <c r="AJ44" s="15">
        <v>0.11642346786910131</v>
      </c>
      <c r="AK44" s="2"/>
      <c r="AL44" t="s">
        <v>91</v>
      </c>
      <c r="AM44" s="31">
        <v>0.17971423369046488</v>
      </c>
      <c r="AN44" s="31">
        <v>0.17131734139328259</v>
      </c>
      <c r="AO44" s="31">
        <v>0.21287640916499062</v>
      </c>
      <c r="AP44" s="31">
        <v>0.22088301434736807</v>
      </c>
      <c r="AQ44" s="31">
        <v>0.15454412293774439</v>
      </c>
      <c r="AR44" s="31">
        <v>0.20515802454000323</v>
      </c>
      <c r="AS44" s="31">
        <v>0.17299312554422638</v>
      </c>
      <c r="AT44" s="31">
        <v>0.13305779184735533</v>
      </c>
      <c r="AU44" s="31">
        <v>0.19837776115390279</v>
      </c>
      <c r="AV44" s="31">
        <v>0.19238057930768465</v>
      </c>
      <c r="AW44" s="31">
        <v>0.18646459511697888</v>
      </c>
      <c r="AX44" s="31">
        <v>0.16083830689120157</v>
      </c>
      <c r="AY44" s="31">
        <v>0.14723330014814043</v>
      </c>
      <c r="AZ44" s="31">
        <v>0.14079272936149012</v>
      </c>
      <c r="BA44" s="31">
        <v>0.16518120495000527</v>
      </c>
      <c r="BB44" s="31">
        <v>0.17939716937720343</v>
      </c>
      <c r="BC44" s="31">
        <v>0.22325082827032028</v>
      </c>
      <c r="BD44" s="31">
        <v>0.20930274527692863</v>
      </c>
      <c r="BE44" s="31">
        <v>0.196085546226937</v>
      </c>
      <c r="BF44" s="31">
        <v>0.21529572389212864</v>
      </c>
      <c r="BG44" s="31">
        <v>0.21826611284017358</v>
      </c>
      <c r="BH44" s="31">
        <v>0.20615124924722364</v>
      </c>
      <c r="BI44" s="31">
        <v>0.21131088328866421</v>
      </c>
      <c r="BJ44" s="31">
        <v>0.1981642596098481</v>
      </c>
      <c r="BK44" s="31">
        <v>0.19026560341555249</v>
      </c>
      <c r="BL44" s="31">
        <v>0.18598850470741124</v>
      </c>
      <c r="BM44" s="31">
        <v>0.17768833194021161</v>
      </c>
      <c r="BN44" s="31">
        <v>0.20447070078975152</v>
      </c>
      <c r="BO44" s="31">
        <v>0.18118778500170055</v>
      </c>
      <c r="BP44" s="31">
        <v>0.19639788372565153</v>
      </c>
      <c r="BQ44" s="31">
        <v>0.18787688372565153</v>
      </c>
      <c r="BR44" s="31">
        <v>0.20768106751471382</v>
      </c>
      <c r="BS44" s="31">
        <v>0.18881576325982186</v>
      </c>
      <c r="BT44" s="31">
        <v>0.2001428308810505</v>
      </c>
      <c r="BV44" t="s">
        <v>91</v>
      </c>
      <c r="BW44" t="s">
        <v>42</v>
      </c>
      <c r="BX44" t="s">
        <v>30</v>
      </c>
      <c r="BY44" t="s">
        <v>43</v>
      </c>
      <c r="BZ44" t="s">
        <v>24</v>
      </c>
      <c r="CA44" t="s">
        <v>41</v>
      </c>
      <c r="CB44" t="s">
        <v>30</v>
      </c>
      <c r="CC44" t="s">
        <v>41</v>
      </c>
      <c r="CD44" t="s">
        <v>35</v>
      </c>
      <c r="CE44" t="s">
        <v>24</v>
      </c>
      <c r="CF44" t="s">
        <v>25</v>
      </c>
      <c r="CG44" t="s">
        <v>25</v>
      </c>
      <c r="CH44" t="s">
        <v>25</v>
      </c>
      <c r="CI44" t="s">
        <v>35</v>
      </c>
      <c r="CJ44" t="s">
        <v>24</v>
      </c>
      <c r="CK44" t="s">
        <v>41</v>
      </c>
      <c r="CL44" t="s">
        <v>24</v>
      </c>
      <c r="CM44" t="s">
        <v>30</v>
      </c>
      <c r="CN44" t="s">
        <v>41</v>
      </c>
      <c r="CO44" t="s">
        <v>41</v>
      </c>
      <c r="CP44" t="s">
        <v>41</v>
      </c>
      <c r="CQ44" t="s">
        <v>30</v>
      </c>
      <c r="CR44" t="s">
        <v>43</v>
      </c>
      <c r="CS44" t="s">
        <v>42</v>
      </c>
      <c r="CT44" t="s">
        <v>43</v>
      </c>
      <c r="CU44" t="s">
        <v>35</v>
      </c>
      <c r="CV44" t="s">
        <v>43</v>
      </c>
      <c r="CW44" t="s">
        <v>35</v>
      </c>
      <c r="CX44" t="s">
        <v>35</v>
      </c>
      <c r="CY44" t="s">
        <v>30</v>
      </c>
      <c r="CZ44" t="s">
        <v>25</v>
      </c>
      <c r="DA44" t="s">
        <v>43</v>
      </c>
      <c r="DB44" t="s">
        <v>41</v>
      </c>
      <c r="DC44" t="s">
        <v>43</v>
      </c>
      <c r="DD44" t="s">
        <v>30</v>
      </c>
    </row>
    <row r="45" spans="1:108" x14ac:dyDescent="0.35">
      <c r="B45" s="4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13"/>
      <c r="Z45" s="2"/>
      <c r="AA45" s="2"/>
      <c r="AB45" s="2"/>
      <c r="AC45" s="2"/>
      <c r="AD45" s="2"/>
      <c r="AE45" s="2"/>
      <c r="AF45" s="12"/>
      <c r="AG45" s="2"/>
      <c r="AH45" s="2"/>
      <c r="AI45" s="2"/>
      <c r="AJ45" s="2"/>
      <c r="AK45" s="2"/>
      <c r="AL45" s="4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V45" s="4"/>
    </row>
    <row r="46" spans="1:108" x14ac:dyDescent="0.35">
      <c r="B46" s="4" t="s">
        <v>92</v>
      </c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13"/>
      <c r="Z46" s="2"/>
      <c r="AA46" s="2"/>
      <c r="AB46" s="2"/>
      <c r="AC46" s="2"/>
      <c r="AD46" s="2"/>
      <c r="AE46" s="2"/>
      <c r="AF46" s="12"/>
      <c r="AG46" s="2"/>
      <c r="AH46" s="2"/>
      <c r="AI46" s="2"/>
      <c r="AJ46" s="2"/>
      <c r="AK46" s="2"/>
      <c r="AL46" s="4" t="s">
        <v>92</v>
      </c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V46" s="4" t="s">
        <v>92</v>
      </c>
    </row>
    <row r="47" spans="1:108" x14ac:dyDescent="0.35">
      <c r="B47" t="s">
        <v>93</v>
      </c>
      <c r="C47" s="15">
        <f>1-SUM(C48:C52)</f>
        <v>0.54723569465148325</v>
      </c>
      <c r="D47" s="15">
        <f t="shared" ref="D47:AJ47" si="53">1-SUM(D48:D52)</f>
        <v>0.53313569465148325</v>
      </c>
      <c r="E47" s="15">
        <f t="shared" si="53"/>
        <v>0.52293569465148326</v>
      </c>
      <c r="F47" s="15">
        <f t="shared" si="53"/>
        <v>0.52803569465148326</v>
      </c>
      <c r="G47" s="15">
        <f t="shared" si="53"/>
        <v>0.53563569465148331</v>
      </c>
      <c r="H47" s="15">
        <f t="shared" si="53"/>
        <v>0.5367356946514833</v>
      </c>
      <c r="I47" s="15">
        <f t="shared" si="53"/>
        <v>0.52493569465148326</v>
      </c>
      <c r="J47" s="15">
        <f t="shared" si="53"/>
        <v>0.5567356946514832</v>
      </c>
      <c r="K47" s="15">
        <f t="shared" si="53"/>
        <v>0.54743569465148312</v>
      </c>
      <c r="L47" s="15">
        <f t="shared" si="53"/>
        <v>0.55103569465148317</v>
      </c>
      <c r="M47" s="15">
        <f t="shared" si="53"/>
        <v>0.55793569465148329</v>
      </c>
      <c r="N47" s="15">
        <f t="shared" si="53"/>
        <v>0.55403569465148317</v>
      </c>
      <c r="O47" s="15">
        <f t="shared" si="53"/>
        <v>0.55513569465148316</v>
      </c>
      <c r="P47" s="15">
        <f t="shared" si="53"/>
        <v>0.57383569465148321</v>
      </c>
      <c r="Q47" s="15">
        <f t="shared" si="53"/>
        <v>0.54603569465148316</v>
      </c>
      <c r="R47" s="15">
        <f t="shared" si="53"/>
        <v>0.55433569465148325</v>
      </c>
      <c r="S47" s="15">
        <f t="shared" si="53"/>
        <v>0.5547356946514832</v>
      </c>
      <c r="T47" s="15">
        <f t="shared" si="53"/>
        <v>0.54503569465148327</v>
      </c>
      <c r="U47" s="15">
        <f t="shared" si="53"/>
        <v>0.53193569465148327</v>
      </c>
      <c r="V47" s="15">
        <f t="shared" si="53"/>
        <v>0.58583569465148333</v>
      </c>
      <c r="W47" s="15">
        <f t="shared" si="53"/>
        <v>0.51333569465148321</v>
      </c>
      <c r="X47" s="15">
        <f t="shared" si="53"/>
        <v>0.56023569465148326</v>
      </c>
      <c r="Y47" s="15">
        <f t="shared" si="53"/>
        <v>0.57233569465148326</v>
      </c>
      <c r="Z47" s="15">
        <f t="shared" si="53"/>
        <v>0.54143569465148322</v>
      </c>
      <c r="AA47" s="15">
        <f t="shared" si="53"/>
        <v>0.56783569465148331</v>
      </c>
      <c r="AB47" s="15">
        <f t="shared" si="53"/>
        <v>0.56133569465148325</v>
      </c>
      <c r="AC47" s="15">
        <f t="shared" si="53"/>
        <v>0.55033569465148324</v>
      </c>
      <c r="AD47" s="15">
        <f t="shared" si="53"/>
        <v>0.58123569465148328</v>
      </c>
      <c r="AE47" s="15">
        <f t="shared" si="53"/>
        <v>0.52483569465148316</v>
      </c>
      <c r="AF47" s="15">
        <f t="shared" si="53"/>
        <v>0.51543569465148331</v>
      </c>
      <c r="AG47" s="15">
        <f t="shared" si="53"/>
        <v>0.52223569465148323</v>
      </c>
      <c r="AH47" s="15">
        <f t="shared" si="53"/>
        <v>0.55633569465148325</v>
      </c>
      <c r="AI47" s="15">
        <f t="shared" si="53"/>
        <v>0.53023569465148324</v>
      </c>
      <c r="AJ47" s="15">
        <f t="shared" si="53"/>
        <v>0.5325356946514832</v>
      </c>
      <c r="AK47" s="2"/>
      <c r="AL47" t="s">
        <v>93</v>
      </c>
      <c r="AM47" s="31">
        <v>0.12173180546100604</v>
      </c>
      <c r="AN47" s="31">
        <v>0.11341403644906688</v>
      </c>
      <c r="AO47" s="31">
        <v>0.15382300558725281</v>
      </c>
      <c r="AP47" s="31">
        <v>0.16285472902321441</v>
      </c>
      <c r="AQ47" s="31">
        <v>9.7304730262761804E-2</v>
      </c>
      <c r="AR47" s="31">
        <v>0.14786097867023698</v>
      </c>
      <c r="AS47" s="31">
        <v>0.11506409107506557</v>
      </c>
      <c r="AT47" s="31">
        <v>7.5644970269570982E-2</v>
      </c>
      <c r="AU47" s="31">
        <v>0.14079486072704717</v>
      </c>
      <c r="AV47" s="31">
        <v>0.13478265219875626</v>
      </c>
      <c r="AW47" s="31">
        <v>0.12790963557055729</v>
      </c>
      <c r="AX47" s="31">
        <v>0.10258283173546717</v>
      </c>
      <c r="AY47" s="31">
        <v>9.0084498823250647E-2</v>
      </c>
      <c r="AZ47" s="31">
        <v>8.3349891523329889E-2</v>
      </c>
      <c r="BA47" s="31">
        <v>0.10812082879055758</v>
      </c>
      <c r="BB47" s="31">
        <v>0.12118024871699737</v>
      </c>
      <c r="BC47" s="31">
        <v>0.16602426986585328</v>
      </c>
      <c r="BD47" s="31">
        <v>0.15151778856096915</v>
      </c>
      <c r="BE47" s="31">
        <v>0.13678491742654972</v>
      </c>
      <c r="BF47" s="31">
        <v>0.15741823438998037</v>
      </c>
      <c r="BG47" s="31">
        <v>0.16006077245637604</v>
      </c>
      <c r="BH47" s="31">
        <v>0.14754761556483223</v>
      </c>
      <c r="BI47" s="31">
        <v>0.1545084087619055</v>
      </c>
      <c r="BJ47" s="31">
        <v>0.1407668397258407</v>
      </c>
      <c r="BK47" s="31">
        <v>0.13279274000246738</v>
      </c>
      <c r="BL47" s="31">
        <v>0.12916947047255004</v>
      </c>
      <c r="BM47" s="31">
        <v>0.12041667447384147</v>
      </c>
      <c r="BN47" s="31">
        <v>0.14595593317572583</v>
      </c>
      <c r="BO47" s="31">
        <v>0.12247556303433871</v>
      </c>
      <c r="BP47" s="31">
        <v>0.13827120593255007</v>
      </c>
      <c r="BQ47" s="31">
        <v>0.13121418645365532</v>
      </c>
      <c r="BR47" s="31">
        <v>0.15080974233236957</v>
      </c>
      <c r="BS47" s="31">
        <v>0.13192253122166928</v>
      </c>
      <c r="BT47" s="31">
        <v>0.14218902342326889</v>
      </c>
      <c r="BV47" t="s">
        <v>93</v>
      </c>
      <c r="BW47" t="s">
        <v>35</v>
      </c>
      <c r="BX47" t="s">
        <v>24</v>
      </c>
      <c r="BY47" t="s">
        <v>25</v>
      </c>
      <c r="BZ47" t="s">
        <v>25</v>
      </c>
      <c r="CA47" t="s">
        <v>43</v>
      </c>
      <c r="CB47" t="s">
        <v>41</v>
      </c>
      <c r="CC47" t="s">
        <v>42</v>
      </c>
      <c r="CD47" t="s">
        <v>43</v>
      </c>
      <c r="CE47" t="s">
        <v>24</v>
      </c>
      <c r="CF47" t="s">
        <v>30</v>
      </c>
      <c r="CG47" t="s">
        <v>25</v>
      </c>
      <c r="CH47" t="s">
        <v>42</v>
      </c>
      <c r="CI47" t="s">
        <v>30</v>
      </c>
      <c r="CJ47" t="s">
        <v>42</v>
      </c>
      <c r="CK47" t="s">
        <v>24</v>
      </c>
      <c r="CL47" t="s">
        <v>25</v>
      </c>
      <c r="CM47" t="s">
        <v>30</v>
      </c>
      <c r="CN47" t="s">
        <v>43</v>
      </c>
      <c r="CO47" t="s">
        <v>24</v>
      </c>
      <c r="CP47" t="s">
        <v>24</v>
      </c>
      <c r="CQ47" t="s">
        <v>35</v>
      </c>
      <c r="CR47" t="s">
        <v>24</v>
      </c>
      <c r="CS47" t="s">
        <v>25</v>
      </c>
      <c r="CT47" t="s">
        <v>35</v>
      </c>
      <c r="CU47" t="s">
        <v>43</v>
      </c>
      <c r="CV47" t="s">
        <v>35</v>
      </c>
      <c r="CW47" t="s">
        <v>41</v>
      </c>
      <c r="CX47" t="s">
        <v>30</v>
      </c>
      <c r="CY47" t="s">
        <v>41</v>
      </c>
      <c r="CZ47" t="s">
        <v>30</v>
      </c>
      <c r="DA47" t="s">
        <v>25</v>
      </c>
      <c r="DB47" t="s">
        <v>24</v>
      </c>
      <c r="DC47" t="s">
        <v>25</v>
      </c>
      <c r="DD47" t="s">
        <v>43</v>
      </c>
    </row>
    <row r="48" spans="1:108" x14ac:dyDescent="0.35">
      <c r="B48" t="s">
        <v>94</v>
      </c>
      <c r="C48" s="15">
        <v>0.14140000000000003</v>
      </c>
      <c r="D48" s="15">
        <v>0.12650000000000003</v>
      </c>
      <c r="E48" s="15">
        <v>0.15110000000000001</v>
      </c>
      <c r="F48" s="15">
        <v>0.12890000000000001</v>
      </c>
      <c r="G48" s="15">
        <v>0.14230000000000004</v>
      </c>
      <c r="H48" s="15">
        <v>0.13510000000000003</v>
      </c>
      <c r="I48" s="15">
        <v>0.14270000000000002</v>
      </c>
      <c r="J48" s="15">
        <v>0.14180000000000004</v>
      </c>
      <c r="K48" s="15">
        <v>0.14430000000000004</v>
      </c>
      <c r="L48" s="15">
        <v>0.15180000000000002</v>
      </c>
      <c r="M48" s="15">
        <v>0.13810000000000003</v>
      </c>
      <c r="N48" s="15">
        <v>0.13800000000000004</v>
      </c>
      <c r="O48" s="15">
        <v>0.14340000000000003</v>
      </c>
      <c r="P48" s="15">
        <v>0.13220000000000004</v>
      </c>
      <c r="Q48" s="15">
        <v>0.15370000000000003</v>
      </c>
      <c r="R48" s="15">
        <v>0.14130000000000004</v>
      </c>
      <c r="S48" s="15">
        <v>0.14290000000000003</v>
      </c>
      <c r="T48" s="15">
        <v>0.14260000000000003</v>
      </c>
      <c r="U48" s="15">
        <v>0.15220000000000003</v>
      </c>
      <c r="V48" s="15">
        <v>0.13780000000000003</v>
      </c>
      <c r="W48" s="15">
        <v>0.15180000000000002</v>
      </c>
      <c r="X48" s="15">
        <v>0.14610000000000004</v>
      </c>
      <c r="Y48" s="15">
        <v>0.13340000000000002</v>
      </c>
      <c r="Z48" s="15">
        <v>0.13290000000000002</v>
      </c>
      <c r="AA48" s="15">
        <v>0.13450000000000004</v>
      </c>
      <c r="AB48" s="15">
        <v>0.13350000000000004</v>
      </c>
      <c r="AC48" s="15">
        <v>0.13180000000000003</v>
      </c>
      <c r="AD48" s="15">
        <v>0.12560000000000002</v>
      </c>
      <c r="AE48" s="15">
        <v>0.13860000000000003</v>
      </c>
      <c r="AF48" s="15">
        <v>0.14600000000000002</v>
      </c>
      <c r="AG48" s="15">
        <v>0.13890000000000002</v>
      </c>
      <c r="AH48" s="15">
        <v>0.13600000000000004</v>
      </c>
      <c r="AI48" s="15">
        <v>0.15150000000000002</v>
      </c>
      <c r="AJ48" s="15">
        <v>0.15320000000000003</v>
      </c>
      <c r="AK48" s="2"/>
      <c r="AL48" t="s">
        <v>94</v>
      </c>
      <c r="AM48" s="31">
        <v>0.13060436504699111</v>
      </c>
      <c r="AN48" s="31">
        <v>0.12228659603505194</v>
      </c>
      <c r="AO48" s="31">
        <v>0.16269556517323788</v>
      </c>
      <c r="AP48" s="31">
        <v>0.17172728860919947</v>
      </c>
      <c r="AQ48" s="31">
        <v>0.10617728984874687</v>
      </c>
      <c r="AR48" s="31">
        <v>0.15673353825622205</v>
      </c>
      <c r="AS48" s="31">
        <v>0.12393665066105064</v>
      </c>
      <c r="AT48" s="31">
        <v>8.4517529855556051E-2</v>
      </c>
      <c r="AU48" s="31">
        <v>0.14966742031303223</v>
      </c>
      <c r="AV48" s="31">
        <v>0.14365521178474133</v>
      </c>
      <c r="AW48" s="31">
        <v>0.13678219515654236</v>
      </c>
      <c r="AX48" s="31">
        <v>0.11145539132145224</v>
      </c>
      <c r="AY48" s="31">
        <v>9.8957058409235715E-2</v>
      </c>
      <c r="AZ48" s="31">
        <v>9.2222451109314957E-2</v>
      </c>
      <c r="BA48" s="31">
        <v>0.11699338837654265</v>
      </c>
      <c r="BB48" s="31">
        <v>0.13005280830298244</v>
      </c>
      <c r="BC48" s="31">
        <v>0.17489682945183835</v>
      </c>
      <c r="BD48" s="31">
        <v>0.16039034814695421</v>
      </c>
      <c r="BE48" s="31">
        <v>0.14565747701253479</v>
      </c>
      <c r="BF48" s="31">
        <v>0.16629079397596544</v>
      </c>
      <c r="BG48" s="31">
        <v>0.16893333204236111</v>
      </c>
      <c r="BH48" s="31">
        <v>0.1564201751508173</v>
      </c>
      <c r="BI48" s="31">
        <v>0.16338096834789056</v>
      </c>
      <c r="BJ48" s="31">
        <v>0.14963939931182577</v>
      </c>
      <c r="BK48" s="31">
        <v>0.14166529958845245</v>
      </c>
      <c r="BL48" s="31">
        <v>0.1380420300585351</v>
      </c>
      <c r="BM48" s="31">
        <v>0.12928923405982654</v>
      </c>
      <c r="BN48" s="31">
        <v>0.1548284927617109</v>
      </c>
      <c r="BO48" s="31">
        <v>0.13134812262032378</v>
      </c>
      <c r="BP48" s="31">
        <v>0.14714376551853514</v>
      </c>
      <c r="BQ48" s="31">
        <v>0.14008674603964039</v>
      </c>
      <c r="BR48" s="31">
        <v>0.15968230191835464</v>
      </c>
      <c r="BS48" s="31">
        <v>0.14079509080765434</v>
      </c>
      <c r="BT48" s="31">
        <v>0.15106158300925396</v>
      </c>
      <c r="BV48" t="s">
        <v>94</v>
      </c>
      <c r="BW48" t="s">
        <v>25</v>
      </c>
      <c r="BX48" t="s">
        <v>25</v>
      </c>
      <c r="BY48" t="s">
        <v>42</v>
      </c>
      <c r="BZ48" t="s">
        <v>25</v>
      </c>
      <c r="CA48" t="s">
        <v>43</v>
      </c>
      <c r="CB48" t="s">
        <v>25</v>
      </c>
      <c r="CC48" t="s">
        <v>43</v>
      </c>
      <c r="CD48" t="s">
        <v>24</v>
      </c>
      <c r="CE48" t="s">
        <v>42</v>
      </c>
      <c r="CF48" t="s">
        <v>24</v>
      </c>
      <c r="CG48" t="s">
        <v>35</v>
      </c>
      <c r="CH48" t="s">
        <v>42</v>
      </c>
      <c r="CI48" t="s">
        <v>30</v>
      </c>
      <c r="CJ48" t="s">
        <v>24</v>
      </c>
      <c r="CK48" t="s">
        <v>43</v>
      </c>
      <c r="CL48" t="s">
        <v>24</v>
      </c>
      <c r="CM48" t="s">
        <v>43</v>
      </c>
      <c r="CN48" t="s">
        <v>35</v>
      </c>
      <c r="CO48" t="s">
        <v>35</v>
      </c>
      <c r="CP48" t="s">
        <v>25</v>
      </c>
      <c r="CQ48" t="s">
        <v>42</v>
      </c>
      <c r="CR48" t="s">
        <v>43</v>
      </c>
      <c r="CS48" t="s">
        <v>35</v>
      </c>
      <c r="CT48" t="s">
        <v>24</v>
      </c>
      <c r="CU48" t="s">
        <v>43</v>
      </c>
      <c r="CV48" t="s">
        <v>41</v>
      </c>
      <c r="CW48" t="s">
        <v>25</v>
      </c>
      <c r="CX48" t="s">
        <v>43</v>
      </c>
      <c r="CY48" t="s">
        <v>24</v>
      </c>
      <c r="CZ48" t="s">
        <v>35</v>
      </c>
      <c r="DA48" t="s">
        <v>30</v>
      </c>
      <c r="DB48" t="s">
        <v>42</v>
      </c>
      <c r="DC48" t="s">
        <v>35</v>
      </c>
      <c r="DD48" t="s">
        <v>42</v>
      </c>
    </row>
    <row r="49" spans="1:108" x14ac:dyDescent="0.35">
      <c r="B49" t="s">
        <v>95</v>
      </c>
      <c r="C49" s="15">
        <v>9.9009900990099015E-2</v>
      </c>
      <c r="D49" s="15">
        <v>0.10570990099009901</v>
      </c>
      <c r="E49" s="15">
        <v>9.3609900990099013E-2</v>
      </c>
      <c r="F49" s="15">
        <v>0.10510990099009901</v>
      </c>
      <c r="G49" s="15">
        <v>0.11330990099009902</v>
      </c>
      <c r="H49" s="15">
        <v>9.8809900990099009E-2</v>
      </c>
      <c r="I49" s="15">
        <v>9.7109900990099016E-2</v>
      </c>
      <c r="J49" s="15">
        <v>8.5409900990099014E-2</v>
      </c>
      <c r="K49" s="15">
        <v>9.8609900990099017E-2</v>
      </c>
      <c r="L49" s="15">
        <v>9.9009900990099015E-2</v>
      </c>
      <c r="M49" s="15">
        <v>8.8009900990099019E-2</v>
      </c>
      <c r="N49" s="15">
        <v>9.530990099009902E-2</v>
      </c>
      <c r="O49" s="15">
        <v>0.10270990099009901</v>
      </c>
      <c r="P49" s="15">
        <v>8.7109900990099021E-2</v>
      </c>
      <c r="Q49" s="15">
        <v>0.10510990099009901</v>
      </c>
      <c r="R49" s="15">
        <v>0.10430990099009901</v>
      </c>
      <c r="S49" s="15">
        <v>9.7009900990099013E-2</v>
      </c>
      <c r="T49" s="15">
        <v>9.3809900990099018E-2</v>
      </c>
      <c r="U49" s="15">
        <v>9.920990099009902E-2</v>
      </c>
      <c r="V49" s="15">
        <v>8.5209900990099008E-2</v>
      </c>
      <c r="W49" s="15">
        <v>8.6309900990099012E-2</v>
      </c>
      <c r="X49" s="15">
        <v>8.8509900990099019E-2</v>
      </c>
      <c r="Y49" s="15">
        <v>9.7809900990099008E-2</v>
      </c>
      <c r="Z49" s="15">
        <v>0.11440990099009901</v>
      </c>
      <c r="AA49" s="15">
        <v>8.6909900990099015E-2</v>
      </c>
      <c r="AB49" s="15">
        <v>9.8809900990099009E-2</v>
      </c>
      <c r="AC49" s="15">
        <v>0.10690990099009902</v>
      </c>
      <c r="AD49" s="15">
        <v>9.2009900990099008E-2</v>
      </c>
      <c r="AE49" s="15">
        <v>0.11290990099009901</v>
      </c>
      <c r="AF49" s="15">
        <v>9.740990099009901E-2</v>
      </c>
      <c r="AG49" s="15">
        <v>9.2009900990099008E-2</v>
      </c>
      <c r="AH49" s="15">
        <v>0.10210990099009902</v>
      </c>
      <c r="AI49" s="15">
        <v>0.10840990099009902</v>
      </c>
      <c r="AJ49" s="15">
        <v>0.11420990099009902</v>
      </c>
      <c r="AK49" s="2"/>
      <c r="AL49" t="s">
        <v>95</v>
      </c>
      <c r="AM49" s="31">
        <v>0.11433530149868867</v>
      </c>
      <c r="AN49" s="31">
        <v>0.10601753248674951</v>
      </c>
      <c r="AO49" s="31">
        <v>0.14642650162493545</v>
      </c>
      <c r="AP49" s="31">
        <v>0.15545822506089704</v>
      </c>
      <c r="AQ49" s="31">
        <v>8.9908226300444441E-2</v>
      </c>
      <c r="AR49" s="31">
        <v>0.14046447470791962</v>
      </c>
      <c r="AS49" s="31">
        <v>0.10766758711274821</v>
      </c>
      <c r="AT49" s="31">
        <v>6.8248466307253619E-2</v>
      </c>
      <c r="AU49" s="31">
        <v>0.1333983567647298</v>
      </c>
      <c r="AV49" s="31">
        <v>0.1273861482364389</v>
      </c>
      <c r="AW49" s="31">
        <v>0.12051313160823993</v>
      </c>
      <c r="AX49" s="31">
        <v>9.5186327773149809E-2</v>
      </c>
      <c r="AY49" s="31">
        <v>8.2687994860933284E-2</v>
      </c>
      <c r="AZ49" s="31">
        <v>7.5953387561012525E-2</v>
      </c>
      <c r="BA49" s="31">
        <v>0.10072432482824022</v>
      </c>
      <c r="BB49" s="31">
        <v>0.11378374475468001</v>
      </c>
      <c r="BC49" s="31">
        <v>0.15862776590353592</v>
      </c>
      <c r="BD49" s="31">
        <v>0.14412128459865178</v>
      </c>
      <c r="BE49" s="31">
        <v>0.12938841346423235</v>
      </c>
      <c r="BF49" s="31">
        <v>0.15002173042766301</v>
      </c>
      <c r="BG49" s="31">
        <v>0.15266426849405867</v>
      </c>
      <c r="BH49" s="31">
        <v>0.14015111160251487</v>
      </c>
      <c r="BI49" s="31">
        <v>0.14711190479958813</v>
      </c>
      <c r="BJ49" s="31">
        <v>0.13337033576352333</v>
      </c>
      <c r="BK49" s="31">
        <v>0.12539623604015002</v>
      </c>
      <c r="BL49" s="31">
        <v>0.12177296651023267</v>
      </c>
      <c r="BM49" s="31">
        <v>0.1130201705115241</v>
      </c>
      <c r="BN49" s="31">
        <v>0.13855942921340847</v>
      </c>
      <c r="BO49" s="31">
        <v>0.11507905907202134</v>
      </c>
      <c r="BP49" s="31">
        <v>0.13087470197023271</v>
      </c>
      <c r="BQ49" s="31">
        <v>0.12381768249133795</v>
      </c>
      <c r="BR49" s="31">
        <v>0.14341323837005221</v>
      </c>
      <c r="BS49" s="31">
        <v>0.12452602725935191</v>
      </c>
      <c r="BT49" s="31">
        <v>0.13479251946095153</v>
      </c>
      <c r="BV49" t="s">
        <v>95</v>
      </c>
      <c r="BW49" t="s">
        <v>30</v>
      </c>
      <c r="BX49" t="s">
        <v>41</v>
      </c>
      <c r="BY49" t="s">
        <v>41</v>
      </c>
      <c r="BZ49" t="s">
        <v>24</v>
      </c>
      <c r="CA49" t="s">
        <v>30</v>
      </c>
      <c r="CB49" t="s">
        <v>42</v>
      </c>
      <c r="CC49" t="s">
        <v>25</v>
      </c>
      <c r="CD49" t="s">
        <v>42</v>
      </c>
      <c r="CE49" t="s">
        <v>42</v>
      </c>
      <c r="CF49" t="s">
        <v>30</v>
      </c>
      <c r="CG49" t="s">
        <v>42</v>
      </c>
      <c r="CH49" t="s">
        <v>24</v>
      </c>
      <c r="CI49" t="s">
        <v>42</v>
      </c>
      <c r="CJ49" t="s">
        <v>30</v>
      </c>
      <c r="CK49" t="s">
        <v>30</v>
      </c>
      <c r="CL49" t="s">
        <v>35</v>
      </c>
      <c r="CM49" t="s">
        <v>43</v>
      </c>
      <c r="CN49" t="s">
        <v>41</v>
      </c>
      <c r="CO49" t="s">
        <v>30</v>
      </c>
      <c r="CP49" t="s">
        <v>25</v>
      </c>
      <c r="CQ49" t="s">
        <v>43</v>
      </c>
      <c r="CR49" t="s">
        <v>42</v>
      </c>
      <c r="CS49" t="s">
        <v>43</v>
      </c>
      <c r="CT49" t="s">
        <v>42</v>
      </c>
      <c r="CU49" t="s">
        <v>25</v>
      </c>
      <c r="CV49" t="s">
        <v>41</v>
      </c>
      <c r="CW49" t="s">
        <v>24</v>
      </c>
      <c r="CX49" t="s">
        <v>25</v>
      </c>
      <c r="CY49" t="s">
        <v>41</v>
      </c>
      <c r="CZ49" t="s">
        <v>41</v>
      </c>
      <c r="DA49" t="s">
        <v>25</v>
      </c>
      <c r="DB49" t="s">
        <v>43</v>
      </c>
      <c r="DC49" t="s">
        <v>30</v>
      </c>
      <c r="DD49" t="s">
        <v>41</v>
      </c>
    </row>
    <row r="50" spans="1:108" x14ac:dyDescent="0.35">
      <c r="A50" s="3"/>
      <c r="B50" t="s">
        <v>96</v>
      </c>
      <c r="C50" s="15">
        <v>5.6341251506598487E-2</v>
      </c>
      <c r="D50" s="15">
        <v>4.7641251506598488E-2</v>
      </c>
      <c r="E50" s="15">
        <v>6.8041251506598482E-2</v>
      </c>
      <c r="F50" s="15">
        <v>7.2541251506598486E-2</v>
      </c>
      <c r="G50" s="15">
        <v>6.9941251506598481E-2</v>
      </c>
      <c r="H50" s="15">
        <v>6.6941251506598493E-2</v>
      </c>
      <c r="I50" s="15">
        <v>6.7741251506598488E-2</v>
      </c>
      <c r="J50" s="15">
        <v>4.2541251506598488E-2</v>
      </c>
      <c r="K50" s="15">
        <v>6.8741251506598489E-2</v>
      </c>
      <c r="L50" s="15">
        <v>5.3141251506598486E-2</v>
      </c>
      <c r="M50" s="15">
        <v>6.9241251506598489E-2</v>
      </c>
      <c r="N50" s="15">
        <v>6.2141251506598487E-2</v>
      </c>
      <c r="O50" s="15">
        <v>5.1941251506598486E-2</v>
      </c>
      <c r="P50" s="15">
        <v>5.4141251506598487E-2</v>
      </c>
      <c r="Q50" s="15">
        <v>4.0941251506598483E-2</v>
      </c>
      <c r="R50" s="15">
        <v>4.6941251506598489E-2</v>
      </c>
      <c r="S50" s="15">
        <v>5.014125150659849E-2</v>
      </c>
      <c r="T50" s="15">
        <v>5.3841251506598485E-2</v>
      </c>
      <c r="U50" s="15">
        <v>4.674125150659849E-2</v>
      </c>
      <c r="V50" s="15">
        <v>5.6841251506598488E-2</v>
      </c>
      <c r="W50" s="15">
        <v>6.2041251506598491E-2</v>
      </c>
      <c r="X50" s="15">
        <v>5.644125150659849E-2</v>
      </c>
      <c r="Y50" s="15">
        <v>5.0341251506598489E-2</v>
      </c>
      <c r="Z50" s="15">
        <v>6.104125150659849E-2</v>
      </c>
      <c r="AA50" s="15">
        <v>6.1841251506598485E-2</v>
      </c>
      <c r="AB50" s="15">
        <v>5.9741251506598488E-2</v>
      </c>
      <c r="AC50" s="15">
        <v>5.4441251506598488E-2</v>
      </c>
      <c r="AD50" s="15">
        <v>5.3741251506598489E-2</v>
      </c>
      <c r="AE50" s="15">
        <v>6.054125150659849E-2</v>
      </c>
      <c r="AF50" s="15">
        <v>6.4841251506598488E-2</v>
      </c>
      <c r="AG50" s="15">
        <v>6.9741251506598489E-2</v>
      </c>
      <c r="AH50" s="15">
        <v>5.474125150659849E-2</v>
      </c>
      <c r="AI50" s="15">
        <v>7.0641251506598488E-2</v>
      </c>
      <c r="AJ50" s="15">
        <v>5.8041251506598487E-2</v>
      </c>
      <c r="AK50" s="2"/>
      <c r="AL50" t="s">
        <v>96</v>
      </c>
      <c r="AM50" s="31">
        <v>0.10391152272546005</v>
      </c>
      <c r="AN50" s="31">
        <v>9.5593753713520885E-2</v>
      </c>
      <c r="AO50" s="31">
        <v>0.13600272285170684</v>
      </c>
      <c r="AP50" s="31">
        <v>0.14503444628766843</v>
      </c>
      <c r="AQ50" s="31">
        <v>7.9484447527215812E-2</v>
      </c>
      <c r="AR50" s="31">
        <v>0.13004069593469098</v>
      </c>
      <c r="AS50" s="31">
        <v>9.724380833951958E-2</v>
      </c>
      <c r="AT50" s="31">
        <v>5.7824687534024991E-2</v>
      </c>
      <c r="AU50" s="31">
        <v>0.12297457799150117</v>
      </c>
      <c r="AV50" s="31">
        <v>0.11696236946321027</v>
      </c>
      <c r="AW50" s="31">
        <v>0.1100893528350113</v>
      </c>
      <c r="AX50" s="31">
        <v>8.4762548999921181E-2</v>
      </c>
      <c r="AY50" s="31">
        <v>7.2264216087704655E-2</v>
      </c>
      <c r="AZ50" s="31">
        <v>6.5529608787783897E-2</v>
      </c>
      <c r="BA50" s="31">
        <v>9.0300546055011588E-2</v>
      </c>
      <c r="BB50" s="31">
        <v>0.10335996598145138</v>
      </c>
      <c r="BC50" s="31">
        <v>0.1482039871303073</v>
      </c>
      <c r="BD50" s="31">
        <v>0.13369750582542317</v>
      </c>
      <c r="BE50" s="31">
        <v>0.11896463469100373</v>
      </c>
      <c r="BF50" s="31">
        <v>0.13959795165443439</v>
      </c>
      <c r="BG50" s="31">
        <v>0.14224048972083003</v>
      </c>
      <c r="BH50" s="31">
        <v>0.12972733282928622</v>
      </c>
      <c r="BI50" s="31">
        <v>0.13668812602635949</v>
      </c>
      <c r="BJ50" s="31">
        <v>0.12294655699029471</v>
      </c>
      <c r="BK50" s="31">
        <v>0.11497245726692139</v>
      </c>
      <c r="BL50" s="31">
        <v>0.11134918773700404</v>
      </c>
      <c r="BM50" s="31">
        <v>0.10259639173829548</v>
      </c>
      <c r="BN50" s="31">
        <v>0.12813565044017983</v>
      </c>
      <c r="BO50" s="31">
        <v>0.10465528029879272</v>
      </c>
      <c r="BP50" s="31">
        <v>0.12045092319700408</v>
      </c>
      <c r="BQ50" s="31">
        <v>0.11339390371810933</v>
      </c>
      <c r="BR50" s="31">
        <v>0.13298945959682357</v>
      </c>
      <c r="BS50" s="31">
        <v>0.11410224848612328</v>
      </c>
      <c r="BT50" s="31">
        <v>0.1243687406877229</v>
      </c>
      <c r="BV50" t="s">
        <v>96</v>
      </c>
      <c r="BW50" t="s">
        <v>42</v>
      </c>
      <c r="BX50" t="s">
        <v>42</v>
      </c>
      <c r="BY50" t="s">
        <v>25</v>
      </c>
      <c r="BZ50" t="s">
        <v>41</v>
      </c>
      <c r="CA50" t="s">
        <v>24</v>
      </c>
      <c r="CB50" t="s">
        <v>35</v>
      </c>
      <c r="CC50" t="s">
        <v>42</v>
      </c>
      <c r="CD50" t="s">
        <v>24</v>
      </c>
      <c r="CE50" t="s">
        <v>35</v>
      </c>
      <c r="CF50" t="s">
        <v>25</v>
      </c>
      <c r="CG50" t="s">
        <v>41</v>
      </c>
      <c r="CH50" t="s">
        <v>30</v>
      </c>
      <c r="CI50" t="s">
        <v>41</v>
      </c>
      <c r="CJ50" t="s">
        <v>43</v>
      </c>
      <c r="CK50" t="s">
        <v>42</v>
      </c>
      <c r="CL50" t="s">
        <v>41</v>
      </c>
      <c r="CM50" t="s">
        <v>43</v>
      </c>
      <c r="CN50" t="s">
        <v>43</v>
      </c>
      <c r="CO50" t="s">
        <v>41</v>
      </c>
      <c r="CP50" t="s">
        <v>25</v>
      </c>
      <c r="CQ50" t="s">
        <v>41</v>
      </c>
      <c r="CR50" t="s">
        <v>24</v>
      </c>
      <c r="CS50" t="s">
        <v>25</v>
      </c>
      <c r="CT50" t="s">
        <v>35</v>
      </c>
      <c r="CU50" t="s">
        <v>35</v>
      </c>
      <c r="CV50" t="s">
        <v>41</v>
      </c>
      <c r="CW50" t="s">
        <v>35</v>
      </c>
      <c r="CX50" t="s">
        <v>30</v>
      </c>
      <c r="CY50" t="s">
        <v>42</v>
      </c>
      <c r="CZ50" t="s">
        <v>41</v>
      </c>
      <c r="DA50" t="s">
        <v>30</v>
      </c>
      <c r="DB50" t="s">
        <v>30</v>
      </c>
      <c r="DC50" t="s">
        <v>35</v>
      </c>
      <c r="DD50" t="s">
        <v>25</v>
      </c>
    </row>
    <row r="51" spans="1:108" x14ac:dyDescent="0.35">
      <c r="B51" t="s">
        <v>97</v>
      </c>
      <c r="C51" s="15">
        <v>0.10891089108910891</v>
      </c>
      <c r="D51" s="15">
        <v>0.1255108910891089</v>
      </c>
      <c r="E51" s="15">
        <v>0.12171089108910892</v>
      </c>
      <c r="F51" s="15">
        <v>0.11911089108910891</v>
      </c>
      <c r="G51" s="15">
        <v>9.8810891089108913E-2</v>
      </c>
      <c r="H51" s="15">
        <v>9.9510891089108905E-2</v>
      </c>
      <c r="I51" s="15">
        <v>0.1174108910891089</v>
      </c>
      <c r="J51" s="15">
        <v>0.12491089108910891</v>
      </c>
      <c r="K51" s="15">
        <v>0.10961089108910892</v>
      </c>
      <c r="L51" s="15">
        <v>9.6210891089108908E-2</v>
      </c>
      <c r="M51" s="15">
        <v>0.10491089108910891</v>
      </c>
      <c r="N51" s="15">
        <v>0.11781089108910892</v>
      </c>
      <c r="O51" s="15">
        <v>9.4310891089108909E-2</v>
      </c>
      <c r="P51" s="15">
        <v>0.10721089108910892</v>
      </c>
      <c r="Q51" s="15">
        <v>0.10091089108910892</v>
      </c>
      <c r="R51" s="15">
        <v>0.10321089108910891</v>
      </c>
      <c r="S51" s="15">
        <v>0.10991089108910891</v>
      </c>
      <c r="T51" s="15">
        <v>0.1019108910891089</v>
      </c>
      <c r="U51" s="15">
        <v>0.11701089108910891</v>
      </c>
      <c r="V51" s="15">
        <v>0.10141089108910892</v>
      </c>
      <c r="W51" s="15">
        <v>0.12481089108910891</v>
      </c>
      <c r="X51" s="15">
        <v>9.3710891089108905E-2</v>
      </c>
      <c r="Y51" s="15">
        <v>0.10041089108910892</v>
      </c>
      <c r="Z51" s="15">
        <v>0.10651089108910891</v>
      </c>
      <c r="AA51" s="15">
        <v>0.10331089108910892</v>
      </c>
      <c r="AB51" s="15">
        <v>0.10501089108910891</v>
      </c>
      <c r="AC51" s="15">
        <v>0.10591089108910891</v>
      </c>
      <c r="AD51" s="15">
        <v>0.11651089108910891</v>
      </c>
      <c r="AE51" s="15">
        <v>0.10651089108910891</v>
      </c>
      <c r="AF51" s="15">
        <v>0.11371089108910891</v>
      </c>
      <c r="AG51" s="15">
        <v>0.11961089108910891</v>
      </c>
      <c r="AH51" s="15">
        <v>0.10291089108910891</v>
      </c>
      <c r="AI51" s="15">
        <v>0.10661089108910891</v>
      </c>
      <c r="AJ51" s="15">
        <v>0.10751089108910891</v>
      </c>
      <c r="AK51" s="2"/>
      <c r="AL51" t="s">
        <v>97</v>
      </c>
      <c r="AM51" s="31">
        <v>0.13913581226139105</v>
      </c>
      <c r="AN51" s="31">
        <v>0.1308180432494519</v>
      </c>
      <c r="AO51" s="31">
        <v>0.17122701238763782</v>
      </c>
      <c r="AP51" s="31">
        <v>0.18025873582359941</v>
      </c>
      <c r="AQ51" s="31">
        <v>0.11470873706314681</v>
      </c>
      <c r="AR51" s="31">
        <v>0.16526498547062199</v>
      </c>
      <c r="AS51" s="31">
        <v>0.13246809787545058</v>
      </c>
      <c r="AT51" s="31">
        <v>9.304897706995599E-2</v>
      </c>
      <c r="AU51" s="31">
        <v>0.15819886752743217</v>
      </c>
      <c r="AV51" s="31">
        <v>0.15218665899914127</v>
      </c>
      <c r="AW51" s="31">
        <v>0.1453136423709423</v>
      </c>
      <c r="AX51" s="31">
        <v>0.11998683853585218</v>
      </c>
      <c r="AY51" s="31">
        <v>0.10748850562363566</v>
      </c>
      <c r="AZ51" s="31">
        <v>0.1007538983237149</v>
      </c>
      <c r="BA51" s="31">
        <v>0.12552483559094257</v>
      </c>
      <c r="BB51" s="31">
        <v>0.13858425551738238</v>
      </c>
      <c r="BC51" s="31">
        <v>0.18342827666623829</v>
      </c>
      <c r="BD51" s="31">
        <v>0.16892179536135415</v>
      </c>
      <c r="BE51" s="31">
        <v>0.15418892422693473</v>
      </c>
      <c r="BF51" s="31">
        <v>0.17482224119036538</v>
      </c>
      <c r="BG51" s="31">
        <v>0.17746477925676105</v>
      </c>
      <c r="BH51" s="31">
        <v>0.16495162236521724</v>
      </c>
      <c r="BI51" s="31">
        <v>0.1719124155622905</v>
      </c>
      <c r="BJ51" s="31">
        <v>0.15817084652622571</v>
      </c>
      <c r="BK51" s="31">
        <v>0.15019674680285239</v>
      </c>
      <c r="BL51" s="31">
        <v>0.14657347727293504</v>
      </c>
      <c r="BM51" s="31">
        <v>0.13782068127422648</v>
      </c>
      <c r="BN51" s="31">
        <v>0.16335993997611084</v>
      </c>
      <c r="BO51" s="31">
        <v>0.13987956983472372</v>
      </c>
      <c r="BP51" s="31">
        <v>0.15567521273293508</v>
      </c>
      <c r="BQ51" s="31">
        <v>0.14861819325404033</v>
      </c>
      <c r="BR51" s="31">
        <v>0.16821374913275458</v>
      </c>
      <c r="BS51" s="31">
        <v>0.14932653802205428</v>
      </c>
      <c r="BT51" s="31">
        <v>0.1595930302236539</v>
      </c>
      <c r="BV51" t="s">
        <v>97</v>
      </c>
      <c r="BW51" t="s">
        <v>30</v>
      </c>
      <c r="BX51" t="s">
        <v>41</v>
      </c>
      <c r="BY51" t="s">
        <v>24</v>
      </c>
      <c r="BZ51" t="s">
        <v>25</v>
      </c>
      <c r="CA51" t="s">
        <v>35</v>
      </c>
      <c r="CB51" t="s">
        <v>24</v>
      </c>
      <c r="CC51" t="s">
        <v>42</v>
      </c>
      <c r="CD51" t="s">
        <v>24</v>
      </c>
      <c r="CE51" t="s">
        <v>30</v>
      </c>
      <c r="CF51" t="s">
        <v>30</v>
      </c>
      <c r="CG51" t="s">
        <v>35</v>
      </c>
      <c r="CH51" t="s">
        <v>24</v>
      </c>
      <c r="CI51" t="s">
        <v>42</v>
      </c>
      <c r="CJ51" t="s">
        <v>25</v>
      </c>
      <c r="CK51" t="s">
        <v>30</v>
      </c>
      <c r="CL51" t="s">
        <v>43</v>
      </c>
      <c r="CM51" t="s">
        <v>24</v>
      </c>
      <c r="CN51" t="s">
        <v>24</v>
      </c>
      <c r="CO51" t="s">
        <v>35</v>
      </c>
      <c r="CP51" t="s">
        <v>43</v>
      </c>
      <c r="CQ51" t="s">
        <v>24</v>
      </c>
      <c r="CR51" t="s">
        <v>25</v>
      </c>
      <c r="CS51" t="s">
        <v>43</v>
      </c>
      <c r="CT51" t="s">
        <v>43</v>
      </c>
      <c r="CU51" t="s">
        <v>41</v>
      </c>
      <c r="CV51" t="s">
        <v>24</v>
      </c>
      <c r="CW51" t="s">
        <v>42</v>
      </c>
      <c r="CX51" t="s">
        <v>42</v>
      </c>
      <c r="CY51" t="s">
        <v>41</v>
      </c>
      <c r="CZ51" t="s">
        <v>41</v>
      </c>
      <c r="DA51" t="s">
        <v>42</v>
      </c>
      <c r="DB51" t="s">
        <v>35</v>
      </c>
      <c r="DC51" t="s">
        <v>24</v>
      </c>
      <c r="DD51" t="s">
        <v>24</v>
      </c>
    </row>
    <row r="52" spans="1:108" x14ac:dyDescent="0.35">
      <c r="B52" t="s">
        <v>98</v>
      </c>
      <c r="C52" s="15">
        <v>4.7102261762710332E-2</v>
      </c>
      <c r="D52" s="15">
        <v>6.1502261762710328E-2</v>
      </c>
      <c r="E52" s="15">
        <v>4.2602261762710335E-2</v>
      </c>
      <c r="F52" s="15">
        <v>4.630226176271033E-2</v>
      </c>
      <c r="G52" s="15">
        <v>4.000226176271033E-2</v>
      </c>
      <c r="H52" s="15">
        <v>6.2902261762710326E-2</v>
      </c>
      <c r="I52" s="15">
        <v>5.0102261762710334E-2</v>
      </c>
      <c r="J52" s="15">
        <v>4.8602261762710333E-2</v>
      </c>
      <c r="K52" s="15">
        <v>3.130226176271033E-2</v>
      </c>
      <c r="L52" s="15">
        <v>4.8802261762710332E-2</v>
      </c>
      <c r="M52" s="15">
        <v>4.1802261762710333E-2</v>
      </c>
      <c r="N52" s="15">
        <v>3.2702261762710336E-2</v>
      </c>
      <c r="O52" s="15">
        <v>5.2502261762710334E-2</v>
      </c>
      <c r="P52" s="15">
        <v>4.5502261762710335E-2</v>
      </c>
      <c r="Q52" s="15">
        <v>5.3302261762710329E-2</v>
      </c>
      <c r="R52" s="15">
        <v>4.9902261762710329E-2</v>
      </c>
      <c r="S52" s="15">
        <v>4.5302261762710329E-2</v>
      </c>
      <c r="T52" s="15">
        <v>6.2802261762710337E-2</v>
      </c>
      <c r="U52" s="15">
        <v>5.2902261762710331E-2</v>
      </c>
      <c r="V52" s="15">
        <v>3.2902261762710328E-2</v>
      </c>
      <c r="W52" s="15">
        <v>6.1702261762710334E-2</v>
      </c>
      <c r="X52" s="15">
        <v>5.5002261762710336E-2</v>
      </c>
      <c r="Y52" s="15">
        <v>4.5702261762710333E-2</v>
      </c>
      <c r="Z52" s="15">
        <v>4.3702261762710332E-2</v>
      </c>
      <c r="AA52" s="15">
        <v>4.560226176271033E-2</v>
      </c>
      <c r="AB52" s="15">
        <v>4.1602261762710334E-2</v>
      </c>
      <c r="AC52" s="15">
        <v>5.0602261762710335E-2</v>
      </c>
      <c r="AD52" s="15">
        <v>3.0902261762710333E-2</v>
      </c>
      <c r="AE52" s="15">
        <v>5.6602261762710333E-2</v>
      </c>
      <c r="AF52" s="15">
        <v>6.2602261762710332E-2</v>
      </c>
      <c r="AG52" s="15">
        <v>5.7502261762710331E-2</v>
      </c>
      <c r="AH52" s="15">
        <v>4.7902261762710334E-2</v>
      </c>
      <c r="AI52" s="15">
        <v>3.2602261762710333E-2</v>
      </c>
      <c r="AJ52" s="15">
        <v>3.4502261762710332E-2</v>
      </c>
      <c r="AK52" s="2"/>
      <c r="AL52" t="s">
        <v>98</v>
      </c>
      <c r="AM52" s="31">
        <v>0.10904371215891866</v>
      </c>
      <c r="AN52" s="31">
        <v>0.1007259431469795</v>
      </c>
      <c r="AO52" s="31">
        <v>0.14113491228516545</v>
      </c>
      <c r="AP52" s="31">
        <v>0.15016663572112704</v>
      </c>
      <c r="AQ52" s="31">
        <v>8.4616636960674424E-2</v>
      </c>
      <c r="AR52" s="31">
        <v>0.13517288536814959</v>
      </c>
      <c r="AS52" s="31">
        <v>0.10237599777297819</v>
      </c>
      <c r="AT52" s="31">
        <v>6.2956876967483602E-2</v>
      </c>
      <c r="AU52" s="31">
        <v>0.1281067674249598</v>
      </c>
      <c r="AV52" s="31">
        <v>0.12209455889666888</v>
      </c>
      <c r="AW52" s="31">
        <v>0.11522154226846991</v>
      </c>
      <c r="AX52" s="31">
        <v>8.9894738433379792E-2</v>
      </c>
      <c r="AY52" s="31">
        <v>7.7396405521163267E-2</v>
      </c>
      <c r="AZ52" s="31">
        <v>7.0661798221242508E-2</v>
      </c>
      <c r="BA52" s="31">
        <v>9.5432735488470199E-2</v>
      </c>
      <c r="BB52" s="31">
        <v>0.10849215541490999</v>
      </c>
      <c r="BC52" s="31">
        <v>0.15333617656376591</v>
      </c>
      <c r="BD52" s="31">
        <v>0.13882969525888178</v>
      </c>
      <c r="BE52" s="31">
        <v>0.12409682412446234</v>
      </c>
      <c r="BF52" s="31">
        <v>0.14473014108789301</v>
      </c>
      <c r="BG52" s="31">
        <v>0.14737267915428864</v>
      </c>
      <c r="BH52" s="31">
        <v>0.13485952226274484</v>
      </c>
      <c r="BI52" s="31">
        <v>0.1418203154598181</v>
      </c>
      <c r="BJ52" s="31">
        <v>0.12807874642375333</v>
      </c>
      <c r="BK52" s="31">
        <v>0.12010464670038</v>
      </c>
      <c r="BL52" s="31">
        <v>0.11648137717046265</v>
      </c>
      <c r="BM52" s="31">
        <v>0.10772858117175409</v>
      </c>
      <c r="BN52" s="31">
        <v>0.13326783987363844</v>
      </c>
      <c r="BO52" s="31">
        <v>0.10978746973225133</v>
      </c>
      <c r="BP52" s="31">
        <v>0.12558311263046268</v>
      </c>
      <c r="BQ52" s="31">
        <v>0.11852609315156794</v>
      </c>
      <c r="BR52" s="31">
        <v>0.13812164903028218</v>
      </c>
      <c r="BS52" s="31">
        <v>0.1192344379195819</v>
      </c>
      <c r="BT52" s="31">
        <v>0.12950093012118152</v>
      </c>
      <c r="BV52" t="s">
        <v>98</v>
      </c>
      <c r="BW52" t="s">
        <v>35</v>
      </c>
      <c r="BX52" t="s">
        <v>43</v>
      </c>
      <c r="BY52" t="s">
        <v>24</v>
      </c>
      <c r="BZ52" t="s">
        <v>42</v>
      </c>
      <c r="CA52" t="s">
        <v>30</v>
      </c>
      <c r="CB52" t="s">
        <v>30</v>
      </c>
      <c r="CC52" t="s">
        <v>24</v>
      </c>
      <c r="CD52" t="s">
        <v>42</v>
      </c>
      <c r="CE52" t="s">
        <v>42</v>
      </c>
      <c r="CF52" t="s">
        <v>30</v>
      </c>
      <c r="CG52" t="s">
        <v>43</v>
      </c>
      <c r="CH52" t="s">
        <v>42</v>
      </c>
      <c r="CI52" t="s">
        <v>42</v>
      </c>
      <c r="CJ52" t="s">
        <v>30</v>
      </c>
      <c r="CK52" t="s">
        <v>35</v>
      </c>
      <c r="CL52" t="s">
        <v>43</v>
      </c>
      <c r="CM52" t="s">
        <v>41</v>
      </c>
      <c r="CN52" t="s">
        <v>35</v>
      </c>
      <c r="CO52" t="s">
        <v>42</v>
      </c>
      <c r="CP52" t="s">
        <v>41</v>
      </c>
      <c r="CQ52" t="s">
        <v>24</v>
      </c>
      <c r="CR52" t="s">
        <v>35</v>
      </c>
      <c r="CS52" t="s">
        <v>30</v>
      </c>
      <c r="CT52" t="s">
        <v>43</v>
      </c>
      <c r="CU52" t="s">
        <v>25</v>
      </c>
      <c r="CV52" t="s">
        <v>24</v>
      </c>
      <c r="CW52" t="s">
        <v>35</v>
      </c>
      <c r="CX52" t="s">
        <v>41</v>
      </c>
      <c r="CY52" t="s">
        <v>42</v>
      </c>
      <c r="CZ52" t="s">
        <v>42</v>
      </c>
      <c r="DA52" t="s">
        <v>43</v>
      </c>
      <c r="DB52" t="s">
        <v>35</v>
      </c>
      <c r="DC52" t="s">
        <v>41</v>
      </c>
      <c r="DD52" t="s">
        <v>30</v>
      </c>
    </row>
    <row r="53" spans="1:108" x14ac:dyDescent="0.35">
      <c r="B53" s="4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13"/>
      <c r="Z53" s="2"/>
      <c r="AA53" s="2"/>
      <c r="AB53" s="2"/>
      <c r="AC53" s="2"/>
      <c r="AD53" s="2"/>
      <c r="AE53" s="2"/>
      <c r="AF53" s="12"/>
      <c r="AG53" s="2"/>
      <c r="AH53" s="2"/>
      <c r="AI53" s="2"/>
      <c r="AJ53" s="2"/>
      <c r="AK53" s="2"/>
      <c r="AL53" s="4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V53" s="4"/>
    </row>
    <row r="54" spans="1:108" x14ac:dyDescent="0.35">
      <c r="B54" s="4" t="s">
        <v>99</v>
      </c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13"/>
      <c r="Z54" s="2"/>
      <c r="AA54" s="2"/>
      <c r="AB54" s="2"/>
      <c r="AC54" s="2"/>
      <c r="AD54" s="2"/>
      <c r="AE54" s="2"/>
      <c r="AF54" s="12"/>
      <c r="AG54" s="2"/>
      <c r="AH54" s="2"/>
      <c r="AI54" s="2"/>
      <c r="AJ54" s="2"/>
      <c r="AK54" s="2"/>
      <c r="AL54" s="4" t="s">
        <v>99</v>
      </c>
      <c r="AM54" s="12">
        <f>AM55*C55+AM62*C62</f>
        <v>0.12254788922712657</v>
      </c>
      <c r="AN54" s="12">
        <f t="shared" ref="AN54:BT54" si="54">AN55*D55+AN62*D62</f>
        <v>0.11430959692994425</v>
      </c>
      <c r="AO54" s="12">
        <f t="shared" si="54"/>
        <v>0.1548364647016523</v>
      </c>
      <c r="AP54" s="12">
        <f t="shared" si="54"/>
        <v>0.16341376988402972</v>
      </c>
      <c r="AQ54" s="12">
        <f t="shared" si="54"/>
        <v>9.7694978474406072E-2</v>
      </c>
      <c r="AR54" s="12">
        <f t="shared" si="54"/>
        <v>0.14806968007666488</v>
      </c>
      <c r="AS54" s="12">
        <f t="shared" si="54"/>
        <v>0.11581248108088807</v>
      </c>
      <c r="AT54" s="12">
        <f t="shared" si="54"/>
        <v>7.4813909106612994E-2</v>
      </c>
      <c r="AU54" s="12">
        <f t="shared" si="54"/>
        <v>0.14163131669056447</v>
      </c>
      <c r="AV54" s="12">
        <f t="shared" si="54"/>
        <v>0.13550543484434632</v>
      </c>
      <c r="AW54" s="12">
        <f t="shared" si="54"/>
        <v>0.12854555065364057</v>
      </c>
      <c r="AX54" s="12">
        <f t="shared" si="54"/>
        <v>0.10363036242786321</v>
      </c>
      <c r="AY54" s="12">
        <f t="shared" si="54"/>
        <v>9.0646755684802072E-2</v>
      </c>
      <c r="AZ54" s="12">
        <f t="shared" si="54"/>
        <v>8.1499912002937713E-2</v>
      </c>
      <c r="BA54" s="12">
        <f t="shared" si="54"/>
        <v>0.10905746048666692</v>
      </c>
      <c r="BB54" s="12">
        <f t="shared" si="54"/>
        <v>0.12198902491386507</v>
      </c>
      <c r="BC54" s="12">
        <f t="shared" si="54"/>
        <v>0.16701918380698194</v>
      </c>
      <c r="BD54" s="12">
        <f t="shared" si="54"/>
        <v>0.15210650081359028</v>
      </c>
      <c r="BE54" s="12">
        <f t="shared" si="54"/>
        <v>0.13793380176359868</v>
      </c>
      <c r="BF54" s="12">
        <f t="shared" si="54"/>
        <v>0.15834517942879028</v>
      </c>
      <c r="BG54" s="12">
        <f t="shared" si="54"/>
        <v>0.1610529683768353</v>
      </c>
      <c r="BH54" s="12">
        <f t="shared" si="54"/>
        <v>0.1481165047838853</v>
      </c>
      <c r="BI54" s="12">
        <f t="shared" si="54"/>
        <v>0.15523913882532589</v>
      </c>
      <c r="BJ54" s="12">
        <f t="shared" si="54"/>
        <v>0.14131121514650974</v>
      </c>
      <c r="BK54" s="12">
        <f t="shared" si="54"/>
        <v>0.13346065895221412</v>
      </c>
      <c r="BL54" s="12">
        <f t="shared" si="54"/>
        <v>0.12985826024407288</v>
      </c>
      <c r="BM54" s="12">
        <f t="shared" si="54"/>
        <v>0.12102638747687323</v>
      </c>
      <c r="BN54" s="12">
        <f t="shared" si="54"/>
        <v>0.14706775632641317</v>
      </c>
      <c r="BO54" s="12">
        <f t="shared" si="54"/>
        <v>0.1229268405383622</v>
      </c>
      <c r="BP54" s="12">
        <f t="shared" si="54"/>
        <v>0.13887533926231316</v>
      </c>
      <c r="BQ54" s="12">
        <f t="shared" si="54"/>
        <v>0.13187533926231315</v>
      </c>
      <c r="BR54" s="12">
        <f t="shared" si="54"/>
        <v>0.15146892305137544</v>
      </c>
      <c r="BS54" s="12">
        <f t="shared" si="54"/>
        <v>0.13264781879648352</v>
      </c>
      <c r="BT54" s="12">
        <f t="shared" si="54"/>
        <v>0.14310258641771217</v>
      </c>
      <c r="BV54" s="4" t="s">
        <v>99</v>
      </c>
    </row>
    <row r="55" spans="1:108" x14ac:dyDescent="0.35">
      <c r="B55" s="4" t="s">
        <v>84</v>
      </c>
      <c r="C55" s="15">
        <f>C71</f>
        <v>0.86763319870163769</v>
      </c>
      <c r="D55" s="15">
        <f t="shared" ref="D55:AJ55" si="55">D71</f>
        <v>0.88113319870163764</v>
      </c>
      <c r="E55" s="15">
        <f t="shared" si="55"/>
        <v>0.87273319870163768</v>
      </c>
      <c r="F55" s="15">
        <f t="shared" si="55"/>
        <v>0.87643319870163772</v>
      </c>
      <c r="G55" s="15">
        <f t="shared" si="55"/>
        <v>0.85173319870163766</v>
      </c>
      <c r="H55" s="15">
        <f t="shared" si="55"/>
        <v>0.88033319870163773</v>
      </c>
      <c r="I55" s="15">
        <f t="shared" si="55"/>
        <v>0.86713319870163774</v>
      </c>
      <c r="J55" s="15">
        <f t="shared" si="55"/>
        <v>0.85233319870163771</v>
      </c>
      <c r="K55" s="15">
        <f t="shared" si="55"/>
        <v>0.87513319870163775</v>
      </c>
      <c r="L55" s="15">
        <f t="shared" si="55"/>
        <v>0.88213319870163764</v>
      </c>
      <c r="M55" s="15">
        <f t="shared" si="55"/>
        <v>0.8786331987016377</v>
      </c>
      <c r="N55" s="15">
        <f t="shared" si="55"/>
        <v>0.85963319870163768</v>
      </c>
      <c r="O55" s="15">
        <f t="shared" si="55"/>
        <v>0.87203319870163765</v>
      </c>
      <c r="P55" s="15">
        <f t="shared" si="55"/>
        <v>0.85803319870163763</v>
      </c>
      <c r="Q55" s="15">
        <f t="shared" si="55"/>
        <v>0.86473319870163767</v>
      </c>
      <c r="R55" s="15">
        <f t="shared" si="55"/>
        <v>0.85663319870163768</v>
      </c>
      <c r="S55" s="15">
        <f t="shared" si="55"/>
        <v>0.87393319870163766</v>
      </c>
      <c r="T55" s="15">
        <f t="shared" si="55"/>
        <v>0.8655331987016377</v>
      </c>
      <c r="U55" s="15">
        <f t="shared" si="55"/>
        <v>0.85193319870163764</v>
      </c>
      <c r="V55" s="15">
        <f t="shared" si="55"/>
        <v>0.87093319870163766</v>
      </c>
      <c r="W55" s="15">
        <f t="shared" si="55"/>
        <v>0.87923319870163774</v>
      </c>
      <c r="X55" s="15">
        <f t="shared" si="55"/>
        <v>0.85113319870163773</v>
      </c>
      <c r="Y55" s="15">
        <f t="shared" si="55"/>
        <v>0.85303319870163774</v>
      </c>
      <c r="Z55" s="15">
        <f t="shared" si="55"/>
        <v>0.8695331987016377</v>
      </c>
      <c r="AA55" s="15">
        <f t="shared" si="55"/>
        <v>0.88103319870163765</v>
      </c>
      <c r="AB55" s="15">
        <f t="shared" si="55"/>
        <v>0.87803319870163765</v>
      </c>
      <c r="AC55" s="15">
        <f t="shared" si="55"/>
        <v>0.85773319870163767</v>
      </c>
      <c r="AD55" s="15">
        <f t="shared" si="55"/>
        <v>0.86373319870163767</v>
      </c>
      <c r="AE55" s="15">
        <f t="shared" si="55"/>
        <v>0.8665331987016377</v>
      </c>
      <c r="AF55" s="15">
        <f t="shared" si="55"/>
        <v>0.86003319870163764</v>
      </c>
      <c r="AG55" s="15">
        <f t="shared" si="55"/>
        <v>0.87993319870163766</v>
      </c>
      <c r="AH55" s="15">
        <f t="shared" si="55"/>
        <v>0.85553319870163769</v>
      </c>
      <c r="AI55" s="15">
        <f t="shared" si="55"/>
        <v>0.86803319870163764</v>
      </c>
      <c r="AJ55" s="15">
        <f t="shared" si="55"/>
        <v>0.87743319870163772</v>
      </c>
      <c r="AK55" s="2"/>
      <c r="AL55" s="4" t="s">
        <v>84</v>
      </c>
      <c r="AM55" s="31">
        <f>AM56*C56+SUMPRODUCT(AM60:AM61,C60:C61)</f>
        <v>0.11499797862484645</v>
      </c>
      <c r="AN55" s="31">
        <f t="shared" ref="AN55:BT55" si="56">AN56*D56+SUMPRODUCT(AN60:AN61,D60:D61)</f>
        <v>0.10754377865812897</v>
      </c>
      <c r="AO55" s="31">
        <f t="shared" si="56"/>
        <v>0.14755070831708816</v>
      </c>
      <c r="AP55" s="31">
        <f t="shared" si="56"/>
        <v>0.15643187955764695</v>
      </c>
      <c r="AQ55" s="31">
        <f t="shared" si="56"/>
        <v>8.9225007106179005E-2</v>
      </c>
      <c r="AR55" s="31">
        <f t="shared" si="56"/>
        <v>0.14127369555580416</v>
      </c>
      <c r="AS55" s="31">
        <f t="shared" si="56"/>
        <v>0.10818509126745117</v>
      </c>
      <c r="AT55" s="31">
        <f t="shared" si="56"/>
        <v>6.5977307298902194E-2</v>
      </c>
      <c r="AU55" s="31">
        <f t="shared" si="56"/>
        <v>0.13445415143000433</v>
      </c>
      <c r="AV55" s="31">
        <f t="shared" si="56"/>
        <v>0.12879108041717235</v>
      </c>
      <c r="AW55" s="31">
        <f t="shared" si="56"/>
        <v>0.12159993300987673</v>
      </c>
      <c r="AX55" s="31">
        <f t="shared" si="56"/>
        <v>9.5709580575048872E-2</v>
      </c>
      <c r="AY55" s="31">
        <f t="shared" si="56"/>
        <v>8.323044819338847E-2</v>
      </c>
      <c r="AZ55" s="31">
        <f t="shared" si="56"/>
        <v>7.2941510744134824E-2</v>
      </c>
      <c r="BA55" s="31">
        <f t="shared" si="56"/>
        <v>0.10138889347418135</v>
      </c>
      <c r="BB55" s="31">
        <f t="shared" si="56"/>
        <v>0.11377696379375574</v>
      </c>
      <c r="BC55" s="31">
        <f t="shared" si="56"/>
        <v>0.15988119007708085</v>
      </c>
      <c r="BD55" s="31">
        <f t="shared" si="56"/>
        <v>0.14435666923908813</v>
      </c>
      <c r="BE55" s="31">
        <f t="shared" si="56"/>
        <v>0.12958867734743454</v>
      </c>
      <c r="BF55" s="31">
        <f t="shared" si="56"/>
        <v>0.15110449386096902</v>
      </c>
      <c r="BG55" s="31">
        <f t="shared" si="56"/>
        <v>0.15406384928290989</v>
      </c>
      <c r="BH55" s="31">
        <f t="shared" si="56"/>
        <v>0.13959945831712306</v>
      </c>
      <c r="BI55" s="31">
        <f t="shared" si="56"/>
        <v>0.14691259502744849</v>
      </c>
      <c r="BJ55" s="31">
        <f t="shared" si="56"/>
        <v>0.13381954281824104</v>
      </c>
      <c r="BK55" s="31">
        <f t="shared" si="56"/>
        <v>0.1266026671704345</v>
      </c>
      <c r="BL55" s="31">
        <f t="shared" si="56"/>
        <v>0.12292954543762472</v>
      </c>
      <c r="BM55" s="31">
        <f t="shared" si="56"/>
        <v>0.11289438601903506</v>
      </c>
      <c r="BN55" s="31">
        <f t="shared" si="56"/>
        <v>0.1393917041667003</v>
      </c>
      <c r="BO55" s="31">
        <f t="shared" si="56"/>
        <v>0.1153800805796199</v>
      </c>
      <c r="BP55" s="31">
        <f t="shared" si="56"/>
        <v>0.13088857107037871</v>
      </c>
      <c r="BQ55" s="31">
        <f t="shared" si="56"/>
        <v>0.12512807499245196</v>
      </c>
      <c r="BR55" s="31">
        <f t="shared" si="56"/>
        <v>0.14327966379949097</v>
      </c>
      <c r="BS55" s="31">
        <f t="shared" si="56"/>
        <v>0.12514542010879018</v>
      </c>
      <c r="BT55" s="31">
        <f t="shared" si="56"/>
        <v>0.13614676432108255</v>
      </c>
      <c r="BV55" s="4" t="s">
        <v>84</v>
      </c>
      <c r="BW55" t="s">
        <v>35</v>
      </c>
      <c r="BX55" t="s">
        <v>41</v>
      </c>
      <c r="BY55" t="s">
        <v>43</v>
      </c>
      <c r="BZ55" t="s">
        <v>35</v>
      </c>
      <c r="CA55" t="s">
        <v>41</v>
      </c>
      <c r="CB55" t="s">
        <v>25</v>
      </c>
      <c r="CC55" t="s">
        <v>25</v>
      </c>
      <c r="CD55" t="s">
        <v>24</v>
      </c>
      <c r="CE55" t="s">
        <v>25</v>
      </c>
      <c r="CF55" t="s">
        <v>42</v>
      </c>
      <c r="CG55" t="s">
        <v>30</v>
      </c>
      <c r="CH55" t="s">
        <v>24</v>
      </c>
      <c r="CI55" t="s">
        <v>35</v>
      </c>
      <c r="CJ55" t="s">
        <v>42</v>
      </c>
      <c r="CK55" t="s">
        <v>41</v>
      </c>
      <c r="CL55" t="s">
        <v>24</v>
      </c>
      <c r="CM55" t="s">
        <v>30</v>
      </c>
      <c r="CN55" t="s">
        <v>30</v>
      </c>
      <c r="CO55" t="s">
        <v>25</v>
      </c>
      <c r="CP55" t="s">
        <v>43</v>
      </c>
      <c r="CQ55" t="s">
        <v>42</v>
      </c>
      <c r="CR55" t="s">
        <v>30</v>
      </c>
      <c r="CS55" t="s">
        <v>30</v>
      </c>
      <c r="CT55" t="s">
        <v>42</v>
      </c>
      <c r="CU55" t="s">
        <v>25</v>
      </c>
      <c r="CV55" t="s">
        <v>41</v>
      </c>
      <c r="CW55" t="s">
        <v>41</v>
      </c>
      <c r="CX55" t="s">
        <v>43</v>
      </c>
      <c r="CY55" t="s">
        <v>41</v>
      </c>
      <c r="CZ55" t="s">
        <v>25</v>
      </c>
      <c r="DA55" t="s">
        <v>35</v>
      </c>
      <c r="DB55" t="s">
        <v>30</v>
      </c>
      <c r="DC55" t="s">
        <v>41</v>
      </c>
      <c r="DD55" t="s">
        <v>42</v>
      </c>
    </row>
    <row r="56" spans="1:108" x14ac:dyDescent="0.35">
      <c r="B56" s="37" t="s">
        <v>100</v>
      </c>
      <c r="C56" s="15">
        <f>1-SUM(C60:C61)</f>
        <v>0.85289578425798074</v>
      </c>
      <c r="D56" s="15">
        <f t="shared" ref="D56:AJ56" si="57">1-SUM(D60:D61)</f>
        <v>0.82809578425798069</v>
      </c>
      <c r="E56" s="15">
        <f t="shared" si="57"/>
        <v>0.84089578425798073</v>
      </c>
      <c r="F56" s="15">
        <f t="shared" si="57"/>
        <v>0.83219578425798069</v>
      </c>
      <c r="G56" s="15">
        <f t="shared" si="57"/>
        <v>0.86409578425798061</v>
      </c>
      <c r="H56" s="15">
        <f t="shared" si="57"/>
        <v>0.8420957842579806</v>
      </c>
      <c r="I56" s="15">
        <f t="shared" si="57"/>
        <v>0.84069578425798075</v>
      </c>
      <c r="J56" s="15">
        <f t="shared" si="57"/>
        <v>0.86119578425798071</v>
      </c>
      <c r="K56" s="15">
        <f t="shared" si="57"/>
        <v>0.8370957842579807</v>
      </c>
      <c r="L56" s="15">
        <f t="shared" si="57"/>
        <v>0.85289578425798074</v>
      </c>
      <c r="M56" s="15">
        <f t="shared" si="57"/>
        <v>0.83029578425798067</v>
      </c>
      <c r="N56" s="15">
        <f t="shared" si="57"/>
        <v>0.86659578425798067</v>
      </c>
      <c r="O56" s="15">
        <f t="shared" si="57"/>
        <v>0.82849578425798065</v>
      </c>
      <c r="P56" s="15">
        <f t="shared" si="57"/>
        <v>0.84739578425798068</v>
      </c>
      <c r="Q56" s="15">
        <f t="shared" si="57"/>
        <v>0.86299578425798074</v>
      </c>
      <c r="R56" s="15">
        <f t="shared" si="57"/>
        <v>0.83799578425798071</v>
      </c>
      <c r="S56" s="15">
        <f t="shared" si="57"/>
        <v>0.8552957842579807</v>
      </c>
      <c r="T56" s="15">
        <f t="shared" si="57"/>
        <v>0.83969578425798064</v>
      </c>
      <c r="U56" s="15">
        <f t="shared" si="57"/>
        <v>0.85999578425798062</v>
      </c>
      <c r="V56" s="15">
        <f t="shared" si="57"/>
        <v>0.85859578425798067</v>
      </c>
      <c r="W56" s="15">
        <f t="shared" si="57"/>
        <v>0.86469578425798066</v>
      </c>
      <c r="X56" s="15">
        <f t="shared" si="57"/>
        <v>0.8370957842579807</v>
      </c>
      <c r="Y56" s="15">
        <f t="shared" si="57"/>
        <v>0.82959578425798064</v>
      </c>
      <c r="Z56" s="15">
        <f t="shared" si="57"/>
        <v>0.86609578425798073</v>
      </c>
      <c r="AA56" s="15">
        <f t="shared" si="57"/>
        <v>0.85919578425798071</v>
      </c>
      <c r="AB56" s="15">
        <f t="shared" si="57"/>
        <v>0.8521957842579807</v>
      </c>
      <c r="AC56" s="15">
        <f t="shared" si="57"/>
        <v>0.84139578425798067</v>
      </c>
      <c r="AD56" s="15">
        <f t="shared" si="57"/>
        <v>0.84349578425798066</v>
      </c>
      <c r="AE56" s="15">
        <f t="shared" si="57"/>
        <v>0.86689578425798064</v>
      </c>
      <c r="AF56" s="15">
        <f t="shared" si="57"/>
        <v>0.86649578425798068</v>
      </c>
      <c r="AG56" s="15">
        <f t="shared" si="57"/>
        <v>0.86069578425798066</v>
      </c>
      <c r="AH56" s="15">
        <f t="shared" si="57"/>
        <v>0.84439578425798067</v>
      </c>
      <c r="AI56" s="15">
        <f t="shared" si="57"/>
        <v>0.83419578425798069</v>
      </c>
      <c r="AJ56" s="15">
        <f t="shared" si="57"/>
        <v>0.86069578425798066</v>
      </c>
      <c r="AK56" s="2"/>
      <c r="AL56" s="37" t="s">
        <v>100</v>
      </c>
      <c r="AM56" s="31">
        <f>SUMPRODUCT(AM57:AM59,C57:C59)</f>
        <v>0.10519646110778641</v>
      </c>
      <c r="AN56" s="31">
        <f t="shared" ref="AN56:BT56" si="58">SUMPRODUCT(AN57:AN59,D57:D59)</f>
        <v>9.6021763923437947E-2</v>
      </c>
      <c r="AO56" s="31">
        <f t="shared" si="58"/>
        <v>0.13914250813603252</v>
      </c>
      <c r="AP56" s="31">
        <f t="shared" si="58"/>
        <v>0.14840054274036626</v>
      </c>
      <c r="AQ56" s="31">
        <f t="shared" si="58"/>
        <v>7.8088328200664206E-2</v>
      </c>
      <c r="AR56" s="31">
        <f t="shared" si="58"/>
        <v>0.13256993302263398</v>
      </c>
      <c r="AS56" s="31">
        <f t="shared" si="58"/>
        <v>9.751947782454648E-2</v>
      </c>
      <c r="AT56" s="31">
        <f t="shared" si="58"/>
        <v>5.652405133017982E-2</v>
      </c>
      <c r="AU56" s="31">
        <f t="shared" si="58"/>
        <v>0.12509237967286271</v>
      </c>
      <c r="AV56" s="31">
        <f t="shared" si="58"/>
        <v>0.11986676326781132</v>
      </c>
      <c r="AW56" s="31">
        <f t="shared" si="58"/>
        <v>0.11102002335449393</v>
      </c>
      <c r="AX56" s="31">
        <f t="shared" si="58"/>
        <v>8.5029033861071579E-2</v>
      </c>
      <c r="AY56" s="31">
        <f t="shared" si="58"/>
        <v>6.9010538432869167E-2</v>
      </c>
      <c r="AZ56" s="31">
        <f t="shared" si="58"/>
        <v>6.2494199820595182E-2</v>
      </c>
      <c r="BA56" s="31">
        <f t="shared" si="58"/>
        <v>9.1339490843025478E-2</v>
      </c>
      <c r="BB56" s="31">
        <f t="shared" si="58"/>
        <v>0.10330792401655434</v>
      </c>
      <c r="BC56" s="31">
        <f t="shared" si="58"/>
        <v>0.15287606128147954</v>
      </c>
      <c r="BD56" s="31">
        <f t="shared" si="58"/>
        <v>0.13601835443100765</v>
      </c>
      <c r="BE56" s="31">
        <f t="shared" si="58"/>
        <v>0.12111466914017305</v>
      </c>
      <c r="BF56" s="31">
        <f t="shared" si="58"/>
        <v>0.14399409981691755</v>
      </c>
      <c r="BG56" s="31">
        <f t="shared" si="58"/>
        <v>0.14722314219505644</v>
      </c>
      <c r="BH56" s="31">
        <f t="shared" si="58"/>
        <v>0.13062172917609355</v>
      </c>
      <c r="BI56" s="31">
        <f t="shared" si="58"/>
        <v>0.13829995481073024</v>
      </c>
      <c r="BJ56" s="31">
        <f t="shared" si="58"/>
        <v>0.12620256302515115</v>
      </c>
      <c r="BK56" s="31">
        <f t="shared" si="58"/>
        <v>0.11876618928104687</v>
      </c>
      <c r="BL56" s="31">
        <f t="shared" si="58"/>
        <v>0.11362100550845433</v>
      </c>
      <c r="BM56" s="31">
        <f t="shared" si="58"/>
        <v>0.10267754470109886</v>
      </c>
      <c r="BN56" s="31">
        <f t="shared" si="58"/>
        <v>0.13073033153156827</v>
      </c>
      <c r="BO56" s="31">
        <f t="shared" si="58"/>
        <v>0.10681240360459207</v>
      </c>
      <c r="BP56" s="31">
        <f t="shared" si="58"/>
        <v>0.12296789501064539</v>
      </c>
      <c r="BQ56" s="31">
        <f t="shared" si="58"/>
        <v>0.11661092257049716</v>
      </c>
      <c r="BR56" s="31">
        <f t="shared" si="58"/>
        <v>0.13471104464259703</v>
      </c>
      <c r="BS56" s="31">
        <f t="shared" si="58"/>
        <v>0.11473506999333713</v>
      </c>
      <c r="BT56" s="31">
        <f t="shared" si="58"/>
        <v>0.12843609052081456</v>
      </c>
      <c r="BV56" s="37" t="s">
        <v>100</v>
      </c>
      <c r="BW56" t="s">
        <v>43</v>
      </c>
      <c r="BX56" t="s">
        <v>24</v>
      </c>
      <c r="BY56" t="s">
        <v>35</v>
      </c>
      <c r="BZ56" t="s">
        <v>43</v>
      </c>
      <c r="CA56" t="s">
        <v>30</v>
      </c>
      <c r="CB56" t="s">
        <v>35</v>
      </c>
      <c r="CC56" t="s">
        <v>41</v>
      </c>
      <c r="CD56" t="s">
        <v>35</v>
      </c>
      <c r="CE56" t="s">
        <v>35</v>
      </c>
      <c r="CF56" t="s">
        <v>41</v>
      </c>
      <c r="CG56" t="s">
        <v>25</v>
      </c>
      <c r="CH56" t="s">
        <v>25</v>
      </c>
      <c r="CI56" t="s">
        <v>41</v>
      </c>
      <c r="CJ56" t="s">
        <v>42</v>
      </c>
      <c r="CK56" t="s">
        <v>24</v>
      </c>
      <c r="CL56" t="s">
        <v>41</v>
      </c>
      <c r="CM56" t="s">
        <v>25</v>
      </c>
      <c r="CN56" t="s">
        <v>41</v>
      </c>
      <c r="CO56" t="s">
        <v>24</v>
      </c>
      <c r="CP56" t="s">
        <v>43</v>
      </c>
      <c r="CQ56" t="s">
        <v>30</v>
      </c>
      <c r="CR56" t="s">
        <v>24</v>
      </c>
      <c r="CS56" t="s">
        <v>24</v>
      </c>
      <c r="CT56" t="s">
        <v>41</v>
      </c>
      <c r="CU56" t="s">
        <v>35</v>
      </c>
      <c r="CV56" t="s">
        <v>43</v>
      </c>
      <c r="CW56" t="s">
        <v>42</v>
      </c>
      <c r="CX56" t="s">
        <v>30</v>
      </c>
      <c r="CY56" t="s">
        <v>25</v>
      </c>
      <c r="CZ56" t="s">
        <v>25</v>
      </c>
      <c r="DA56" t="s">
        <v>25</v>
      </c>
      <c r="DB56" t="s">
        <v>35</v>
      </c>
      <c r="DC56" t="s">
        <v>30</v>
      </c>
      <c r="DD56" t="s">
        <v>43</v>
      </c>
    </row>
    <row r="57" spans="1:108" x14ac:dyDescent="0.35">
      <c r="B57" s="39" t="s">
        <v>77</v>
      </c>
      <c r="C57" s="15">
        <f>1-SUM(C58:C59)</f>
        <v>0.37522573958766359</v>
      </c>
      <c r="D57" s="15">
        <f t="shared" ref="D57:AJ57" si="59">1-SUM(D58:D59)</f>
        <v>0.40062573958766357</v>
      </c>
      <c r="E57" s="15">
        <f t="shared" si="59"/>
        <v>0.35382573958766361</v>
      </c>
      <c r="F57" s="15">
        <f t="shared" si="59"/>
        <v>0.35122573958766357</v>
      </c>
      <c r="G57" s="15">
        <f t="shared" si="59"/>
        <v>0.36852573958766355</v>
      </c>
      <c r="H57" s="15">
        <f t="shared" si="59"/>
        <v>0.38772573958766354</v>
      </c>
      <c r="I57" s="15">
        <f t="shared" si="59"/>
        <v>0.38792573958766363</v>
      </c>
      <c r="J57" s="15">
        <f t="shared" si="59"/>
        <v>0.3721257395876636</v>
      </c>
      <c r="K57" s="15">
        <f t="shared" si="59"/>
        <v>0.37422573958766359</v>
      </c>
      <c r="L57" s="15">
        <f t="shared" si="59"/>
        <v>0.38062573958766355</v>
      </c>
      <c r="M57" s="15">
        <f t="shared" si="59"/>
        <v>0.39042573958766358</v>
      </c>
      <c r="N57" s="15">
        <f t="shared" si="59"/>
        <v>0.38602573958766351</v>
      </c>
      <c r="O57" s="15">
        <f t="shared" si="59"/>
        <v>0.34762573958766352</v>
      </c>
      <c r="P57" s="15">
        <f t="shared" si="59"/>
        <v>0.36942573958766356</v>
      </c>
      <c r="Q57" s="15">
        <f t="shared" si="59"/>
        <v>0.36522573958766358</v>
      </c>
      <c r="R57" s="15">
        <f t="shared" si="59"/>
        <v>0.34972573958766362</v>
      </c>
      <c r="S57" s="15">
        <f t="shared" si="59"/>
        <v>0.38872573958766354</v>
      </c>
      <c r="T57" s="15">
        <f t="shared" si="59"/>
        <v>0.37332573958766357</v>
      </c>
      <c r="U57" s="15">
        <f t="shared" si="59"/>
        <v>0.38752573958766356</v>
      </c>
      <c r="V57" s="15">
        <f t="shared" si="59"/>
        <v>0.36342573958766355</v>
      </c>
      <c r="W57" s="15">
        <f t="shared" si="59"/>
        <v>0.3721257395876636</v>
      </c>
      <c r="X57" s="15">
        <f t="shared" si="59"/>
        <v>0.40002573958766352</v>
      </c>
      <c r="Y57" s="15">
        <f t="shared" si="59"/>
        <v>0.39692573958766353</v>
      </c>
      <c r="Z57" s="15">
        <f t="shared" si="59"/>
        <v>0.39942573958766359</v>
      </c>
      <c r="AA57" s="15">
        <f t="shared" si="59"/>
        <v>0.36042573958766355</v>
      </c>
      <c r="AB57" s="15">
        <f t="shared" si="59"/>
        <v>0.38032573958766358</v>
      </c>
      <c r="AC57" s="15">
        <f t="shared" si="59"/>
        <v>0.37282573958766352</v>
      </c>
      <c r="AD57" s="15">
        <f t="shared" si="59"/>
        <v>0.37482573958766352</v>
      </c>
      <c r="AE57" s="15">
        <f t="shared" si="59"/>
        <v>0.39492573958766353</v>
      </c>
      <c r="AF57" s="15">
        <f t="shared" si="59"/>
        <v>0.39512573958766362</v>
      </c>
      <c r="AG57" s="15">
        <f t="shared" si="59"/>
        <v>0.39432573958766359</v>
      </c>
      <c r="AH57" s="15">
        <f t="shared" si="59"/>
        <v>0.38612573958766361</v>
      </c>
      <c r="AI57" s="15">
        <f t="shared" si="59"/>
        <v>0.40332573958766349</v>
      </c>
      <c r="AJ57" s="15">
        <f t="shared" si="59"/>
        <v>0.38412573958766361</v>
      </c>
      <c r="AK57" s="2"/>
      <c r="AL57" s="39" t="s">
        <v>77</v>
      </c>
      <c r="AM57" s="31">
        <v>9.3681628237603051E-2</v>
      </c>
      <c r="AN57" s="31">
        <v>8.48039853406405E-2</v>
      </c>
      <c r="AO57" s="31">
        <v>0.12989237527403402</v>
      </c>
      <c r="AP57" s="31">
        <v>0.13958625424694987</v>
      </c>
      <c r="AQ57" s="31">
        <v>6.3382575775703054E-2</v>
      </c>
      <c r="AR57" s="31">
        <v>0.12326522939464384</v>
      </c>
      <c r="AS57" s="31">
        <v>8.5850081832299627E-2</v>
      </c>
      <c r="AT57" s="31">
        <v>4.4205950158994492E-2</v>
      </c>
      <c r="AU57" s="31">
        <v>0.11514630897493064</v>
      </c>
      <c r="AV57" s="31">
        <v>0.10944336575385238</v>
      </c>
      <c r="AW57" s="31">
        <v>0.10036603766660009</v>
      </c>
      <c r="AX57" s="31">
        <v>7.1478700286813676E-2</v>
      </c>
      <c r="AY57" s="31">
        <v>5.8247772369799528E-2</v>
      </c>
      <c r="AZ57" s="31">
        <v>5.0168956990245699E-2</v>
      </c>
      <c r="BA57" s="31">
        <v>7.8467360021281157E-2</v>
      </c>
      <c r="BB57" s="31">
        <v>9.141522181698776E-2</v>
      </c>
      <c r="BC57" s="31">
        <v>0.14467008793066022</v>
      </c>
      <c r="BD57" s="31">
        <v>0.12689352127153386</v>
      </c>
      <c r="BE57" s="31">
        <v>0.11094136859452405</v>
      </c>
      <c r="BF57" s="31">
        <v>0.13507450810638943</v>
      </c>
      <c r="BG57" s="31">
        <v>0.13871548368416048</v>
      </c>
      <c r="BH57" s="31">
        <v>0.12149816670578246</v>
      </c>
      <c r="BI57" s="31">
        <v>0.12971314287571778</v>
      </c>
      <c r="BJ57" s="31">
        <v>0.11646764759506345</v>
      </c>
      <c r="BK57" s="31">
        <v>0.10816378241592443</v>
      </c>
      <c r="BL57" s="31">
        <v>0.10296177349638413</v>
      </c>
      <c r="BM57" s="31">
        <v>9.1191398378465183E-2</v>
      </c>
      <c r="BN57" s="31">
        <v>0.12126875013427689</v>
      </c>
      <c r="BO57" s="31">
        <v>9.5547778294839431E-2</v>
      </c>
      <c r="BP57" s="31">
        <v>0.1132056761290947</v>
      </c>
      <c r="BQ57" s="31">
        <v>0.10601225340469317</v>
      </c>
      <c r="BR57" s="31">
        <v>0.12579260028558759</v>
      </c>
      <c r="BS57" s="31">
        <v>0.10430259006948388</v>
      </c>
      <c r="BT57" s="31">
        <v>0.11839934718318025</v>
      </c>
      <c r="BV57" s="39" t="s">
        <v>77</v>
      </c>
      <c r="BW57" t="s">
        <v>30</v>
      </c>
      <c r="BX57" t="s">
        <v>43</v>
      </c>
      <c r="BY57" t="s">
        <v>41</v>
      </c>
      <c r="BZ57" t="s">
        <v>43</v>
      </c>
      <c r="CA57" t="s">
        <v>30</v>
      </c>
      <c r="CB57" t="s">
        <v>30</v>
      </c>
      <c r="CC57" t="s">
        <v>35</v>
      </c>
      <c r="CD57" t="s">
        <v>30</v>
      </c>
      <c r="CE57" t="s">
        <v>41</v>
      </c>
      <c r="CF57" t="s">
        <v>24</v>
      </c>
      <c r="CG57" t="s">
        <v>43</v>
      </c>
      <c r="CH57" t="s">
        <v>25</v>
      </c>
      <c r="CI57" t="s">
        <v>43</v>
      </c>
      <c r="CJ57" t="s">
        <v>30</v>
      </c>
      <c r="CK57" t="s">
        <v>30</v>
      </c>
      <c r="CL57" t="s">
        <v>43</v>
      </c>
      <c r="CM57" t="s">
        <v>24</v>
      </c>
      <c r="CN57" t="s">
        <v>25</v>
      </c>
      <c r="CO57" t="s">
        <v>24</v>
      </c>
      <c r="CP57" t="s">
        <v>41</v>
      </c>
      <c r="CQ57" t="s">
        <v>35</v>
      </c>
      <c r="CR57" t="s">
        <v>30</v>
      </c>
      <c r="CS57" t="s">
        <v>35</v>
      </c>
      <c r="CT57" t="s">
        <v>35</v>
      </c>
      <c r="CU57" t="s">
        <v>24</v>
      </c>
      <c r="CV57" t="s">
        <v>43</v>
      </c>
      <c r="CW57" t="s">
        <v>25</v>
      </c>
      <c r="CX57" t="s">
        <v>42</v>
      </c>
      <c r="CY57" t="s">
        <v>43</v>
      </c>
      <c r="CZ57" t="s">
        <v>41</v>
      </c>
      <c r="DA57" t="s">
        <v>24</v>
      </c>
      <c r="DB57" t="s">
        <v>30</v>
      </c>
      <c r="DC57" t="s">
        <v>41</v>
      </c>
      <c r="DD57" t="s">
        <v>43</v>
      </c>
    </row>
    <row r="58" spans="1:108" x14ac:dyDescent="0.35">
      <c r="B58" s="39" t="s">
        <v>78</v>
      </c>
      <c r="C58" s="15">
        <v>0.43816871476714653</v>
      </c>
      <c r="D58" s="15">
        <v>0.42526871476714651</v>
      </c>
      <c r="E58" s="15">
        <v>0.45176871476714653</v>
      </c>
      <c r="F58" s="15">
        <v>0.45156871476714655</v>
      </c>
      <c r="G58" s="15">
        <v>0.44556871476714655</v>
      </c>
      <c r="H58" s="15">
        <v>0.42756871476714653</v>
      </c>
      <c r="I58" s="15">
        <v>0.43276871476714651</v>
      </c>
      <c r="J58" s="15">
        <v>0.43846871476714655</v>
      </c>
      <c r="K58" s="15">
        <v>0.44146871476714655</v>
      </c>
      <c r="L58" s="15">
        <v>0.44356871476714654</v>
      </c>
      <c r="M58" s="15">
        <v>0.42486871476714655</v>
      </c>
      <c r="N58" s="15">
        <v>0.43946871476714655</v>
      </c>
      <c r="O58" s="15">
        <v>0.45056871476714655</v>
      </c>
      <c r="P58" s="15">
        <v>0.43096871476714654</v>
      </c>
      <c r="Q58" s="15">
        <v>0.45016871476714654</v>
      </c>
      <c r="R58" s="15">
        <v>0.44836871476714651</v>
      </c>
      <c r="S58" s="15">
        <v>0.42366871476714651</v>
      </c>
      <c r="T58" s="15">
        <v>0.42556871476714653</v>
      </c>
      <c r="U58" s="15">
        <v>0.42626871476714651</v>
      </c>
      <c r="V58" s="15">
        <v>0.44376871476714652</v>
      </c>
      <c r="W58" s="15">
        <v>0.42486871476714655</v>
      </c>
      <c r="X58" s="15">
        <v>0.42886871476714655</v>
      </c>
      <c r="Y58" s="15">
        <v>0.42596871476714654</v>
      </c>
      <c r="Z58" s="15">
        <v>0.4232687147671465</v>
      </c>
      <c r="AA58" s="15">
        <v>0.45306871476714655</v>
      </c>
      <c r="AB58" s="15">
        <v>0.4358687147671465</v>
      </c>
      <c r="AC58" s="15">
        <v>0.43376871476714651</v>
      </c>
      <c r="AD58" s="15">
        <v>0.42306871476714653</v>
      </c>
      <c r="AE58" s="15">
        <v>0.43376871476714651</v>
      </c>
      <c r="AF58" s="15">
        <v>0.4222687147671465</v>
      </c>
      <c r="AG58" s="15">
        <v>0.43266871476714652</v>
      </c>
      <c r="AH58" s="15">
        <v>0.42416871476714652</v>
      </c>
      <c r="AI58" s="15">
        <v>0.42546871476714654</v>
      </c>
      <c r="AJ58" s="15">
        <v>0.43916871476714653</v>
      </c>
      <c r="AK58" s="2"/>
      <c r="AL58" s="39" t="s">
        <v>78</v>
      </c>
      <c r="AM58" s="31">
        <v>0.11569227805700509</v>
      </c>
      <c r="AN58" s="31">
        <v>0.10703696495619812</v>
      </c>
      <c r="AO58" s="31">
        <v>0.14701272883781985</v>
      </c>
      <c r="AP58" s="31">
        <v>0.15586754013688014</v>
      </c>
      <c r="AQ58" s="31">
        <v>9.1117270416462781E-2</v>
      </c>
      <c r="AR58" s="31">
        <v>0.14144973766566621</v>
      </c>
      <c r="AS58" s="31">
        <v>0.1085344809911177</v>
      </c>
      <c r="AT58" s="31">
        <v>6.7721583554245346E-2</v>
      </c>
      <c r="AU58" s="31">
        <v>0.13407675224319116</v>
      </c>
      <c r="AV58" s="31">
        <v>0.12934940290981534</v>
      </c>
      <c r="AW58" s="31">
        <v>0.12129794663668465</v>
      </c>
      <c r="AX58" s="31">
        <v>9.759036474078725E-2</v>
      </c>
      <c r="AY58" s="31">
        <v>7.960967566521665E-2</v>
      </c>
      <c r="AZ58" s="31">
        <v>7.3727282876658334E-2</v>
      </c>
      <c r="BA58" s="31">
        <v>0.10256175985886737</v>
      </c>
      <c r="BB58" s="31">
        <v>0.1134258716363898</v>
      </c>
      <c r="BC58" s="31">
        <v>0.16078856096169133</v>
      </c>
      <c r="BD58" s="31">
        <v>0.14453793146239866</v>
      </c>
      <c r="BE58" s="31">
        <v>0.13084740575048709</v>
      </c>
      <c r="BF58" s="31">
        <v>0.15185416663425605</v>
      </c>
      <c r="BG58" s="31">
        <v>0.15516122700732249</v>
      </c>
      <c r="BH58" s="31">
        <v>0.13950082989409462</v>
      </c>
      <c r="BI58" s="31">
        <v>0.14666229290386579</v>
      </c>
      <c r="BJ58" s="31">
        <v>0.13578245554145715</v>
      </c>
      <c r="BK58" s="31">
        <v>0.12787075920032778</v>
      </c>
      <c r="BL58" s="31">
        <v>0.12347713747796402</v>
      </c>
      <c r="BM58" s="31">
        <v>0.11320204819786722</v>
      </c>
      <c r="BN58" s="31">
        <v>0.13963694030702678</v>
      </c>
      <c r="BO58" s="31">
        <v>0.11755842811424147</v>
      </c>
      <c r="BP58" s="31">
        <v>0.13252048407548844</v>
      </c>
      <c r="BQ58" s="31">
        <v>0.12673484328507689</v>
      </c>
      <c r="BR58" s="31">
        <v>0.14326056637454371</v>
      </c>
      <c r="BS58" s="31">
        <v>0.12502517994986762</v>
      </c>
      <c r="BT58" s="31">
        <v>0.13771415512957397</v>
      </c>
      <c r="BV58" s="39" t="s">
        <v>78</v>
      </c>
      <c r="BW58" t="s">
        <v>30</v>
      </c>
      <c r="BX58" t="s">
        <v>24</v>
      </c>
      <c r="BY58" t="s">
        <v>30</v>
      </c>
      <c r="BZ58" t="s">
        <v>35</v>
      </c>
      <c r="CA58" t="s">
        <v>43</v>
      </c>
      <c r="CB58" t="s">
        <v>25</v>
      </c>
      <c r="CC58" t="s">
        <v>43</v>
      </c>
      <c r="CD58" t="s">
        <v>35</v>
      </c>
      <c r="CE58" t="s">
        <v>35</v>
      </c>
      <c r="CF58" t="s">
        <v>42</v>
      </c>
      <c r="CG58" t="s">
        <v>42</v>
      </c>
      <c r="CH58" t="s">
        <v>24</v>
      </c>
      <c r="CI58" t="s">
        <v>35</v>
      </c>
      <c r="CJ58" t="s">
        <v>42</v>
      </c>
      <c r="CK58" t="s">
        <v>42</v>
      </c>
      <c r="CL58" t="s">
        <v>41</v>
      </c>
      <c r="CM58" t="s">
        <v>30</v>
      </c>
      <c r="CN58" t="s">
        <v>25</v>
      </c>
      <c r="CO58" t="s">
        <v>35</v>
      </c>
      <c r="CP58" t="s">
        <v>35</v>
      </c>
      <c r="CQ58" t="s">
        <v>25</v>
      </c>
      <c r="CR58" t="s">
        <v>41</v>
      </c>
      <c r="CS58" t="s">
        <v>25</v>
      </c>
      <c r="CT58" t="s">
        <v>43</v>
      </c>
      <c r="CU58" t="s">
        <v>41</v>
      </c>
      <c r="CV58" t="s">
        <v>41</v>
      </c>
      <c r="CW58" t="s">
        <v>41</v>
      </c>
      <c r="CX58" t="s">
        <v>24</v>
      </c>
      <c r="CY58" t="s">
        <v>24</v>
      </c>
      <c r="CZ58" t="s">
        <v>35</v>
      </c>
      <c r="DA58" t="s">
        <v>25</v>
      </c>
      <c r="DB58" t="s">
        <v>41</v>
      </c>
      <c r="DC58" t="s">
        <v>35</v>
      </c>
      <c r="DD58" t="s">
        <v>43</v>
      </c>
    </row>
    <row r="59" spans="1:108" x14ac:dyDescent="0.35">
      <c r="B59" s="39" t="s">
        <v>79</v>
      </c>
      <c r="C59" s="15">
        <v>0.18660554564518991</v>
      </c>
      <c r="D59" s="15">
        <v>0.1741055456451899</v>
      </c>
      <c r="E59" s="15">
        <v>0.19440554564518991</v>
      </c>
      <c r="F59" s="15">
        <v>0.19720554564518991</v>
      </c>
      <c r="G59" s="15">
        <v>0.18590554564518991</v>
      </c>
      <c r="H59" s="15">
        <v>0.1847055456451899</v>
      </c>
      <c r="I59" s="15">
        <v>0.17930554564518991</v>
      </c>
      <c r="J59" s="15">
        <v>0.18940554564518991</v>
      </c>
      <c r="K59" s="15">
        <v>0.18430554564518992</v>
      </c>
      <c r="L59" s="15">
        <v>0.17580554564518991</v>
      </c>
      <c r="M59" s="15">
        <v>0.1847055456451899</v>
      </c>
      <c r="N59" s="15">
        <v>0.17450554564518991</v>
      </c>
      <c r="O59" s="15">
        <v>0.2018055456451899</v>
      </c>
      <c r="P59" s="15">
        <v>0.19960554564518992</v>
      </c>
      <c r="Q59" s="15">
        <v>0.18460554564518991</v>
      </c>
      <c r="R59" s="15">
        <v>0.20190554564518992</v>
      </c>
      <c r="S59" s="15">
        <v>0.18760554564518991</v>
      </c>
      <c r="T59" s="15">
        <v>0.20110554564518993</v>
      </c>
      <c r="U59" s="15">
        <v>0.1862055456451899</v>
      </c>
      <c r="V59" s="15">
        <v>0.19280554564518992</v>
      </c>
      <c r="W59" s="15">
        <v>0.20300554564518991</v>
      </c>
      <c r="X59" s="15">
        <v>0.17110554564518993</v>
      </c>
      <c r="Y59" s="15">
        <v>0.1771055456451899</v>
      </c>
      <c r="Z59" s="15">
        <v>0.17730554564518991</v>
      </c>
      <c r="AA59" s="15">
        <v>0.18650554564518992</v>
      </c>
      <c r="AB59" s="15">
        <v>0.18380554564518992</v>
      </c>
      <c r="AC59" s="15">
        <v>0.19340554564518991</v>
      </c>
      <c r="AD59" s="15">
        <v>0.2021055456451899</v>
      </c>
      <c r="AE59" s="15">
        <v>0.17130554564518991</v>
      </c>
      <c r="AF59" s="15">
        <v>0.18260554564518991</v>
      </c>
      <c r="AG59" s="15">
        <v>0.17300554564518991</v>
      </c>
      <c r="AH59" s="15">
        <v>0.1897055456451899</v>
      </c>
      <c r="AI59" s="15">
        <v>0.17120554564518992</v>
      </c>
      <c r="AJ59" s="15">
        <v>0.17670554564518992</v>
      </c>
      <c r="AK59" s="2"/>
      <c r="AL59" s="39" t="s">
        <v>79</v>
      </c>
      <c r="AM59" s="31">
        <v>0.10370520348108854</v>
      </c>
      <c r="AN59" s="31">
        <v>9.4928808818908667E-2</v>
      </c>
      <c r="AO59" s="31">
        <v>0.13768892619596149</v>
      </c>
      <c r="AP59" s="31">
        <v>0.14700069659724163</v>
      </c>
      <c r="AQ59" s="31">
        <v>7.6012861608595453E-2</v>
      </c>
      <c r="AR59" s="31">
        <v>0.13154639275946672</v>
      </c>
      <c r="AS59" s="31">
        <v>9.6180480238858321E-2</v>
      </c>
      <c r="AT59" s="31">
        <v>5.480348368208577E-2</v>
      </c>
      <c r="AU59" s="31">
        <v>0.1237671686064659</v>
      </c>
      <c r="AV59" s="31">
        <v>0.11850850753156267</v>
      </c>
      <c r="AW59" s="31">
        <v>0.10989835798757877</v>
      </c>
      <c r="AX59" s="31">
        <v>8.3369863679742529E-2</v>
      </c>
      <c r="AY59" s="31">
        <v>6.3885678635635587E-2</v>
      </c>
      <c r="AZ59" s="31">
        <v>6.1052128567442701E-2</v>
      </c>
      <c r="BA59" s="31">
        <v>8.9439867952681787E-2</v>
      </c>
      <c r="BB59" s="31">
        <v>0.10143879706047325</v>
      </c>
      <c r="BC59" s="31">
        <v>0.15201038585744903</v>
      </c>
      <c r="BD59" s="31">
        <v>0.13492872580325815</v>
      </c>
      <c r="BE59" s="31">
        <v>0.12000651037223439</v>
      </c>
      <c r="BF59" s="31">
        <v>0.14271590766497064</v>
      </c>
      <c r="BG59" s="31">
        <v>0.14620481939152591</v>
      </c>
      <c r="BH59" s="31">
        <v>0.12969651843695712</v>
      </c>
      <c r="BI59" s="31">
        <v>0.13743172828842604</v>
      </c>
      <c r="BJ59" s="31">
        <v>0.125263545596834</v>
      </c>
      <c r="BK59" s="31">
        <v>0.1171382727758576</v>
      </c>
      <c r="BL59" s="31">
        <v>0.11230440064297531</v>
      </c>
      <c r="BM59" s="31">
        <v>0.10121497362195067</v>
      </c>
      <c r="BN59" s="31">
        <v>0.12963356161389594</v>
      </c>
      <c r="BO59" s="31">
        <v>0.10557135353832492</v>
      </c>
      <c r="BP59" s="31">
        <v>0.12200157413086522</v>
      </c>
      <c r="BQ59" s="31">
        <v>0.11544925052246208</v>
      </c>
      <c r="BR59" s="31">
        <v>0.13374745277199462</v>
      </c>
      <c r="BS59" s="31">
        <v>0.11373958718725277</v>
      </c>
      <c r="BT59" s="31">
        <v>0.12719524518495076</v>
      </c>
      <c r="BV59" s="39" t="s">
        <v>79</v>
      </c>
      <c r="BW59" t="s">
        <v>30</v>
      </c>
      <c r="BX59" t="s">
        <v>35</v>
      </c>
      <c r="BY59" t="s">
        <v>30</v>
      </c>
      <c r="BZ59" t="s">
        <v>41</v>
      </c>
      <c r="CA59" t="s">
        <v>25</v>
      </c>
      <c r="CB59" t="s">
        <v>35</v>
      </c>
      <c r="CC59" t="s">
        <v>24</v>
      </c>
      <c r="CD59" t="s">
        <v>43</v>
      </c>
      <c r="CE59" t="s">
        <v>35</v>
      </c>
      <c r="CF59" t="s">
        <v>42</v>
      </c>
      <c r="CG59" t="s">
        <v>35</v>
      </c>
      <c r="CH59" t="s">
        <v>42</v>
      </c>
      <c r="CI59" t="s">
        <v>43</v>
      </c>
      <c r="CJ59" t="s">
        <v>43</v>
      </c>
      <c r="CK59" t="s">
        <v>25</v>
      </c>
      <c r="CL59" t="s">
        <v>42</v>
      </c>
      <c r="CM59" t="s">
        <v>35</v>
      </c>
      <c r="CN59" t="s">
        <v>25</v>
      </c>
      <c r="CO59" t="s">
        <v>43</v>
      </c>
      <c r="CP59" t="s">
        <v>41</v>
      </c>
      <c r="CQ59" t="s">
        <v>24</v>
      </c>
      <c r="CR59" t="s">
        <v>35</v>
      </c>
      <c r="CS59" t="s">
        <v>41</v>
      </c>
      <c r="CT59" t="s">
        <v>25</v>
      </c>
      <c r="CU59" t="s">
        <v>35</v>
      </c>
      <c r="CV59" t="s">
        <v>35</v>
      </c>
      <c r="CW59" t="s">
        <v>41</v>
      </c>
      <c r="CX59" t="s">
        <v>24</v>
      </c>
      <c r="CY59" t="s">
        <v>42</v>
      </c>
      <c r="CZ59" t="s">
        <v>42</v>
      </c>
      <c r="DA59" t="s">
        <v>35</v>
      </c>
      <c r="DB59" t="s">
        <v>35</v>
      </c>
      <c r="DC59" t="s">
        <v>35</v>
      </c>
      <c r="DD59" t="s">
        <v>24</v>
      </c>
    </row>
    <row r="60" spans="1:108" x14ac:dyDescent="0.35">
      <c r="A60" s="15">
        <v>1E-3</v>
      </c>
      <c r="B60" s="37" t="s">
        <v>101</v>
      </c>
      <c r="C60" s="15">
        <v>3.3790918690601912E-2</v>
      </c>
      <c r="D60" s="15">
        <v>4.1390918690601908E-2</v>
      </c>
      <c r="E60" s="15">
        <v>3.2190918690601915E-2</v>
      </c>
      <c r="F60" s="15">
        <v>4.2690918690601903E-2</v>
      </c>
      <c r="G60" s="15">
        <v>3.4390918690601915E-2</v>
      </c>
      <c r="H60" s="15">
        <v>3.6690918690601926E-2</v>
      </c>
      <c r="I60" s="15">
        <v>4.1390918690601908E-2</v>
      </c>
      <c r="J60" s="15">
        <v>3.8190918690601913E-2</v>
      </c>
      <c r="K60" s="15">
        <v>3.6790918690601929E-2</v>
      </c>
      <c r="L60" s="15">
        <v>3.2690918690601915E-2</v>
      </c>
      <c r="M60" s="15">
        <v>4.2790918690601906E-2</v>
      </c>
      <c r="N60" s="15">
        <v>2.8990918690601913E-2</v>
      </c>
      <c r="O60" s="15">
        <v>4.2190918690601903E-2</v>
      </c>
      <c r="P60" s="15">
        <v>4.2490918690601912E-2</v>
      </c>
      <c r="Q60" s="15">
        <v>3.009091869060191E-2</v>
      </c>
      <c r="R60" s="15">
        <v>4.1490918690601904E-2</v>
      </c>
      <c r="S60" s="15">
        <v>3.5190918690601911E-2</v>
      </c>
      <c r="T60" s="15">
        <v>4.1690918690601909E-2</v>
      </c>
      <c r="U60" s="15">
        <v>3.2090918690601912E-2</v>
      </c>
      <c r="V60" s="15">
        <v>3.3590918690601913E-2</v>
      </c>
      <c r="W60" s="15">
        <v>2.9090918690601916E-2</v>
      </c>
      <c r="X60" s="15">
        <v>3.6390918690601903E-2</v>
      </c>
      <c r="Y60" s="15">
        <v>4.2890918690601909E-2</v>
      </c>
      <c r="Z60" s="15">
        <v>3.5590918690601901E-2</v>
      </c>
      <c r="AA60" s="15">
        <v>4.1790918690601912E-2</v>
      </c>
      <c r="AB60" s="15">
        <v>3.1890918690601913E-2</v>
      </c>
      <c r="AC60" s="15">
        <v>4.2190918690601903E-2</v>
      </c>
      <c r="AD60" s="15">
        <v>3.7190918690601905E-2</v>
      </c>
      <c r="AE60" s="15">
        <v>3.599091869060192E-2</v>
      </c>
      <c r="AF60" s="15">
        <v>2.9390918690601918E-2</v>
      </c>
      <c r="AG60" s="15">
        <v>3.639091869060191E-2</v>
      </c>
      <c r="AH60" s="15">
        <v>2.9490918690601917E-2</v>
      </c>
      <c r="AI60" s="15">
        <v>3.9090918690601911E-2</v>
      </c>
      <c r="AJ60" s="15">
        <v>4.0190918690601908E-2</v>
      </c>
      <c r="AK60" s="2"/>
      <c r="AL60" s="37" t="s">
        <v>101</v>
      </c>
      <c r="AM60" s="31">
        <v>0.1242754786233476</v>
      </c>
      <c r="AN60" s="31">
        <v>0.11570686451816024</v>
      </c>
      <c r="AO60" s="31">
        <v>0.15368892557032787</v>
      </c>
      <c r="AP60" s="31">
        <v>0.16221653680067036</v>
      </c>
      <c r="AQ60" s="31">
        <v>0.10193260066346282</v>
      </c>
      <c r="AR60" s="31">
        <v>0.14854090866566627</v>
      </c>
      <c r="AS60" s="31">
        <v>0.11738041463254424</v>
      </c>
      <c r="AT60" s="31">
        <v>8.4804007956353483E-2</v>
      </c>
      <c r="AU60" s="31">
        <v>0.14145880559983587</v>
      </c>
      <c r="AV60" s="31">
        <v>0.13711189564822091</v>
      </c>
      <c r="AW60" s="31">
        <v>0.12946048497157245</v>
      </c>
      <c r="AX60" s="31">
        <v>0.10777278347755402</v>
      </c>
      <c r="AY60" s="31">
        <v>9.086865460580168E-2</v>
      </c>
      <c r="AZ60" s="31">
        <v>8.968973399348025E-2</v>
      </c>
      <c r="BA60" s="31">
        <v>0.11195753272466236</v>
      </c>
      <c r="BB60" s="31">
        <v>0.12200907220273231</v>
      </c>
      <c r="BC60" s="31">
        <v>0.16707406765884347</v>
      </c>
      <c r="BD60" s="31">
        <v>0.15141848759252763</v>
      </c>
      <c r="BE60" s="31">
        <v>0.13860989848889266</v>
      </c>
      <c r="BF60" s="31">
        <v>0.15839750705178712</v>
      </c>
      <c r="BG60" s="31">
        <v>0.16157435495054479</v>
      </c>
      <c r="BH60" s="31">
        <v>0.14652108918409465</v>
      </c>
      <c r="BI60" s="31">
        <v>0.15327172766904879</v>
      </c>
      <c r="BJ60" s="31">
        <v>0.1433143944830394</v>
      </c>
      <c r="BK60" s="31">
        <v>0.13555562701134929</v>
      </c>
      <c r="BL60" s="31">
        <v>0.13147724129998753</v>
      </c>
      <c r="BM60" s="31">
        <v>0.12178524876420974</v>
      </c>
      <c r="BN60" s="31">
        <v>0.14679973929692586</v>
      </c>
      <c r="BO60" s="31">
        <v>0.12614162868058398</v>
      </c>
      <c r="BP60" s="31">
        <v>0.14005242301707066</v>
      </c>
      <c r="BQ60" s="31">
        <v>0.13481575623661582</v>
      </c>
      <c r="BR60" s="31">
        <v>0.15007231694337148</v>
      </c>
      <c r="BS60" s="31">
        <v>0.13310609290140651</v>
      </c>
      <c r="BT60" s="31">
        <v>0.14524609407115618</v>
      </c>
      <c r="BV60" s="37" t="s">
        <v>101</v>
      </c>
      <c r="BW60" t="s">
        <v>35</v>
      </c>
      <c r="BX60" t="s">
        <v>43</v>
      </c>
      <c r="BY60" t="s">
        <v>41</v>
      </c>
      <c r="BZ60" t="s">
        <v>43</v>
      </c>
      <c r="CA60" t="s">
        <v>35</v>
      </c>
      <c r="CB60" t="s">
        <v>43</v>
      </c>
      <c r="CC60" t="s">
        <v>41</v>
      </c>
      <c r="CD60" t="s">
        <v>25</v>
      </c>
      <c r="CE60" t="s">
        <v>24</v>
      </c>
      <c r="CF60" t="s">
        <v>24</v>
      </c>
      <c r="CG60" t="s">
        <v>35</v>
      </c>
      <c r="CH60" t="s">
        <v>24</v>
      </c>
      <c r="CI60" t="s">
        <v>43</v>
      </c>
      <c r="CJ60" t="s">
        <v>24</v>
      </c>
      <c r="CK60" t="s">
        <v>25</v>
      </c>
      <c r="CL60" t="s">
        <v>24</v>
      </c>
      <c r="CM60" t="s">
        <v>42</v>
      </c>
      <c r="CN60" t="s">
        <v>24</v>
      </c>
      <c r="CO60" t="s">
        <v>41</v>
      </c>
      <c r="CP60" t="s">
        <v>42</v>
      </c>
      <c r="CQ60" t="s">
        <v>42</v>
      </c>
      <c r="CR60" t="s">
        <v>30</v>
      </c>
      <c r="CS60" t="s">
        <v>35</v>
      </c>
      <c r="CT60" t="s">
        <v>30</v>
      </c>
      <c r="CU60" t="s">
        <v>42</v>
      </c>
      <c r="CV60" t="s">
        <v>25</v>
      </c>
      <c r="CW60" t="s">
        <v>30</v>
      </c>
      <c r="CX60" t="s">
        <v>30</v>
      </c>
      <c r="CY60" t="s">
        <v>43</v>
      </c>
      <c r="CZ60" t="s">
        <v>43</v>
      </c>
      <c r="DA60" t="s">
        <v>25</v>
      </c>
      <c r="DB60" t="s">
        <v>30</v>
      </c>
      <c r="DC60" t="s">
        <v>30</v>
      </c>
      <c r="DD60" t="s">
        <v>41</v>
      </c>
    </row>
    <row r="61" spans="1:108" x14ac:dyDescent="0.35">
      <c r="B61" s="37" t="s">
        <v>102</v>
      </c>
      <c r="C61" s="15">
        <v>0.11331329705141741</v>
      </c>
      <c r="D61" s="15">
        <v>0.1305132970514174</v>
      </c>
      <c r="E61" s="15">
        <v>0.12691329705141741</v>
      </c>
      <c r="F61" s="15">
        <v>0.12511329705141741</v>
      </c>
      <c r="G61" s="15">
        <v>0.1015132970514174</v>
      </c>
      <c r="H61" s="15">
        <v>0.12121329705141741</v>
      </c>
      <c r="I61" s="15">
        <v>0.1179132970514174</v>
      </c>
      <c r="J61" s="15">
        <v>0.1006132970514174</v>
      </c>
      <c r="K61" s="15">
        <v>0.12611329705141741</v>
      </c>
      <c r="L61" s="15">
        <v>0.11441329705141741</v>
      </c>
      <c r="M61" s="15">
        <v>0.12691329705141741</v>
      </c>
      <c r="N61" s="15">
        <v>0.1044132970514174</v>
      </c>
      <c r="O61" s="15">
        <v>0.12931329705141742</v>
      </c>
      <c r="P61" s="15">
        <v>0.11011329705141741</v>
      </c>
      <c r="Q61" s="15">
        <v>0.1069132970514174</v>
      </c>
      <c r="R61" s="15">
        <v>0.1205132970514174</v>
      </c>
      <c r="S61" s="15">
        <v>0.10951329705141741</v>
      </c>
      <c r="T61" s="15">
        <v>0.1186132970514174</v>
      </c>
      <c r="U61" s="15">
        <v>0.1079132970514174</v>
      </c>
      <c r="V61" s="15">
        <v>0.1078132970514174</v>
      </c>
      <c r="W61" s="15">
        <v>0.10621329705141741</v>
      </c>
      <c r="X61" s="15">
        <v>0.12651329705141739</v>
      </c>
      <c r="Y61" s="15">
        <v>0.1275132970514174</v>
      </c>
      <c r="Z61" s="15">
        <v>9.8313297051417406E-2</v>
      </c>
      <c r="AA61" s="15">
        <v>9.9013297051417398E-2</v>
      </c>
      <c r="AB61" s="15">
        <v>0.11591329705141741</v>
      </c>
      <c r="AC61" s="15">
        <v>0.11641329705141741</v>
      </c>
      <c r="AD61" s="15">
        <v>0.11931329705141741</v>
      </c>
      <c r="AE61" s="15">
        <v>9.7113297051417413E-2</v>
      </c>
      <c r="AF61" s="15">
        <v>0.10411329705141741</v>
      </c>
      <c r="AG61" s="15">
        <v>0.10291329705141741</v>
      </c>
      <c r="AH61" s="15">
        <v>0.12611329705141741</v>
      </c>
      <c r="AI61" s="15">
        <v>0.1267132970514174</v>
      </c>
      <c r="AJ61" s="15">
        <v>9.9113297051417401E-2</v>
      </c>
      <c r="AK61" s="2"/>
      <c r="AL61" s="37" t="s">
        <v>102</v>
      </c>
      <c r="AM61" s="31">
        <v>0.18600621800101408</v>
      </c>
      <c r="AN61" s="31">
        <v>0.17806114671782336</v>
      </c>
      <c r="AO61" s="31">
        <v>0.20170441318977889</v>
      </c>
      <c r="AP61" s="31">
        <v>0.20787878776786478</v>
      </c>
      <c r="AQ61" s="31">
        <v>0.17971691056051664</v>
      </c>
      <c r="AR61" s="31">
        <v>0.19954090866566621</v>
      </c>
      <c r="AS61" s="31">
        <v>0.18100074133355748</v>
      </c>
      <c r="AT61" s="31">
        <v>0.13974583900660775</v>
      </c>
      <c r="AU61" s="31">
        <v>0.19455084373978188</v>
      </c>
      <c r="AV61" s="31">
        <v>0.19294006981842265</v>
      </c>
      <c r="AW61" s="31">
        <v>0.18816580389270338</v>
      </c>
      <c r="AX61" s="31">
        <v>0.18100516718048593</v>
      </c>
      <c r="AY61" s="31">
        <v>0.17184370456156181</v>
      </c>
      <c r="AZ61" s="31">
        <v>0.1468777206220232</v>
      </c>
      <c r="BA61" s="31">
        <v>0.17953232624685245</v>
      </c>
      <c r="BB61" s="31">
        <v>0.18373981158039876</v>
      </c>
      <c r="BC61" s="31">
        <v>0.21227969611636596</v>
      </c>
      <c r="BD61" s="31">
        <v>0.20090373659252764</v>
      </c>
      <c r="BE61" s="31">
        <v>0.19443807265909435</v>
      </c>
      <c r="BF61" s="31">
        <v>0.20545748646761108</v>
      </c>
      <c r="BG61" s="31">
        <v>0.20769784077599371</v>
      </c>
      <c r="BH61" s="31">
        <v>0.1970110891840946</v>
      </c>
      <c r="BI61" s="31">
        <v>0.20080706041230528</v>
      </c>
      <c r="BJ61" s="31">
        <v>0.19748441605221195</v>
      </c>
      <c r="BK61" s="31">
        <v>0.19082551943984899</v>
      </c>
      <c r="BL61" s="31">
        <v>0.18901432437458796</v>
      </c>
      <c r="BM61" s="31">
        <v>0.1835159881418762</v>
      </c>
      <c r="BN61" s="31">
        <v>0.19831489081207726</v>
      </c>
      <c r="BO61" s="31">
        <v>0.18787236805825044</v>
      </c>
      <c r="BP61" s="31">
        <v>0.19422244458624319</v>
      </c>
      <c r="BQ61" s="31">
        <v>0.19293402196853537</v>
      </c>
      <c r="BR61" s="31">
        <v>0.1990627134533714</v>
      </c>
      <c r="BS61" s="31">
        <v>0.1912243586333261</v>
      </c>
      <c r="BT61" s="31">
        <v>0.19941611564032868</v>
      </c>
      <c r="BV61" s="37" t="s">
        <v>102</v>
      </c>
      <c r="BW61" t="s">
        <v>43</v>
      </c>
      <c r="BX61" t="s">
        <v>42</v>
      </c>
      <c r="BY61" t="s">
        <v>24</v>
      </c>
      <c r="BZ61" t="s">
        <v>25</v>
      </c>
      <c r="CA61" t="s">
        <v>35</v>
      </c>
      <c r="CB61" t="s">
        <v>42</v>
      </c>
      <c r="CC61" t="s">
        <v>43</v>
      </c>
      <c r="CD61" t="s">
        <v>42</v>
      </c>
      <c r="CE61" t="s">
        <v>43</v>
      </c>
      <c r="CF61" t="s">
        <v>42</v>
      </c>
      <c r="CG61" t="s">
        <v>25</v>
      </c>
      <c r="CH61" t="s">
        <v>24</v>
      </c>
      <c r="CI61" t="s">
        <v>25</v>
      </c>
      <c r="CJ61" t="s">
        <v>30</v>
      </c>
      <c r="CK61" t="s">
        <v>42</v>
      </c>
      <c r="CL61" t="s">
        <v>24</v>
      </c>
      <c r="CM61" t="s">
        <v>35</v>
      </c>
      <c r="CN61" t="s">
        <v>25</v>
      </c>
      <c r="CO61" t="s">
        <v>25</v>
      </c>
      <c r="CP61" t="s">
        <v>42</v>
      </c>
      <c r="CQ61" t="s">
        <v>41</v>
      </c>
      <c r="CR61" t="s">
        <v>24</v>
      </c>
      <c r="CS61" t="s">
        <v>24</v>
      </c>
      <c r="CT61" t="s">
        <v>41</v>
      </c>
      <c r="CU61" t="s">
        <v>24</v>
      </c>
      <c r="CV61" t="s">
        <v>25</v>
      </c>
      <c r="CW61" t="s">
        <v>35</v>
      </c>
      <c r="CX61" t="s">
        <v>24</v>
      </c>
      <c r="CY61" t="s">
        <v>30</v>
      </c>
      <c r="CZ61" t="s">
        <v>35</v>
      </c>
      <c r="DA61" t="s">
        <v>25</v>
      </c>
      <c r="DB61" t="s">
        <v>35</v>
      </c>
      <c r="DC61" t="s">
        <v>42</v>
      </c>
      <c r="DD61" t="s">
        <v>41</v>
      </c>
    </row>
    <row r="62" spans="1:108" x14ac:dyDescent="0.35">
      <c r="B62" s="4" t="s">
        <v>83</v>
      </c>
      <c r="C62" s="15">
        <f>C93</f>
        <v>0.13236680129836231</v>
      </c>
      <c r="D62" s="15">
        <f t="shared" ref="D62:AJ62" si="60">D93</f>
        <v>0.11886680129836232</v>
      </c>
      <c r="E62" s="15">
        <f t="shared" si="60"/>
        <v>0.12726680129836232</v>
      </c>
      <c r="F62" s="15">
        <f t="shared" si="60"/>
        <v>0.12356680129836231</v>
      </c>
      <c r="G62" s="15">
        <f t="shared" si="60"/>
        <v>0.14826680129836231</v>
      </c>
      <c r="H62" s="15">
        <f t="shared" si="60"/>
        <v>0.11966680129836231</v>
      </c>
      <c r="I62" s="15">
        <f t="shared" si="60"/>
        <v>0.13286680129836231</v>
      </c>
      <c r="J62" s="15">
        <f t="shared" si="60"/>
        <v>0.14766680129836232</v>
      </c>
      <c r="K62" s="15">
        <f t="shared" si="60"/>
        <v>0.12486680129836231</v>
      </c>
      <c r="L62" s="15">
        <f t="shared" si="60"/>
        <v>0.11786680129836231</v>
      </c>
      <c r="M62" s="15">
        <f t="shared" si="60"/>
        <v>0.12136680129836232</v>
      </c>
      <c r="N62" s="15">
        <f t="shared" si="60"/>
        <v>0.14036680129836232</v>
      </c>
      <c r="O62" s="15">
        <f t="shared" si="60"/>
        <v>0.12796680129836233</v>
      </c>
      <c r="P62" s="15">
        <f t="shared" si="60"/>
        <v>0.14196680129836231</v>
      </c>
      <c r="Q62" s="15">
        <f t="shared" si="60"/>
        <v>0.13526680129836233</v>
      </c>
      <c r="R62" s="15">
        <f t="shared" si="60"/>
        <v>0.14336680129836232</v>
      </c>
      <c r="S62" s="15">
        <f t="shared" si="60"/>
        <v>0.12606680129836231</v>
      </c>
      <c r="T62" s="15">
        <f t="shared" si="60"/>
        <v>0.1344668012983623</v>
      </c>
      <c r="U62" s="15">
        <f t="shared" si="60"/>
        <v>0.1480668012983623</v>
      </c>
      <c r="V62" s="15">
        <f t="shared" si="60"/>
        <v>0.12906680129836232</v>
      </c>
      <c r="W62" s="15">
        <f t="shared" si="60"/>
        <v>0.12076680129836231</v>
      </c>
      <c r="X62" s="15">
        <f t="shared" si="60"/>
        <v>0.14886680129836233</v>
      </c>
      <c r="Y62" s="15">
        <f t="shared" si="60"/>
        <v>0.14696680129836232</v>
      </c>
      <c r="Z62" s="15">
        <f t="shared" si="60"/>
        <v>0.1304668012983623</v>
      </c>
      <c r="AA62" s="15">
        <f t="shared" si="60"/>
        <v>0.11896680129836232</v>
      </c>
      <c r="AB62" s="15">
        <f t="shared" si="60"/>
        <v>0.12196680129836232</v>
      </c>
      <c r="AC62" s="15">
        <f t="shared" si="60"/>
        <v>0.14226680129836231</v>
      </c>
      <c r="AD62" s="15">
        <f t="shared" si="60"/>
        <v>0.1362668012983623</v>
      </c>
      <c r="AE62" s="15">
        <f t="shared" si="60"/>
        <v>0.1334668012983623</v>
      </c>
      <c r="AF62" s="15">
        <f t="shared" si="60"/>
        <v>0.13996680129836231</v>
      </c>
      <c r="AG62" s="15">
        <f t="shared" si="60"/>
        <v>0.12006680129836231</v>
      </c>
      <c r="AH62" s="15">
        <f t="shared" si="60"/>
        <v>0.14446680129836231</v>
      </c>
      <c r="AI62" s="15">
        <f t="shared" si="60"/>
        <v>0.1319668012983623</v>
      </c>
      <c r="AJ62" s="15">
        <f t="shared" si="60"/>
        <v>0.12256680129836231</v>
      </c>
      <c r="AK62" s="2"/>
      <c r="AL62" s="4" t="s">
        <v>83</v>
      </c>
      <c r="AM62" s="31">
        <f>AM63*C63+SUMPRODUCT(AM67:AM68,C67:C68)</f>
        <v>0.17203577456933097</v>
      </c>
      <c r="AN62" s="31">
        <f t="shared" ref="AN62:BT62" si="61">AN63*D63+SUMPRODUCT(AN67:AN68,D67:D68)</f>
        <v>0.16446310514721896</v>
      </c>
      <c r="AO62" s="31">
        <f t="shared" si="61"/>
        <v>0.20479860258515831</v>
      </c>
      <c r="AP62" s="31">
        <f t="shared" si="61"/>
        <v>0.21293484194739448</v>
      </c>
      <c r="AQ62" s="31">
        <f t="shared" si="61"/>
        <v>0.14635156068429694</v>
      </c>
      <c r="AR62" s="31">
        <f t="shared" si="61"/>
        <v>0.19806458866170792</v>
      </c>
      <c r="AS62" s="31">
        <f t="shared" si="61"/>
        <v>0.16559137890968173</v>
      </c>
      <c r="AT62" s="31">
        <f t="shared" si="61"/>
        <v>0.12581879997034126</v>
      </c>
      <c r="AU62" s="31">
        <f t="shared" si="61"/>
        <v>0.19193272208234846</v>
      </c>
      <c r="AV62" s="31">
        <f t="shared" si="61"/>
        <v>0.18575669205006615</v>
      </c>
      <c r="AW62" s="31">
        <f t="shared" si="61"/>
        <v>0.17882824890401539</v>
      </c>
      <c r="AX62" s="31">
        <f t="shared" si="61"/>
        <v>0.1521387488651918</v>
      </c>
      <c r="AY62" s="31">
        <f t="shared" si="61"/>
        <v>0.14118538194313529</v>
      </c>
      <c r="AZ62" s="31">
        <f t="shared" si="61"/>
        <v>0.13322603628483687</v>
      </c>
      <c r="BA62" s="31">
        <f t="shared" si="61"/>
        <v>0.15808105251748403</v>
      </c>
      <c r="BB62" s="31">
        <f t="shared" si="61"/>
        <v>0.1710570387186271</v>
      </c>
      <c r="BC62" s="31">
        <f t="shared" si="61"/>
        <v>0.21650191540989536</v>
      </c>
      <c r="BD62" s="31">
        <f t="shared" si="61"/>
        <v>0.20199046062605208</v>
      </c>
      <c r="BE62" s="31">
        <f t="shared" si="61"/>
        <v>0.18594921423340591</v>
      </c>
      <c r="BF62" s="31">
        <f t="shared" si="61"/>
        <v>0.20720478839823786</v>
      </c>
      <c r="BG62" s="31">
        <f t="shared" si="61"/>
        <v>0.21193670025507655</v>
      </c>
      <c r="BH62" s="31">
        <f t="shared" si="61"/>
        <v>0.19681198920029938</v>
      </c>
      <c r="BI62" s="31">
        <f t="shared" si="61"/>
        <v>0.20356854538029981</v>
      </c>
      <c r="BJ62" s="31">
        <f t="shared" si="61"/>
        <v>0.19124160156202918</v>
      </c>
      <c r="BK62" s="31">
        <f t="shared" si="61"/>
        <v>0.18424893240522175</v>
      </c>
      <c r="BL62" s="31">
        <f t="shared" si="61"/>
        <v>0.17973774842967283</v>
      </c>
      <c r="BM62" s="31">
        <f t="shared" si="61"/>
        <v>0.17005460459162897</v>
      </c>
      <c r="BN62" s="31">
        <f t="shared" si="61"/>
        <v>0.19572275535873504</v>
      </c>
      <c r="BO62" s="31">
        <f t="shared" si="61"/>
        <v>0.17192417907698085</v>
      </c>
      <c r="BP62" s="31">
        <f t="shared" si="61"/>
        <v>0.18795044658548277</v>
      </c>
      <c r="BQ62" s="31">
        <f t="shared" si="61"/>
        <v>0.18132399423822634</v>
      </c>
      <c r="BR62" s="31">
        <f t="shared" si="61"/>
        <v>0.19996576176999609</v>
      </c>
      <c r="BS62" s="31">
        <f t="shared" si="61"/>
        <v>0.18199607204458473</v>
      </c>
      <c r="BT62" s="31">
        <f t="shared" si="61"/>
        <v>0.19289803809951123</v>
      </c>
      <c r="BV62" s="4" t="s">
        <v>83</v>
      </c>
      <c r="BW62" t="s">
        <v>41</v>
      </c>
      <c r="BX62" t="s">
        <v>25</v>
      </c>
      <c r="BY62" t="s">
        <v>41</v>
      </c>
      <c r="BZ62" t="s">
        <v>35</v>
      </c>
      <c r="CA62" t="s">
        <v>25</v>
      </c>
      <c r="CB62" t="s">
        <v>35</v>
      </c>
      <c r="CC62" t="s">
        <v>35</v>
      </c>
      <c r="CD62" t="s">
        <v>35</v>
      </c>
      <c r="CE62" t="s">
        <v>24</v>
      </c>
      <c r="CF62" t="s">
        <v>41</v>
      </c>
      <c r="CG62" t="s">
        <v>25</v>
      </c>
      <c r="CH62" t="s">
        <v>35</v>
      </c>
      <c r="CI62" t="s">
        <v>30</v>
      </c>
      <c r="CJ62" t="s">
        <v>24</v>
      </c>
      <c r="CK62" t="s">
        <v>42</v>
      </c>
      <c r="CL62" t="s">
        <v>41</v>
      </c>
      <c r="CM62" t="s">
        <v>35</v>
      </c>
      <c r="CN62" t="s">
        <v>35</v>
      </c>
      <c r="CO62" t="s">
        <v>42</v>
      </c>
      <c r="CP62" t="s">
        <v>42</v>
      </c>
      <c r="CQ62" t="s">
        <v>35</v>
      </c>
      <c r="CR62" t="s">
        <v>25</v>
      </c>
      <c r="CS62" t="s">
        <v>30</v>
      </c>
      <c r="CT62" t="s">
        <v>42</v>
      </c>
      <c r="CU62" t="s">
        <v>30</v>
      </c>
      <c r="CV62" t="s">
        <v>42</v>
      </c>
      <c r="CW62" t="s">
        <v>30</v>
      </c>
      <c r="CX62" t="s">
        <v>25</v>
      </c>
      <c r="CY62" t="s">
        <v>24</v>
      </c>
      <c r="CZ62" t="s">
        <v>41</v>
      </c>
      <c r="DA62" t="s">
        <v>43</v>
      </c>
      <c r="DB62" t="s">
        <v>43</v>
      </c>
      <c r="DC62" t="s">
        <v>41</v>
      </c>
      <c r="DD62" t="s">
        <v>43</v>
      </c>
    </row>
    <row r="63" spans="1:108" x14ac:dyDescent="0.35">
      <c r="B63" s="37" t="s">
        <v>103</v>
      </c>
      <c r="C63" s="15">
        <f>1-SUM(C67:C68)</f>
        <v>0.90653279676424325</v>
      </c>
      <c r="D63" s="15">
        <f t="shared" ref="D63:AJ63" si="62">1-SUM(D67:D68)</f>
        <v>0.89863279676424324</v>
      </c>
      <c r="E63" s="15">
        <f t="shared" si="62"/>
        <v>0.90863279676424324</v>
      </c>
      <c r="F63" s="15">
        <f t="shared" si="62"/>
        <v>0.89743279676424326</v>
      </c>
      <c r="G63" s="15">
        <f t="shared" si="62"/>
        <v>0.90733279676424328</v>
      </c>
      <c r="H63" s="15">
        <f t="shared" si="62"/>
        <v>0.91553279676424326</v>
      </c>
      <c r="I63" s="15">
        <f t="shared" si="62"/>
        <v>0.90893279676424321</v>
      </c>
      <c r="J63" s="15">
        <f t="shared" si="62"/>
        <v>0.8970327967642433</v>
      </c>
      <c r="K63" s="15">
        <f t="shared" si="62"/>
        <v>0.90623279676424329</v>
      </c>
      <c r="L63" s="15">
        <f t="shared" si="62"/>
        <v>0.90203279676424319</v>
      </c>
      <c r="M63" s="15">
        <f t="shared" si="62"/>
        <v>0.91723279676424319</v>
      </c>
      <c r="N63" s="15">
        <f t="shared" si="62"/>
        <v>0.8990327967642433</v>
      </c>
      <c r="O63" s="15">
        <f t="shared" si="62"/>
        <v>0.91463279676424325</v>
      </c>
      <c r="P63" s="15">
        <f t="shared" si="62"/>
        <v>0.9031327967642433</v>
      </c>
      <c r="Q63" s="15">
        <f t="shared" si="62"/>
        <v>0.91573279676424324</v>
      </c>
      <c r="R63" s="15">
        <f t="shared" si="62"/>
        <v>0.9100327967642432</v>
      </c>
      <c r="S63" s="15">
        <f t="shared" si="62"/>
        <v>0.89863279676424324</v>
      </c>
      <c r="T63" s="15">
        <f t="shared" si="62"/>
        <v>0.91053279676424326</v>
      </c>
      <c r="U63" s="15">
        <f t="shared" si="62"/>
        <v>0.91023279676424329</v>
      </c>
      <c r="V63" s="15">
        <f t="shared" si="62"/>
        <v>0.89883279676424321</v>
      </c>
      <c r="W63" s="15">
        <f t="shared" si="62"/>
        <v>0.89213279676424329</v>
      </c>
      <c r="X63" s="15">
        <f t="shared" si="62"/>
        <v>0.90263279676424324</v>
      </c>
      <c r="Y63" s="15">
        <f t="shared" si="62"/>
        <v>0.91663279676424325</v>
      </c>
      <c r="Z63" s="15">
        <f t="shared" si="62"/>
        <v>0.92323279676424319</v>
      </c>
      <c r="AA63" s="15">
        <f t="shared" si="62"/>
        <v>0.9131327967642433</v>
      </c>
      <c r="AB63" s="15">
        <f t="shared" si="62"/>
        <v>0.90693279676424321</v>
      </c>
      <c r="AC63" s="15">
        <f t="shared" si="62"/>
        <v>0.90473279676424323</v>
      </c>
      <c r="AD63" s="15">
        <f t="shared" si="62"/>
        <v>0.90343279676424326</v>
      </c>
      <c r="AE63" s="15">
        <f t="shared" si="62"/>
        <v>0.91563279676424325</v>
      </c>
      <c r="AF63" s="15">
        <f t="shared" si="62"/>
        <v>0.89613279676424318</v>
      </c>
      <c r="AG63" s="15">
        <f t="shared" si="62"/>
        <v>0.89233279676424326</v>
      </c>
      <c r="AH63" s="15">
        <f t="shared" si="62"/>
        <v>0.91593279676424322</v>
      </c>
      <c r="AI63" s="15">
        <f t="shared" si="62"/>
        <v>0.91413279676424319</v>
      </c>
      <c r="AJ63" s="15">
        <f t="shared" si="62"/>
        <v>0.90623279676424329</v>
      </c>
      <c r="AK63" s="2"/>
      <c r="AL63" s="37" t="s">
        <v>103</v>
      </c>
      <c r="AM63" s="31">
        <f>SUMPRODUCT(AM64:AM66,C64:C66)</f>
        <v>0.17151445683161512</v>
      </c>
      <c r="AN63" s="31">
        <f t="shared" ref="AN63:BT63" si="63">SUMPRODUCT(AN64:AN66,D64:D66)</f>
        <v>0.16394878015888129</v>
      </c>
      <c r="AO63" s="31">
        <f t="shared" si="63"/>
        <v>0.20458863329973395</v>
      </c>
      <c r="AP63" s="31">
        <f t="shared" si="63"/>
        <v>0.21224977990291244</v>
      </c>
      <c r="AQ63" s="31">
        <f t="shared" si="63"/>
        <v>0.14606185606164293</v>
      </c>
      <c r="AR63" s="31">
        <f t="shared" si="63"/>
        <v>0.19781880219885351</v>
      </c>
      <c r="AS63" s="31">
        <f t="shared" si="63"/>
        <v>0.16518353103236977</v>
      </c>
      <c r="AT63" s="31">
        <f t="shared" si="63"/>
        <v>0.12505541617407898</v>
      </c>
      <c r="AU63" s="31">
        <f t="shared" si="63"/>
        <v>0.19130256622362338</v>
      </c>
      <c r="AV63" s="31">
        <f t="shared" si="63"/>
        <v>0.18538142105072059</v>
      </c>
      <c r="AW63" s="31">
        <f t="shared" si="63"/>
        <v>0.17836406713525807</v>
      </c>
      <c r="AX63" s="31">
        <f t="shared" si="63"/>
        <v>0.15167401663911045</v>
      </c>
      <c r="AY63" s="31">
        <f t="shared" si="63"/>
        <v>0.14057445688714509</v>
      </c>
      <c r="AZ63" s="31">
        <f t="shared" si="63"/>
        <v>0.13284726269996042</v>
      </c>
      <c r="BA63" s="31">
        <f t="shared" si="63"/>
        <v>0.15776498548334331</v>
      </c>
      <c r="BB63" s="31">
        <f t="shared" si="63"/>
        <v>0.17079225760520425</v>
      </c>
      <c r="BC63" s="31">
        <f t="shared" si="63"/>
        <v>0.21598368098720361</v>
      </c>
      <c r="BD63" s="31">
        <f t="shared" si="63"/>
        <v>0.20171134464096466</v>
      </c>
      <c r="BE63" s="31">
        <f t="shared" si="63"/>
        <v>0.18573489447697988</v>
      </c>
      <c r="BF63" s="31">
        <f t="shared" si="63"/>
        <v>0.20645851783610225</v>
      </c>
      <c r="BG63" s="31">
        <f t="shared" si="63"/>
        <v>0.21123986340573839</v>
      </c>
      <c r="BH63" s="31">
        <f t="shared" si="63"/>
        <v>0.19627122272364725</v>
      </c>
      <c r="BI63" s="31">
        <f t="shared" si="63"/>
        <v>0.20325992592992975</v>
      </c>
      <c r="BJ63" s="31">
        <f t="shared" si="63"/>
        <v>0.19087584116104825</v>
      </c>
      <c r="BK63" s="31">
        <f t="shared" si="63"/>
        <v>0.18369554692208384</v>
      </c>
      <c r="BL63" s="31">
        <f t="shared" si="63"/>
        <v>0.17951956713234496</v>
      </c>
      <c r="BM63" s="31">
        <f t="shared" si="63"/>
        <v>0.16951155390127617</v>
      </c>
      <c r="BN63" s="31">
        <f t="shared" si="63"/>
        <v>0.19483691973590733</v>
      </c>
      <c r="BO63" s="31">
        <f t="shared" si="63"/>
        <v>0.17142453172698327</v>
      </c>
      <c r="BP63" s="31">
        <f t="shared" si="63"/>
        <v>0.18733705832193442</v>
      </c>
      <c r="BQ63" s="31">
        <f t="shared" si="63"/>
        <v>0.18062929256051272</v>
      </c>
      <c r="BR63" s="31">
        <f t="shared" si="63"/>
        <v>0.19962810227113412</v>
      </c>
      <c r="BS63" s="31">
        <f t="shared" si="63"/>
        <v>0.18145815815346963</v>
      </c>
      <c r="BT63" s="31">
        <f t="shared" si="63"/>
        <v>0.19243020590172416</v>
      </c>
      <c r="BV63" s="37" t="s">
        <v>103</v>
      </c>
      <c r="BW63" t="s">
        <v>43</v>
      </c>
      <c r="BX63" t="s">
        <v>43</v>
      </c>
      <c r="BY63" t="s">
        <v>41</v>
      </c>
      <c r="BZ63" t="s">
        <v>25</v>
      </c>
      <c r="CA63" t="s">
        <v>35</v>
      </c>
      <c r="CB63" t="s">
        <v>41</v>
      </c>
      <c r="CC63" t="s">
        <v>35</v>
      </c>
      <c r="CD63" t="s">
        <v>43</v>
      </c>
      <c r="CE63" t="s">
        <v>24</v>
      </c>
      <c r="CF63" t="s">
        <v>35</v>
      </c>
      <c r="CG63" t="s">
        <v>24</v>
      </c>
      <c r="CH63" t="s">
        <v>25</v>
      </c>
      <c r="CI63" t="s">
        <v>35</v>
      </c>
      <c r="CJ63" t="s">
        <v>42</v>
      </c>
      <c r="CK63" t="s">
        <v>25</v>
      </c>
      <c r="CL63" t="s">
        <v>24</v>
      </c>
      <c r="CM63" t="s">
        <v>24</v>
      </c>
      <c r="CN63" t="s">
        <v>24</v>
      </c>
      <c r="CO63" t="s">
        <v>30</v>
      </c>
      <c r="CP63" t="s">
        <v>43</v>
      </c>
      <c r="CQ63" t="s">
        <v>30</v>
      </c>
      <c r="CR63" t="s">
        <v>24</v>
      </c>
      <c r="CS63" t="s">
        <v>35</v>
      </c>
      <c r="CT63" t="s">
        <v>43</v>
      </c>
      <c r="CU63" t="s">
        <v>35</v>
      </c>
      <c r="CV63" t="s">
        <v>43</v>
      </c>
      <c r="CW63" t="s">
        <v>43</v>
      </c>
      <c r="CX63" t="s">
        <v>43</v>
      </c>
      <c r="CY63" t="s">
        <v>41</v>
      </c>
      <c r="CZ63" t="s">
        <v>24</v>
      </c>
      <c r="DA63" t="s">
        <v>35</v>
      </c>
      <c r="DB63" t="s">
        <v>42</v>
      </c>
      <c r="DC63" t="s">
        <v>41</v>
      </c>
      <c r="DD63" t="s">
        <v>35</v>
      </c>
    </row>
    <row r="64" spans="1:108" x14ac:dyDescent="0.35">
      <c r="B64" s="39" t="s">
        <v>80</v>
      </c>
      <c r="C64" s="15">
        <f>1-SUM(C65:C66)</f>
        <v>0.50221314350311497</v>
      </c>
      <c r="D64" s="15">
        <f t="shared" ref="D64:AJ64" si="64">1-SUM(D65:D66)</f>
        <v>0.50821314350311497</v>
      </c>
      <c r="E64" s="15">
        <f t="shared" si="64"/>
        <v>0.499913143503115</v>
      </c>
      <c r="F64" s="15">
        <f t="shared" si="64"/>
        <v>0.51551314350311495</v>
      </c>
      <c r="G64" s="15">
        <f t="shared" si="64"/>
        <v>0.51551314350311506</v>
      </c>
      <c r="H64" s="15">
        <f t="shared" si="64"/>
        <v>0.49021314350311496</v>
      </c>
      <c r="I64" s="15">
        <f t="shared" si="64"/>
        <v>0.51171314350311503</v>
      </c>
      <c r="J64" s="15">
        <f t="shared" si="64"/>
        <v>0.50931314350311496</v>
      </c>
      <c r="K64" s="15">
        <f t="shared" si="64"/>
        <v>0.48121314350311506</v>
      </c>
      <c r="L64" s="15">
        <f t="shared" si="64"/>
        <v>0.50171314350311502</v>
      </c>
      <c r="M64" s="15">
        <f t="shared" si="64"/>
        <v>0.48501314350311497</v>
      </c>
      <c r="N64" s="15">
        <f t="shared" si="64"/>
        <v>0.51061314350311504</v>
      </c>
      <c r="O64" s="15">
        <f t="shared" si="64"/>
        <v>0.50931314350311507</v>
      </c>
      <c r="P64" s="15">
        <f t="shared" si="64"/>
        <v>0.51251314350311494</v>
      </c>
      <c r="Q64" s="15">
        <f t="shared" si="64"/>
        <v>0.49981314350311501</v>
      </c>
      <c r="R64" s="15">
        <f t="shared" si="64"/>
        <v>0.52331314350311497</v>
      </c>
      <c r="S64" s="15">
        <f t="shared" si="64"/>
        <v>0.48731314350311494</v>
      </c>
      <c r="T64" s="15">
        <f t="shared" si="64"/>
        <v>0.51261314350311504</v>
      </c>
      <c r="U64" s="15">
        <f t="shared" si="64"/>
        <v>0.50831314350311496</v>
      </c>
      <c r="V64" s="15">
        <f t="shared" si="64"/>
        <v>0.50271314350311502</v>
      </c>
      <c r="W64" s="15">
        <f t="shared" si="64"/>
        <v>0.52351314350311495</v>
      </c>
      <c r="X64" s="15">
        <f t="shared" si="64"/>
        <v>0.50371314350311502</v>
      </c>
      <c r="Y64" s="15">
        <f t="shared" si="64"/>
        <v>0.50261314350311503</v>
      </c>
      <c r="Z64" s="15">
        <f t="shared" si="64"/>
        <v>0.48971314350311501</v>
      </c>
      <c r="AA64" s="15">
        <f t="shared" si="64"/>
        <v>0.50381314350311501</v>
      </c>
      <c r="AB64" s="15">
        <f t="shared" si="64"/>
        <v>0.484813143503115</v>
      </c>
      <c r="AC64" s="15">
        <f t="shared" si="64"/>
        <v>0.51651314350311495</v>
      </c>
      <c r="AD64" s="15">
        <f t="shared" si="64"/>
        <v>0.51741314350311496</v>
      </c>
      <c r="AE64" s="15">
        <f t="shared" si="64"/>
        <v>0.488813143503115</v>
      </c>
      <c r="AF64" s="15">
        <f t="shared" si="64"/>
        <v>0.50881314350311502</v>
      </c>
      <c r="AG64" s="15">
        <f t="shared" si="64"/>
        <v>0.50441314350311495</v>
      </c>
      <c r="AH64" s="15">
        <f t="shared" si="64"/>
        <v>0.50921314350311497</v>
      </c>
      <c r="AI64" s="15">
        <f t="shared" si="64"/>
        <v>0.49061314350311491</v>
      </c>
      <c r="AJ64" s="15">
        <f t="shared" si="64"/>
        <v>0.51351314350311505</v>
      </c>
      <c r="AK64" s="2"/>
      <c r="AL64" s="39" t="s">
        <v>80</v>
      </c>
      <c r="AM64" s="31">
        <v>0.15074003190245361</v>
      </c>
      <c r="AN64" s="31">
        <v>0.14336196826116168</v>
      </c>
      <c r="AO64" s="31">
        <v>0.18380004661271521</v>
      </c>
      <c r="AP64" s="31">
        <v>0.19195407080559143</v>
      </c>
      <c r="AQ64" s="31">
        <v>0.12596949528227189</v>
      </c>
      <c r="AR64" s="31">
        <v>0.17643530064116567</v>
      </c>
      <c r="AS64" s="31">
        <v>0.14489242148033571</v>
      </c>
      <c r="AT64" s="31">
        <v>0.10445541084382573</v>
      </c>
      <c r="AU64" s="31">
        <v>0.16956732049214829</v>
      </c>
      <c r="AV64" s="31">
        <v>0.16466352211232255</v>
      </c>
      <c r="AW64" s="31">
        <v>0.1567699548196935</v>
      </c>
      <c r="AX64" s="31">
        <v>0.13144354846046508</v>
      </c>
      <c r="AY64" s="31">
        <v>0.12022694238501302</v>
      </c>
      <c r="AZ64" s="31">
        <v>0.11252129343627781</v>
      </c>
      <c r="BA64" s="31">
        <v>0.1369392393120325</v>
      </c>
      <c r="BB64" s="31">
        <v>0.15085313430828837</v>
      </c>
      <c r="BC64" s="31">
        <v>0.19452912855889873</v>
      </c>
      <c r="BD64" s="31">
        <v>0.18144625883200163</v>
      </c>
      <c r="BE64" s="31">
        <v>0.16542248176782728</v>
      </c>
      <c r="BF64" s="31">
        <v>0.1858038021250672</v>
      </c>
      <c r="BG64" s="31">
        <v>0.19136828080014159</v>
      </c>
      <c r="BH64" s="31">
        <v>0.17563732600706899</v>
      </c>
      <c r="BI64" s="31">
        <v>0.18226811196562651</v>
      </c>
      <c r="BJ64" s="31">
        <v>0.16970815510985135</v>
      </c>
      <c r="BK64" s="31">
        <v>0.16322929152714888</v>
      </c>
      <c r="BL64" s="31">
        <v>0.15803753847298377</v>
      </c>
      <c r="BM64" s="31">
        <v>0.14918243758029198</v>
      </c>
      <c r="BN64" s="31">
        <v>0.17458466423748162</v>
      </c>
      <c r="BO64" s="31">
        <v>0.15000036050570545</v>
      </c>
      <c r="BP64" s="31">
        <v>0.16681391381423963</v>
      </c>
      <c r="BQ64" s="31">
        <v>0.16007927702508884</v>
      </c>
      <c r="BR64" s="31">
        <v>0.17921123146770127</v>
      </c>
      <c r="BS64" s="31">
        <v>0.16002502992294879</v>
      </c>
      <c r="BT64" s="31">
        <v>0.17220131125172958</v>
      </c>
      <c r="BV64" s="39" t="s">
        <v>80</v>
      </c>
      <c r="BW64" t="s">
        <v>24</v>
      </c>
      <c r="BX64" t="s">
        <v>25</v>
      </c>
      <c r="BY64" t="s">
        <v>41</v>
      </c>
      <c r="BZ64" t="s">
        <v>42</v>
      </c>
      <c r="CA64" t="s">
        <v>41</v>
      </c>
      <c r="CB64" t="s">
        <v>24</v>
      </c>
      <c r="CC64" t="s">
        <v>41</v>
      </c>
      <c r="CD64" t="s">
        <v>35</v>
      </c>
      <c r="CE64" t="s">
        <v>35</v>
      </c>
      <c r="CF64" t="s">
        <v>35</v>
      </c>
      <c r="CG64" t="s">
        <v>35</v>
      </c>
      <c r="CH64" t="s">
        <v>24</v>
      </c>
      <c r="CI64" t="s">
        <v>35</v>
      </c>
      <c r="CJ64" t="s">
        <v>25</v>
      </c>
      <c r="CK64" t="s">
        <v>35</v>
      </c>
      <c r="CL64" t="s">
        <v>35</v>
      </c>
      <c r="CM64" t="s">
        <v>30</v>
      </c>
      <c r="CN64" t="s">
        <v>24</v>
      </c>
      <c r="CO64" t="s">
        <v>41</v>
      </c>
      <c r="CP64" t="s">
        <v>41</v>
      </c>
      <c r="CQ64" t="s">
        <v>24</v>
      </c>
      <c r="CR64" t="s">
        <v>30</v>
      </c>
      <c r="CS64" t="s">
        <v>41</v>
      </c>
      <c r="CT64" t="s">
        <v>42</v>
      </c>
      <c r="CU64" t="s">
        <v>43</v>
      </c>
      <c r="CV64" t="s">
        <v>42</v>
      </c>
      <c r="CW64" t="s">
        <v>41</v>
      </c>
      <c r="CX64" t="s">
        <v>25</v>
      </c>
      <c r="CY64" t="s">
        <v>41</v>
      </c>
      <c r="CZ64" t="s">
        <v>24</v>
      </c>
      <c r="DA64" t="s">
        <v>41</v>
      </c>
      <c r="DB64" t="s">
        <v>25</v>
      </c>
      <c r="DC64" t="s">
        <v>25</v>
      </c>
      <c r="DD64" t="s">
        <v>30</v>
      </c>
    </row>
    <row r="65" spans="1:108" x14ac:dyDescent="0.35">
      <c r="B65" s="39" t="s">
        <v>81</v>
      </c>
      <c r="C65" s="15">
        <v>0.23186307583365792</v>
      </c>
      <c r="D65" s="15">
        <v>0.22536307583365792</v>
      </c>
      <c r="E65" s="15">
        <v>0.23776307583365791</v>
      </c>
      <c r="F65" s="15">
        <v>0.22116307583365793</v>
      </c>
      <c r="G65" s="15">
        <v>0.23316307583365792</v>
      </c>
      <c r="H65" s="15">
        <v>0.23106307583365793</v>
      </c>
      <c r="I65" s="15">
        <v>0.23256307583365793</v>
      </c>
      <c r="J65" s="15">
        <v>0.22136307583365791</v>
      </c>
      <c r="K65" s="15">
        <v>0.23666307583365792</v>
      </c>
      <c r="L65" s="15">
        <v>0.23666307583365792</v>
      </c>
      <c r="M65" s="15">
        <v>0.23386307583365792</v>
      </c>
      <c r="N65" s="15">
        <v>0.23936307583365793</v>
      </c>
      <c r="O65" s="15">
        <v>0.23626307583365791</v>
      </c>
      <c r="P65" s="15">
        <v>0.22816307583365791</v>
      </c>
      <c r="Q65" s="15">
        <v>0.23586307583365793</v>
      </c>
      <c r="R65" s="15">
        <v>0.21936307583365791</v>
      </c>
      <c r="S65" s="15">
        <v>0.23536307583365793</v>
      </c>
      <c r="T65" s="15">
        <v>0.23146307583365791</v>
      </c>
      <c r="U65" s="15">
        <v>0.24126307583365791</v>
      </c>
      <c r="V65" s="15">
        <v>0.23746307583365792</v>
      </c>
      <c r="W65" s="15">
        <v>0.22276307583365793</v>
      </c>
      <c r="X65" s="15">
        <v>0.23576307583365791</v>
      </c>
      <c r="Y65" s="15">
        <v>0.21786307583365791</v>
      </c>
      <c r="Z65" s="15">
        <v>0.24526307583365792</v>
      </c>
      <c r="AA65" s="15">
        <v>0.24536307583365793</v>
      </c>
      <c r="AB65" s="15">
        <v>0.24106307583365794</v>
      </c>
      <c r="AC65" s="15">
        <v>0.21626307583365792</v>
      </c>
      <c r="AD65" s="15">
        <v>0.21816307583365793</v>
      </c>
      <c r="AE65" s="15">
        <v>0.23276307583365793</v>
      </c>
      <c r="AF65" s="15">
        <v>0.22736307583365792</v>
      </c>
      <c r="AG65" s="15">
        <v>0.23866307583365792</v>
      </c>
      <c r="AH65" s="15">
        <v>0.23246307583365791</v>
      </c>
      <c r="AI65" s="15">
        <v>0.22696307583365793</v>
      </c>
      <c r="AJ65" s="15">
        <v>0.23096307583365791</v>
      </c>
      <c r="AK65" s="2"/>
      <c r="AL65" s="39" t="s">
        <v>81</v>
      </c>
      <c r="AM65" s="31">
        <v>0.18342101157298296</v>
      </c>
      <c r="AN65" s="31">
        <v>0.17604294793169104</v>
      </c>
      <c r="AO65" s="31">
        <v>0.21648102628324456</v>
      </c>
      <c r="AP65" s="31">
        <v>0.22463505047612078</v>
      </c>
      <c r="AQ65" s="31">
        <v>0.15865047495280124</v>
      </c>
      <c r="AR65" s="31">
        <v>0.20911628031169502</v>
      </c>
      <c r="AS65" s="31">
        <v>0.17757340115086506</v>
      </c>
      <c r="AT65" s="31">
        <v>0.13713639051435508</v>
      </c>
      <c r="AU65" s="31">
        <v>0.20224830016267764</v>
      </c>
      <c r="AV65" s="31">
        <v>0.1973445017828519</v>
      </c>
      <c r="AW65" s="31">
        <v>0.18945093449022285</v>
      </c>
      <c r="AX65" s="31">
        <v>0.16412452813099443</v>
      </c>
      <c r="AY65" s="31">
        <v>0.15290792205554238</v>
      </c>
      <c r="AZ65" s="31">
        <v>0.14520227310680717</v>
      </c>
      <c r="BA65" s="31">
        <v>0.16962021898256185</v>
      </c>
      <c r="BB65" s="31">
        <v>0.18353411397881772</v>
      </c>
      <c r="BC65" s="31">
        <v>0.22721010822942808</v>
      </c>
      <c r="BD65" s="31">
        <v>0.21412723850253099</v>
      </c>
      <c r="BE65" s="31">
        <v>0.19810346143835664</v>
      </c>
      <c r="BF65" s="31">
        <v>0.21848478179559655</v>
      </c>
      <c r="BG65" s="31">
        <v>0.22404926047067095</v>
      </c>
      <c r="BH65" s="31">
        <v>0.20831830567759835</v>
      </c>
      <c r="BI65" s="31">
        <v>0.21494909163615586</v>
      </c>
      <c r="BJ65" s="31">
        <v>0.2023891347803807</v>
      </c>
      <c r="BK65" s="31">
        <v>0.19591027119767823</v>
      </c>
      <c r="BL65" s="31">
        <v>0.19071851814351312</v>
      </c>
      <c r="BM65" s="31">
        <v>0.18186341725082134</v>
      </c>
      <c r="BN65" s="31">
        <v>0.20726564390801097</v>
      </c>
      <c r="BO65" s="31">
        <v>0.1826813401762348</v>
      </c>
      <c r="BP65" s="31">
        <v>0.19949489348476898</v>
      </c>
      <c r="BQ65" s="31">
        <v>0.19276025669561819</v>
      </c>
      <c r="BR65" s="31">
        <v>0.21189221113823062</v>
      </c>
      <c r="BS65" s="31">
        <v>0.19270600959347814</v>
      </c>
      <c r="BT65" s="31">
        <v>0.20488229092225893</v>
      </c>
      <c r="BV65" s="39" t="s">
        <v>81</v>
      </c>
      <c r="BW65" t="s">
        <v>35</v>
      </c>
      <c r="BX65" t="s">
        <v>24</v>
      </c>
      <c r="BY65" t="s">
        <v>43</v>
      </c>
      <c r="BZ65" t="s">
        <v>24</v>
      </c>
      <c r="CA65" t="s">
        <v>30</v>
      </c>
      <c r="CB65" t="s">
        <v>24</v>
      </c>
      <c r="CC65" t="s">
        <v>41</v>
      </c>
      <c r="CD65" t="s">
        <v>25</v>
      </c>
      <c r="CE65" t="s">
        <v>43</v>
      </c>
      <c r="CF65" t="s">
        <v>35</v>
      </c>
      <c r="CG65" t="s">
        <v>25</v>
      </c>
      <c r="CH65" t="s">
        <v>42</v>
      </c>
      <c r="CI65" t="s">
        <v>41</v>
      </c>
      <c r="CJ65" t="s">
        <v>35</v>
      </c>
      <c r="CK65" t="s">
        <v>25</v>
      </c>
      <c r="CL65" t="s">
        <v>24</v>
      </c>
      <c r="CM65" t="s">
        <v>35</v>
      </c>
      <c r="CN65" t="s">
        <v>35</v>
      </c>
      <c r="CO65" t="s">
        <v>43</v>
      </c>
      <c r="CP65" t="s">
        <v>42</v>
      </c>
      <c r="CQ65" t="s">
        <v>25</v>
      </c>
      <c r="CR65" t="s">
        <v>41</v>
      </c>
      <c r="CS65" t="s">
        <v>43</v>
      </c>
      <c r="CT65" t="s">
        <v>35</v>
      </c>
      <c r="CU65" t="s">
        <v>41</v>
      </c>
      <c r="CV65" t="s">
        <v>25</v>
      </c>
      <c r="CW65" t="s">
        <v>24</v>
      </c>
      <c r="CX65" t="s">
        <v>42</v>
      </c>
      <c r="CY65" t="s">
        <v>41</v>
      </c>
      <c r="CZ65" t="s">
        <v>41</v>
      </c>
      <c r="DA65" t="s">
        <v>43</v>
      </c>
      <c r="DB65" t="s">
        <v>41</v>
      </c>
      <c r="DC65" t="s">
        <v>35</v>
      </c>
      <c r="DD65" t="s">
        <v>30</v>
      </c>
    </row>
    <row r="66" spans="1:108" x14ac:dyDescent="0.35">
      <c r="B66" s="39" t="s">
        <v>104</v>
      </c>
      <c r="C66" s="15">
        <v>0.26592378066322708</v>
      </c>
      <c r="D66" s="15">
        <v>0.26642378066322708</v>
      </c>
      <c r="E66" s="15">
        <v>0.26232378066322709</v>
      </c>
      <c r="F66" s="15">
        <v>0.26332378066322709</v>
      </c>
      <c r="G66" s="15">
        <v>0.25132378066322708</v>
      </c>
      <c r="H66" s="15">
        <v>0.27872378066322706</v>
      </c>
      <c r="I66" s="15">
        <v>0.2557237806632271</v>
      </c>
      <c r="J66" s="15">
        <v>0.2693237806632271</v>
      </c>
      <c r="K66" s="15">
        <v>0.28212378066322708</v>
      </c>
      <c r="L66" s="15">
        <v>0.26162378066322706</v>
      </c>
      <c r="M66" s="15">
        <v>0.28112378066322707</v>
      </c>
      <c r="N66" s="15">
        <v>0.25002378066322706</v>
      </c>
      <c r="O66" s="15">
        <v>0.25442378066322707</v>
      </c>
      <c r="P66" s="15">
        <v>0.25932378066322709</v>
      </c>
      <c r="Q66" s="15">
        <v>0.26432378066322709</v>
      </c>
      <c r="R66" s="15">
        <v>0.25732378066322709</v>
      </c>
      <c r="S66" s="15">
        <v>0.2773237806632271</v>
      </c>
      <c r="T66" s="15">
        <v>0.25592378066322707</v>
      </c>
      <c r="U66" s="15">
        <v>0.25042378066322707</v>
      </c>
      <c r="V66" s="15">
        <v>0.25982378066322709</v>
      </c>
      <c r="W66" s="15">
        <v>0.25372378066322709</v>
      </c>
      <c r="X66" s="15">
        <v>0.26052378066322707</v>
      </c>
      <c r="Y66" s="15">
        <v>0.27952378066322708</v>
      </c>
      <c r="Z66" s="15">
        <v>0.26502378066322707</v>
      </c>
      <c r="AA66" s="15">
        <v>0.25082378066322708</v>
      </c>
      <c r="AB66" s="15">
        <v>0.27412378066322707</v>
      </c>
      <c r="AC66" s="15">
        <v>0.26722378066322711</v>
      </c>
      <c r="AD66" s="15">
        <v>0.26442378066322708</v>
      </c>
      <c r="AE66" s="15">
        <v>0.27842378066322709</v>
      </c>
      <c r="AF66" s="15">
        <v>0.26382378066322709</v>
      </c>
      <c r="AG66" s="15">
        <v>0.25692378066322707</v>
      </c>
      <c r="AH66" s="15">
        <v>0.25832378066322709</v>
      </c>
      <c r="AI66" s="15">
        <v>0.2824237806632271</v>
      </c>
      <c r="AJ66" s="15">
        <v>0.25552378066322706</v>
      </c>
      <c r="AK66" s="2"/>
      <c r="AL66" s="39" t="s">
        <v>104</v>
      </c>
      <c r="AM66" s="31">
        <v>0.20036670473547963</v>
      </c>
      <c r="AN66" s="31">
        <v>0.1929886410941877</v>
      </c>
      <c r="AO66" s="31">
        <v>0.23342671944574123</v>
      </c>
      <c r="AP66" s="31">
        <v>0.24158074363861745</v>
      </c>
      <c r="AQ66" s="31">
        <v>0.17559616811529791</v>
      </c>
      <c r="AR66" s="31">
        <v>0.22606197347419169</v>
      </c>
      <c r="AS66" s="31">
        <v>0.19451909431336173</v>
      </c>
      <c r="AT66" s="31">
        <v>0.15408208367685175</v>
      </c>
      <c r="AU66" s="31">
        <v>0.21919399332517431</v>
      </c>
      <c r="AV66" s="31">
        <v>0.21429019494534857</v>
      </c>
      <c r="AW66" s="31">
        <v>0.20639662765271952</v>
      </c>
      <c r="AX66" s="31">
        <v>0.1810702212934911</v>
      </c>
      <c r="AY66" s="31">
        <v>0.16985361521803904</v>
      </c>
      <c r="AZ66" s="31">
        <v>0.16214796626930383</v>
      </c>
      <c r="BA66" s="31">
        <v>0.18656591214505852</v>
      </c>
      <c r="BB66" s="31">
        <v>0.20047980714131439</v>
      </c>
      <c r="BC66" s="31">
        <v>0.24415580139192475</v>
      </c>
      <c r="BD66" s="31">
        <v>0.23107293166502765</v>
      </c>
      <c r="BE66" s="31">
        <v>0.2150491546008533</v>
      </c>
      <c r="BF66" s="31">
        <v>0.23543047495809322</v>
      </c>
      <c r="BG66" s="31">
        <v>0.24099495363316761</v>
      </c>
      <c r="BH66" s="31">
        <v>0.22526399884009501</v>
      </c>
      <c r="BI66" s="31">
        <v>0.23189478479865253</v>
      </c>
      <c r="BJ66" s="31">
        <v>0.21933482794287737</v>
      </c>
      <c r="BK66" s="31">
        <v>0.2128559643601749</v>
      </c>
      <c r="BL66" s="31">
        <v>0.20766421130600979</v>
      </c>
      <c r="BM66" s="31">
        <v>0.198809110413318</v>
      </c>
      <c r="BN66" s="31">
        <v>0.22421133707050764</v>
      </c>
      <c r="BO66" s="31">
        <v>0.19962703333873147</v>
      </c>
      <c r="BP66" s="31">
        <v>0.21644058664726565</v>
      </c>
      <c r="BQ66" s="31">
        <v>0.20970594985811486</v>
      </c>
      <c r="BR66" s="31">
        <v>0.22883790430072729</v>
      </c>
      <c r="BS66" s="31">
        <v>0.20965170275597481</v>
      </c>
      <c r="BT66" s="31">
        <v>0.2218279840847556</v>
      </c>
      <c r="BV66" s="39" t="s">
        <v>104</v>
      </c>
      <c r="BW66" t="s">
        <v>41</v>
      </c>
      <c r="BX66" t="s">
        <v>42</v>
      </c>
      <c r="BY66" t="s">
        <v>43</v>
      </c>
      <c r="BZ66" t="s">
        <v>35</v>
      </c>
      <c r="CA66" t="s">
        <v>35</v>
      </c>
      <c r="CB66" t="s">
        <v>42</v>
      </c>
      <c r="CC66" t="s">
        <v>35</v>
      </c>
      <c r="CD66" t="s">
        <v>35</v>
      </c>
      <c r="CE66" t="s">
        <v>43</v>
      </c>
      <c r="CF66" t="s">
        <v>35</v>
      </c>
      <c r="CG66" t="s">
        <v>43</v>
      </c>
      <c r="CH66" t="s">
        <v>25</v>
      </c>
      <c r="CI66" t="s">
        <v>42</v>
      </c>
      <c r="CJ66" t="s">
        <v>35</v>
      </c>
      <c r="CK66" t="s">
        <v>24</v>
      </c>
      <c r="CL66" t="s">
        <v>41</v>
      </c>
      <c r="CM66" t="s">
        <v>24</v>
      </c>
      <c r="CN66" t="s">
        <v>41</v>
      </c>
      <c r="CO66" t="s">
        <v>42</v>
      </c>
      <c r="CP66" t="s">
        <v>35</v>
      </c>
      <c r="CQ66" t="s">
        <v>30</v>
      </c>
      <c r="CR66" t="s">
        <v>35</v>
      </c>
      <c r="CS66" t="s">
        <v>24</v>
      </c>
      <c r="CT66" t="s">
        <v>42</v>
      </c>
      <c r="CU66" t="s">
        <v>41</v>
      </c>
      <c r="CV66" t="s">
        <v>41</v>
      </c>
      <c r="CW66" t="s">
        <v>24</v>
      </c>
      <c r="CX66" t="s">
        <v>24</v>
      </c>
      <c r="CY66" t="s">
        <v>41</v>
      </c>
      <c r="CZ66" t="s">
        <v>24</v>
      </c>
      <c r="DA66" t="s">
        <v>24</v>
      </c>
      <c r="DB66" t="s">
        <v>30</v>
      </c>
      <c r="DC66" t="s">
        <v>42</v>
      </c>
      <c r="DD66" t="s">
        <v>41</v>
      </c>
    </row>
    <row r="67" spans="1:108" x14ac:dyDescent="0.35">
      <c r="B67" s="37" t="s">
        <v>105</v>
      </c>
      <c r="C67" s="15">
        <v>4.3133209404939428E-2</v>
      </c>
      <c r="D67" s="15">
        <v>4.853320940493943E-2</v>
      </c>
      <c r="E67" s="15">
        <v>4.963320940493942E-2</v>
      </c>
      <c r="F67" s="15">
        <v>4.5733209404939419E-2</v>
      </c>
      <c r="G67" s="15">
        <v>5.0033209404939424E-2</v>
      </c>
      <c r="H67" s="15">
        <v>4.333320940493942E-2</v>
      </c>
      <c r="I67" s="15">
        <v>4.563320940493943E-2</v>
      </c>
      <c r="J67" s="15">
        <v>4.3233209404939424E-2</v>
      </c>
      <c r="K67" s="15">
        <v>3.8333209404939415E-2</v>
      </c>
      <c r="L67" s="15">
        <v>4.9633209404939427E-2</v>
      </c>
      <c r="M67" s="15">
        <v>3.6433209404939437E-2</v>
      </c>
      <c r="N67" s="15">
        <v>5.0433209404939429E-2</v>
      </c>
      <c r="O67" s="15">
        <v>3.6933209404939431E-2</v>
      </c>
      <c r="P67" s="15">
        <v>4.9833209404939426E-2</v>
      </c>
      <c r="Q67" s="15">
        <v>4.2633209404939421E-2</v>
      </c>
      <c r="R67" s="15">
        <v>4.9333209404939425E-2</v>
      </c>
      <c r="S67" s="15">
        <v>4.6233209404939413E-2</v>
      </c>
      <c r="T67" s="15">
        <v>4.793320940493942E-2</v>
      </c>
      <c r="U67" s="15">
        <v>4.963320940493942E-2</v>
      </c>
      <c r="V67" s="15">
        <v>4.2433209404939429E-2</v>
      </c>
      <c r="W67" s="15">
        <v>4.9833209404939419E-2</v>
      </c>
      <c r="X67" s="15">
        <v>4.5333209404939422E-2</v>
      </c>
      <c r="Y67" s="15">
        <v>4.1933209404939442E-2</v>
      </c>
      <c r="Z67" s="15">
        <v>3.6233209404939432E-2</v>
      </c>
      <c r="AA67" s="15">
        <v>3.9033209404939428E-2</v>
      </c>
      <c r="AB67" s="15">
        <v>4.8833209404939432E-2</v>
      </c>
      <c r="AC67" s="15">
        <v>4.4733209404939425E-2</v>
      </c>
      <c r="AD67" s="15">
        <v>3.713320940493943E-2</v>
      </c>
      <c r="AE67" s="15">
        <v>3.6833209404939435E-2</v>
      </c>
      <c r="AF67" s="15">
        <v>4.7733209404939428E-2</v>
      </c>
      <c r="AG67" s="15">
        <v>4.793320940493942E-2</v>
      </c>
      <c r="AH67" s="15">
        <v>4.2833209404939412E-2</v>
      </c>
      <c r="AI67" s="15">
        <v>3.6733209404939432E-2</v>
      </c>
      <c r="AJ67" s="15">
        <v>4.5933209404939425E-2</v>
      </c>
      <c r="AK67" s="2"/>
      <c r="AL67" s="37" t="s">
        <v>105</v>
      </c>
      <c r="AM67" s="31">
        <v>0.15558165852030983</v>
      </c>
      <c r="AN67" s="31">
        <v>0.14820359487901788</v>
      </c>
      <c r="AO67" s="31">
        <v>0.18864167323057143</v>
      </c>
      <c r="AP67" s="31">
        <v>0.19679569742344766</v>
      </c>
      <c r="AQ67" s="31">
        <v>0.13081112190012814</v>
      </c>
      <c r="AR67" s="31">
        <v>0.18127692725902189</v>
      </c>
      <c r="AS67" s="31">
        <v>0.14973404809819194</v>
      </c>
      <c r="AT67" s="31">
        <v>0.10929703746168196</v>
      </c>
      <c r="AU67" s="31">
        <v>0.17440894711000451</v>
      </c>
      <c r="AV67" s="31">
        <v>0.16950514873017877</v>
      </c>
      <c r="AW67" s="31">
        <v>0.16161158143754972</v>
      </c>
      <c r="AX67" s="31">
        <v>0.1362851750783213</v>
      </c>
      <c r="AY67" s="31">
        <v>0.12506856900286925</v>
      </c>
      <c r="AZ67" s="31">
        <v>0.11736292005413404</v>
      </c>
      <c r="BA67" s="31">
        <v>0.14178086592988876</v>
      </c>
      <c r="BB67" s="31">
        <v>0.15569476092614459</v>
      </c>
      <c r="BC67" s="31">
        <v>0.19937075517675495</v>
      </c>
      <c r="BD67" s="31">
        <v>0.18628788544985786</v>
      </c>
      <c r="BE67" s="31">
        <v>0.17026410838568351</v>
      </c>
      <c r="BF67" s="31">
        <v>0.19064542874292342</v>
      </c>
      <c r="BG67" s="31">
        <v>0.19620990741799782</v>
      </c>
      <c r="BH67" s="31">
        <v>0.18047895262492522</v>
      </c>
      <c r="BI67" s="31">
        <v>0.18710973858348273</v>
      </c>
      <c r="BJ67" s="31">
        <v>0.17454978172770758</v>
      </c>
      <c r="BK67" s="31">
        <v>0.1680709181450051</v>
      </c>
      <c r="BL67" s="31">
        <v>0.16287916509083999</v>
      </c>
      <c r="BM67" s="31">
        <v>0.15402406419814821</v>
      </c>
      <c r="BN67" s="31">
        <v>0.17942629085533784</v>
      </c>
      <c r="BO67" s="31">
        <v>0.15484198712356168</v>
      </c>
      <c r="BP67" s="31">
        <v>0.17165554043209585</v>
      </c>
      <c r="BQ67" s="31">
        <v>0.16492090364294507</v>
      </c>
      <c r="BR67" s="31">
        <v>0.18405285808555749</v>
      </c>
      <c r="BS67" s="31">
        <v>0.16486665654080501</v>
      </c>
      <c r="BT67" s="31">
        <v>0.1770429378695858</v>
      </c>
      <c r="BV67" s="37" t="s">
        <v>105</v>
      </c>
      <c r="BW67" t="s">
        <v>30</v>
      </c>
      <c r="BX67" t="s">
        <v>42</v>
      </c>
      <c r="BY67" t="s">
        <v>42</v>
      </c>
      <c r="BZ67" t="s">
        <v>25</v>
      </c>
      <c r="CA67" t="s">
        <v>43</v>
      </c>
      <c r="CB67" t="s">
        <v>41</v>
      </c>
      <c r="CC67" t="s">
        <v>41</v>
      </c>
      <c r="CD67" t="s">
        <v>43</v>
      </c>
      <c r="CE67" t="s">
        <v>35</v>
      </c>
      <c r="CF67" t="s">
        <v>25</v>
      </c>
      <c r="CG67" t="s">
        <v>43</v>
      </c>
      <c r="CH67" t="s">
        <v>35</v>
      </c>
      <c r="CI67" t="s">
        <v>41</v>
      </c>
      <c r="CJ67" t="s">
        <v>30</v>
      </c>
      <c r="CK67" t="s">
        <v>25</v>
      </c>
      <c r="CL67" t="s">
        <v>30</v>
      </c>
      <c r="CM67" t="s">
        <v>25</v>
      </c>
      <c r="CN67" t="s">
        <v>30</v>
      </c>
      <c r="CO67" t="s">
        <v>41</v>
      </c>
      <c r="CP67" t="s">
        <v>43</v>
      </c>
      <c r="CQ67" t="s">
        <v>35</v>
      </c>
      <c r="CR67" t="s">
        <v>41</v>
      </c>
      <c r="CS67" t="s">
        <v>41</v>
      </c>
      <c r="CT67" t="s">
        <v>43</v>
      </c>
      <c r="CU67" t="s">
        <v>35</v>
      </c>
      <c r="CV67" t="s">
        <v>25</v>
      </c>
      <c r="CW67" t="s">
        <v>25</v>
      </c>
      <c r="CX67" t="s">
        <v>35</v>
      </c>
      <c r="CY67" t="s">
        <v>24</v>
      </c>
      <c r="CZ67" t="s">
        <v>30</v>
      </c>
      <c r="DA67" t="s">
        <v>25</v>
      </c>
      <c r="DB67" t="s">
        <v>43</v>
      </c>
      <c r="DC67" t="s">
        <v>42</v>
      </c>
      <c r="DD67" t="s">
        <v>25</v>
      </c>
    </row>
    <row r="68" spans="1:108" x14ac:dyDescent="0.35">
      <c r="B68" s="37" t="s">
        <v>106</v>
      </c>
      <c r="C68" s="15">
        <v>5.0333993830817332E-2</v>
      </c>
      <c r="D68" s="15">
        <v>5.2833993830817334E-2</v>
      </c>
      <c r="E68" s="15">
        <v>4.1733993830817336E-2</v>
      </c>
      <c r="F68" s="15">
        <v>5.6833993830817331E-2</v>
      </c>
      <c r="G68" s="15">
        <v>4.2633993830817334E-2</v>
      </c>
      <c r="H68" s="15">
        <v>4.1133993830817332E-2</v>
      </c>
      <c r="I68" s="15">
        <v>4.5433993830817331E-2</v>
      </c>
      <c r="J68" s="15">
        <v>5.9733993830817331E-2</v>
      </c>
      <c r="K68" s="15">
        <v>5.5433993830817319E-2</v>
      </c>
      <c r="L68" s="15">
        <v>4.833399383081733E-2</v>
      </c>
      <c r="M68" s="15">
        <v>4.6333993830817335E-2</v>
      </c>
      <c r="N68" s="15">
        <v>5.0533993830817331E-2</v>
      </c>
      <c r="O68" s="15">
        <v>4.8433993830817333E-2</v>
      </c>
      <c r="P68" s="15">
        <v>4.7033993830817342E-2</v>
      </c>
      <c r="Q68" s="15">
        <v>4.163399383081734E-2</v>
      </c>
      <c r="R68" s="15">
        <v>4.0633993830817332E-2</v>
      </c>
      <c r="S68" s="15">
        <v>5.5133993830817331E-2</v>
      </c>
      <c r="T68" s="15">
        <v>4.1533993830817337E-2</v>
      </c>
      <c r="U68" s="15">
        <v>4.0133993830817331E-2</v>
      </c>
      <c r="V68" s="15">
        <v>5.873399383081733E-2</v>
      </c>
      <c r="W68" s="15">
        <v>5.8033993830817331E-2</v>
      </c>
      <c r="X68" s="15">
        <v>5.2033993830817332E-2</v>
      </c>
      <c r="Y68" s="15">
        <v>4.1433993830817334E-2</v>
      </c>
      <c r="Z68" s="15">
        <v>4.0533993830817336E-2</v>
      </c>
      <c r="AA68" s="15">
        <v>4.783399383081733E-2</v>
      </c>
      <c r="AB68" s="15">
        <v>4.4233993830817331E-2</v>
      </c>
      <c r="AC68" s="15">
        <v>5.0533993830817331E-2</v>
      </c>
      <c r="AD68" s="15">
        <v>5.9433993830817336E-2</v>
      </c>
      <c r="AE68" s="15">
        <v>4.7533993830817335E-2</v>
      </c>
      <c r="AF68" s="15">
        <v>5.6133993830817332E-2</v>
      </c>
      <c r="AG68" s="15">
        <v>5.9733993830817331E-2</v>
      </c>
      <c r="AH68" s="15">
        <v>4.1233993830817335E-2</v>
      </c>
      <c r="AI68" s="15">
        <v>4.9133993830817332E-2</v>
      </c>
      <c r="AJ68" s="15">
        <v>4.783399383081733E-2</v>
      </c>
      <c r="AK68" s="2"/>
      <c r="AL68" s="37" t="s">
        <v>106</v>
      </c>
      <c r="AM68" s="31">
        <v>0.19552507811762343</v>
      </c>
      <c r="AN68" s="31">
        <v>0.1881470144763315</v>
      </c>
      <c r="AO68" s="31">
        <v>0.22858509282788503</v>
      </c>
      <c r="AP68" s="31">
        <v>0.23673911702076125</v>
      </c>
      <c r="AQ68" s="31">
        <v>0.17075454149744171</v>
      </c>
      <c r="AR68" s="31">
        <v>0.22122034685633549</v>
      </c>
      <c r="AS68" s="31">
        <v>0.18967746769550553</v>
      </c>
      <c r="AT68" s="31">
        <v>0.14924045705899555</v>
      </c>
      <c r="AU68" s="31">
        <v>0.21435236670731811</v>
      </c>
      <c r="AV68" s="31">
        <v>0.20944856832749237</v>
      </c>
      <c r="AW68" s="31">
        <v>0.20155500103486332</v>
      </c>
      <c r="AX68" s="31">
        <v>0.1762285946756349</v>
      </c>
      <c r="AY68" s="31">
        <v>0.16501198860018285</v>
      </c>
      <c r="AZ68" s="31">
        <v>0.15730633965144764</v>
      </c>
      <c r="BA68" s="31">
        <v>0.18172428552720232</v>
      </c>
      <c r="BB68" s="31">
        <v>0.19563818052345819</v>
      </c>
      <c r="BC68" s="31">
        <v>0.23931417477406855</v>
      </c>
      <c r="BD68" s="31">
        <v>0.22623130504717145</v>
      </c>
      <c r="BE68" s="31">
        <v>0.21020752798299711</v>
      </c>
      <c r="BF68" s="31">
        <v>0.23058884834023702</v>
      </c>
      <c r="BG68" s="31">
        <v>0.23615332701531142</v>
      </c>
      <c r="BH68" s="31">
        <v>0.22042237222223882</v>
      </c>
      <c r="BI68" s="31">
        <v>0.22705315818079633</v>
      </c>
      <c r="BJ68" s="31">
        <v>0.21449320132502117</v>
      </c>
      <c r="BK68" s="31">
        <v>0.2080143377423187</v>
      </c>
      <c r="BL68" s="31">
        <v>0.20282258468815359</v>
      </c>
      <c r="BM68" s="31">
        <v>0.1939674837954618</v>
      </c>
      <c r="BN68" s="31">
        <v>0.21936971045265144</v>
      </c>
      <c r="BO68" s="31">
        <v>0.19478540672087527</v>
      </c>
      <c r="BP68" s="31">
        <v>0.21159896002940945</v>
      </c>
      <c r="BQ68" s="31">
        <v>0.20486432324025866</v>
      </c>
      <c r="BR68" s="31">
        <v>0.22399627768287109</v>
      </c>
      <c r="BS68" s="31">
        <v>0.20481007613811861</v>
      </c>
      <c r="BT68" s="31">
        <v>0.2169863574668994</v>
      </c>
      <c r="BV68" s="37" t="s">
        <v>106</v>
      </c>
      <c r="BW68" t="s">
        <v>42</v>
      </c>
      <c r="BX68" t="s">
        <v>24</v>
      </c>
      <c r="BY68" t="s">
        <v>43</v>
      </c>
      <c r="BZ68" t="s">
        <v>25</v>
      </c>
      <c r="CA68" t="s">
        <v>41</v>
      </c>
      <c r="CB68" t="s">
        <v>35</v>
      </c>
      <c r="CC68" t="s">
        <v>30</v>
      </c>
      <c r="CD68" t="s">
        <v>30</v>
      </c>
      <c r="CE68" t="s">
        <v>35</v>
      </c>
      <c r="CF68" t="s">
        <v>41</v>
      </c>
      <c r="CG68" t="s">
        <v>42</v>
      </c>
      <c r="CH68" t="s">
        <v>25</v>
      </c>
      <c r="CI68" t="s">
        <v>43</v>
      </c>
      <c r="CJ68" t="s">
        <v>41</v>
      </c>
      <c r="CK68" t="s">
        <v>24</v>
      </c>
      <c r="CL68" t="s">
        <v>30</v>
      </c>
      <c r="CM68" t="s">
        <v>43</v>
      </c>
      <c r="CN68" t="s">
        <v>43</v>
      </c>
      <c r="CO68" t="s">
        <v>41</v>
      </c>
      <c r="CP68" t="s">
        <v>25</v>
      </c>
      <c r="CQ68" t="s">
        <v>35</v>
      </c>
      <c r="CR68" t="s">
        <v>24</v>
      </c>
      <c r="CS68" t="s">
        <v>42</v>
      </c>
      <c r="CT68" t="s">
        <v>24</v>
      </c>
      <c r="CU68" t="s">
        <v>43</v>
      </c>
      <c r="CV68" t="s">
        <v>30</v>
      </c>
      <c r="CW68" t="s">
        <v>42</v>
      </c>
      <c r="CX68" t="s">
        <v>41</v>
      </c>
      <c r="CY68" t="s">
        <v>24</v>
      </c>
      <c r="CZ68" t="s">
        <v>24</v>
      </c>
      <c r="DA68" t="s">
        <v>35</v>
      </c>
      <c r="DB68" t="s">
        <v>24</v>
      </c>
      <c r="DC68" t="s">
        <v>42</v>
      </c>
      <c r="DD68" t="s">
        <v>42</v>
      </c>
    </row>
    <row r="69" spans="1:108" x14ac:dyDescent="0.35"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13"/>
      <c r="Z69" s="2"/>
      <c r="AA69" s="2"/>
      <c r="AB69" s="2"/>
      <c r="AC69" s="2"/>
      <c r="AD69" s="2"/>
      <c r="AE69" s="2"/>
      <c r="AF69" s="12"/>
      <c r="AG69" s="2"/>
      <c r="AH69" s="2"/>
      <c r="AI69" s="2"/>
      <c r="AJ69" s="2"/>
      <c r="AK69" s="2"/>
      <c r="AM69" s="12"/>
      <c r="AN69" s="12"/>
      <c r="AO69" s="12"/>
      <c r="AP69" s="12"/>
      <c r="AQ69" s="12"/>
      <c r="AR69" s="12"/>
      <c r="AS69" s="12"/>
      <c r="AT69" s="12"/>
      <c r="AU69" s="12"/>
    </row>
    <row r="70" spans="1:108" x14ac:dyDescent="0.35">
      <c r="B70" s="4" t="s">
        <v>107</v>
      </c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13"/>
      <c r="Z70" s="2"/>
      <c r="AA70" s="2"/>
      <c r="AB70" s="2"/>
      <c r="AC70" s="2"/>
      <c r="AD70" s="2"/>
      <c r="AE70" s="2"/>
      <c r="AF70" s="12"/>
      <c r="AG70" s="2"/>
      <c r="AH70" s="2"/>
      <c r="AI70" s="2"/>
      <c r="AJ70" s="2"/>
      <c r="AK70" s="2"/>
      <c r="AL70" s="4" t="s">
        <v>107</v>
      </c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V70" s="4" t="s">
        <v>107</v>
      </c>
    </row>
    <row r="71" spans="1:108" x14ac:dyDescent="0.35">
      <c r="B71" s="40" t="s">
        <v>84</v>
      </c>
      <c r="C71" s="15">
        <f>1-C93</f>
        <v>0.86763319870163769</v>
      </c>
      <c r="D71" s="15">
        <f t="shared" ref="D71:AJ71" si="65">1-D93</f>
        <v>0.88113319870163764</v>
      </c>
      <c r="E71" s="15">
        <f t="shared" si="65"/>
        <v>0.87273319870163768</v>
      </c>
      <c r="F71" s="15">
        <f t="shared" si="65"/>
        <v>0.87643319870163772</v>
      </c>
      <c r="G71" s="15">
        <f t="shared" si="65"/>
        <v>0.85173319870163766</v>
      </c>
      <c r="H71" s="15">
        <f t="shared" si="65"/>
        <v>0.88033319870163773</v>
      </c>
      <c r="I71" s="15">
        <f t="shared" si="65"/>
        <v>0.86713319870163774</v>
      </c>
      <c r="J71" s="15">
        <f t="shared" si="65"/>
        <v>0.85233319870163771</v>
      </c>
      <c r="K71" s="15">
        <f t="shared" si="65"/>
        <v>0.87513319870163775</v>
      </c>
      <c r="L71" s="15">
        <f t="shared" si="65"/>
        <v>0.88213319870163764</v>
      </c>
      <c r="M71" s="15">
        <f t="shared" si="65"/>
        <v>0.8786331987016377</v>
      </c>
      <c r="N71" s="15">
        <f t="shared" si="65"/>
        <v>0.85963319870163768</v>
      </c>
      <c r="O71" s="15">
        <f t="shared" si="65"/>
        <v>0.87203319870163765</v>
      </c>
      <c r="P71" s="15">
        <f t="shared" si="65"/>
        <v>0.85803319870163763</v>
      </c>
      <c r="Q71" s="15">
        <f t="shared" si="65"/>
        <v>0.86473319870163767</v>
      </c>
      <c r="R71" s="15">
        <f t="shared" si="65"/>
        <v>0.85663319870163768</v>
      </c>
      <c r="S71" s="15">
        <f t="shared" si="65"/>
        <v>0.87393319870163766</v>
      </c>
      <c r="T71" s="15">
        <f t="shared" si="65"/>
        <v>0.8655331987016377</v>
      </c>
      <c r="U71" s="15">
        <f t="shared" si="65"/>
        <v>0.85193319870163764</v>
      </c>
      <c r="V71" s="15">
        <f t="shared" si="65"/>
        <v>0.87093319870163766</v>
      </c>
      <c r="W71" s="15">
        <f t="shared" si="65"/>
        <v>0.87923319870163774</v>
      </c>
      <c r="X71" s="15">
        <f t="shared" si="65"/>
        <v>0.85113319870163773</v>
      </c>
      <c r="Y71" s="15">
        <f t="shared" si="65"/>
        <v>0.85303319870163774</v>
      </c>
      <c r="Z71" s="15">
        <f t="shared" si="65"/>
        <v>0.8695331987016377</v>
      </c>
      <c r="AA71" s="15">
        <f t="shared" si="65"/>
        <v>0.88103319870163765</v>
      </c>
      <c r="AB71" s="15">
        <f t="shared" si="65"/>
        <v>0.87803319870163765</v>
      </c>
      <c r="AC71" s="15">
        <f t="shared" si="65"/>
        <v>0.85773319870163767</v>
      </c>
      <c r="AD71" s="15">
        <f t="shared" si="65"/>
        <v>0.86373319870163767</v>
      </c>
      <c r="AE71" s="15">
        <f t="shared" si="65"/>
        <v>0.8665331987016377</v>
      </c>
      <c r="AF71" s="15">
        <f t="shared" si="65"/>
        <v>0.86003319870163764</v>
      </c>
      <c r="AG71" s="15">
        <f t="shared" si="65"/>
        <v>0.87993319870163766</v>
      </c>
      <c r="AH71" s="15">
        <f t="shared" si="65"/>
        <v>0.85553319870163769</v>
      </c>
      <c r="AI71" s="15">
        <f t="shared" si="65"/>
        <v>0.86803319870163764</v>
      </c>
      <c r="AJ71" s="15">
        <f t="shared" si="65"/>
        <v>0.87743319870163772</v>
      </c>
      <c r="AK71" s="2"/>
      <c r="AL71" s="40" t="s">
        <v>84</v>
      </c>
      <c r="AM71" s="31">
        <f>AM72*C72+AM79*C79+AM86*C86</f>
        <v>0.11499797862484644</v>
      </c>
      <c r="AN71" s="31">
        <f t="shared" ref="AN71:BT71" si="66">AN72*D72+AN79*D79+AN86*D86</f>
        <v>0.10754350330218827</v>
      </c>
      <c r="AO71" s="31">
        <f t="shared" si="66"/>
        <v>0.14719861938488796</v>
      </c>
      <c r="AP71" s="31">
        <f t="shared" si="66"/>
        <v>0.15656005459684449</v>
      </c>
      <c r="AQ71" s="31">
        <f t="shared" si="66"/>
        <v>8.8982032358084814E-2</v>
      </c>
      <c r="AR71" s="31">
        <f t="shared" si="66"/>
        <v>0.14129812677414397</v>
      </c>
      <c r="AS71" s="31">
        <f t="shared" si="66"/>
        <v>0.10841588318423245</v>
      </c>
      <c r="AT71" s="31">
        <f t="shared" si="66"/>
        <v>6.8466924706908794E-2</v>
      </c>
      <c r="AU71" s="31">
        <f t="shared" si="66"/>
        <v>0.13428755029129957</v>
      </c>
      <c r="AV71" s="31">
        <f t="shared" si="66"/>
        <v>0.12886986759671876</v>
      </c>
      <c r="AW71" s="31">
        <f t="shared" si="66"/>
        <v>0.12138623793427154</v>
      </c>
      <c r="AX71" s="31">
        <f t="shared" si="66"/>
        <v>9.5952943068144197E-2</v>
      </c>
      <c r="AY71" s="31">
        <f t="shared" si="66"/>
        <v>8.3253542207025355E-2</v>
      </c>
      <c r="AZ71" s="31">
        <f t="shared" si="66"/>
        <v>7.5968500324877355E-2</v>
      </c>
      <c r="BA71" s="31">
        <f t="shared" si="66"/>
        <v>0.10117279583123862</v>
      </c>
      <c r="BB71" s="31">
        <f t="shared" si="66"/>
        <v>0.11357956103594105</v>
      </c>
      <c r="BC71" s="31">
        <f t="shared" si="66"/>
        <v>0.15968593607509951</v>
      </c>
      <c r="BD71" s="31">
        <f t="shared" si="66"/>
        <v>0.14432729169423042</v>
      </c>
      <c r="BE71" s="31">
        <f t="shared" si="66"/>
        <v>0.12910420976166412</v>
      </c>
      <c r="BF71" s="31">
        <f t="shared" si="66"/>
        <v>0.15075040462312411</v>
      </c>
      <c r="BG71" s="31">
        <f t="shared" si="66"/>
        <v>0.15411274801131886</v>
      </c>
      <c r="BH71" s="31">
        <f t="shared" si="66"/>
        <v>0.13960122307242881</v>
      </c>
      <c r="BI71" s="31">
        <f t="shared" si="66"/>
        <v>0.14718650930322413</v>
      </c>
      <c r="BJ71" s="31">
        <f t="shared" si="66"/>
        <v>0.13359020400909552</v>
      </c>
      <c r="BK71" s="31">
        <f t="shared" si="66"/>
        <v>0.1264861172229238</v>
      </c>
      <c r="BL71" s="31">
        <f t="shared" si="66"/>
        <v>0.12300773109686865</v>
      </c>
      <c r="BM71" s="31">
        <f t="shared" si="66"/>
        <v>0.11249539140572475</v>
      </c>
      <c r="BN71" s="31">
        <f t="shared" si="66"/>
        <v>0.13911901845104074</v>
      </c>
      <c r="BO71" s="31">
        <f t="shared" si="66"/>
        <v>0.11483959740805166</v>
      </c>
      <c r="BP71" s="31">
        <f t="shared" si="66"/>
        <v>0.13076086338738568</v>
      </c>
      <c r="BQ71" s="31">
        <f t="shared" si="66"/>
        <v>0.12520484383578953</v>
      </c>
      <c r="BR71" s="31">
        <f t="shared" si="66"/>
        <v>0.14313108344215314</v>
      </c>
      <c r="BS71" s="31">
        <f t="shared" si="66"/>
        <v>0.12524793185565944</v>
      </c>
      <c r="BT71" s="31">
        <f t="shared" si="66"/>
        <v>0.13622082246328482</v>
      </c>
      <c r="BV71" s="40" t="s">
        <v>84</v>
      </c>
      <c r="BW71" t="s">
        <v>24</v>
      </c>
      <c r="BX71" t="s">
        <v>30</v>
      </c>
      <c r="BY71" t="s">
        <v>25</v>
      </c>
      <c r="BZ71" t="s">
        <v>41</v>
      </c>
      <c r="CA71" t="s">
        <v>41</v>
      </c>
      <c r="CB71" t="s">
        <v>41</v>
      </c>
      <c r="CC71" t="s">
        <v>30</v>
      </c>
      <c r="CD71" t="s">
        <v>25</v>
      </c>
      <c r="CE71" t="s">
        <v>43</v>
      </c>
      <c r="CF71" t="s">
        <v>43</v>
      </c>
      <c r="CG71" t="s">
        <v>24</v>
      </c>
      <c r="CH71" t="s">
        <v>42</v>
      </c>
      <c r="CI71" t="s">
        <v>42</v>
      </c>
      <c r="CJ71" t="s">
        <v>35</v>
      </c>
      <c r="CK71" t="s">
        <v>25</v>
      </c>
      <c r="CL71" t="s">
        <v>35</v>
      </c>
      <c r="CM71" t="s">
        <v>25</v>
      </c>
      <c r="CN71" t="s">
        <v>41</v>
      </c>
      <c r="CO71" t="s">
        <v>43</v>
      </c>
      <c r="CP71" t="s">
        <v>30</v>
      </c>
      <c r="CQ71" t="s">
        <v>43</v>
      </c>
      <c r="CR71" t="s">
        <v>30</v>
      </c>
      <c r="CS71" t="s">
        <v>24</v>
      </c>
      <c r="CT71" t="s">
        <v>35</v>
      </c>
      <c r="CU71" t="s">
        <v>24</v>
      </c>
      <c r="CV71" t="s">
        <v>42</v>
      </c>
      <c r="CW71" t="s">
        <v>30</v>
      </c>
      <c r="CX71" t="s">
        <v>30</v>
      </c>
      <c r="CY71" t="s">
        <v>24</v>
      </c>
      <c r="CZ71" t="s">
        <v>30</v>
      </c>
      <c r="DA71" t="s">
        <v>43</v>
      </c>
      <c r="DB71" t="s">
        <v>35</v>
      </c>
      <c r="DC71" t="s">
        <v>43</v>
      </c>
      <c r="DD71" t="s">
        <v>25</v>
      </c>
    </row>
    <row r="72" spans="1:108" x14ac:dyDescent="0.35">
      <c r="B72" s="37" t="s">
        <v>77</v>
      </c>
      <c r="C72" s="15">
        <f>1-SUM(C79,C86)</f>
        <v>0.37799855146286332</v>
      </c>
      <c r="D72" s="15">
        <f t="shared" ref="D72:AJ72" si="67">1-SUM(D79,D86)</f>
        <v>0.37049855146286337</v>
      </c>
      <c r="E72" s="15">
        <f t="shared" si="67"/>
        <v>0.39259855146286327</v>
      </c>
      <c r="F72" s="15">
        <f t="shared" si="67"/>
        <v>0.38059855146286337</v>
      </c>
      <c r="G72" s="15">
        <f t="shared" si="67"/>
        <v>0.3902985514628633</v>
      </c>
      <c r="H72" s="15">
        <f t="shared" si="67"/>
        <v>0.3791985514628633</v>
      </c>
      <c r="I72" s="15">
        <f t="shared" si="67"/>
        <v>0.3740985514628633</v>
      </c>
      <c r="J72" s="15">
        <f t="shared" si="67"/>
        <v>0.39649855146286328</v>
      </c>
      <c r="K72" s="15">
        <f t="shared" si="67"/>
        <v>0.39899855146286334</v>
      </c>
      <c r="L72" s="15">
        <f t="shared" si="67"/>
        <v>0.38869855146286325</v>
      </c>
      <c r="M72" s="15">
        <f t="shared" si="67"/>
        <v>0.38639855146286328</v>
      </c>
      <c r="N72" s="15">
        <f t="shared" si="67"/>
        <v>0.35669855146286333</v>
      </c>
      <c r="O72" s="15">
        <f t="shared" si="67"/>
        <v>0.37689855146286333</v>
      </c>
      <c r="P72" s="15">
        <f t="shared" si="67"/>
        <v>0.39059855146286326</v>
      </c>
      <c r="Q72" s="15">
        <f t="shared" si="67"/>
        <v>0.38189855146286333</v>
      </c>
      <c r="R72" s="15">
        <f t="shared" si="67"/>
        <v>0.38699855146286333</v>
      </c>
      <c r="S72" s="15">
        <f t="shared" si="67"/>
        <v>0.36659855146286324</v>
      </c>
      <c r="T72" s="15">
        <f t="shared" si="67"/>
        <v>0.39039855146286329</v>
      </c>
      <c r="U72" s="15">
        <f t="shared" si="67"/>
        <v>0.40129855146286331</v>
      </c>
      <c r="V72" s="15">
        <f t="shared" si="67"/>
        <v>0.39309855146286332</v>
      </c>
      <c r="W72" s="15">
        <f t="shared" si="67"/>
        <v>0.37939855146286328</v>
      </c>
      <c r="X72" s="15">
        <f t="shared" si="67"/>
        <v>0.37469855146286335</v>
      </c>
      <c r="Y72" s="15">
        <f t="shared" si="67"/>
        <v>0.36479855146286333</v>
      </c>
      <c r="Z72" s="15">
        <f t="shared" si="67"/>
        <v>0.38409855146286331</v>
      </c>
      <c r="AA72" s="15">
        <f t="shared" si="67"/>
        <v>0.38759855146286326</v>
      </c>
      <c r="AB72" s="15">
        <f t="shared" si="67"/>
        <v>0.37769855146286324</v>
      </c>
      <c r="AC72" s="15">
        <f t="shared" si="67"/>
        <v>0.39269855146286325</v>
      </c>
      <c r="AD72" s="15">
        <f t="shared" si="67"/>
        <v>0.39639855146286329</v>
      </c>
      <c r="AE72" s="15">
        <f t="shared" si="67"/>
        <v>0.40209855146286333</v>
      </c>
      <c r="AF72" s="15">
        <f t="shared" si="67"/>
        <v>0.38629855146286329</v>
      </c>
      <c r="AG72" s="15">
        <f t="shared" si="67"/>
        <v>0.37709855146286331</v>
      </c>
      <c r="AH72" s="15">
        <f t="shared" si="67"/>
        <v>0.38799855146286333</v>
      </c>
      <c r="AI72" s="15">
        <f t="shared" si="67"/>
        <v>0.36989855146286332</v>
      </c>
      <c r="AJ72" s="15">
        <f t="shared" si="67"/>
        <v>0.38199855146286321</v>
      </c>
      <c r="AK72" s="2"/>
      <c r="AL72" s="37" t="s">
        <v>77</v>
      </c>
      <c r="AM72" s="49">
        <f>SUMPRODUCT(AM73:AM78,C73:C78)</f>
        <v>0.10635960746139396</v>
      </c>
      <c r="AN72" s="49">
        <f t="shared" ref="AN72:BT72" si="68">SUMPRODUCT(AN73:AN78,D73:D78)</f>
        <v>9.8786494785429918E-2</v>
      </c>
      <c r="AO72" s="49">
        <f t="shared" si="68"/>
        <v>0.13873345531124937</v>
      </c>
      <c r="AP72" s="49">
        <f t="shared" si="68"/>
        <v>0.14798896165478551</v>
      </c>
      <c r="AQ72" s="49">
        <f t="shared" si="68"/>
        <v>8.0544310848771977E-2</v>
      </c>
      <c r="AR72" s="49">
        <f t="shared" si="68"/>
        <v>0.1325884550029709</v>
      </c>
      <c r="AS72" s="49">
        <f t="shared" si="68"/>
        <v>9.9703866912488726E-2</v>
      </c>
      <c r="AT72" s="49">
        <f t="shared" si="68"/>
        <v>6.0003191965868292E-2</v>
      </c>
      <c r="AU72" s="49">
        <f t="shared" si="68"/>
        <v>0.12592559009885546</v>
      </c>
      <c r="AV72" s="49">
        <f t="shared" si="68"/>
        <v>0.12032183963491318</v>
      </c>
      <c r="AW72" s="49">
        <f t="shared" si="68"/>
        <v>0.11294170747076643</v>
      </c>
      <c r="AX72" s="49">
        <f t="shared" si="68"/>
        <v>8.7029482093470792E-2</v>
      </c>
      <c r="AY72" s="49">
        <f t="shared" si="68"/>
        <v>7.4651209092434279E-2</v>
      </c>
      <c r="AZ72" s="49">
        <f t="shared" si="68"/>
        <v>6.7457256868551876E-2</v>
      </c>
      <c r="BA72" s="49">
        <f t="shared" si="68"/>
        <v>9.2631884957423027E-2</v>
      </c>
      <c r="BB72" s="49">
        <f t="shared" si="68"/>
        <v>0.10500642423816212</v>
      </c>
      <c r="BC72" s="49">
        <f t="shared" si="68"/>
        <v>0.15099510061149832</v>
      </c>
      <c r="BD72" s="49">
        <f t="shared" si="68"/>
        <v>0.13588580512396706</v>
      </c>
      <c r="BE72" s="49">
        <f t="shared" si="68"/>
        <v>0.12077088791580487</v>
      </c>
      <c r="BF72" s="49">
        <f t="shared" si="68"/>
        <v>0.14233555609380083</v>
      </c>
      <c r="BG72" s="49">
        <f t="shared" si="68"/>
        <v>0.14549157507528351</v>
      </c>
      <c r="BH72" s="49">
        <f t="shared" si="68"/>
        <v>0.13087737167817037</v>
      </c>
      <c r="BI72" s="49">
        <f t="shared" si="68"/>
        <v>0.13837215525431085</v>
      </c>
      <c r="BJ72" s="49">
        <f t="shared" si="68"/>
        <v>0.12508400123778421</v>
      </c>
      <c r="BK72" s="49">
        <f t="shared" si="68"/>
        <v>0.11794723920200878</v>
      </c>
      <c r="BL72" s="49">
        <f t="shared" si="68"/>
        <v>0.11443059017392786</v>
      </c>
      <c r="BM72" s="49">
        <f t="shared" si="68"/>
        <v>0.104047204525856</v>
      </c>
      <c r="BN72" s="49">
        <f t="shared" si="68"/>
        <v>0.13065751430763811</v>
      </c>
      <c r="BO72" s="49">
        <f t="shared" si="68"/>
        <v>0.10650457964587186</v>
      </c>
      <c r="BP72" s="49">
        <f t="shared" si="68"/>
        <v>0.12228706402360977</v>
      </c>
      <c r="BQ72" s="49">
        <f t="shared" si="68"/>
        <v>0.11656501956470133</v>
      </c>
      <c r="BR72" s="49">
        <f t="shared" si="68"/>
        <v>0.13465396834306709</v>
      </c>
      <c r="BS72" s="49">
        <f t="shared" si="68"/>
        <v>0.11649277144988374</v>
      </c>
      <c r="BT72" s="49">
        <f t="shared" si="68"/>
        <v>0.12762544323920222</v>
      </c>
      <c r="BV72" s="37" t="s">
        <v>77</v>
      </c>
      <c r="BW72" t="s">
        <v>25</v>
      </c>
      <c r="BX72" t="s">
        <v>41</v>
      </c>
      <c r="BY72" t="s">
        <v>35</v>
      </c>
      <c r="BZ72" t="s">
        <v>30</v>
      </c>
      <c r="CA72" t="s">
        <v>24</v>
      </c>
      <c r="CB72" t="s">
        <v>43</v>
      </c>
      <c r="CC72" t="s">
        <v>25</v>
      </c>
      <c r="CD72" t="s">
        <v>24</v>
      </c>
      <c r="CE72" t="s">
        <v>41</v>
      </c>
      <c r="CF72" t="s">
        <v>24</v>
      </c>
      <c r="CG72" t="s">
        <v>42</v>
      </c>
      <c r="CH72" t="s">
        <v>30</v>
      </c>
      <c r="CI72" t="s">
        <v>25</v>
      </c>
      <c r="CJ72" t="s">
        <v>25</v>
      </c>
      <c r="CK72" t="s">
        <v>43</v>
      </c>
      <c r="CL72" t="s">
        <v>25</v>
      </c>
      <c r="CM72" t="s">
        <v>30</v>
      </c>
      <c r="CN72" t="s">
        <v>30</v>
      </c>
      <c r="CO72" t="s">
        <v>41</v>
      </c>
      <c r="CP72" t="s">
        <v>42</v>
      </c>
      <c r="CQ72" t="s">
        <v>43</v>
      </c>
      <c r="CR72" t="s">
        <v>41</v>
      </c>
      <c r="CS72" t="s">
        <v>43</v>
      </c>
      <c r="CT72" t="s">
        <v>43</v>
      </c>
      <c r="CU72" t="s">
        <v>41</v>
      </c>
      <c r="CV72" t="s">
        <v>35</v>
      </c>
      <c r="CW72" t="s">
        <v>43</v>
      </c>
      <c r="CX72" t="s">
        <v>41</v>
      </c>
      <c r="CY72" t="s">
        <v>43</v>
      </c>
      <c r="CZ72" t="s">
        <v>30</v>
      </c>
      <c r="DA72" t="s">
        <v>35</v>
      </c>
      <c r="DB72" t="s">
        <v>42</v>
      </c>
      <c r="DC72" t="s">
        <v>42</v>
      </c>
      <c r="DD72" t="s">
        <v>25</v>
      </c>
    </row>
    <row r="73" spans="1:108" x14ac:dyDescent="0.35">
      <c r="B73" s="39" t="s">
        <v>93</v>
      </c>
      <c r="C73" s="15">
        <f>1-SUM(C74:C78)</f>
        <v>0.57868336360377648</v>
      </c>
      <c r="D73" s="15">
        <f t="shared" ref="D73" si="69">1-SUM(D74:D78)</f>
        <v>0.56218336360377641</v>
      </c>
      <c r="E73" s="15">
        <f t="shared" ref="E73" si="70">1-SUM(E74:E78)</f>
        <v>0.58658336360377639</v>
      </c>
      <c r="F73" s="15">
        <f t="shared" ref="F73" si="71">1-SUM(F74:F78)</f>
        <v>0.5874833636037764</v>
      </c>
      <c r="G73" s="15">
        <f t="shared" ref="G73" si="72">1-SUM(G74:G78)</f>
        <v>0.55638336360377638</v>
      </c>
      <c r="H73" s="15">
        <f t="shared" ref="H73" si="73">1-SUM(H74:H78)</f>
        <v>0.5360833636037764</v>
      </c>
      <c r="I73" s="15">
        <f t="shared" ref="I73" si="74">1-SUM(I74:I78)</f>
        <v>0.57998336360377634</v>
      </c>
      <c r="J73" s="15">
        <f t="shared" ref="J73" si="75">1-SUM(J74:J78)</f>
        <v>0.56078336360377634</v>
      </c>
      <c r="K73" s="15">
        <f t="shared" ref="K73" si="76">1-SUM(K74:K78)</f>
        <v>0.5986833636037765</v>
      </c>
      <c r="L73" s="15">
        <f t="shared" ref="L73" si="77">1-SUM(L74:L78)</f>
        <v>0.58338336360377641</v>
      </c>
      <c r="M73" s="15">
        <f t="shared" ref="M73" si="78">1-SUM(M74:M78)</f>
        <v>0.55378336360377634</v>
      </c>
      <c r="N73" s="15">
        <f t="shared" ref="N73" si="79">1-SUM(N74:N78)</f>
        <v>0.58198336360377645</v>
      </c>
      <c r="O73" s="15">
        <f t="shared" ref="O73" si="80">1-SUM(O74:O78)</f>
        <v>0.54768336360377634</v>
      </c>
      <c r="P73" s="15">
        <f t="shared" ref="P73" si="81">1-SUM(P74:P78)</f>
        <v>0.57228336360377641</v>
      </c>
      <c r="Q73" s="15">
        <f t="shared" ref="Q73" si="82">1-SUM(Q74:Q78)</f>
        <v>0.58668336360377638</v>
      </c>
      <c r="R73" s="15">
        <f t="shared" ref="R73" si="83">1-SUM(R74:R78)</f>
        <v>0.57158336360377637</v>
      </c>
      <c r="S73" s="15">
        <f t="shared" ref="S73" si="84">1-SUM(S74:S78)</f>
        <v>0.55708336360377642</v>
      </c>
      <c r="T73" s="15">
        <f t="shared" ref="T73" si="85">1-SUM(T74:T78)</f>
        <v>0.58048336360377639</v>
      </c>
      <c r="U73" s="15">
        <f t="shared" ref="U73" si="86">1-SUM(U74:U78)</f>
        <v>0.55628336360377639</v>
      </c>
      <c r="V73" s="15">
        <f t="shared" ref="V73" si="87">1-SUM(V74:V78)</f>
        <v>0.55398336360377642</v>
      </c>
      <c r="W73" s="15">
        <f t="shared" ref="W73" si="88">1-SUM(W74:W78)</f>
        <v>0.58378336360377636</v>
      </c>
      <c r="X73" s="15">
        <f t="shared" ref="X73" si="89">1-SUM(X74:X78)</f>
        <v>0.58418336360377643</v>
      </c>
      <c r="Y73" s="15">
        <f t="shared" ref="Y73" si="90">1-SUM(Y74:Y78)</f>
        <v>0.56618336360377641</v>
      </c>
      <c r="Z73" s="15">
        <f t="shared" ref="Z73" si="91">1-SUM(Z74:Z78)</f>
        <v>0.54988336360377643</v>
      </c>
      <c r="AA73" s="15">
        <f t="shared" ref="AA73" si="92">1-SUM(AA74:AA78)</f>
        <v>0.55748336360377637</v>
      </c>
      <c r="AB73" s="15">
        <f t="shared" ref="AB73" si="93">1-SUM(AB74:AB78)</f>
        <v>0.58578336360377636</v>
      </c>
      <c r="AC73" s="15">
        <f t="shared" ref="AC73" si="94">1-SUM(AC74:AC78)</f>
        <v>0.59918336360377644</v>
      </c>
      <c r="AD73" s="15">
        <f t="shared" ref="AD73" si="95">1-SUM(AD74:AD78)</f>
        <v>0.56948336360377638</v>
      </c>
      <c r="AE73" s="15">
        <f t="shared" ref="AE73" si="96">1-SUM(AE74:AE78)</f>
        <v>0.53178336360377632</v>
      </c>
      <c r="AF73" s="15">
        <f t="shared" ref="AF73" si="97">1-SUM(AF74:AF78)</f>
        <v>0.57658336360377638</v>
      </c>
      <c r="AG73" s="15">
        <f t="shared" ref="AG73" si="98">1-SUM(AG74:AG78)</f>
        <v>0.60408336360377635</v>
      </c>
      <c r="AH73" s="15">
        <f t="shared" ref="AH73" si="99">1-SUM(AH74:AH78)</f>
        <v>0.55138336360377638</v>
      </c>
      <c r="AI73" s="15">
        <f t="shared" ref="AI73" si="100">1-SUM(AI74:AI78)</f>
        <v>0.56298336360377632</v>
      </c>
      <c r="AJ73" s="15">
        <f t="shared" ref="AJ73" si="101">1-SUM(AJ74:AJ78)</f>
        <v>0.5743833636037764</v>
      </c>
      <c r="AK73" s="2"/>
      <c r="AL73" s="39" t="s">
        <v>93</v>
      </c>
      <c r="AM73" s="31">
        <v>0.1070031775159233</v>
      </c>
      <c r="AN73" s="31">
        <v>9.9201808840956807E-2</v>
      </c>
      <c r="AO73" s="31">
        <v>0.13928793243330934</v>
      </c>
      <c r="AP73" s="31">
        <v>0.14844363989623244</v>
      </c>
      <c r="AQ73" s="31">
        <v>8.1433170598623317E-2</v>
      </c>
      <c r="AR73" s="31">
        <v>0.13340878542027218</v>
      </c>
      <c r="AS73" s="31">
        <v>0.10020085204542505</v>
      </c>
      <c r="AT73" s="31">
        <v>6.0763137240771661E-2</v>
      </c>
      <c r="AU73" s="31">
        <v>0.1264921908632255</v>
      </c>
      <c r="AV73" s="31">
        <v>0.12068634417082416</v>
      </c>
      <c r="AW73" s="31">
        <v>0.11409599576006108</v>
      </c>
      <c r="AX73" s="31">
        <v>8.7997867466101609E-2</v>
      </c>
      <c r="AY73" s="31">
        <v>7.5125504691821665E-2</v>
      </c>
      <c r="AZ73" s="31">
        <v>6.8161906588749183E-2</v>
      </c>
      <c r="BA73" s="31">
        <v>9.3545204390177203E-2</v>
      </c>
      <c r="BB73" s="31">
        <v>0.10591728816325784</v>
      </c>
      <c r="BC73" s="31">
        <v>0.15198149656816923</v>
      </c>
      <c r="BD73" s="31">
        <v>0.13674438991727955</v>
      </c>
      <c r="BE73" s="31">
        <v>0.1213354294542226</v>
      </c>
      <c r="BF73" s="31">
        <v>0.14271583907212232</v>
      </c>
      <c r="BG73" s="31">
        <v>0.14633302194687403</v>
      </c>
      <c r="BH73" s="31">
        <v>0.13129004546925388</v>
      </c>
      <c r="BI73" s="31">
        <v>0.13908772221229759</v>
      </c>
      <c r="BJ73" s="31">
        <v>0.12604444896159595</v>
      </c>
      <c r="BK73" s="31">
        <v>0.11865557601678202</v>
      </c>
      <c r="BL73" s="31">
        <v>0.11530373286395693</v>
      </c>
      <c r="BM73" s="31">
        <v>0.10462606026409577</v>
      </c>
      <c r="BN73" s="31">
        <v>0.13103166976045266</v>
      </c>
      <c r="BO73" s="31">
        <v>0.10730849228554386</v>
      </c>
      <c r="BP73" s="31">
        <v>0.12323658710772892</v>
      </c>
      <c r="BQ73" s="31">
        <v>0.11680614412270597</v>
      </c>
      <c r="BR73" s="31">
        <v>0.13549297755960582</v>
      </c>
      <c r="BS73" s="31">
        <v>0.11727591191587849</v>
      </c>
      <c r="BT73" s="31">
        <v>0.12848549423328906</v>
      </c>
      <c r="BV73" s="39" t="s">
        <v>93</v>
      </c>
      <c r="BW73" t="s">
        <v>35</v>
      </c>
      <c r="BX73" t="s">
        <v>41</v>
      </c>
      <c r="BY73" t="s">
        <v>35</v>
      </c>
      <c r="BZ73" t="s">
        <v>25</v>
      </c>
      <c r="CA73" t="s">
        <v>35</v>
      </c>
      <c r="CB73" t="s">
        <v>24</v>
      </c>
      <c r="CC73" t="s">
        <v>25</v>
      </c>
      <c r="CD73" t="s">
        <v>35</v>
      </c>
      <c r="CE73" t="s">
        <v>25</v>
      </c>
      <c r="CF73" t="s">
        <v>24</v>
      </c>
      <c r="CG73" t="s">
        <v>41</v>
      </c>
      <c r="CH73" t="s">
        <v>43</v>
      </c>
      <c r="CI73" t="s">
        <v>24</v>
      </c>
      <c r="CJ73" t="s">
        <v>24</v>
      </c>
      <c r="CK73" t="s">
        <v>24</v>
      </c>
      <c r="CL73" t="s">
        <v>35</v>
      </c>
      <c r="CM73" t="s">
        <v>41</v>
      </c>
      <c r="CN73" t="s">
        <v>41</v>
      </c>
      <c r="CO73" t="s">
        <v>42</v>
      </c>
      <c r="CP73" t="s">
        <v>42</v>
      </c>
      <c r="CQ73" t="s">
        <v>30</v>
      </c>
      <c r="CR73" t="s">
        <v>24</v>
      </c>
      <c r="CS73" t="s">
        <v>43</v>
      </c>
      <c r="CT73" t="s">
        <v>35</v>
      </c>
      <c r="CU73" t="s">
        <v>30</v>
      </c>
      <c r="CV73" t="s">
        <v>41</v>
      </c>
      <c r="CW73" t="s">
        <v>25</v>
      </c>
      <c r="CX73" t="s">
        <v>24</v>
      </c>
      <c r="CY73" t="s">
        <v>24</v>
      </c>
      <c r="CZ73" t="s">
        <v>43</v>
      </c>
      <c r="DA73" t="s">
        <v>43</v>
      </c>
      <c r="DB73" t="s">
        <v>25</v>
      </c>
      <c r="DC73" t="s">
        <v>43</v>
      </c>
      <c r="DD73" t="s">
        <v>35</v>
      </c>
    </row>
    <row r="74" spans="1:108" x14ac:dyDescent="0.35">
      <c r="B74" s="39" t="s">
        <v>94</v>
      </c>
      <c r="C74" s="15">
        <v>0.12509333486028401</v>
      </c>
      <c r="D74" s="15">
        <v>0.13889333486028402</v>
      </c>
      <c r="E74" s="15">
        <v>0.11379333486028401</v>
      </c>
      <c r="F74" s="15">
        <v>0.11519333486028401</v>
      </c>
      <c r="G74" s="15">
        <v>0.13139333486028401</v>
      </c>
      <c r="H74" s="15">
        <v>0.14159333486028403</v>
      </c>
      <c r="I74" s="15">
        <v>0.13439333486028401</v>
      </c>
      <c r="J74" s="15">
        <v>0.13659333486028402</v>
      </c>
      <c r="K74" s="15">
        <v>0.13329333486028402</v>
      </c>
      <c r="L74" s="15">
        <v>0.14019333486028401</v>
      </c>
      <c r="M74" s="15">
        <v>0.13279333486028402</v>
      </c>
      <c r="N74" s="15">
        <v>0.12159333486028401</v>
      </c>
      <c r="O74" s="15">
        <v>0.14039333486028402</v>
      </c>
      <c r="P74" s="15">
        <v>0.13069333486028401</v>
      </c>
      <c r="Q74" s="15">
        <v>0.11369333486028402</v>
      </c>
      <c r="R74" s="15">
        <v>0.13519333486028401</v>
      </c>
      <c r="S74" s="15">
        <v>0.117093334860284</v>
      </c>
      <c r="T74" s="15">
        <v>0.129193334860284</v>
      </c>
      <c r="U74" s="15">
        <v>0.13029333486028402</v>
      </c>
      <c r="V74" s="15">
        <v>0.128993334860284</v>
      </c>
      <c r="W74" s="15">
        <v>0.136293334860284</v>
      </c>
      <c r="X74" s="15">
        <v>0.11339333486028401</v>
      </c>
      <c r="Y74" s="15">
        <v>0.11629333486028401</v>
      </c>
      <c r="Z74" s="15">
        <v>0.12049333486028402</v>
      </c>
      <c r="AA74" s="15">
        <v>0.12249333486028401</v>
      </c>
      <c r="AB74" s="15">
        <v>0.128493334860284</v>
      </c>
      <c r="AC74" s="15">
        <v>0.11349333486028401</v>
      </c>
      <c r="AD74" s="15">
        <v>0.12809333486028401</v>
      </c>
      <c r="AE74" s="15">
        <v>0.13989333486028402</v>
      </c>
      <c r="AF74" s="15">
        <v>0.13009333486028402</v>
      </c>
      <c r="AG74" s="15">
        <v>0.111293334860284</v>
      </c>
      <c r="AH74" s="15">
        <v>0.13769333486028401</v>
      </c>
      <c r="AI74" s="15">
        <v>0.13329333486028402</v>
      </c>
      <c r="AJ74" s="15">
        <v>0.128993334860284</v>
      </c>
      <c r="AK74" s="2"/>
      <c r="AL74" s="39" t="s">
        <v>94</v>
      </c>
      <c r="AM74" s="31">
        <v>0.11379612408728414</v>
      </c>
      <c r="AN74" s="31">
        <v>0.10599475541231765</v>
      </c>
      <c r="AO74" s="31">
        <v>0.14608087900467015</v>
      </c>
      <c r="AP74" s="31">
        <v>0.15523658646759328</v>
      </c>
      <c r="AQ74" s="31">
        <v>8.8226117169984158E-2</v>
      </c>
      <c r="AR74" s="31">
        <v>0.14020173199163305</v>
      </c>
      <c r="AS74" s="31">
        <v>0.10699379861678589</v>
      </c>
      <c r="AT74" s="31">
        <v>6.7556083812132503E-2</v>
      </c>
      <c r="AU74" s="31">
        <v>0.13328513743458631</v>
      </c>
      <c r="AV74" s="31">
        <v>0.127479290742185</v>
      </c>
      <c r="AW74" s="31">
        <v>0.12088894233142192</v>
      </c>
      <c r="AX74" s="31">
        <v>9.4790814037462451E-2</v>
      </c>
      <c r="AY74" s="31">
        <v>8.1918451263182507E-2</v>
      </c>
      <c r="AZ74" s="31">
        <v>7.4954853160110024E-2</v>
      </c>
      <c r="BA74" s="31">
        <v>0.10033815096153804</v>
      </c>
      <c r="BB74" s="31">
        <v>0.11271023473461868</v>
      </c>
      <c r="BC74" s="31">
        <v>0.1587744431395301</v>
      </c>
      <c r="BD74" s="31">
        <v>0.14353733648864039</v>
      </c>
      <c r="BE74" s="31">
        <v>0.12812837602558344</v>
      </c>
      <c r="BF74" s="31">
        <v>0.14950878564348316</v>
      </c>
      <c r="BG74" s="31">
        <v>0.1531259685182349</v>
      </c>
      <c r="BH74" s="31">
        <v>0.13808299204061475</v>
      </c>
      <c r="BI74" s="31">
        <v>0.14588066878365841</v>
      </c>
      <c r="BJ74" s="31">
        <v>0.13283739553295676</v>
      </c>
      <c r="BK74" s="31">
        <v>0.12544852258814287</v>
      </c>
      <c r="BL74" s="31">
        <v>0.12209667943531777</v>
      </c>
      <c r="BM74" s="31">
        <v>0.11141900683545661</v>
      </c>
      <c r="BN74" s="31">
        <v>0.13782461633181353</v>
      </c>
      <c r="BO74" s="31">
        <v>0.1141014388569047</v>
      </c>
      <c r="BP74" s="31">
        <v>0.13002953367908976</v>
      </c>
      <c r="BQ74" s="31">
        <v>0.12359909069406681</v>
      </c>
      <c r="BR74" s="31">
        <v>0.14228592413096666</v>
      </c>
      <c r="BS74" s="31">
        <v>0.12406885848723934</v>
      </c>
      <c r="BT74" s="31">
        <v>0.1352784408046499</v>
      </c>
      <c r="BV74" s="39" t="s">
        <v>94</v>
      </c>
      <c r="BW74" t="s">
        <v>25</v>
      </c>
      <c r="BX74" t="s">
        <v>43</v>
      </c>
      <c r="BY74" t="s">
        <v>41</v>
      </c>
      <c r="BZ74" t="s">
        <v>25</v>
      </c>
      <c r="CA74" t="s">
        <v>42</v>
      </c>
      <c r="CB74" t="s">
        <v>30</v>
      </c>
      <c r="CC74" t="s">
        <v>30</v>
      </c>
      <c r="CD74" t="s">
        <v>25</v>
      </c>
      <c r="CE74" t="s">
        <v>35</v>
      </c>
      <c r="CF74" t="s">
        <v>35</v>
      </c>
      <c r="CG74" t="s">
        <v>30</v>
      </c>
      <c r="CH74" t="s">
        <v>25</v>
      </c>
      <c r="CI74" t="s">
        <v>42</v>
      </c>
      <c r="CJ74" t="s">
        <v>35</v>
      </c>
      <c r="CK74" t="s">
        <v>25</v>
      </c>
      <c r="CL74" t="s">
        <v>43</v>
      </c>
      <c r="CM74" t="s">
        <v>24</v>
      </c>
      <c r="CN74" t="s">
        <v>35</v>
      </c>
      <c r="CO74" t="s">
        <v>24</v>
      </c>
      <c r="CP74" t="s">
        <v>41</v>
      </c>
      <c r="CQ74" t="s">
        <v>41</v>
      </c>
      <c r="CR74" t="s">
        <v>35</v>
      </c>
      <c r="CS74" t="s">
        <v>30</v>
      </c>
      <c r="CT74" t="s">
        <v>41</v>
      </c>
      <c r="CU74" t="s">
        <v>43</v>
      </c>
      <c r="CV74" t="s">
        <v>24</v>
      </c>
      <c r="CW74" t="s">
        <v>42</v>
      </c>
      <c r="CX74" t="s">
        <v>24</v>
      </c>
      <c r="CY74" t="s">
        <v>30</v>
      </c>
      <c r="CZ74" t="s">
        <v>42</v>
      </c>
      <c r="DA74" t="s">
        <v>35</v>
      </c>
      <c r="DB74" t="s">
        <v>42</v>
      </c>
      <c r="DC74" t="s">
        <v>42</v>
      </c>
      <c r="DD74" t="s">
        <v>24</v>
      </c>
    </row>
    <row r="75" spans="1:108" x14ac:dyDescent="0.35">
      <c r="A75" s="3">
        <v>1E-3</v>
      </c>
      <c r="B75" s="39" t="s">
        <v>95</v>
      </c>
      <c r="C75" s="15">
        <v>9.9270692071497524E-2</v>
      </c>
      <c r="D75" s="15">
        <v>9.0370692071497519E-2</v>
      </c>
      <c r="E75" s="15">
        <v>0.10387069207149752</v>
      </c>
      <c r="F75" s="15">
        <v>9.187069207149752E-2</v>
      </c>
      <c r="G75" s="15">
        <v>0.10307069207149752</v>
      </c>
      <c r="H75" s="15">
        <v>0.10747069207149752</v>
      </c>
      <c r="I75" s="15">
        <v>9.6370692071497524E-2</v>
      </c>
      <c r="J75" s="15">
        <v>0.11507069207149753</v>
      </c>
      <c r="K75" s="15">
        <v>9.1770692071497517E-2</v>
      </c>
      <c r="L75" s="15">
        <v>8.557069207149752E-2</v>
      </c>
      <c r="M75" s="15">
        <v>0.10817069207149753</v>
      </c>
      <c r="N75" s="15">
        <v>0.10467069207149753</v>
      </c>
      <c r="O75" s="15">
        <v>0.11447069207149753</v>
      </c>
      <c r="P75" s="15">
        <v>9.2470692071497523E-2</v>
      </c>
      <c r="Q75" s="15">
        <v>8.9070692071497523E-2</v>
      </c>
      <c r="R75" s="15">
        <v>8.507069207149752E-2</v>
      </c>
      <c r="S75" s="15">
        <v>0.11347069207149753</v>
      </c>
      <c r="T75" s="15">
        <v>0.10707069207149753</v>
      </c>
      <c r="U75" s="15">
        <v>0.11187069207149752</v>
      </c>
      <c r="V75" s="15">
        <v>0.11397069207149753</v>
      </c>
      <c r="W75" s="15">
        <v>9.2670692071497529E-2</v>
      </c>
      <c r="X75" s="15">
        <v>9.2270692071497518E-2</v>
      </c>
      <c r="Y75" s="15">
        <v>0.11437069207149753</v>
      </c>
      <c r="Z75" s="15">
        <v>0.11017069207149752</v>
      </c>
      <c r="AA75" s="15">
        <v>0.11417069207149752</v>
      </c>
      <c r="AB75" s="15">
        <v>8.7270692071497527E-2</v>
      </c>
      <c r="AC75" s="15">
        <v>8.8570692071497523E-2</v>
      </c>
      <c r="AD75" s="15">
        <v>0.10177069207149753</v>
      </c>
      <c r="AE75" s="15">
        <v>0.11347069207149753</v>
      </c>
      <c r="AF75" s="15">
        <v>9.6370692071497524E-2</v>
      </c>
      <c r="AG75" s="15">
        <v>9.4370692071497522E-2</v>
      </c>
      <c r="AH75" s="15">
        <v>0.10277069207149753</v>
      </c>
      <c r="AI75" s="15">
        <v>0.11027069207149752</v>
      </c>
      <c r="AJ75" s="15">
        <v>0.11247069207149753</v>
      </c>
      <c r="AK75" s="2"/>
      <c r="AL75" s="39" t="s">
        <v>95</v>
      </c>
      <c r="AM75" s="31">
        <v>9.9328904627187978E-2</v>
      </c>
      <c r="AN75" s="31">
        <v>9.1527535952221489E-2</v>
      </c>
      <c r="AO75" s="31">
        <v>0.13161365954457399</v>
      </c>
      <c r="AP75" s="31">
        <v>0.14076936700749712</v>
      </c>
      <c r="AQ75" s="31">
        <v>7.3758897709887999E-2</v>
      </c>
      <c r="AR75" s="31">
        <v>0.12573451253153689</v>
      </c>
      <c r="AS75" s="31">
        <v>9.2526579156689728E-2</v>
      </c>
      <c r="AT75" s="31">
        <v>5.3088864352036344E-2</v>
      </c>
      <c r="AU75" s="31">
        <v>0.11881791797449016</v>
      </c>
      <c r="AV75" s="31">
        <v>0.11301207128208884</v>
      </c>
      <c r="AW75" s="31">
        <v>0.10642172287132576</v>
      </c>
      <c r="AX75" s="31">
        <v>8.0323594577366292E-2</v>
      </c>
      <c r="AY75" s="31">
        <v>6.7451231803086348E-2</v>
      </c>
      <c r="AZ75" s="31">
        <v>6.0487633700013865E-2</v>
      </c>
      <c r="BA75" s="31">
        <v>8.5870931501441886E-2</v>
      </c>
      <c r="BB75" s="31">
        <v>9.8243015274522519E-2</v>
      </c>
      <c r="BC75" s="31">
        <v>0.14430722367943394</v>
      </c>
      <c r="BD75" s="31">
        <v>0.12907011702854423</v>
      </c>
      <c r="BE75" s="31">
        <v>0.11366115656548728</v>
      </c>
      <c r="BF75" s="31">
        <v>0.135041566183387</v>
      </c>
      <c r="BG75" s="31">
        <v>0.13865874905813874</v>
      </c>
      <c r="BH75" s="31">
        <v>0.12361577258051858</v>
      </c>
      <c r="BI75" s="31">
        <v>0.13141344932356225</v>
      </c>
      <c r="BJ75" s="31">
        <v>0.11837017607286061</v>
      </c>
      <c r="BK75" s="31">
        <v>0.1109813031280467</v>
      </c>
      <c r="BL75" s="31">
        <v>0.10762945997522161</v>
      </c>
      <c r="BM75" s="31">
        <v>9.6951787375360449E-2</v>
      </c>
      <c r="BN75" s="31">
        <v>0.12335739687171736</v>
      </c>
      <c r="BO75" s="31">
        <v>9.963421939680854E-2</v>
      </c>
      <c r="BP75" s="31">
        <v>0.1155623142189936</v>
      </c>
      <c r="BQ75" s="31">
        <v>0.10913187123397065</v>
      </c>
      <c r="BR75" s="31">
        <v>0.1278187046708705</v>
      </c>
      <c r="BS75" s="31">
        <v>0.10960163902714318</v>
      </c>
      <c r="BT75" s="31">
        <v>0.12081122134455374</v>
      </c>
      <c r="BV75" s="39" t="s">
        <v>95</v>
      </c>
      <c r="BW75" t="s">
        <v>25</v>
      </c>
      <c r="BX75" t="s">
        <v>30</v>
      </c>
      <c r="BY75" t="s">
        <v>43</v>
      </c>
      <c r="BZ75" t="s">
        <v>30</v>
      </c>
      <c r="CA75" t="s">
        <v>42</v>
      </c>
      <c r="CB75" t="s">
        <v>43</v>
      </c>
      <c r="CC75" t="s">
        <v>25</v>
      </c>
      <c r="CD75" t="s">
        <v>35</v>
      </c>
      <c r="CE75" t="s">
        <v>42</v>
      </c>
      <c r="CF75" t="s">
        <v>42</v>
      </c>
      <c r="CG75" t="s">
        <v>43</v>
      </c>
      <c r="CH75" t="s">
        <v>24</v>
      </c>
      <c r="CI75" t="s">
        <v>30</v>
      </c>
      <c r="CJ75" t="s">
        <v>24</v>
      </c>
      <c r="CK75" t="s">
        <v>25</v>
      </c>
      <c r="CL75" t="s">
        <v>30</v>
      </c>
      <c r="CM75" t="s">
        <v>35</v>
      </c>
      <c r="CN75" t="s">
        <v>35</v>
      </c>
      <c r="CO75" t="s">
        <v>35</v>
      </c>
      <c r="CP75" t="s">
        <v>42</v>
      </c>
      <c r="CQ75" t="s">
        <v>25</v>
      </c>
      <c r="CR75" t="s">
        <v>42</v>
      </c>
      <c r="CS75" t="s">
        <v>41</v>
      </c>
      <c r="CT75" t="s">
        <v>35</v>
      </c>
      <c r="CU75" t="s">
        <v>24</v>
      </c>
      <c r="CV75" t="s">
        <v>24</v>
      </c>
      <c r="CW75" t="s">
        <v>24</v>
      </c>
      <c r="CX75" t="s">
        <v>30</v>
      </c>
      <c r="CY75" t="s">
        <v>41</v>
      </c>
      <c r="CZ75" t="s">
        <v>41</v>
      </c>
      <c r="DA75" t="s">
        <v>25</v>
      </c>
      <c r="DB75" t="s">
        <v>24</v>
      </c>
      <c r="DC75" t="s">
        <v>35</v>
      </c>
      <c r="DD75" t="s">
        <v>43</v>
      </c>
    </row>
    <row r="76" spans="1:108" x14ac:dyDescent="0.35">
      <c r="B76" s="39" t="s">
        <v>96</v>
      </c>
      <c r="C76" s="15">
        <v>5.4825927622537789E-2</v>
      </c>
      <c r="D76" s="15">
        <v>5.0925927622537788E-2</v>
      </c>
      <c r="E76" s="15">
        <v>4.5325927622537794E-2</v>
      </c>
      <c r="F76" s="15">
        <v>5.8925927622537788E-2</v>
      </c>
      <c r="G76" s="15">
        <v>6.432592762253779E-2</v>
      </c>
      <c r="H76" s="15">
        <v>6.0325927622537787E-2</v>
      </c>
      <c r="I76" s="15">
        <v>4.5725927622537792E-2</v>
      </c>
      <c r="J76" s="15">
        <v>5.1525927622537798E-2</v>
      </c>
      <c r="K76" s="15">
        <v>4.7225927622537793E-2</v>
      </c>
      <c r="L76" s="15">
        <v>4.8125927622537791E-2</v>
      </c>
      <c r="M76" s="15">
        <v>6.3725927622537787E-2</v>
      </c>
      <c r="N76" s="15">
        <v>5.9125927622537787E-2</v>
      </c>
      <c r="O76" s="15">
        <v>5.7325927622537791E-2</v>
      </c>
      <c r="P76" s="15">
        <v>6.4725927622537788E-2</v>
      </c>
      <c r="Q76" s="15">
        <v>6.142592762253779E-2</v>
      </c>
      <c r="R76" s="15">
        <v>6.4625927622537785E-2</v>
      </c>
      <c r="S76" s="15">
        <v>6.1625927622537789E-2</v>
      </c>
      <c r="T76" s="15">
        <v>5.4425927622537791E-2</v>
      </c>
      <c r="U76" s="15">
        <v>5.7725927622537788E-2</v>
      </c>
      <c r="V76" s="15">
        <v>5.5125927622537776E-2</v>
      </c>
      <c r="W76" s="15">
        <v>6.3325927622537789E-2</v>
      </c>
      <c r="X76" s="15">
        <v>4.6025927622537793E-2</v>
      </c>
      <c r="Y76" s="15">
        <v>6.0325927622537787E-2</v>
      </c>
      <c r="Z76" s="15">
        <v>6.4425927622537779E-2</v>
      </c>
      <c r="AA76" s="15">
        <v>4.9725927622537788E-2</v>
      </c>
      <c r="AB76" s="15">
        <v>6.4425927622537779E-2</v>
      </c>
      <c r="AC76" s="15">
        <v>5.752592762253779E-2</v>
      </c>
      <c r="AD76" s="15">
        <v>5.6125927622537791E-2</v>
      </c>
      <c r="AE76" s="15">
        <v>6.3925927622537793E-2</v>
      </c>
      <c r="AF76" s="15">
        <v>6.0725927622537791E-2</v>
      </c>
      <c r="AG76" s="15">
        <v>4.592592762253779E-2</v>
      </c>
      <c r="AH76" s="15">
        <v>6.0025927622537778E-2</v>
      </c>
      <c r="AI76" s="15">
        <v>6.3225927622537786E-2</v>
      </c>
      <c r="AJ76" s="15">
        <v>4.6725927622537786E-2</v>
      </c>
      <c r="AK76" s="2"/>
      <c r="AL76" s="39" t="s">
        <v>96</v>
      </c>
      <c r="AM76" s="31">
        <v>8.2453357751974307E-2</v>
      </c>
      <c r="AN76" s="31">
        <v>7.4651989077007819E-2</v>
      </c>
      <c r="AO76" s="31">
        <v>0.11473811266936033</v>
      </c>
      <c r="AP76" s="31">
        <v>0.12389382013228345</v>
      </c>
      <c r="AQ76" s="31">
        <v>5.6883350834674329E-2</v>
      </c>
      <c r="AR76" s="31">
        <v>0.10885896565632321</v>
      </c>
      <c r="AS76" s="31">
        <v>7.5651032281476058E-2</v>
      </c>
      <c r="AT76" s="31">
        <v>3.6213317476822673E-2</v>
      </c>
      <c r="AU76" s="31">
        <v>0.10194237109927649</v>
      </c>
      <c r="AV76" s="31">
        <v>9.6136524406875173E-2</v>
      </c>
      <c r="AW76" s="31">
        <v>8.9546175996112087E-2</v>
      </c>
      <c r="AX76" s="31">
        <v>6.3448047702152621E-2</v>
      </c>
      <c r="AY76" s="31">
        <v>5.0575684927872677E-2</v>
      </c>
      <c r="AZ76" s="31">
        <v>4.3612086824800195E-2</v>
      </c>
      <c r="BA76" s="31">
        <v>6.8995384626228215E-2</v>
      </c>
      <c r="BB76" s="31">
        <v>8.1367468399308848E-2</v>
      </c>
      <c r="BC76" s="31">
        <v>0.12743167680422024</v>
      </c>
      <c r="BD76" s="31">
        <v>0.11219457015333056</v>
      </c>
      <c r="BE76" s="31">
        <v>9.6785609690273611E-2</v>
      </c>
      <c r="BF76" s="31">
        <v>0.11816601930817333</v>
      </c>
      <c r="BG76" s="31">
        <v>0.12178320218292506</v>
      </c>
      <c r="BH76" s="31">
        <v>0.10674022570530491</v>
      </c>
      <c r="BI76" s="31">
        <v>0.11453790244834859</v>
      </c>
      <c r="BJ76" s="31">
        <v>0.10149462919764694</v>
      </c>
      <c r="BK76" s="31">
        <v>9.4105756252833031E-2</v>
      </c>
      <c r="BL76" s="31">
        <v>9.0753913100007938E-2</v>
      </c>
      <c r="BM76" s="31">
        <v>8.0076240500146778E-2</v>
      </c>
      <c r="BN76" s="31">
        <v>0.10648184999650369</v>
      </c>
      <c r="BO76" s="31">
        <v>8.275867252159487E-2</v>
      </c>
      <c r="BP76" s="31">
        <v>9.868676734377993E-2</v>
      </c>
      <c r="BQ76" s="31">
        <v>9.2256324358756983E-2</v>
      </c>
      <c r="BR76" s="31">
        <v>0.11094315779565683</v>
      </c>
      <c r="BS76" s="31">
        <v>9.2726092151929507E-2</v>
      </c>
      <c r="BT76" s="31">
        <v>0.10393567446934007</v>
      </c>
      <c r="BV76" s="39" t="s">
        <v>96</v>
      </c>
      <c r="BW76" t="s">
        <v>24</v>
      </c>
      <c r="BX76" t="s">
        <v>41</v>
      </c>
      <c r="BY76" t="s">
        <v>30</v>
      </c>
      <c r="BZ76" t="s">
        <v>30</v>
      </c>
      <c r="CA76" t="s">
        <v>43</v>
      </c>
      <c r="CB76" t="s">
        <v>43</v>
      </c>
      <c r="CC76" t="s">
        <v>30</v>
      </c>
      <c r="CD76" t="s">
        <v>41</v>
      </c>
      <c r="CE76" t="s">
        <v>24</v>
      </c>
      <c r="CF76" t="s">
        <v>35</v>
      </c>
      <c r="CG76" t="s">
        <v>35</v>
      </c>
      <c r="CH76" t="s">
        <v>42</v>
      </c>
      <c r="CI76" t="s">
        <v>30</v>
      </c>
      <c r="CJ76" t="s">
        <v>25</v>
      </c>
      <c r="CK76" t="s">
        <v>24</v>
      </c>
      <c r="CL76" t="s">
        <v>24</v>
      </c>
      <c r="CM76" t="s">
        <v>25</v>
      </c>
      <c r="CN76" t="s">
        <v>30</v>
      </c>
      <c r="CO76" t="s">
        <v>24</v>
      </c>
      <c r="CP76" t="s">
        <v>24</v>
      </c>
      <c r="CQ76" t="s">
        <v>35</v>
      </c>
      <c r="CR76" t="s">
        <v>35</v>
      </c>
      <c r="CS76" t="s">
        <v>43</v>
      </c>
      <c r="CT76" t="s">
        <v>30</v>
      </c>
      <c r="CU76" t="s">
        <v>25</v>
      </c>
      <c r="CV76" t="s">
        <v>35</v>
      </c>
      <c r="CW76" t="s">
        <v>35</v>
      </c>
      <c r="CX76" t="s">
        <v>43</v>
      </c>
      <c r="CY76" t="s">
        <v>41</v>
      </c>
      <c r="CZ76" t="s">
        <v>43</v>
      </c>
      <c r="DA76" t="s">
        <v>35</v>
      </c>
      <c r="DB76" t="s">
        <v>25</v>
      </c>
      <c r="DC76" t="s">
        <v>43</v>
      </c>
      <c r="DD76" t="s">
        <v>24</v>
      </c>
    </row>
    <row r="77" spans="1:108" x14ac:dyDescent="0.35">
      <c r="B77" s="39" t="s">
        <v>98</v>
      </c>
      <c r="C77" s="15">
        <v>9.1832589145082591E-2</v>
      </c>
      <c r="D77" s="15">
        <v>9.8632589145082591E-2</v>
      </c>
      <c r="E77" s="15">
        <v>9.4932589145082596E-2</v>
      </c>
      <c r="F77" s="15">
        <v>0.10403258914508259</v>
      </c>
      <c r="G77" s="15">
        <v>9.2332589145082591E-2</v>
      </c>
      <c r="H77" s="15">
        <v>9.5032589145082585E-2</v>
      </c>
      <c r="I77" s="15">
        <v>8.7132589145082595E-2</v>
      </c>
      <c r="J77" s="15">
        <v>8.3632589145082592E-2</v>
      </c>
      <c r="K77" s="15">
        <v>7.7832589145082592E-2</v>
      </c>
      <c r="L77" s="15">
        <v>8.9032589145082594E-2</v>
      </c>
      <c r="M77" s="15">
        <v>8.2332589145082596E-2</v>
      </c>
      <c r="N77" s="15">
        <v>8.1932589145082585E-2</v>
      </c>
      <c r="O77" s="15">
        <v>9.8932589145082586E-2</v>
      </c>
      <c r="P77" s="15">
        <v>9.373258914508259E-2</v>
      </c>
      <c r="Q77" s="15">
        <v>9.1732589145082588E-2</v>
      </c>
      <c r="R77" s="15">
        <v>8.5732589145082597E-2</v>
      </c>
      <c r="S77" s="15">
        <v>9.5732589145082592E-2</v>
      </c>
      <c r="T77" s="15">
        <v>7.873258914508259E-2</v>
      </c>
      <c r="U77" s="15">
        <v>9.9732589145082595E-2</v>
      </c>
      <c r="V77" s="15">
        <v>0.10663258914508258</v>
      </c>
      <c r="W77" s="15">
        <v>7.8832589145082593E-2</v>
      </c>
      <c r="X77" s="15">
        <v>0.10423258914508259</v>
      </c>
      <c r="Y77" s="15">
        <v>0.10013258914508259</v>
      </c>
      <c r="Z77" s="15">
        <v>9.9432589145082587E-2</v>
      </c>
      <c r="AA77" s="15">
        <v>9.6932589145082598E-2</v>
      </c>
      <c r="AB77" s="15">
        <v>8.4132589145082592E-2</v>
      </c>
      <c r="AC77" s="15">
        <v>9.5632589145082589E-2</v>
      </c>
      <c r="AD77" s="15">
        <v>0.10303258914508259</v>
      </c>
      <c r="AE77" s="15">
        <v>9.8632589145082591E-2</v>
      </c>
      <c r="AF77" s="15">
        <v>8.163258914508259E-2</v>
      </c>
      <c r="AG77" s="15">
        <v>0.10093258914508259</v>
      </c>
      <c r="AH77" s="15">
        <v>9.0632589145082584E-2</v>
      </c>
      <c r="AI77" s="15">
        <v>8.9032589145082594E-2</v>
      </c>
      <c r="AJ77" s="15">
        <v>7.8132589145082587E-2</v>
      </c>
      <c r="AK77" s="2"/>
      <c r="AL77" s="39" t="s">
        <v>97</v>
      </c>
      <c r="AM77" s="31">
        <v>0.12195297099835756</v>
      </c>
      <c r="AN77" s="31">
        <v>0.11415160232339107</v>
      </c>
      <c r="AO77" s="31">
        <v>0.15423772591574358</v>
      </c>
      <c r="AP77" s="31">
        <v>0.16339343337866669</v>
      </c>
      <c r="AQ77" s="31">
        <v>9.6382964081057579E-2</v>
      </c>
      <c r="AR77" s="31">
        <v>0.14835857890270646</v>
      </c>
      <c r="AS77" s="31">
        <v>0.11515064552785931</v>
      </c>
      <c r="AT77" s="31">
        <v>7.5712930723205923E-2</v>
      </c>
      <c r="AU77" s="31">
        <v>0.14144198434565974</v>
      </c>
      <c r="AV77" s="31">
        <v>0.13563613765325844</v>
      </c>
      <c r="AW77" s="31">
        <v>0.12904578924249532</v>
      </c>
      <c r="AX77" s="31">
        <v>0.10294766094853587</v>
      </c>
      <c r="AY77" s="31">
        <v>9.0075298174255927E-2</v>
      </c>
      <c r="AZ77" s="31">
        <v>8.3111700071183445E-2</v>
      </c>
      <c r="BA77" s="31">
        <v>0.10849499787261146</v>
      </c>
      <c r="BB77" s="31">
        <v>0.1208670816456921</v>
      </c>
      <c r="BC77" s="31">
        <v>0.1669312900506035</v>
      </c>
      <c r="BD77" s="31">
        <v>0.1516941833997138</v>
      </c>
      <c r="BE77" s="31">
        <v>0.13628522293665685</v>
      </c>
      <c r="BF77" s="31">
        <v>0.15766563255455657</v>
      </c>
      <c r="BG77" s="31">
        <v>0.16128281542930831</v>
      </c>
      <c r="BH77" s="31">
        <v>0.14623983895168816</v>
      </c>
      <c r="BI77" s="31">
        <v>0.15403751569473184</v>
      </c>
      <c r="BJ77" s="31">
        <v>0.14099424244403019</v>
      </c>
      <c r="BK77" s="31">
        <v>0.13360536949921628</v>
      </c>
      <c r="BL77" s="31">
        <v>0.1302535263463912</v>
      </c>
      <c r="BM77" s="31">
        <v>0.11957585374653003</v>
      </c>
      <c r="BN77" s="31">
        <v>0.14598146324288694</v>
      </c>
      <c r="BO77" s="31">
        <v>0.12225828576797812</v>
      </c>
      <c r="BP77" s="31">
        <v>0.13818638059016319</v>
      </c>
      <c r="BQ77" s="31">
        <v>0.13175593760514023</v>
      </c>
      <c r="BR77" s="31">
        <v>0.15044277104204007</v>
      </c>
      <c r="BS77" s="31">
        <v>0.13222570539831274</v>
      </c>
      <c r="BT77" s="31">
        <v>0.14343528771572334</v>
      </c>
      <c r="BV77" s="39" t="s">
        <v>97</v>
      </c>
      <c r="BW77" t="s">
        <v>43</v>
      </c>
      <c r="BX77" t="s">
        <v>35</v>
      </c>
      <c r="BY77" t="s">
        <v>43</v>
      </c>
      <c r="BZ77" t="s">
        <v>43</v>
      </c>
      <c r="CA77" t="s">
        <v>42</v>
      </c>
      <c r="CB77" t="s">
        <v>25</v>
      </c>
      <c r="CC77" t="s">
        <v>35</v>
      </c>
      <c r="CD77" t="s">
        <v>24</v>
      </c>
      <c r="CE77" t="s">
        <v>35</v>
      </c>
      <c r="CF77" t="s">
        <v>35</v>
      </c>
      <c r="CG77" t="s">
        <v>43</v>
      </c>
      <c r="CH77" t="s">
        <v>24</v>
      </c>
      <c r="CI77" t="s">
        <v>43</v>
      </c>
      <c r="CJ77" t="s">
        <v>25</v>
      </c>
      <c r="CK77" t="s">
        <v>24</v>
      </c>
      <c r="CL77" t="s">
        <v>24</v>
      </c>
      <c r="CM77" t="s">
        <v>24</v>
      </c>
      <c r="CN77" t="s">
        <v>42</v>
      </c>
      <c r="CO77" t="s">
        <v>43</v>
      </c>
      <c r="CP77" t="s">
        <v>42</v>
      </c>
      <c r="CQ77" t="s">
        <v>42</v>
      </c>
      <c r="CR77" t="s">
        <v>35</v>
      </c>
      <c r="CS77" t="s">
        <v>24</v>
      </c>
      <c r="CT77" t="s">
        <v>41</v>
      </c>
      <c r="CU77" t="s">
        <v>30</v>
      </c>
      <c r="CV77" t="s">
        <v>24</v>
      </c>
      <c r="CW77" t="s">
        <v>30</v>
      </c>
      <c r="CX77" t="s">
        <v>41</v>
      </c>
      <c r="CY77" t="s">
        <v>41</v>
      </c>
      <c r="CZ77" t="s">
        <v>42</v>
      </c>
      <c r="DA77" t="s">
        <v>35</v>
      </c>
      <c r="DB77" t="s">
        <v>24</v>
      </c>
      <c r="DC77" t="s">
        <v>25</v>
      </c>
      <c r="DD77" t="s">
        <v>43</v>
      </c>
    </row>
    <row r="78" spans="1:108" x14ac:dyDescent="0.35">
      <c r="B78" s="39" t="s">
        <v>97</v>
      </c>
      <c r="C78" s="15">
        <v>5.0294092696821689E-2</v>
      </c>
      <c r="D78" s="15">
        <v>5.8994092696821682E-2</v>
      </c>
      <c r="E78" s="15">
        <v>5.5494092696821685E-2</v>
      </c>
      <c r="F78" s="15">
        <v>4.2494092696821695E-2</v>
      </c>
      <c r="G78" s="15">
        <v>5.249409269682169E-2</v>
      </c>
      <c r="H78" s="15">
        <v>5.9494092696821682E-2</v>
      </c>
      <c r="I78" s="15">
        <v>5.6394092696821684E-2</v>
      </c>
      <c r="J78" s="15">
        <v>5.2394092696821687E-2</v>
      </c>
      <c r="K78" s="15">
        <v>5.1194092696821687E-2</v>
      </c>
      <c r="L78" s="15">
        <v>5.3694092696821689E-2</v>
      </c>
      <c r="M78" s="15">
        <v>5.9194092696821687E-2</v>
      </c>
      <c r="N78" s="15">
        <v>5.0694092696821687E-2</v>
      </c>
      <c r="O78" s="15">
        <v>4.1194092696821685E-2</v>
      </c>
      <c r="P78" s="15">
        <v>4.6094092696821687E-2</v>
      </c>
      <c r="Q78" s="15">
        <v>5.7394092696821691E-2</v>
      </c>
      <c r="R78" s="15">
        <v>5.7794092696821689E-2</v>
      </c>
      <c r="S78" s="15">
        <v>5.4994092696821685E-2</v>
      </c>
      <c r="T78" s="15">
        <v>5.009409269682169E-2</v>
      </c>
      <c r="U78" s="15">
        <v>4.4094092696821692E-2</v>
      </c>
      <c r="V78" s="15">
        <v>4.1294092696821695E-2</v>
      </c>
      <c r="W78" s="15">
        <v>4.5094092696821686E-2</v>
      </c>
      <c r="X78" s="15">
        <v>5.989409269682168E-2</v>
      </c>
      <c r="Y78" s="15">
        <v>4.2694092696821687E-2</v>
      </c>
      <c r="Z78" s="15">
        <v>5.5594092696821688E-2</v>
      </c>
      <c r="AA78" s="15">
        <v>5.9194092696821687E-2</v>
      </c>
      <c r="AB78" s="15">
        <v>4.9894092696821692E-2</v>
      </c>
      <c r="AC78" s="15">
        <v>4.55940926968217E-2</v>
      </c>
      <c r="AD78" s="15">
        <v>4.1494092696821694E-2</v>
      </c>
      <c r="AE78" s="15">
        <v>5.2294092696821691E-2</v>
      </c>
      <c r="AF78" s="15">
        <v>5.4594092696821687E-2</v>
      </c>
      <c r="AG78" s="15">
        <v>4.3394092696821693E-2</v>
      </c>
      <c r="AH78" s="15">
        <v>5.7494092696821687E-2</v>
      </c>
      <c r="AI78" s="15">
        <v>4.1194092696821699E-2</v>
      </c>
      <c r="AJ78" s="15">
        <v>5.9294092696821676E-2</v>
      </c>
      <c r="AK78" s="2"/>
      <c r="AL78" s="39" t="s">
        <v>98</v>
      </c>
      <c r="AM78" s="31">
        <v>9.1923799912242227E-2</v>
      </c>
      <c r="AN78" s="31">
        <v>8.4122431237275738E-2</v>
      </c>
      <c r="AO78" s="31">
        <v>0.12420855482962825</v>
      </c>
      <c r="AP78" s="31">
        <v>0.13336426229255138</v>
      </c>
      <c r="AQ78" s="31">
        <v>6.6353792994942248E-2</v>
      </c>
      <c r="AR78" s="31">
        <v>0.11832940781659113</v>
      </c>
      <c r="AS78" s="31">
        <v>8.5121474441743977E-2</v>
      </c>
      <c r="AT78" s="31">
        <v>4.5683759637090593E-2</v>
      </c>
      <c r="AU78" s="31">
        <v>0.11141281325954441</v>
      </c>
      <c r="AV78" s="31">
        <v>0.10560696656714309</v>
      </c>
      <c r="AW78" s="31">
        <v>9.9016618156380007E-2</v>
      </c>
      <c r="AX78" s="31">
        <v>7.2918489862420541E-2</v>
      </c>
      <c r="AY78" s="31">
        <v>6.0046127088140597E-2</v>
      </c>
      <c r="AZ78" s="31">
        <v>5.3082528985068114E-2</v>
      </c>
      <c r="BA78" s="31">
        <v>7.8465826786496135E-2</v>
      </c>
      <c r="BB78" s="31">
        <v>9.0837910559576768E-2</v>
      </c>
      <c r="BC78" s="31">
        <v>0.13690211896448817</v>
      </c>
      <c r="BD78" s="31">
        <v>0.12166501231359848</v>
      </c>
      <c r="BE78" s="31">
        <v>0.10625605185054153</v>
      </c>
      <c r="BF78" s="31">
        <v>0.12763646146844126</v>
      </c>
      <c r="BG78" s="31">
        <v>0.13125364434319298</v>
      </c>
      <c r="BH78" s="31">
        <v>0.11621066786557283</v>
      </c>
      <c r="BI78" s="31">
        <v>0.12400834460861651</v>
      </c>
      <c r="BJ78" s="31">
        <v>0.11096507135791486</v>
      </c>
      <c r="BK78" s="31">
        <v>0.10357619841310095</v>
      </c>
      <c r="BL78" s="31">
        <v>0.10022435526027586</v>
      </c>
      <c r="BM78" s="31">
        <v>8.9546682660414698E-2</v>
      </c>
      <c r="BN78" s="31">
        <v>0.11595229215677161</v>
      </c>
      <c r="BO78" s="31">
        <v>9.2229114681862789E-2</v>
      </c>
      <c r="BP78" s="31">
        <v>0.10815720950404785</v>
      </c>
      <c r="BQ78" s="31">
        <v>0.1017267665190249</v>
      </c>
      <c r="BR78" s="31">
        <v>0.12041359995592475</v>
      </c>
      <c r="BS78" s="31">
        <v>0.10219653431219743</v>
      </c>
      <c r="BT78" s="31">
        <v>0.11340611662960799</v>
      </c>
      <c r="BV78" s="39" t="s">
        <v>98</v>
      </c>
      <c r="BW78" t="s">
        <v>24</v>
      </c>
      <c r="BX78" t="s">
        <v>35</v>
      </c>
      <c r="BY78" t="s">
        <v>42</v>
      </c>
      <c r="BZ78" t="s">
        <v>25</v>
      </c>
      <c r="CA78" t="s">
        <v>41</v>
      </c>
      <c r="CB78" t="s">
        <v>24</v>
      </c>
      <c r="CC78" t="s">
        <v>42</v>
      </c>
      <c r="CD78" t="s">
        <v>43</v>
      </c>
      <c r="CE78" t="s">
        <v>25</v>
      </c>
      <c r="CF78" t="s">
        <v>30</v>
      </c>
      <c r="CG78" t="s">
        <v>43</v>
      </c>
      <c r="CH78" t="s">
        <v>41</v>
      </c>
      <c r="CI78" t="s">
        <v>43</v>
      </c>
      <c r="CJ78" t="s">
        <v>42</v>
      </c>
      <c r="CK78" t="s">
        <v>24</v>
      </c>
      <c r="CL78" t="s">
        <v>24</v>
      </c>
      <c r="CM78" t="s">
        <v>42</v>
      </c>
      <c r="CN78" t="s">
        <v>30</v>
      </c>
      <c r="CO78" t="s">
        <v>35</v>
      </c>
      <c r="CP78" t="s">
        <v>24</v>
      </c>
      <c r="CQ78" t="s">
        <v>41</v>
      </c>
      <c r="CR78" t="s">
        <v>35</v>
      </c>
      <c r="CS78" t="s">
        <v>41</v>
      </c>
      <c r="CT78" t="s">
        <v>41</v>
      </c>
      <c r="CU78" t="s">
        <v>43</v>
      </c>
      <c r="CV78" t="s">
        <v>25</v>
      </c>
      <c r="CW78" t="s">
        <v>24</v>
      </c>
      <c r="CX78" t="s">
        <v>42</v>
      </c>
      <c r="CY78" t="s">
        <v>43</v>
      </c>
      <c r="CZ78" t="s">
        <v>35</v>
      </c>
      <c r="DA78" t="s">
        <v>43</v>
      </c>
      <c r="DB78" t="s">
        <v>43</v>
      </c>
      <c r="DC78" t="s">
        <v>42</v>
      </c>
      <c r="DD78" t="s">
        <v>35</v>
      </c>
    </row>
    <row r="79" spans="1:108" x14ac:dyDescent="0.35">
      <c r="B79" s="37" t="s">
        <v>78</v>
      </c>
      <c r="C79" s="15">
        <v>0.44083481901244792</v>
      </c>
      <c r="D79" s="15">
        <v>0.4480348190124479</v>
      </c>
      <c r="E79" s="15">
        <v>0.43433481901244791</v>
      </c>
      <c r="F79" s="15">
        <v>0.4349348190124479</v>
      </c>
      <c r="G79" s="15">
        <v>0.42823481901244792</v>
      </c>
      <c r="H79" s="15">
        <v>0.45143481901244792</v>
      </c>
      <c r="I79" s="15">
        <v>0.44613481901244795</v>
      </c>
      <c r="J79" s="15">
        <v>0.43843481901244791</v>
      </c>
      <c r="K79" s="15">
        <v>0.4279348190124479</v>
      </c>
      <c r="L79" s="15">
        <v>0.44083481901244792</v>
      </c>
      <c r="M79" s="15">
        <v>0.42483481901244791</v>
      </c>
      <c r="N79" s="15">
        <v>0.45453481901244791</v>
      </c>
      <c r="O79" s="15">
        <v>0.4349348190124479</v>
      </c>
      <c r="P79" s="15">
        <v>0.43813481901244794</v>
      </c>
      <c r="Q79" s="15">
        <v>0.4324348190124479</v>
      </c>
      <c r="R79" s="15">
        <v>0.44223481901244793</v>
      </c>
      <c r="S79" s="15">
        <v>0.43513481901244794</v>
      </c>
      <c r="T79" s="15">
        <v>0.42883481901244791</v>
      </c>
      <c r="U79" s="15">
        <v>0.42673481901244792</v>
      </c>
      <c r="V79" s="15">
        <v>0.42833481901244791</v>
      </c>
      <c r="W79" s="15">
        <v>0.44013481901244794</v>
      </c>
      <c r="X79" s="15">
        <v>0.44833481901244793</v>
      </c>
      <c r="Y79" s="15">
        <v>0.44923481901244794</v>
      </c>
      <c r="Z79" s="15">
        <v>0.43033481901244791</v>
      </c>
      <c r="AA79" s="15">
        <v>0.43843481901244791</v>
      </c>
      <c r="AB79" s="15">
        <v>0.43253481901244795</v>
      </c>
      <c r="AC79" s="15">
        <v>0.43223481901244792</v>
      </c>
      <c r="AD79" s="15">
        <v>0.4380348190124479</v>
      </c>
      <c r="AE79" s="15">
        <v>0.42783481901244791</v>
      </c>
      <c r="AF79" s="15">
        <v>0.42853481901244794</v>
      </c>
      <c r="AG79" s="15">
        <v>0.4400348190124479</v>
      </c>
      <c r="AH79" s="15">
        <v>0.43083481901244791</v>
      </c>
      <c r="AI79" s="15">
        <v>0.44713481901244789</v>
      </c>
      <c r="AJ79" s="15">
        <v>0.43963481901244794</v>
      </c>
      <c r="AK79" s="5"/>
      <c r="AL79" s="37" t="s">
        <v>78</v>
      </c>
      <c r="AM79" s="49">
        <f>SUMPRODUCT(AM80:AM85,C80:C85)</f>
        <v>0.12248521389803579</v>
      </c>
      <c r="AN79" s="49">
        <f t="shared" ref="AN79:BT79" si="102">SUMPRODUCT(AN80:AN85,D80:D85)</f>
        <v>0.11491210122207175</v>
      </c>
      <c r="AO79" s="49">
        <f t="shared" si="102"/>
        <v>0.15485906174789116</v>
      </c>
      <c r="AP79" s="49">
        <f t="shared" si="102"/>
        <v>0.16411456809142735</v>
      </c>
      <c r="AQ79" s="49">
        <f t="shared" si="102"/>
        <v>9.6669917285413784E-2</v>
      </c>
      <c r="AR79" s="49">
        <f t="shared" si="102"/>
        <v>0.14871406143961272</v>
      </c>
      <c r="AS79" s="49">
        <f t="shared" si="102"/>
        <v>0.11582947334913055</v>
      </c>
      <c r="AT79" s="49">
        <f t="shared" si="102"/>
        <v>7.6128798402510092E-2</v>
      </c>
      <c r="AU79" s="49">
        <f t="shared" si="102"/>
        <v>0.14205119653549728</v>
      </c>
      <c r="AV79" s="49">
        <f t="shared" si="102"/>
        <v>0.13644744607155501</v>
      </c>
      <c r="AW79" s="49">
        <f t="shared" si="102"/>
        <v>0.12906731390740828</v>
      </c>
      <c r="AX79" s="49">
        <f t="shared" si="102"/>
        <v>0.10315508853011265</v>
      </c>
      <c r="AY79" s="49">
        <f t="shared" si="102"/>
        <v>9.0776815529076099E-2</v>
      </c>
      <c r="AZ79" s="49">
        <f t="shared" si="102"/>
        <v>8.3582863305193697E-2</v>
      </c>
      <c r="BA79" s="49">
        <f t="shared" si="102"/>
        <v>0.10875749139406479</v>
      </c>
      <c r="BB79" s="49">
        <f t="shared" si="102"/>
        <v>0.12113203067480394</v>
      </c>
      <c r="BC79" s="49">
        <f t="shared" si="102"/>
        <v>0.16712070704814017</v>
      </c>
      <c r="BD79" s="49">
        <f t="shared" si="102"/>
        <v>0.15201141156060891</v>
      </c>
      <c r="BE79" s="49">
        <f t="shared" si="102"/>
        <v>0.13689649435244672</v>
      </c>
      <c r="BF79" s="49">
        <f t="shared" si="102"/>
        <v>0.15846116253044268</v>
      </c>
      <c r="BG79" s="49">
        <f t="shared" si="102"/>
        <v>0.16161718151192536</v>
      </c>
      <c r="BH79" s="49">
        <f t="shared" si="102"/>
        <v>0.14700297811481225</v>
      </c>
      <c r="BI79" s="49">
        <f t="shared" si="102"/>
        <v>0.1544977616909527</v>
      </c>
      <c r="BJ79" s="49">
        <f t="shared" si="102"/>
        <v>0.141209607674426</v>
      </c>
      <c r="BK79" s="49">
        <f t="shared" si="102"/>
        <v>0.1340728456386506</v>
      </c>
      <c r="BL79" s="49">
        <f t="shared" si="102"/>
        <v>0.13055619661056966</v>
      </c>
      <c r="BM79" s="49">
        <f t="shared" si="102"/>
        <v>0.12017281096249785</v>
      </c>
      <c r="BN79" s="49">
        <f t="shared" si="102"/>
        <v>0.14678312074427993</v>
      </c>
      <c r="BO79" s="49">
        <f t="shared" si="102"/>
        <v>0.12263018608251368</v>
      </c>
      <c r="BP79" s="49">
        <f t="shared" si="102"/>
        <v>0.13841267046025155</v>
      </c>
      <c r="BQ79" s="49">
        <f t="shared" si="102"/>
        <v>0.13269062600134321</v>
      </c>
      <c r="BR79" s="49">
        <f t="shared" si="102"/>
        <v>0.15077957477970891</v>
      </c>
      <c r="BS79" s="49">
        <f t="shared" si="102"/>
        <v>0.13261837788652558</v>
      </c>
      <c r="BT79" s="49">
        <f t="shared" si="102"/>
        <v>0.14375104967584409</v>
      </c>
      <c r="BV79" s="37" t="s">
        <v>78</v>
      </c>
      <c r="BW79" t="s">
        <v>30</v>
      </c>
      <c r="BX79" t="s">
        <v>42</v>
      </c>
      <c r="BY79" t="s">
        <v>25</v>
      </c>
      <c r="BZ79" t="s">
        <v>42</v>
      </c>
      <c r="CA79" t="s">
        <v>43</v>
      </c>
      <c r="CB79" t="s">
        <v>25</v>
      </c>
      <c r="CC79" t="s">
        <v>24</v>
      </c>
      <c r="CD79" t="s">
        <v>24</v>
      </c>
      <c r="CE79" t="s">
        <v>25</v>
      </c>
      <c r="CF79" t="s">
        <v>43</v>
      </c>
      <c r="CG79" t="s">
        <v>42</v>
      </c>
      <c r="CH79" t="s">
        <v>35</v>
      </c>
      <c r="CI79" t="s">
        <v>42</v>
      </c>
      <c r="CJ79" t="s">
        <v>35</v>
      </c>
      <c r="CK79" t="s">
        <v>41</v>
      </c>
      <c r="CL79" t="s">
        <v>25</v>
      </c>
      <c r="CM79" t="s">
        <v>30</v>
      </c>
      <c r="CN79" t="s">
        <v>30</v>
      </c>
      <c r="CO79" t="s">
        <v>43</v>
      </c>
      <c r="CP79" t="s">
        <v>35</v>
      </c>
      <c r="CQ79" t="s">
        <v>25</v>
      </c>
      <c r="CR79" t="s">
        <v>24</v>
      </c>
      <c r="CS79" t="s">
        <v>42</v>
      </c>
      <c r="CT79" t="s">
        <v>25</v>
      </c>
      <c r="CU79" t="s">
        <v>24</v>
      </c>
      <c r="CV79" t="s">
        <v>43</v>
      </c>
      <c r="CW79" t="s">
        <v>43</v>
      </c>
      <c r="CX79" t="s">
        <v>35</v>
      </c>
      <c r="CY79" t="s">
        <v>35</v>
      </c>
      <c r="CZ79" t="s">
        <v>43</v>
      </c>
      <c r="DA79" t="s">
        <v>43</v>
      </c>
      <c r="DB79" t="s">
        <v>42</v>
      </c>
      <c r="DC79" t="s">
        <v>24</v>
      </c>
      <c r="DD79" t="s">
        <v>43</v>
      </c>
    </row>
    <row r="80" spans="1:108" x14ac:dyDescent="0.35">
      <c r="B80" s="39" t="s">
        <v>93</v>
      </c>
      <c r="C80" s="15">
        <f>1-SUM(C81:C85)</f>
        <v>0.5846099203892362</v>
      </c>
      <c r="D80" s="15">
        <f t="shared" ref="D80" si="103">1-SUM(D81:D85)</f>
        <v>0.59550992038923622</v>
      </c>
      <c r="E80" s="15">
        <f t="shared" ref="E80" si="104">1-SUM(E81:E85)</f>
        <v>0.56130992038923622</v>
      </c>
      <c r="F80" s="15">
        <f t="shared" ref="F80" si="105">1-SUM(F81:F85)</f>
        <v>0.6088099203892362</v>
      </c>
      <c r="G80" s="15">
        <f t="shared" ref="G80" si="106">1-SUM(G81:G85)</f>
        <v>0.56170992038923617</v>
      </c>
      <c r="H80" s="15">
        <f t="shared" ref="H80" si="107">1-SUM(H81:H85)</f>
        <v>0.57410992038923614</v>
      </c>
      <c r="I80" s="15">
        <f t="shared" ref="I80" si="108">1-SUM(I81:I85)</f>
        <v>0.57570992038923618</v>
      </c>
      <c r="J80" s="15">
        <f t="shared" ref="J80" si="109">1-SUM(J81:J85)</f>
        <v>0.59700992038923628</v>
      </c>
      <c r="K80" s="15">
        <f t="shared" ref="K80" si="110">1-SUM(K81:K85)</f>
        <v>0.57080992038923628</v>
      </c>
      <c r="L80" s="15">
        <f t="shared" ref="L80" si="111">1-SUM(L81:L85)</f>
        <v>0.56150992038923619</v>
      </c>
      <c r="M80" s="15">
        <f t="shared" ref="M80" si="112">1-SUM(M81:M85)</f>
        <v>0.58640992038923634</v>
      </c>
      <c r="N80" s="15">
        <f t="shared" ref="N80" si="113">1-SUM(N81:N85)</f>
        <v>0.5525099203892363</v>
      </c>
      <c r="O80" s="15">
        <f t="shared" ref="O80" si="114">1-SUM(O81:O85)</f>
        <v>0.58700992038923627</v>
      </c>
      <c r="P80" s="15">
        <f t="shared" ref="P80" si="115">1-SUM(P81:P85)</f>
        <v>0.55430992038923621</v>
      </c>
      <c r="Q80" s="15">
        <f t="shared" ref="Q80" si="116">1-SUM(Q81:Q85)</f>
        <v>0.58150992038923621</v>
      </c>
      <c r="R80" s="15">
        <f t="shared" ref="R80" si="117">1-SUM(R81:R85)</f>
        <v>0.56570992038923618</v>
      </c>
      <c r="S80" s="15">
        <f t="shared" ref="S80" si="118">1-SUM(S81:S85)</f>
        <v>0.57090992038923627</v>
      </c>
      <c r="T80" s="15">
        <f t="shared" ref="T80" si="119">1-SUM(T81:T85)</f>
        <v>0.59500992038923628</v>
      </c>
      <c r="U80" s="15">
        <f t="shared" ref="U80" si="120">1-SUM(U81:U85)</f>
        <v>0.56480992038923628</v>
      </c>
      <c r="V80" s="15">
        <f t="shared" ref="V80" si="121">1-SUM(V81:V85)</f>
        <v>0.61080992038923621</v>
      </c>
      <c r="W80" s="15">
        <f t="shared" ref="W80" si="122">1-SUM(W81:W85)</f>
        <v>0.57940992038923622</v>
      </c>
      <c r="X80" s="15">
        <f t="shared" ref="X80" si="123">1-SUM(X81:X85)</f>
        <v>0.58110992038923626</v>
      </c>
      <c r="Y80" s="15">
        <f t="shared" ref="Y80" si="124">1-SUM(Y81:Y85)</f>
        <v>0.5836099203892362</v>
      </c>
      <c r="Z80" s="15">
        <f t="shared" ref="Z80" si="125">1-SUM(Z81:Z85)</f>
        <v>0.55570992038923628</v>
      </c>
      <c r="AA80" s="15">
        <f t="shared" ref="AA80" si="126">1-SUM(AA81:AA85)</f>
        <v>0.55320992038923622</v>
      </c>
      <c r="AB80" s="15">
        <f t="shared" ref="AB80" si="127">1-SUM(AB81:AB85)</f>
        <v>0.60110992038923627</v>
      </c>
      <c r="AC80" s="15">
        <f t="shared" ref="AC80" si="128">1-SUM(AC81:AC85)</f>
        <v>0.57200992038923615</v>
      </c>
      <c r="AD80" s="15">
        <f t="shared" ref="AD80" si="129">1-SUM(AD81:AD85)</f>
        <v>0.56800992038923626</v>
      </c>
      <c r="AE80" s="15">
        <f t="shared" ref="AE80" si="130">1-SUM(AE81:AE85)</f>
        <v>0.55280992038923626</v>
      </c>
      <c r="AF80" s="15">
        <f t="shared" ref="AF80" si="131">1-SUM(AF81:AF85)</f>
        <v>0.56640992038923632</v>
      </c>
      <c r="AG80" s="15">
        <f t="shared" ref="AG80" si="132">1-SUM(AG81:AG85)</f>
        <v>0.5877099203892362</v>
      </c>
      <c r="AH80" s="15">
        <f t="shared" ref="AH80" si="133">1-SUM(AH81:AH85)</f>
        <v>0.56610992038923624</v>
      </c>
      <c r="AI80" s="15">
        <f t="shared" ref="AI80" si="134">1-SUM(AI81:AI85)</f>
        <v>0.59860992038923622</v>
      </c>
      <c r="AJ80" s="15">
        <f t="shared" ref="AJ80" si="135">1-SUM(AJ81:AJ85)</f>
        <v>0.57050992038923631</v>
      </c>
      <c r="AK80" s="5"/>
      <c r="AL80" s="39" t="s">
        <v>93</v>
      </c>
      <c r="AM80" s="31">
        <v>0.12309537365114906</v>
      </c>
      <c r="AN80" s="31">
        <v>0.11602918390483047</v>
      </c>
      <c r="AO80" s="31">
        <v>0.15607064696132383</v>
      </c>
      <c r="AP80" s="31">
        <v>0.16452018379361127</v>
      </c>
      <c r="AQ80" s="31">
        <v>9.7037306282098695E-2</v>
      </c>
      <c r="AR80" s="31">
        <v>0.14892796834634409</v>
      </c>
      <c r="AS80" s="31">
        <v>0.11599338351936898</v>
      </c>
      <c r="AT80" s="31">
        <v>7.6948949556246607E-2</v>
      </c>
      <c r="AU80" s="31">
        <v>0.14264308163956857</v>
      </c>
      <c r="AV80" s="31">
        <v>0.1368069907178984</v>
      </c>
      <c r="AW80" s="31">
        <v>0.12985882009164046</v>
      </c>
      <c r="AX80" s="31">
        <v>0.1037313401592973</v>
      </c>
      <c r="AY80" s="31">
        <v>9.148818799149977E-2</v>
      </c>
      <c r="AZ80" s="31">
        <v>8.4502772929432257E-2</v>
      </c>
      <c r="BA80" s="31">
        <v>0.10926277247807142</v>
      </c>
      <c r="BB80" s="31">
        <v>0.12181143162646385</v>
      </c>
      <c r="BC80" s="31">
        <v>0.16813623838893263</v>
      </c>
      <c r="BD80" s="31">
        <v>0.15294604335207307</v>
      </c>
      <c r="BE80" s="31">
        <v>0.13769650183217894</v>
      </c>
      <c r="BF80" s="31">
        <v>0.15872787808671285</v>
      </c>
      <c r="BG80" s="31">
        <v>0.16189852240435754</v>
      </c>
      <c r="BH80" s="31">
        <v>0.14741478593838983</v>
      </c>
      <c r="BI80" s="31">
        <v>0.15557604337289005</v>
      </c>
      <c r="BJ80" s="31">
        <v>0.14154419469368273</v>
      </c>
      <c r="BK80" s="31">
        <v>0.13445363107401201</v>
      </c>
      <c r="BL80" s="31">
        <v>0.13127416312711154</v>
      </c>
      <c r="BM80" s="31">
        <v>0.12121996185816539</v>
      </c>
      <c r="BN80" s="31">
        <v>0.14752882002566822</v>
      </c>
      <c r="BO80" s="31">
        <v>0.12308474668852983</v>
      </c>
      <c r="BP80" s="31">
        <v>0.13893981196526395</v>
      </c>
      <c r="BQ80" s="31">
        <v>0.13371316256082791</v>
      </c>
      <c r="BR80" s="31">
        <v>0.1519858407027154</v>
      </c>
      <c r="BS80" s="31">
        <v>0.13345700688250853</v>
      </c>
      <c r="BT80" s="31">
        <v>0.14420045094729378</v>
      </c>
      <c r="BV80" s="39" t="s">
        <v>93</v>
      </c>
      <c r="BW80" t="s">
        <v>42</v>
      </c>
      <c r="BX80" t="s">
        <v>25</v>
      </c>
      <c r="BY80" t="s">
        <v>35</v>
      </c>
      <c r="BZ80" t="s">
        <v>25</v>
      </c>
      <c r="CA80" t="s">
        <v>30</v>
      </c>
      <c r="CB80" t="s">
        <v>24</v>
      </c>
      <c r="CC80" t="s">
        <v>43</v>
      </c>
      <c r="CD80" t="s">
        <v>30</v>
      </c>
      <c r="CE80" t="s">
        <v>35</v>
      </c>
      <c r="CF80" t="s">
        <v>35</v>
      </c>
      <c r="CG80" t="s">
        <v>42</v>
      </c>
      <c r="CH80" t="s">
        <v>35</v>
      </c>
      <c r="CI80" t="s">
        <v>35</v>
      </c>
      <c r="CJ80" t="s">
        <v>43</v>
      </c>
      <c r="CK80" t="s">
        <v>42</v>
      </c>
      <c r="CL80" t="s">
        <v>24</v>
      </c>
      <c r="CM80" t="s">
        <v>42</v>
      </c>
      <c r="CN80" t="s">
        <v>43</v>
      </c>
      <c r="CO80" t="s">
        <v>30</v>
      </c>
      <c r="CP80" t="s">
        <v>24</v>
      </c>
      <c r="CQ80" t="s">
        <v>41</v>
      </c>
      <c r="CR80" t="s">
        <v>35</v>
      </c>
      <c r="CS80" t="s">
        <v>25</v>
      </c>
      <c r="CT80" t="s">
        <v>24</v>
      </c>
      <c r="CU80" t="s">
        <v>41</v>
      </c>
      <c r="CV80" t="s">
        <v>42</v>
      </c>
      <c r="CW80" t="s">
        <v>25</v>
      </c>
      <c r="CX80" t="s">
        <v>25</v>
      </c>
      <c r="CY80" t="s">
        <v>43</v>
      </c>
      <c r="CZ80" t="s">
        <v>43</v>
      </c>
      <c r="DA80" t="s">
        <v>41</v>
      </c>
      <c r="DB80" t="s">
        <v>25</v>
      </c>
      <c r="DC80" t="s">
        <v>41</v>
      </c>
      <c r="DD80" t="s">
        <v>25</v>
      </c>
    </row>
    <row r="81" spans="1:108" x14ac:dyDescent="0.35">
      <c r="B81" s="39" t="s">
        <v>94</v>
      </c>
      <c r="C81" s="15">
        <v>0.12886886394712435</v>
      </c>
      <c r="D81" s="15">
        <v>0.11436886394712435</v>
      </c>
      <c r="E81" s="15">
        <v>0.12656886394712435</v>
      </c>
      <c r="F81" s="15">
        <v>0.13856886394712437</v>
      </c>
      <c r="G81" s="15">
        <v>0.14496886394712435</v>
      </c>
      <c r="H81" s="15">
        <v>0.12936886394712435</v>
      </c>
      <c r="I81" s="15">
        <v>0.13206886394712436</v>
      </c>
      <c r="J81" s="15">
        <v>0.11346886394712435</v>
      </c>
      <c r="K81" s="15">
        <v>0.12006886394712435</v>
      </c>
      <c r="L81" s="15">
        <v>0.13646886394712435</v>
      </c>
      <c r="M81" s="15">
        <v>0.14076886394712435</v>
      </c>
      <c r="N81" s="15">
        <v>0.13196886394712434</v>
      </c>
      <c r="O81" s="15">
        <v>0.13956886394712434</v>
      </c>
      <c r="P81" s="15">
        <v>0.11466886394712435</v>
      </c>
      <c r="Q81" s="15">
        <v>0.11866886394712435</v>
      </c>
      <c r="R81" s="15">
        <v>0.13926886394712434</v>
      </c>
      <c r="S81" s="15">
        <v>0.12136886394712434</v>
      </c>
      <c r="T81" s="15">
        <v>0.12856886394712436</v>
      </c>
      <c r="U81" s="15">
        <v>0.12696886394712434</v>
      </c>
      <c r="V81" s="15">
        <v>0.13356886394712436</v>
      </c>
      <c r="W81" s="15">
        <v>0.13246886394712434</v>
      </c>
      <c r="X81" s="15">
        <v>0.12456886394712435</v>
      </c>
      <c r="Y81" s="15">
        <v>0.11686886394712435</v>
      </c>
      <c r="Z81" s="15">
        <v>0.14456886394712434</v>
      </c>
      <c r="AA81" s="15">
        <v>0.14606886394712434</v>
      </c>
      <c r="AB81" s="15">
        <v>0.12836886394712435</v>
      </c>
      <c r="AC81" s="15">
        <v>0.13996886394712435</v>
      </c>
      <c r="AD81" s="15">
        <v>0.14176886394712435</v>
      </c>
      <c r="AE81" s="15">
        <v>0.13636886394712436</v>
      </c>
      <c r="AF81" s="15">
        <v>0.14346886394712435</v>
      </c>
      <c r="AG81" s="15">
        <v>0.12146886394712435</v>
      </c>
      <c r="AH81" s="15">
        <v>0.11786886394712436</v>
      </c>
      <c r="AI81" s="15">
        <v>0.11456886394712434</v>
      </c>
      <c r="AJ81" s="15">
        <v>0.12666886394712434</v>
      </c>
      <c r="AK81" s="5"/>
      <c r="AL81" s="39" t="s">
        <v>94</v>
      </c>
      <c r="AM81" s="31">
        <v>0.13037614448854523</v>
      </c>
      <c r="AN81" s="31">
        <v>0.12330995474222664</v>
      </c>
      <c r="AO81" s="31">
        <v>0.16335141779872003</v>
      </c>
      <c r="AP81" s="31">
        <v>0.17180095463100745</v>
      </c>
      <c r="AQ81" s="31">
        <v>0.10431807711949487</v>
      </c>
      <c r="AR81" s="31">
        <v>0.15620873918374029</v>
      </c>
      <c r="AS81" s="31">
        <v>0.12327415435676516</v>
      </c>
      <c r="AT81" s="31">
        <v>8.4229720393642779E-2</v>
      </c>
      <c r="AU81" s="31">
        <v>0.14992385247696477</v>
      </c>
      <c r="AV81" s="31">
        <v>0.14408776155529457</v>
      </c>
      <c r="AW81" s="31">
        <v>0.13713959092903663</v>
      </c>
      <c r="AX81" s="31">
        <v>0.11101211099669347</v>
      </c>
      <c r="AY81" s="31">
        <v>9.8768958828895942E-2</v>
      </c>
      <c r="AZ81" s="31">
        <v>9.1783543766828429E-2</v>
      </c>
      <c r="BA81" s="31">
        <v>0.1165435433154676</v>
      </c>
      <c r="BB81" s="31">
        <v>0.12909220246386002</v>
      </c>
      <c r="BC81" s="31">
        <v>0.1754170092263288</v>
      </c>
      <c r="BD81" s="31">
        <v>0.16022681418946927</v>
      </c>
      <c r="BE81" s="31">
        <v>0.14497727266957511</v>
      </c>
      <c r="BF81" s="31">
        <v>0.16600864892410902</v>
      </c>
      <c r="BG81" s="31">
        <v>0.16917929324175368</v>
      </c>
      <c r="BH81" s="31">
        <v>0.154695556775786</v>
      </c>
      <c r="BI81" s="31">
        <v>0.16285681421028619</v>
      </c>
      <c r="BJ81" s="31">
        <v>0.14882496553107893</v>
      </c>
      <c r="BK81" s="31">
        <v>0.14173440191140818</v>
      </c>
      <c r="BL81" s="31">
        <v>0.13855493396450771</v>
      </c>
      <c r="BM81" s="31">
        <v>0.12850073269556156</v>
      </c>
      <c r="BN81" s="31">
        <v>0.15480959086306439</v>
      </c>
      <c r="BO81" s="31">
        <v>0.13036551752592601</v>
      </c>
      <c r="BP81" s="31">
        <v>0.14622058280266015</v>
      </c>
      <c r="BQ81" s="31">
        <v>0.14099393339822408</v>
      </c>
      <c r="BR81" s="31">
        <v>0.15926661154011157</v>
      </c>
      <c r="BS81" s="31">
        <v>0.1407377777199047</v>
      </c>
      <c r="BT81" s="31">
        <v>0.15148122178468992</v>
      </c>
      <c r="BV81" s="39" t="s">
        <v>94</v>
      </c>
      <c r="BW81" t="s">
        <v>41</v>
      </c>
      <c r="BX81" t="s">
        <v>41</v>
      </c>
      <c r="BY81" t="s">
        <v>41</v>
      </c>
      <c r="BZ81" t="s">
        <v>41</v>
      </c>
      <c r="CA81" t="s">
        <v>35</v>
      </c>
      <c r="CB81" t="s">
        <v>42</v>
      </c>
      <c r="CC81" t="s">
        <v>25</v>
      </c>
      <c r="CD81" t="s">
        <v>41</v>
      </c>
      <c r="CE81" t="s">
        <v>35</v>
      </c>
      <c r="CF81" t="s">
        <v>24</v>
      </c>
      <c r="CG81" t="s">
        <v>41</v>
      </c>
      <c r="CH81" t="s">
        <v>25</v>
      </c>
      <c r="CI81" t="s">
        <v>24</v>
      </c>
      <c r="CJ81" t="s">
        <v>30</v>
      </c>
      <c r="CK81" t="s">
        <v>43</v>
      </c>
      <c r="CL81" t="s">
        <v>24</v>
      </c>
      <c r="CM81" t="s">
        <v>41</v>
      </c>
      <c r="CN81" t="s">
        <v>35</v>
      </c>
      <c r="CO81" t="s">
        <v>42</v>
      </c>
      <c r="CP81" t="s">
        <v>43</v>
      </c>
      <c r="CQ81" t="s">
        <v>24</v>
      </c>
      <c r="CR81" t="s">
        <v>35</v>
      </c>
      <c r="CS81" t="s">
        <v>30</v>
      </c>
      <c r="CT81" t="s">
        <v>43</v>
      </c>
      <c r="CU81" t="s">
        <v>24</v>
      </c>
      <c r="CV81" t="s">
        <v>35</v>
      </c>
      <c r="CW81" t="s">
        <v>25</v>
      </c>
      <c r="CX81" t="s">
        <v>43</v>
      </c>
      <c r="CY81" t="s">
        <v>35</v>
      </c>
      <c r="CZ81" t="s">
        <v>41</v>
      </c>
      <c r="DA81" t="s">
        <v>42</v>
      </c>
      <c r="DB81" t="s">
        <v>24</v>
      </c>
      <c r="DC81" t="s">
        <v>43</v>
      </c>
      <c r="DD81" t="s">
        <v>24</v>
      </c>
    </row>
    <row r="82" spans="1:108" x14ac:dyDescent="0.35">
      <c r="B82" s="39" t="s">
        <v>95</v>
      </c>
      <c r="C82" s="15">
        <v>9.5421162032711462E-2</v>
      </c>
      <c r="D82" s="15">
        <v>0.10652116203271146</v>
      </c>
      <c r="E82" s="15">
        <v>0.10352116203271146</v>
      </c>
      <c r="F82" s="15">
        <v>8.6021162032711457E-2</v>
      </c>
      <c r="G82" s="15">
        <v>9.2721162032711468E-2</v>
      </c>
      <c r="H82" s="15">
        <v>0.10342116203271146</v>
      </c>
      <c r="I82" s="15">
        <v>8.9221162032711465E-2</v>
      </c>
      <c r="J82" s="15">
        <v>9.0221162032711466E-2</v>
      </c>
      <c r="K82" s="15">
        <v>0.10092116203271147</v>
      </c>
      <c r="L82" s="15">
        <v>9.9921162032711466E-2</v>
      </c>
      <c r="M82" s="15">
        <v>8.9321162032711468E-2</v>
      </c>
      <c r="N82" s="15">
        <v>0.10792116203271146</v>
      </c>
      <c r="O82" s="15">
        <v>9.9521162032711469E-2</v>
      </c>
      <c r="P82" s="15">
        <v>0.10762116203271146</v>
      </c>
      <c r="Q82" s="15">
        <v>0.10082116203271146</v>
      </c>
      <c r="R82" s="15">
        <v>9.6721162032711458E-2</v>
      </c>
      <c r="S82" s="15">
        <v>9.9721162032711461E-2</v>
      </c>
      <c r="T82" s="15">
        <v>9.2321162032711457E-2</v>
      </c>
      <c r="U82" s="15">
        <v>0.10562116203271146</v>
      </c>
      <c r="V82" s="15">
        <v>8.0021162032711465E-2</v>
      </c>
      <c r="W82" s="15">
        <v>8.8121162032711461E-2</v>
      </c>
      <c r="X82" s="15">
        <v>9.0721162032711467E-2</v>
      </c>
      <c r="Y82" s="15">
        <v>0.10732116203271147</v>
      </c>
      <c r="Z82" s="15">
        <v>9.9721162032711461E-2</v>
      </c>
      <c r="AA82" s="15">
        <v>8.2621162032711457E-2</v>
      </c>
      <c r="AB82" s="15">
        <v>9.1221162032711467E-2</v>
      </c>
      <c r="AC82" s="15">
        <v>8.6221162032711463E-2</v>
      </c>
      <c r="AD82" s="15">
        <v>8.7321162032711466E-2</v>
      </c>
      <c r="AE82" s="15">
        <v>0.10362116203271146</v>
      </c>
      <c r="AF82" s="15">
        <v>8.662116203271146E-2</v>
      </c>
      <c r="AG82" s="15">
        <v>9.8021162032711467E-2</v>
      </c>
      <c r="AH82" s="15">
        <v>0.11202116203271147</v>
      </c>
      <c r="AI82" s="15">
        <v>0.10772116203271147</v>
      </c>
      <c r="AJ82" s="15">
        <v>8.5821162032711465E-2</v>
      </c>
      <c r="AK82" s="5"/>
      <c r="AL82" s="39" t="s">
        <v>95</v>
      </c>
      <c r="AM82" s="31">
        <v>0.11490740242033697</v>
      </c>
      <c r="AN82" s="31">
        <v>0.10784121267401837</v>
      </c>
      <c r="AO82" s="31">
        <v>0.14788267573051175</v>
      </c>
      <c r="AP82" s="31">
        <v>0.15633221256279917</v>
      </c>
      <c r="AQ82" s="31">
        <v>8.8849335051286601E-2</v>
      </c>
      <c r="AR82" s="31">
        <v>0.14073999711553201</v>
      </c>
      <c r="AS82" s="31">
        <v>0.10780541228855689</v>
      </c>
      <c r="AT82" s="31">
        <v>6.8760978325434513E-2</v>
      </c>
      <c r="AU82" s="31">
        <v>0.13445511040875649</v>
      </c>
      <c r="AV82" s="31">
        <v>0.12861901948708632</v>
      </c>
      <c r="AW82" s="31">
        <v>0.12167084886082837</v>
      </c>
      <c r="AX82" s="31">
        <v>9.5543368928485209E-2</v>
      </c>
      <c r="AY82" s="31">
        <v>8.3300216760687676E-2</v>
      </c>
      <c r="AZ82" s="31">
        <v>7.6314801698620163E-2</v>
      </c>
      <c r="BA82" s="31">
        <v>0.10107480124725933</v>
      </c>
      <c r="BB82" s="31">
        <v>0.11362346039565176</v>
      </c>
      <c r="BC82" s="31">
        <v>0.15994826715812055</v>
      </c>
      <c r="BD82" s="31">
        <v>0.14475807212126099</v>
      </c>
      <c r="BE82" s="31">
        <v>0.12950853060136686</v>
      </c>
      <c r="BF82" s="31">
        <v>0.15053990685590074</v>
      </c>
      <c r="BG82" s="31">
        <v>0.15371055117354543</v>
      </c>
      <c r="BH82" s="31">
        <v>0.13922681470757775</v>
      </c>
      <c r="BI82" s="31">
        <v>0.14738807214207794</v>
      </c>
      <c r="BJ82" s="31">
        <v>0.13335622346287065</v>
      </c>
      <c r="BK82" s="31">
        <v>0.12626565984319993</v>
      </c>
      <c r="BL82" s="31">
        <v>0.12308619189629945</v>
      </c>
      <c r="BM82" s="31">
        <v>0.11303199062735329</v>
      </c>
      <c r="BN82" s="31">
        <v>0.13934084879485614</v>
      </c>
      <c r="BO82" s="31">
        <v>0.11489677545771773</v>
      </c>
      <c r="BP82" s="31">
        <v>0.13075184073445187</v>
      </c>
      <c r="BQ82" s="31">
        <v>0.12552519133001583</v>
      </c>
      <c r="BR82" s="31">
        <v>0.14379786947190332</v>
      </c>
      <c r="BS82" s="31">
        <v>0.12526903565169645</v>
      </c>
      <c r="BT82" s="31">
        <v>0.13601247971648167</v>
      </c>
      <c r="BV82" s="39" t="s">
        <v>95</v>
      </c>
      <c r="BW82" t="s">
        <v>35</v>
      </c>
      <c r="BX82" t="s">
        <v>35</v>
      </c>
      <c r="BY82" t="s">
        <v>25</v>
      </c>
      <c r="BZ82" t="s">
        <v>30</v>
      </c>
      <c r="CA82" t="s">
        <v>43</v>
      </c>
      <c r="CB82" t="s">
        <v>30</v>
      </c>
      <c r="CC82" t="s">
        <v>25</v>
      </c>
      <c r="CD82" t="s">
        <v>30</v>
      </c>
      <c r="CE82" t="s">
        <v>25</v>
      </c>
      <c r="CF82" t="s">
        <v>24</v>
      </c>
      <c r="CG82" t="s">
        <v>25</v>
      </c>
      <c r="CH82" t="s">
        <v>24</v>
      </c>
      <c r="CI82" t="s">
        <v>24</v>
      </c>
      <c r="CJ82" t="s">
        <v>42</v>
      </c>
      <c r="CK82" t="s">
        <v>30</v>
      </c>
      <c r="CL82" t="s">
        <v>35</v>
      </c>
      <c r="CM82" t="s">
        <v>43</v>
      </c>
      <c r="CN82" t="s">
        <v>43</v>
      </c>
      <c r="CO82" t="s">
        <v>30</v>
      </c>
      <c r="CP82" t="s">
        <v>41</v>
      </c>
      <c r="CQ82" t="s">
        <v>25</v>
      </c>
      <c r="CR82" t="s">
        <v>42</v>
      </c>
      <c r="CS82" t="s">
        <v>43</v>
      </c>
      <c r="CT82" t="s">
        <v>25</v>
      </c>
      <c r="CU82" t="s">
        <v>30</v>
      </c>
      <c r="CV82" t="s">
        <v>43</v>
      </c>
      <c r="CW82" t="s">
        <v>35</v>
      </c>
      <c r="CX82" t="s">
        <v>24</v>
      </c>
      <c r="CY82" t="s">
        <v>35</v>
      </c>
      <c r="CZ82" t="s">
        <v>35</v>
      </c>
      <c r="DA82" t="s">
        <v>41</v>
      </c>
      <c r="DB82" t="s">
        <v>24</v>
      </c>
      <c r="DC82" t="s">
        <v>24</v>
      </c>
      <c r="DD82" t="s">
        <v>30</v>
      </c>
    </row>
    <row r="83" spans="1:108" x14ac:dyDescent="0.35">
      <c r="B83" s="39" t="s">
        <v>96</v>
      </c>
      <c r="C83" s="15">
        <v>5.7605685352651662E-2</v>
      </c>
      <c r="D83" s="15">
        <v>5.7905685352651663E-2</v>
      </c>
      <c r="E83" s="15">
        <v>6.9905685352651667E-2</v>
      </c>
      <c r="F83" s="15">
        <v>5.0905685352651664E-2</v>
      </c>
      <c r="G83" s="15">
        <v>5.3605685352651658E-2</v>
      </c>
      <c r="H83" s="15">
        <v>5.1005685352651667E-2</v>
      </c>
      <c r="I83" s="15">
        <v>5.0905685352651664E-2</v>
      </c>
      <c r="J83" s="15">
        <v>6.9405685352651653E-2</v>
      </c>
      <c r="K83" s="15">
        <v>5.8905685352651664E-2</v>
      </c>
      <c r="L83" s="15">
        <v>5.320568535265166E-2</v>
      </c>
      <c r="M83" s="15">
        <v>5.9105685352651663E-2</v>
      </c>
      <c r="N83" s="15">
        <v>6.6305685352651661E-2</v>
      </c>
      <c r="O83" s="15">
        <v>5.1005685352651667E-2</v>
      </c>
      <c r="P83" s="15">
        <v>6.9905685352651667E-2</v>
      </c>
      <c r="Q83" s="15">
        <v>5.0305685352651661E-2</v>
      </c>
      <c r="R83" s="15">
        <v>5.8305685352651661E-2</v>
      </c>
      <c r="S83" s="15">
        <v>6.5405685352651663E-2</v>
      </c>
      <c r="T83" s="15">
        <v>6.9805685352651664E-2</v>
      </c>
      <c r="U83" s="15">
        <v>6.190568535265166E-2</v>
      </c>
      <c r="V83" s="15">
        <v>5.2405685352651665E-2</v>
      </c>
      <c r="W83" s="15">
        <v>5.5205685352651669E-2</v>
      </c>
      <c r="X83" s="15">
        <v>5.0905685352651664E-2</v>
      </c>
      <c r="Y83" s="15">
        <v>5.6005685352651664E-2</v>
      </c>
      <c r="Z83" s="15">
        <v>6.1405685352651659E-2</v>
      </c>
      <c r="AA83" s="15">
        <v>6.8005685352651654E-2</v>
      </c>
      <c r="AB83" s="15">
        <v>5.0705685352651658E-2</v>
      </c>
      <c r="AC83" s="15">
        <v>6.8605685352651657E-2</v>
      </c>
      <c r="AD83" s="15">
        <v>6.3505685352651664E-2</v>
      </c>
      <c r="AE83" s="15">
        <v>5.1105685352651663E-2</v>
      </c>
      <c r="AF83" s="15">
        <v>5.6905685352651669E-2</v>
      </c>
      <c r="AG83" s="15">
        <v>6.2005685352651663E-2</v>
      </c>
      <c r="AH83" s="15">
        <v>6.820568535265166E-2</v>
      </c>
      <c r="AI83" s="15">
        <v>5.1205685352651666E-2</v>
      </c>
      <c r="AJ83" s="15">
        <v>5.6605685352651675E-2</v>
      </c>
      <c r="AK83" s="5"/>
      <c r="AL83" s="39" t="s">
        <v>96</v>
      </c>
      <c r="AM83" s="31">
        <v>0.10057222505583266</v>
      </c>
      <c r="AN83" s="31">
        <v>9.3506035309514068E-2</v>
      </c>
      <c r="AO83" s="31">
        <v>0.13354749836600743</v>
      </c>
      <c r="AP83" s="31">
        <v>0.14199703519829487</v>
      </c>
      <c r="AQ83" s="31">
        <v>7.4514157686782295E-2</v>
      </c>
      <c r="AR83" s="31">
        <v>0.12640481975102769</v>
      </c>
      <c r="AS83" s="31">
        <v>9.3470234924052584E-2</v>
      </c>
      <c r="AT83" s="31">
        <v>5.4425800960930207E-2</v>
      </c>
      <c r="AU83" s="31">
        <v>0.12011993304425218</v>
      </c>
      <c r="AV83" s="31">
        <v>0.114283842122582</v>
      </c>
      <c r="AW83" s="31">
        <v>0.10733567149632406</v>
      </c>
      <c r="AX83" s="31">
        <v>8.1208191563980903E-2</v>
      </c>
      <c r="AY83" s="31">
        <v>6.896503939618337E-2</v>
      </c>
      <c r="AZ83" s="31">
        <v>6.1979624334115857E-2</v>
      </c>
      <c r="BA83" s="31">
        <v>8.6739623882755024E-2</v>
      </c>
      <c r="BB83" s="31">
        <v>9.9288283031147451E-2</v>
      </c>
      <c r="BC83" s="31">
        <v>0.14561308979361623</v>
      </c>
      <c r="BD83" s="31">
        <v>0.13042289475675667</v>
      </c>
      <c r="BE83" s="31">
        <v>0.11517335323686254</v>
      </c>
      <c r="BF83" s="31">
        <v>0.13620472949139645</v>
      </c>
      <c r="BG83" s="31">
        <v>0.13937537380904114</v>
      </c>
      <c r="BH83" s="31">
        <v>0.12489163734307343</v>
      </c>
      <c r="BI83" s="31">
        <v>0.13305289477757365</v>
      </c>
      <c r="BJ83" s="31">
        <v>0.11902104609836635</v>
      </c>
      <c r="BK83" s="31">
        <v>0.11193048247869561</v>
      </c>
      <c r="BL83" s="31">
        <v>0.10875101453179514</v>
      </c>
      <c r="BM83" s="31">
        <v>9.8696813262848987E-2</v>
      </c>
      <c r="BN83" s="31">
        <v>0.12500567143035182</v>
      </c>
      <c r="BO83" s="31">
        <v>0.10056159809321343</v>
      </c>
      <c r="BP83" s="31">
        <v>0.11641666336994756</v>
      </c>
      <c r="BQ83" s="31">
        <v>0.11119001396551151</v>
      </c>
      <c r="BR83" s="31">
        <v>0.129462692107399</v>
      </c>
      <c r="BS83" s="31">
        <v>0.11093385828719213</v>
      </c>
      <c r="BT83" s="31">
        <v>0.12167730235197736</v>
      </c>
      <c r="BV83" s="39" t="s">
        <v>96</v>
      </c>
      <c r="BW83" t="s">
        <v>25</v>
      </c>
      <c r="BX83" t="s">
        <v>30</v>
      </c>
      <c r="BY83" t="s">
        <v>41</v>
      </c>
      <c r="BZ83" t="s">
        <v>25</v>
      </c>
      <c r="CA83" t="s">
        <v>41</v>
      </c>
      <c r="CB83" t="s">
        <v>43</v>
      </c>
      <c r="CC83" t="s">
        <v>25</v>
      </c>
      <c r="CD83" t="s">
        <v>35</v>
      </c>
      <c r="CE83" t="s">
        <v>25</v>
      </c>
      <c r="CF83" t="s">
        <v>25</v>
      </c>
      <c r="CG83" t="s">
        <v>30</v>
      </c>
      <c r="CH83" t="s">
        <v>41</v>
      </c>
      <c r="CI83" t="s">
        <v>41</v>
      </c>
      <c r="CJ83" t="s">
        <v>43</v>
      </c>
      <c r="CK83" t="s">
        <v>42</v>
      </c>
      <c r="CL83" t="s">
        <v>41</v>
      </c>
      <c r="CM83" t="s">
        <v>41</v>
      </c>
      <c r="CN83" t="s">
        <v>25</v>
      </c>
      <c r="CO83" t="s">
        <v>24</v>
      </c>
      <c r="CP83" t="s">
        <v>24</v>
      </c>
      <c r="CQ83" t="s">
        <v>43</v>
      </c>
      <c r="CR83" t="s">
        <v>43</v>
      </c>
      <c r="CS83" t="s">
        <v>43</v>
      </c>
      <c r="CT83" t="s">
        <v>25</v>
      </c>
      <c r="CU83" t="s">
        <v>25</v>
      </c>
      <c r="CV83" t="s">
        <v>43</v>
      </c>
      <c r="CW83" t="s">
        <v>43</v>
      </c>
      <c r="CX83" t="s">
        <v>24</v>
      </c>
      <c r="CY83" t="s">
        <v>42</v>
      </c>
      <c r="CZ83" t="s">
        <v>35</v>
      </c>
      <c r="DA83" t="s">
        <v>25</v>
      </c>
      <c r="DB83" t="s">
        <v>42</v>
      </c>
      <c r="DC83" t="s">
        <v>25</v>
      </c>
      <c r="DD83" t="s">
        <v>25</v>
      </c>
    </row>
    <row r="84" spans="1:108" x14ac:dyDescent="0.35">
      <c r="B84" s="39" t="s">
        <v>98</v>
      </c>
      <c r="C84" s="15">
        <v>8.5619225965982343E-2</v>
      </c>
      <c r="D84" s="15">
        <v>7.1419225965982339E-2</v>
      </c>
      <c r="E84" s="15">
        <v>8.0119225965982338E-2</v>
      </c>
      <c r="F84" s="15">
        <v>7.341922596598234E-2</v>
      </c>
      <c r="G84" s="15">
        <v>9.2919225965982344E-2</v>
      </c>
      <c r="H84" s="15">
        <v>0.10041922596598235</v>
      </c>
      <c r="I84" s="15">
        <v>0.10251922596598234</v>
      </c>
      <c r="J84" s="15">
        <v>8.8019225965982342E-2</v>
      </c>
      <c r="K84" s="15">
        <v>9.8919225965982349E-2</v>
      </c>
      <c r="L84" s="15">
        <v>9.7919225965982348E-2</v>
      </c>
      <c r="M84" s="15">
        <v>7.1419225965982339E-2</v>
      </c>
      <c r="N84" s="15">
        <v>0.10001922596598234</v>
      </c>
      <c r="O84" s="15">
        <v>7.0319225965982349E-2</v>
      </c>
      <c r="P84" s="15">
        <v>0.10151922596598234</v>
      </c>
      <c r="Q84" s="15">
        <v>9.5319225965982343E-2</v>
      </c>
      <c r="R84" s="15">
        <v>8.4919225965982337E-2</v>
      </c>
      <c r="S84" s="15">
        <v>8.551922596598234E-2</v>
      </c>
      <c r="T84" s="15">
        <v>7.341922596598234E-2</v>
      </c>
      <c r="U84" s="15">
        <v>8.9419225965982341E-2</v>
      </c>
      <c r="V84" s="15">
        <v>8.261922596598234E-2</v>
      </c>
      <c r="W84" s="15">
        <v>9.7719225965982343E-2</v>
      </c>
      <c r="X84" s="15">
        <v>9.6719225965982342E-2</v>
      </c>
      <c r="Y84" s="15">
        <v>7.6219225965982337E-2</v>
      </c>
      <c r="Z84" s="15">
        <v>9.7719225965982343E-2</v>
      </c>
      <c r="AA84" s="15">
        <v>0.10191922596598234</v>
      </c>
      <c r="AB84" s="15">
        <v>7.3219225965982349E-2</v>
      </c>
      <c r="AC84" s="15">
        <v>7.3819225965982338E-2</v>
      </c>
      <c r="AD84" s="15">
        <v>8.3119225965982341E-2</v>
      </c>
      <c r="AE84" s="15">
        <v>9.7819225965982345E-2</v>
      </c>
      <c r="AF84" s="15">
        <v>8.8519225965982343E-2</v>
      </c>
      <c r="AG84" s="15">
        <v>7.6219225965982337E-2</v>
      </c>
      <c r="AH84" s="15">
        <v>8.2019225965982337E-2</v>
      </c>
      <c r="AI84" s="15">
        <v>7.7119225965982335E-2</v>
      </c>
      <c r="AJ84" s="15">
        <v>0.10181922596598234</v>
      </c>
      <c r="AK84" s="5"/>
      <c r="AL84" s="39" t="s">
        <v>97</v>
      </c>
      <c r="AM84" s="31">
        <v>0.13770232746664082</v>
      </c>
      <c r="AN84" s="31">
        <v>0.13063613772032223</v>
      </c>
      <c r="AO84" s="31">
        <v>0.1706776007768156</v>
      </c>
      <c r="AP84" s="31">
        <v>0.17912713760910304</v>
      </c>
      <c r="AQ84" s="31">
        <v>0.11164426009759046</v>
      </c>
      <c r="AR84" s="31">
        <v>0.16353492216183585</v>
      </c>
      <c r="AS84" s="31">
        <v>0.13060033733486076</v>
      </c>
      <c r="AT84" s="31">
        <v>9.155590337173837E-2</v>
      </c>
      <c r="AU84" s="31">
        <v>0.15725003545506033</v>
      </c>
      <c r="AV84" s="31">
        <v>0.15141394453339016</v>
      </c>
      <c r="AW84" s="31">
        <v>0.14446577390713222</v>
      </c>
      <c r="AX84" s="31">
        <v>0.11833829397478907</v>
      </c>
      <c r="AY84" s="31">
        <v>0.10609514180699153</v>
      </c>
      <c r="AZ84" s="31">
        <v>9.910972674492402E-2</v>
      </c>
      <c r="BA84" s="31">
        <v>0.12386972629356319</v>
      </c>
      <c r="BB84" s="31">
        <v>0.13641838544195561</v>
      </c>
      <c r="BC84" s="31">
        <v>0.18274319220442439</v>
      </c>
      <c r="BD84" s="31">
        <v>0.16755299716756483</v>
      </c>
      <c r="BE84" s="31">
        <v>0.1523034556476707</v>
      </c>
      <c r="BF84" s="31">
        <v>0.17333483190220461</v>
      </c>
      <c r="BG84" s="31">
        <v>0.1765054762198493</v>
      </c>
      <c r="BH84" s="31">
        <v>0.16202173975388159</v>
      </c>
      <c r="BI84" s="31">
        <v>0.17018299718838181</v>
      </c>
      <c r="BJ84" s="31">
        <v>0.1561511485091745</v>
      </c>
      <c r="BK84" s="31">
        <v>0.14906058488950377</v>
      </c>
      <c r="BL84" s="31">
        <v>0.14588111694260331</v>
      </c>
      <c r="BM84" s="31">
        <v>0.13582691567365715</v>
      </c>
      <c r="BN84" s="31">
        <v>0.16213577384115999</v>
      </c>
      <c r="BO84" s="31">
        <v>0.13769170050402157</v>
      </c>
      <c r="BP84" s="31">
        <v>0.15354676578075571</v>
      </c>
      <c r="BQ84" s="31">
        <v>0.14832011637631967</v>
      </c>
      <c r="BR84" s="31">
        <v>0.16659279451820716</v>
      </c>
      <c r="BS84" s="31">
        <v>0.14806396069800029</v>
      </c>
      <c r="BT84" s="31">
        <v>0.15880740476278554</v>
      </c>
      <c r="BV84" s="39" t="s">
        <v>97</v>
      </c>
      <c r="BW84" t="s">
        <v>24</v>
      </c>
      <c r="BX84" t="s">
        <v>42</v>
      </c>
      <c r="BY84" t="s">
        <v>35</v>
      </c>
      <c r="BZ84" t="s">
        <v>25</v>
      </c>
      <c r="CA84" t="s">
        <v>41</v>
      </c>
      <c r="CB84" t="s">
        <v>43</v>
      </c>
      <c r="CC84" t="s">
        <v>24</v>
      </c>
      <c r="CD84" t="s">
        <v>30</v>
      </c>
      <c r="CE84" t="s">
        <v>24</v>
      </c>
      <c r="CF84" t="s">
        <v>42</v>
      </c>
      <c r="CG84" t="s">
        <v>42</v>
      </c>
      <c r="CH84" t="s">
        <v>25</v>
      </c>
      <c r="CI84" t="s">
        <v>24</v>
      </c>
      <c r="CJ84" t="s">
        <v>42</v>
      </c>
      <c r="CK84" t="s">
        <v>24</v>
      </c>
      <c r="CL84" t="s">
        <v>43</v>
      </c>
      <c r="CM84" t="s">
        <v>30</v>
      </c>
      <c r="CN84" t="s">
        <v>30</v>
      </c>
      <c r="CO84" t="s">
        <v>35</v>
      </c>
      <c r="CP84" t="s">
        <v>25</v>
      </c>
      <c r="CQ84" t="s">
        <v>41</v>
      </c>
      <c r="CR84" t="s">
        <v>43</v>
      </c>
      <c r="CS84" t="s">
        <v>41</v>
      </c>
      <c r="CT84" t="s">
        <v>25</v>
      </c>
      <c r="CU84" t="s">
        <v>42</v>
      </c>
      <c r="CV84" t="s">
        <v>30</v>
      </c>
      <c r="CW84" t="s">
        <v>42</v>
      </c>
      <c r="CX84" t="s">
        <v>41</v>
      </c>
      <c r="CY84" t="s">
        <v>30</v>
      </c>
      <c r="CZ84" t="s">
        <v>42</v>
      </c>
      <c r="DA84" t="s">
        <v>30</v>
      </c>
      <c r="DB84" t="s">
        <v>30</v>
      </c>
      <c r="DC84" t="s">
        <v>30</v>
      </c>
      <c r="DD84" t="s">
        <v>30</v>
      </c>
    </row>
    <row r="85" spans="1:108" x14ac:dyDescent="0.35">
      <c r="B85" s="39" t="s">
        <v>97</v>
      </c>
      <c r="C85" s="15">
        <v>4.7875142312293943E-2</v>
      </c>
      <c r="D85" s="15">
        <v>5.4275142312293946E-2</v>
      </c>
      <c r="E85" s="15">
        <v>5.8575142312293937E-2</v>
      </c>
      <c r="F85" s="15">
        <v>4.2275142312293949E-2</v>
      </c>
      <c r="G85" s="15">
        <v>5.407514231229394E-2</v>
      </c>
      <c r="H85" s="15">
        <v>4.1675142312293946E-2</v>
      </c>
      <c r="I85" s="15">
        <v>4.9575142312293943E-2</v>
      </c>
      <c r="J85" s="15">
        <v>4.1875142312293952E-2</v>
      </c>
      <c r="K85" s="15">
        <v>5.0375142312293945E-2</v>
      </c>
      <c r="L85" s="15">
        <v>5.0975142312293942E-2</v>
      </c>
      <c r="M85" s="15">
        <v>5.2975142312293944E-2</v>
      </c>
      <c r="N85" s="15">
        <v>4.1275142312293941E-2</v>
      </c>
      <c r="O85" s="15">
        <v>5.2575142312293946E-2</v>
      </c>
      <c r="P85" s="15">
        <v>5.1975142312293943E-2</v>
      </c>
      <c r="Q85" s="15">
        <v>5.3375142312293941E-2</v>
      </c>
      <c r="R85" s="15">
        <v>5.5075142312293941E-2</v>
      </c>
      <c r="S85" s="15">
        <v>5.7075142312293943E-2</v>
      </c>
      <c r="T85" s="15">
        <v>4.0875142312293951E-2</v>
      </c>
      <c r="U85" s="15">
        <v>5.1275142312293943E-2</v>
      </c>
      <c r="V85" s="15">
        <v>4.0575142312293949E-2</v>
      </c>
      <c r="W85" s="15">
        <v>4.7075142312293941E-2</v>
      </c>
      <c r="X85" s="15">
        <v>5.5975142312293946E-2</v>
      </c>
      <c r="Y85" s="15">
        <v>5.9975142312293943E-2</v>
      </c>
      <c r="Z85" s="15">
        <v>4.0875142312293951E-2</v>
      </c>
      <c r="AA85" s="15">
        <v>4.8175142312293945E-2</v>
      </c>
      <c r="AB85" s="15">
        <v>5.5375142312293943E-2</v>
      </c>
      <c r="AC85" s="15">
        <v>5.9375142312293946E-2</v>
      </c>
      <c r="AD85" s="15">
        <v>5.6275142312293941E-2</v>
      </c>
      <c r="AE85" s="15">
        <v>5.8275142312293943E-2</v>
      </c>
      <c r="AF85" s="15">
        <v>5.8075142312293944E-2</v>
      </c>
      <c r="AG85" s="15">
        <v>5.4575142312293941E-2</v>
      </c>
      <c r="AH85" s="15">
        <v>5.3775142312293946E-2</v>
      </c>
      <c r="AI85" s="15">
        <v>5.0775142312293943E-2</v>
      </c>
      <c r="AJ85" s="15">
        <v>5.8575142312293937E-2</v>
      </c>
      <c r="AK85" s="5"/>
      <c r="AL85" s="39" t="s">
        <v>98</v>
      </c>
      <c r="AM85" s="31">
        <v>0.10805012629448871</v>
      </c>
      <c r="AN85" s="31">
        <v>0.10098393654817012</v>
      </c>
      <c r="AO85" s="31">
        <v>0.14102539960466348</v>
      </c>
      <c r="AP85" s="31">
        <v>0.14947493643695092</v>
      </c>
      <c r="AQ85" s="31">
        <v>8.1992058925438344E-2</v>
      </c>
      <c r="AR85" s="31">
        <v>0.13388272098968373</v>
      </c>
      <c r="AS85" s="31">
        <v>0.10094813616270863</v>
      </c>
      <c r="AT85" s="31">
        <v>6.1903702199586255E-2</v>
      </c>
      <c r="AU85" s="31">
        <v>0.12759783428290822</v>
      </c>
      <c r="AV85" s="31">
        <v>0.12176174336123805</v>
      </c>
      <c r="AW85" s="31">
        <v>0.11481357273498011</v>
      </c>
      <c r="AX85" s="31">
        <v>8.8686092802636951E-2</v>
      </c>
      <c r="AY85" s="31">
        <v>7.6442940634839418E-2</v>
      </c>
      <c r="AZ85" s="31">
        <v>6.9457525572771905E-2</v>
      </c>
      <c r="BA85" s="31">
        <v>9.4217525121411072E-2</v>
      </c>
      <c r="BB85" s="31">
        <v>0.1067661842698035</v>
      </c>
      <c r="BC85" s="31">
        <v>0.15309099103227228</v>
      </c>
      <c r="BD85" s="31">
        <v>0.13790079599541272</v>
      </c>
      <c r="BE85" s="31">
        <v>0.12265125447551858</v>
      </c>
      <c r="BF85" s="31">
        <v>0.1436826307300525</v>
      </c>
      <c r="BG85" s="31">
        <v>0.14685327504769718</v>
      </c>
      <c r="BH85" s="31">
        <v>0.13236953858172948</v>
      </c>
      <c r="BI85" s="31">
        <v>0.1405307960162297</v>
      </c>
      <c r="BJ85" s="31">
        <v>0.12649894733702238</v>
      </c>
      <c r="BK85" s="31">
        <v>0.11940838371735166</v>
      </c>
      <c r="BL85" s="31">
        <v>0.11622891577045119</v>
      </c>
      <c r="BM85" s="31">
        <v>0.10617471450150504</v>
      </c>
      <c r="BN85" s="31">
        <v>0.13248357266900787</v>
      </c>
      <c r="BO85" s="31">
        <v>0.10803949933186947</v>
      </c>
      <c r="BP85" s="31">
        <v>0.12389456460860361</v>
      </c>
      <c r="BQ85" s="31">
        <v>0.11866791520416756</v>
      </c>
      <c r="BR85" s="31">
        <v>0.13694059334605505</v>
      </c>
      <c r="BS85" s="31">
        <v>0.11841175952584818</v>
      </c>
      <c r="BT85" s="31">
        <v>0.12915520359063343</v>
      </c>
      <c r="BV85" s="39" t="s">
        <v>98</v>
      </c>
      <c r="BW85" t="s">
        <v>43</v>
      </c>
      <c r="BX85" t="s">
        <v>25</v>
      </c>
      <c r="BY85" t="s">
        <v>25</v>
      </c>
      <c r="BZ85" t="s">
        <v>42</v>
      </c>
      <c r="CA85" t="s">
        <v>24</v>
      </c>
      <c r="CB85" t="s">
        <v>30</v>
      </c>
      <c r="CC85" t="s">
        <v>25</v>
      </c>
      <c r="CD85" t="s">
        <v>41</v>
      </c>
      <c r="CE85" t="s">
        <v>30</v>
      </c>
      <c r="CF85" t="s">
        <v>25</v>
      </c>
      <c r="CG85" t="s">
        <v>24</v>
      </c>
      <c r="CH85" t="s">
        <v>25</v>
      </c>
      <c r="CI85" t="s">
        <v>25</v>
      </c>
      <c r="CJ85" t="s">
        <v>43</v>
      </c>
      <c r="CK85" t="s">
        <v>24</v>
      </c>
      <c r="CL85" t="s">
        <v>41</v>
      </c>
      <c r="CM85" t="s">
        <v>24</v>
      </c>
      <c r="CN85" t="s">
        <v>43</v>
      </c>
      <c r="CO85" t="s">
        <v>43</v>
      </c>
      <c r="CP85" t="s">
        <v>35</v>
      </c>
      <c r="CQ85" t="s">
        <v>24</v>
      </c>
      <c r="CR85" t="s">
        <v>24</v>
      </c>
      <c r="CS85" t="s">
        <v>30</v>
      </c>
      <c r="CT85" t="s">
        <v>35</v>
      </c>
      <c r="CU85" t="s">
        <v>43</v>
      </c>
      <c r="CV85" t="s">
        <v>24</v>
      </c>
      <c r="CW85" t="s">
        <v>25</v>
      </c>
      <c r="CX85" t="s">
        <v>42</v>
      </c>
      <c r="CY85" t="s">
        <v>35</v>
      </c>
      <c r="CZ85" t="s">
        <v>42</v>
      </c>
      <c r="DA85" t="s">
        <v>30</v>
      </c>
      <c r="DB85" t="s">
        <v>43</v>
      </c>
      <c r="DC85" t="s">
        <v>35</v>
      </c>
      <c r="DD85" t="s">
        <v>24</v>
      </c>
    </row>
    <row r="86" spans="1:108" x14ac:dyDescent="0.35">
      <c r="B86" s="37" t="s">
        <v>79</v>
      </c>
      <c r="C86" s="15">
        <v>0.18116662952468879</v>
      </c>
      <c r="D86" s="15">
        <v>0.18146662952468878</v>
      </c>
      <c r="E86" s="15">
        <v>0.17306662952468879</v>
      </c>
      <c r="F86" s="15">
        <v>0.18446662952468879</v>
      </c>
      <c r="G86" s="15">
        <v>0.18146662952468878</v>
      </c>
      <c r="H86" s="15">
        <v>0.16936662952468878</v>
      </c>
      <c r="I86" s="15">
        <v>0.17976662952468878</v>
      </c>
      <c r="J86" s="15">
        <v>0.16506662952468878</v>
      </c>
      <c r="K86" s="15">
        <v>0.17306662952468879</v>
      </c>
      <c r="L86" s="15">
        <v>0.1704666295246888</v>
      </c>
      <c r="M86" s="15">
        <v>0.18876662952468878</v>
      </c>
      <c r="N86" s="15">
        <v>0.18876662952468878</v>
      </c>
      <c r="O86" s="15">
        <v>0.18816662952468879</v>
      </c>
      <c r="P86" s="15">
        <v>0.1712666295246888</v>
      </c>
      <c r="Q86" s="15">
        <v>0.18566662952468879</v>
      </c>
      <c r="R86" s="15">
        <v>0.1707666295246888</v>
      </c>
      <c r="S86" s="15">
        <v>0.19826662952468879</v>
      </c>
      <c r="T86" s="15">
        <v>0.18076662952468878</v>
      </c>
      <c r="U86" s="15">
        <v>0.17196662952468877</v>
      </c>
      <c r="V86" s="15">
        <v>0.1785666295246888</v>
      </c>
      <c r="W86" s="15">
        <v>0.18046662952468878</v>
      </c>
      <c r="X86" s="15">
        <v>0.17696662952468878</v>
      </c>
      <c r="Y86" s="15">
        <v>0.18596662952468879</v>
      </c>
      <c r="Z86" s="15">
        <v>0.18556662952468878</v>
      </c>
      <c r="AA86" s="15">
        <v>0.17396662952468878</v>
      </c>
      <c r="AB86" s="15">
        <v>0.18976662952468878</v>
      </c>
      <c r="AC86" s="15">
        <v>0.17506662952468879</v>
      </c>
      <c r="AD86" s="15">
        <v>0.16556662952468879</v>
      </c>
      <c r="AE86" s="15">
        <v>0.17006662952468879</v>
      </c>
      <c r="AF86" s="15">
        <v>0.18516662952468879</v>
      </c>
      <c r="AG86" s="15">
        <v>0.1828666295246888</v>
      </c>
      <c r="AH86" s="15">
        <v>0.18116662952468879</v>
      </c>
      <c r="AI86" s="15">
        <v>0.18296662952468878</v>
      </c>
      <c r="AJ86" s="15">
        <v>0.17836662952468879</v>
      </c>
      <c r="AK86" s="5"/>
      <c r="AL86" s="37" t="s">
        <v>79</v>
      </c>
      <c r="AM86" s="49">
        <f>SUMPRODUCT(AM87:AM92,C87:C92)</f>
        <v>0.11480289733493579</v>
      </c>
      <c r="AN86" s="49">
        <f t="shared" ref="AN86:BT86" si="136">SUMPRODUCT(AN87:AN92,D87:D92)</f>
        <v>0.10722978465897173</v>
      </c>
      <c r="AO86" s="49">
        <f t="shared" si="136"/>
        <v>0.14717674518479115</v>
      </c>
      <c r="AP86" s="49">
        <f t="shared" si="136"/>
        <v>0.15643225152832732</v>
      </c>
      <c r="AQ86" s="49">
        <f t="shared" si="136"/>
        <v>8.8987600722313764E-2</v>
      </c>
      <c r="AR86" s="49">
        <f t="shared" si="136"/>
        <v>0.14103174487651271</v>
      </c>
      <c r="AS86" s="49">
        <f t="shared" si="136"/>
        <v>0.10814715678603057</v>
      </c>
      <c r="AT86" s="49">
        <f t="shared" si="136"/>
        <v>6.8446481839410114E-2</v>
      </c>
      <c r="AU86" s="49">
        <f t="shared" si="136"/>
        <v>0.13436887997239727</v>
      </c>
      <c r="AV86" s="49">
        <f t="shared" si="136"/>
        <v>0.12876512950845498</v>
      </c>
      <c r="AW86" s="49">
        <f t="shared" si="136"/>
        <v>0.12138499734430824</v>
      </c>
      <c r="AX86" s="49">
        <f t="shared" si="136"/>
        <v>9.5472771967012635E-2</v>
      </c>
      <c r="AY86" s="49">
        <f t="shared" si="136"/>
        <v>8.3094498965976066E-2</v>
      </c>
      <c r="AZ86" s="49">
        <f t="shared" si="136"/>
        <v>7.5900546742093677E-2</v>
      </c>
      <c r="BA86" s="49">
        <f t="shared" si="136"/>
        <v>0.10107517483096483</v>
      </c>
      <c r="BB86" s="49">
        <f t="shared" si="136"/>
        <v>0.11344971411170393</v>
      </c>
      <c r="BC86" s="49">
        <f t="shared" si="136"/>
        <v>0.15943839048504013</v>
      </c>
      <c r="BD86" s="49">
        <f t="shared" si="136"/>
        <v>0.1443290949975089</v>
      </c>
      <c r="BE86" s="49">
        <f t="shared" si="136"/>
        <v>0.12921417778934668</v>
      </c>
      <c r="BF86" s="49">
        <f t="shared" si="136"/>
        <v>0.1507788459673427</v>
      </c>
      <c r="BG86" s="49">
        <f t="shared" si="136"/>
        <v>0.15393486494882536</v>
      </c>
      <c r="BH86" s="49">
        <f t="shared" si="136"/>
        <v>0.13932066155171222</v>
      </c>
      <c r="BI86" s="49">
        <f t="shared" si="136"/>
        <v>0.14681544512785266</v>
      </c>
      <c r="BJ86" s="49">
        <f t="shared" si="136"/>
        <v>0.133527291111326</v>
      </c>
      <c r="BK86" s="49">
        <f t="shared" si="136"/>
        <v>0.1263905290755506</v>
      </c>
      <c r="BL86" s="49">
        <f t="shared" si="136"/>
        <v>0.12287388004746967</v>
      </c>
      <c r="BM86" s="49">
        <f t="shared" si="136"/>
        <v>0.11249049439939782</v>
      </c>
      <c r="BN86" s="49">
        <f t="shared" si="136"/>
        <v>0.13910080418117993</v>
      </c>
      <c r="BO86" s="49">
        <f t="shared" si="136"/>
        <v>0.11494786951941367</v>
      </c>
      <c r="BP86" s="49">
        <f t="shared" si="136"/>
        <v>0.13073035389715154</v>
      </c>
      <c r="BQ86" s="49">
        <f t="shared" si="136"/>
        <v>0.12500830943824318</v>
      </c>
      <c r="BR86" s="49">
        <f t="shared" si="136"/>
        <v>0.1430972582166089</v>
      </c>
      <c r="BS86" s="49">
        <f t="shared" si="136"/>
        <v>0.12493606132342555</v>
      </c>
      <c r="BT86" s="49">
        <f t="shared" si="136"/>
        <v>0.13606873311274406</v>
      </c>
      <c r="BV86" s="37" t="s">
        <v>79</v>
      </c>
      <c r="BW86" t="s">
        <v>42</v>
      </c>
      <c r="BX86" t="s">
        <v>35</v>
      </c>
      <c r="BY86" t="s">
        <v>41</v>
      </c>
      <c r="BZ86" t="s">
        <v>25</v>
      </c>
      <c r="CA86" t="s">
        <v>35</v>
      </c>
      <c r="CB86" t="s">
        <v>24</v>
      </c>
      <c r="CC86" t="s">
        <v>43</v>
      </c>
      <c r="CD86" t="s">
        <v>42</v>
      </c>
      <c r="CE86" t="s">
        <v>24</v>
      </c>
      <c r="CF86" t="s">
        <v>43</v>
      </c>
      <c r="CG86" t="s">
        <v>35</v>
      </c>
      <c r="CH86" t="s">
        <v>24</v>
      </c>
      <c r="CI86" t="s">
        <v>43</v>
      </c>
      <c r="CJ86" t="s">
        <v>24</v>
      </c>
      <c r="CK86" t="s">
        <v>25</v>
      </c>
      <c r="CL86" t="s">
        <v>35</v>
      </c>
      <c r="CM86" t="s">
        <v>42</v>
      </c>
      <c r="CN86" t="s">
        <v>25</v>
      </c>
      <c r="CO86" t="s">
        <v>43</v>
      </c>
      <c r="CP86" t="s">
        <v>25</v>
      </c>
      <c r="CQ86" t="s">
        <v>24</v>
      </c>
      <c r="CR86" t="s">
        <v>24</v>
      </c>
      <c r="CS86" t="s">
        <v>42</v>
      </c>
      <c r="CT86" t="s">
        <v>43</v>
      </c>
      <c r="CU86" t="s">
        <v>42</v>
      </c>
      <c r="CV86" t="s">
        <v>41</v>
      </c>
      <c r="CW86" t="s">
        <v>30</v>
      </c>
      <c r="CX86" t="s">
        <v>25</v>
      </c>
      <c r="CY86" t="s">
        <v>24</v>
      </c>
      <c r="CZ86" t="s">
        <v>41</v>
      </c>
      <c r="DA86" t="s">
        <v>30</v>
      </c>
      <c r="DB86" t="s">
        <v>42</v>
      </c>
      <c r="DC86" t="s">
        <v>30</v>
      </c>
      <c r="DD86" t="s">
        <v>35</v>
      </c>
    </row>
    <row r="87" spans="1:108" x14ac:dyDescent="0.35">
      <c r="B87" s="39" t="s">
        <v>93</v>
      </c>
      <c r="C87" s="15">
        <f>1-SUM(C88:C92)</f>
        <v>0.582093511342334</v>
      </c>
      <c r="D87" s="15">
        <f t="shared" ref="D87" si="137">1-SUM(D88:D92)</f>
        <v>0.58069351134233416</v>
      </c>
      <c r="E87" s="15">
        <f t="shared" ref="E87" si="138">1-SUM(E88:E92)</f>
        <v>0.5388935113423341</v>
      </c>
      <c r="F87" s="15">
        <f t="shared" ref="F87" si="139">1-SUM(F88:F92)</f>
        <v>0.59169351134233406</v>
      </c>
      <c r="G87" s="15">
        <f t="shared" ref="G87" si="140">1-SUM(G88:G92)</f>
        <v>0.60289351134233404</v>
      </c>
      <c r="H87" s="15">
        <f t="shared" ref="H87" si="141">1-SUM(H88:H92)</f>
        <v>0.58139351134233408</v>
      </c>
      <c r="I87" s="15">
        <f t="shared" ref="I87" si="142">1-SUM(I88:I92)</f>
        <v>0.5438935113423341</v>
      </c>
      <c r="J87" s="15">
        <f t="shared" ref="J87" si="143">1-SUM(J88:J92)</f>
        <v>0.58909351134233401</v>
      </c>
      <c r="K87" s="15">
        <f t="shared" ref="K87" si="144">1-SUM(K88:K92)</f>
        <v>0.56629351134233408</v>
      </c>
      <c r="L87" s="15">
        <f t="shared" ref="L87" si="145">1-SUM(L88:L92)</f>
        <v>0.56989351134233401</v>
      </c>
      <c r="M87" s="15">
        <f t="shared" ref="M87" si="146">1-SUM(M88:M92)</f>
        <v>0.61989351134233406</v>
      </c>
      <c r="N87" s="15">
        <f t="shared" ref="N87" si="147">1-SUM(N88:N92)</f>
        <v>0.59189351134233403</v>
      </c>
      <c r="O87" s="15">
        <f t="shared" ref="O87" si="148">1-SUM(O88:O92)</f>
        <v>0.58519351134233411</v>
      </c>
      <c r="P87" s="15">
        <f t="shared" ref="P87" si="149">1-SUM(P88:P92)</f>
        <v>0.58189351134233402</v>
      </c>
      <c r="Q87" s="15">
        <f t="shared" ref="Q87" si="150">1-SUM(Q88:Q92)</f>
        <v>0.55539351134233406</v>
      </c>
      <c r="R87" s="15">
        <f t="shared" ref="R87" si="151">1-SUM(R88:R92)</f>
        <v>0.57219351134233398</v>
      </c>
      <c r="S87" s="15">
        <f t="shared" ref="S87" si="152">1-SUM(S88:S92)</f>
        <v>0.59779351134233405</v>
      </c>
      <c r="T87" s="15">
        <f t="shared" ref="T87" si="153">1-SUM(T88:T92)</f>
        <v>0.57259351134233416</v>
      </c>
      <c r="U87" s="15">
        <f t="shared" ref="U87" si="154">1-SUM(U88:U92)</f>
        <v>0.58919351134233411</v>
      </c>
      <c r="V87" s="15">
        <f t="shared" ref="V87" si="155">1-SUM(V88:V92)</f>
        <v>0.56559351134233404</v>
      </c>
      <c r="W87" s="15">
        <f t="shared" ref="W87" si="156">1-SUM(W88:W92)</f>
        <v>0.58969351134233405</v>
      </c>
      <c r="X87" s="15">
        <f t="shared" ref="X87" si="157">1-SUM(X88:X92)</f>
        <v>0.58999351134233402</v>
      </c>
      <c r="Y87" s="15">
        <f t="shared" ref="Y87" si="158">1-SUM(Y88:Y92)</f>
        <v>0.58879351134233415</v>
      </c>
      <c r="Z87" s="15">
        <f t="shared" ref="Z87" si="159">1-SUM(Z88:Z92)</f>
        <v>0.57389351134233402</v>
      </c>
      <c r="AA87" s="15">
        <f t="shared" ref="AA87" si="160">1-SUM(AA88:AA92)</f>
        <v>0.61079351134233417</v>
      </c>
      <c r="AB87" s="15">
        <f t="shared" ref="AB87" si="161">1-SUM(AB88:AB92)</f>
        <v>0.55279351134233412</v>
      </c>
      <c r="AC87" s="15">
        <f t="shared" ref="AC87" si="162">1-SUM(AC88:AC92)</f>
        <v>0.57269351134233393</v>
      </c>
      <c r="AD87" s="15">
        <f t="shared" ref="AD87" si="163">1-SUM(AD88:AD92)</f>
        <v>0.55669351134233414</v>
      </c>
      <c r="AE87" s="15">
        <f t="shared" ref="AE87" si="164">1-SUM(AE88:AE92)</f>
        <v>0.57149351134233406</v>
      </c>
      <c r="AF87" s="15">
        <f t="shared" ref="AF87" si="165">1-SUM(AF88:AF92)</f>
        <v>0.61529351134233412</v>
      </c>
      <c r="AG87" s="15">
        <f t="shared" ref="AG87" si="166">1-SUM(AG88:AG92)</f>
        <v>0.61369351134233407</v>
      </c>
      <c r="AH87" s="15">
        <f t="shared" ref="AH87" si="167">1-SUM(AH88:AH92)</f>
        <v>0.57019351134233409</v>
      </c>
      <c r="AI87" s="15">
        <f t="shared" ref="AI87" si="168">1-SUM(AI88:AI92)</f>
        <v>0.6114935113423341</v>
      </c>
      <c r="AJ87" s="15">
        <f t="shared" ref="AJ87" si="169">1-SUM(AJ88:AJ92)</f>
        <v>0.58539351134233408</v>
      </c>
      <c r="AK87" s="5"/>
      <c r="AL87" s="39" t="s">
        <v>93</v>
      </c>
      <c r="AM87" s="31">
        <v>0.11555587387678048</v>
      </c>
      <c r="AN87" s="31">
        <v>0.10785069806288967</v>
      </c>
      <c r="AO87" s="31">
        <v>0.14822990364446689</v>
      </c>
      <c r="AP87" s="31">
        <v>0.15678311194423117</v>
      </c>
      <c r="AQ87" s="31">
        <v>8.9342470398810742E-2</v>
      </c>
      <c r="AR87" s="31">
        <v>0.14209079395060653</v>
      </c>
      <c r="AS87" s="31">
        <v>0.10874452349774029</v>
      </c>
      <c r="AT87" s="31">
        <v>6.8916040906107118E-2</v>
      </c>
      <c r="AU87" s="31">
        <v>0.13482009401905637</v>
      </c>
      <c r="AV87" s="31">
        <v>0.12983688665859028</v>
      </c>
      <c r="AW87" s="31">
        <v>0.12208544837481802</v>
      </c>
      <c r="AX87" s="31">
        <v>9.6610473653027246E-2</v>
      </c>
      <c r="AY87" s="31">
        <v>8.4119293038271328E-2</v>
      </c>
      <c r="AZ87" s="31">
        <v>7.6475480799874859E-2</v>
      </c>
      <c r="BA87" s="31">
        <v>0.10174478441742899</v>
      </c>
      <c r="BB87" s="31">
        <v>0.11401610264786501</v>
      </c>
      <c r="BC87" s="31">
        <v>0.16032401778519947</v>
      </c>
      <c r="BD87" s="31">
        <v>0.14518806089363989</v>
      </c>
      <c r="BE87" s="31">
        <v>0.13054594371811851</v>
      </c>
      <c r="BF87" s="31">
        <v>0.1515370293270506</v>
      </c>
      <c r="BG87" s="31">
        <v>0.15510014515546539</v>
      </c>
      <c r="BH87" s="31">
        <v>0.13989665503108484</v>
      </c>
      <c r="BI87" s="31">
        <v>0.14795133221892187</v>
      </c>
      <c r="BJ87" s="31">
        <v>0.13452393991927897</v>
      </c>
      <c r="BK87" s="31">
        <v>0.12706759368844148</v>
      </c>
      <c r="BL87" s="31">
        <v>0.12309278768386933</v>
      </c>
      <c r="BM87" s="31">
        <v>0.11334057786045836</v>
      </c>
      <c r="BN87" s="31">
        <v>0.13982883827602327</v>
      </c>
      <c r="BO87" s="31">
        <v>0.11640052707558649</v>
      </c>
      <c r="BP87" s="31">
        <v>0.13128601949226021</v>
      </c>
      <c r="BQ87" s="31">
        <v>0.12559496230094136</v>
      </c>
      <c r="BR87" s="31">
        <v>0.14379532547548424</v>
      </c>
      <c r="BS87" s="31">
        <v>0.12584930676321707</v>
      </c>
      <c r="BT87" s="31">
        <v>0.13685002310758043</v>
      </c>
      <c r="BV87" s="39" t="s">
        <v>93</v>
      </c>
      <c r="BW87" t="s">
        <v>30</v>
      </c>
      <c r="BX87" t="s">
        <v>41</v>
      </c>
      <c r="BY87" t="s">
        <v>42</v>
      </c>
      <c r="BZ87" t="s">
        <v>35</v>
      </c>
      <c r="CA87" t="s">
        <v>24</v>
      </c>
      <c r="CB87" t="s">
        <v>42</v>
      </c>
      <c r="CC87" t="s">
        <v>25</v>
      </c>
      <c r="CD87" t="s">
        <v>42</v>
      </c>
      <c r="CE87" t="s">
        <v>43</v>
      </c>
      <c r="CF87" t="s">
        <v>24</v>
      </c>
      <c r="CG87" t="s">
        <v>24</v>
      </c>
      <c r="CH87" t="s">
        <v>42</v>
      </c>
      <c r="CI87" t="s">
        <v>25</v>
      </c>
      <c r="CJ87" t="s">
        <v>35</v>
      </c>
      <c r="CK87" t="s">
        <v>24</v>
      </c>
      <c r="CL87" t="s">
        <v>24</v>
      </c>
      <c r="CM87" t="s">
        <v>43</v>
      </c>
      <c r="CN87" t="s">
        <v>24</v>
      </c>
      <c r="CO87" t="s">
        <v>43</v>
      </c>
      <c r="CP87" t="s">
        <v>30</v>
      </c>
      <c r="CQ87" t="s">
        <v>43</v>
      </c>
      <c r="CR87" t="s">
        <v>41</v>
      </c>
      <c r="CS87" t="s">
        <v>30</v>
      </c>
      <c r="CT87" t="s">
        <v>24</v>
      </c>
      <c r="CU87" t="s">
        <v>30</v>
      </c>
      <c r="CV87" t="s">
        <v>35</v>
      </c>
      <c r="CW87" t="s">
        <v>41</v>
      </c>
      <c r="CX87" t="s">
        <v>35</v>
      </c>
      <c r="CY87" t="s">
        <v>30</v>
      </c>
      <c r="CZ87" t="s">
        <v>24</v>
      </c>
      <c r="DA87" t="s">
        <v>42</v>
      </c>
      <c r="DB87" t="s">
        <v>24</v>
      </c>
      <c r="DC87" t="s">
        <v>24</v>
      </c>
      <c r="DD87" t="s">
        <v>43</v>
      </c>
    </row>
    <row r="88" spans="1:108" x14ac:dyDescent="0.35">
      <c r="B88" s="39" t="s">
        <v>94</v>
      </c>
      <c r="C88" s="15">
        <v>0.11549398844705365</v>
      </c>
      <c r="D88" s="15">
        <v>0.10689398844705365</v>
      </c>
      <c r="E88" s="15">
        <v>0.11169398844705365</v>
      </c>
      <c r="F88" s="15">
        <v>0.13049398844705365</v>
      </c>
      <c r="G88" s="15">
        <v>0.12639398844705366</v>
      </c>
      <c r="H88" s="15">
        <v>0.10659398844705364</v>
      </c>
      <c r="I88" s="15">
        <v>0.13129398844705364</v>
      </c>
      <c r="J88" s="15">
        <v>0.11229398844705366</v>
      </c>
      <c r="K88" s="15">
        <v>0.11829398844705365</v>
      </c>
      <c r="L88" s="15">
        <v>0.13049398844705365</v>
      </c>
      <c r="M88" s="15">
        <v>0.10829398844705365</v>
      </c>
      <c r="N88" s="15">
        <v>0.10569398844705365</v>
      </c>
      <c r="O88" s="15">
        <v>0.10019398844705366</v>
      </c>
      <c r="P88" s="15">
        <v>0.10239398844705365</v>
      </c>
      <c r="Q88" s="15">
        <v>0.11919398844705364</v>
      </c>
      <c r="R88" s="15">
        <v>0.11249398844705365</v>
      </c>
      <c r="S88" s="15">
        <v>0.11169398844705365</v>
      </c>
      <c r="T88" s="15">
        <v>0.11039398844705364</v>
      </c>
      <c r="U88" s="15">
        <v>0.11019398844705365</v>
      </c>
      <c r="V88" s="15">
        <v>0.11929398844705365</v>
      </c>
      <c r="W88" s="15">
        <v>0.10509398844705364</v>
      </c>
      <c r="X88" s="15">
        <v>0.11399398844705365</v>
      </c>
      <c r="Y88" s="15">
        <v>0.11029398844705365</v>
      </c>
      <c r="Z88" s="15">
        <v>0.11819398844705364</v>
      </c>
      <c r="AA88" s="15">
        <v>0.10459398844705364</v>
      </c>
      <c r="AB88" s="15">
        <v>0.13119398844705366</v>
      </c>
      <c r="AC88" s="15">
        <v>0.12119398844705365</v>
      </c>
      <c r="AD88" s="15">
        <v>0.12469398844705365</v>
      </c>
      <c r="AE88" s="15">
        <v>0.10659398844705364</v>
      </c>
      <c r="AF88" s="15">
        <v>0.10169398844705366</v>
      </c>
      <c r="AG88" s="15">
        <v>0.10009398844705365</v>
      </c>
      <c r="AH88" s="15">
        <v>0.11139398844705364</v>
      </c>
      <c r="AI88" s="15">
        <v>0.10099398844705365</v>
      </c>
      <c r="AJ88" s="15">
        <v>0.10859398844705365</v>
      </c>
      <c r="AK88" s="5"/>
      <c r="AL88" s="39" t="s">
        <v>94</v>
      </c>
      <c r="AM88" s="31">
        <v>0.12398413450911749</v>
      </c>
      <c r="AN88" s="31">
        <v>0.11627895869522668</v>
      </c>
      <c r="AO88" s="31">
        <v>0.1566581642768039</v>
      </c>
      <c r="AP88" s="31">
        <v>0.16521137257656821</v>
      </c>
      <c r="AQ88" s="31">
        <v>9.7770731031147751E-2</v>
      </c>
      <c r="AR88" s="31">
        <v>0.15051905458294351</v>
      </c>
      <c r="AS88" s="31">
        <v>0.1171727841300773</v>
      </c>
      <c r="AT88" s="31">
        <v>7.7344301538444127E-2</v>
      </c>
      <c r="AU88" s="31">
        <v>0.14324835465139335</v>
      </c>
      <c r="AV88" s="31">
        <v>0.13826514729092731</v>
      </c>
      <c r="AW88" s="31">
        <v>0.13051370900715503</v>
      </c>
      <c r="AX88" s="31">
        <v>0.10503873428536425</v>
      </c>
      <c r="AY88" s="31">
        <v>9.2547553670608337E-2</v>
      </c>
      <c r="AZ88" s="31">
        <v>8.4903741432211868E-2</v>
      </c>
      <c r="BA88" s="31">
        <v>0.11017304504976599</v>
      </c>
      <c r="BB88" s="31">
        <v>0.12244436328020201</v>
      </c>
      <c r="BC88" s="31">
        <v>0.16875227841753648</v>
      </c>
      <c r="BD88" s="31">
        <v>0.1536163215259769</v>
      </c>
      <c r="BE88" s="31">
        <v>0.13897420435045554</v>
      </c>
      <c r="BF88" s="31">
        <v>0.15996528995938761</v>
      </c>
      <c r="BG88" s="31">
        <v>0.16352840578780237</v>
      </c>
      <c r="BH88" s="31">
        <v>0.14832491566342187</v>
      </c>
      <c r="BI88" s="31">
        <v>0.15637959285125891</v>
      </c>
      <c r="BJ88" s="31">
        <v>0.14295220055161595</v>
      </c>
      <c r="BK88" s="31">
        <v>0.13549585432077849</v>
      </c>
      <c r="BL88" s="31">
        <v>0.13152104831620634</v>
      </c>
      <c r="BM88" s="31">
        <v>0.12176883849279536</v>
      </c>
      <c r="BN88" s="31">
        <v>0.14825709890836028</v>
      </c>
      <c r="BO88" s="31">
        <v>0.12482878770792349</v>
      </c>
      <c r="BP88" s="31">
        <v>0.13971428012459719</v>
      </c>
      <c r="BQ88" s="31">
        <v>0.13402322293327834</v>
      </c>
      <c r="BR88" s="31">
        <v>0.15222358610782127</v>
      </c>
      <c r="BS88" s="31">
        <v>0.13427756739555408</v>
      </c>
      <c r="BT88" s="31">
        <v>0.14527828373991741</v>
      </c>
      <c r="BV88" s="39" t="s">
        <v>94</v>
      </c>
      <c r="BW88" t="s">
        <v>41</v>
      </c>
      <c r="BX88" t="s">
        <v>25</v>
      </c>
      <c r="BY88" t="s">
        <v>35</v>
      </c>
      <c r="BZ88" t="s">
        <v>42</v>
      </c>
      <c r="CA88" t="s">
        <v>41</v>
      </c>
      <c r="CB88" t="s">
        <v>25</v>
      </c>
      <c r="CC88" t="s">
        <v>42</v>
      </c>
      <c r="CD88" t="s">
        <v>42</v>
      </c>
      <c r="CE88" t="s">
        <v>41</v>
      </c>
      <c r="CF88" t="s">
        <v>30</v>
      </c>
      <c r="CG88" t="s">
        <v>24</v>
      </c>
      <c r="CH88" t="s">
        <v>41</v>
      </c>
      <c r="CI88" t="s">
        <v>24</v>
      </c>
      <c r="CJ88" t="s">
        <v>41</v>
      </c>
      <c r="CK88" t="s">
        <v>43</v>
      </c>
      <c r="CL88" t="s">
        <v>30</v>
      </c>
      <c r="CM88" t="s">
        <v>25</v>
      </c>
      <c r="CN88" t="s">
        <v>43</v>
      </c>
      <c r="CO88" t="s">
        <v>35</v>
      </c>
      <c r="CP88" t="s">
        <v>43</v>
      </c>
      <c r="CQ88" t="s">
        <v>35</v>
      </c>
      <c r="CR88" t="s">
        <v>41</v>
      </c>
      <c r="CS88" t="s">
        <v>42</v>
      </c>
      <c r="CT88" t="s">
        <v>42</v>
      </c>
      <c r="CU88" t="s">
        <v>35</v>
      </c>
      <c r="CV88" t="s">
        <v>43</v>
      </c>
      <c r="CW88" t="s">
        <v>30</v>
      </c>
      <c r="CX88" t="s">
        <v>25</v>
      </c>
      <c r="CY88" t="s">
        <v>42</v>
      </c>
      <c r="CZ88" t="s">
        <v>25</v>
      </c>
      <c r="DA88" t="s">
        <v>43</v>
      </c>
      <c r="DB88" t="s">
        <v>35</v>
      </c>
      <c r="DC88" t="s">
        <v>42</v>
      </c>
      <c r="DD88" t="s">
        <v>30</v>
      </c>
    </row>
    <row r="89" spans="1:108" x14ac:dyDescent="0.35">
      <c r="B89" s="39" t="s">
        <v>95</v>
      </c>
      <c r="C89" s="15">
        <v>0.10324797380169171</v>
      </c>
      <c r="D89" s="15">
        <v>0.1064479738016917</v>
      </c>
      <c r="E89" s="15">
        <v>0.1138479738016917</v>
      </c>
      <c r="F89" s="15">
        <v>8.8047973801691701E-2</v>
      </c>
      <c r="G89" s="15">
        <v>8.9447973801691699E-2</v>
      </c>
      <c r="H89" s="15">
        <v>0.10234797380169171</v>
      </c>
      <c r="I89" s="15">
        <v>9.4147973801691709E-2</v>
      </c>
      <c r="J89" s="15">
        <v>9.38479738016917E-2</v>
      </c>
      <c r="K89" s="15">
        <v>0.10154797380169171</v>
      </c>
      <c r="L89" s="15">
        <v>0.11254797380169171</v>
      </c>
      <c r="M89" s="15">
        <v>8.9847973801691711E-2</v>
      </c>
      <c r="N89" s="15">
        <v>8.7347973801691708E-2</v>
      </c>
      <c r="O89" s="15">
        <v>0.10774797380169171</v>
      </c>
      <c r="P89" s="15">
        <v>0.10054797380169171</v>
      </c>
      <c r="Q89" s="15">
        <v>0.1171479738016917</v>
      </c>
      <c r="R89" s="15">
        <v>0.10294797380169171</v>
      </c>
      <c r="S89" s="15">
        <v>9.6647973801691711E-2</v>
      </c>
      <c r="T89" s="15">
        <v>0.11214797380169171</v>
      </c>
      <c r="U89" s="15">
        <v>9.274797380169171E-2</v>
      </c>
      <c r="V89" s="15">
        <v>0.10764797380169171</v>
      </c>
      <c r="W89" s="15">
        <v>9.0147973801691705E-2</v>
      </c>
      <c r="X89" s="15">
        <v>0.1147479738016917</v>
      </c>
      <c r="Y89" s="15">
        <v>0.10274797380169171</v>
      </c>
      <c r="Z89" s="15">
        <v>0.10384797380169171</v>
      </c>
      <c r="AA89" s="15">
        <v>8.884797380169171E-2</v>
      </c>
      <c r="AB89" s="15">
        <v>0.11244797380169171</v>
      </c>
      <c r="AC89" s="15">
        <v>0.1132479738016917</v>
      </c>
      <c r="AD89" s="15">
        <v>0.11394797380169171</v>
      </c>
      <c r="AE89" s="15">
        <v>0.1199479738016917</v>
      </c>
      <c r="AF89" s="15">
        <v>9.2947973801691702E-2</v>
      </c>
      <c r="AG89" s="15">
        <v>9.62479738016917E-2</v>
      </c>
      <c r="AH89" s="15">
        <v>9.3447973801691703E-2</v>
      </c>
      <c r="AI89" s="15">
        <v>9.9847973801691706E-2</v>
      </c>
      <c r="AJ89" s="15">
        <v>9.9147973801691699E-2</v>
      </c>
      <c r="AK89" s="5"/>
      <c r="AL89" s="39" t="s">
        <v>95</v>
      </c>
      <c r="AM89" s="31">
        <v>0.10618847832926573</v>
      </c>
      <c r="AN89" s="31">
        <v>9.8483302515374918E-2</v>
      </c>
      <c r="AO89" s="31">
        <v>0.13886250809695214</v>
      </c>
      <c r="AP89" s="31">
        <v>0.14741571639671641</v>
      </c>
      <c r="AQ89" s="31">
        <v>7.9975074851295985E-2</v>
      </c>
      <c r="AR89" s="31">
        <v>0.13272339840309177</v>
      </c>
      <c r="AS89" s="31">
        <v>9.9377127950225533E-2</v>
      </c>
      <c r="AT89" s="31">
        <v>5.9548645358592361E-2</v>
      </c>
      <c r="AU89" s="31">
        <v>0.12545269847154161</v>
      </c>
      <c r="AV89" s="31">
        <v>0.12046949111107554</v>
      </c>
      <c r="AW89" s="31">
        <v>0.11271805282730327</v>
      </c>
      <c r="AX89" s="31">
        <v>8.7243078105512489E-2</v>
      </c>
      <c r="AY89" s="31">
        <v>7.4751897490756572E-2</v>
      </c>
      <c r="AZ89" s="31">
        <v>6.7108085252360103E-2</v>
      </c>
      <c r="BA89" s="31">
        <v>9.2377388869914229E-2</v>
      </c>
      <c r="BB89" s="31">
        <v>0.10464870710035025</v>
      </c>
      <c r="BC89" s="31">
        <v>0.15095662223768472</v>
      </c>
      <c r="BD89" s="31">
        <v>0.13582066534612514</v>
      </c>
      <c r="BE89" s="31">
        <v>0.12117854817060376</v>
      </c>
      <c r="BF89" s="31">
        <v>0.14216963377953584</v>
      </c>
      <c r="BG89" s="31">
        <v>0.14573274960795063</v>
      </c>
      <c r="BH89" s="31">
        <v>0.13052925948357008</v>
      </c>
      <c r="BI89" s="31">
        <v>0.13858393667140712</v>
      </c>
      <c r="BJ89" s="31">
        <v>0.12515654437176421</v>
      </c>
      <c r="BK89" s="31">
        <v>0.11770019814092672</v>
      </c>
      <c r="BL89" s="31">
        <v>0.11372539213635458</v>
      </c>
      <c r="BM89" s="31">
        <v>0.1039731823129436</v>
      </c>
      <c r="BN89" s="31">
        <v>0.13046144272850851</v>
      </c>
      <c r="BO89" s="31">
        <v>0.10703313152807173</v>
      </c>
      <c r="BP89" s="31">
        <v>0.12191862394474544</v>
      </c>
      <c r="BQ89" s="31">
        <v>0.11622756675342659</v>
      </c>
      <c r="BR89" s="31">
        <v>0.13442792992796948</v>
      </c>
      <c r="BS89" s="31">
        <v>0.11648191121570231</v>
      </c>
      <c r="BT89" s="31">
        <v>0.12748262756006568</v>
      </c>
      <c r="BV89" s="39" t="s">
        <v>95</v>
      </c>
      <c r="BW89" t="s">
        <v>24</v>
      </c>
      <c r="BX89" t="s">
        <v>30</v>
      </c>
      <c r="BY89" t="s">
        <v>30</v>
      </c>
      <c r="BZ89" t="s">
        <v>41</v>
      </c>
      <c r="CA89" t="s">
        <v>30</v>
      </c>
      <c r="CB89" t="s">
        <v>25</v>
      </c>
      <c r="CC89" t="s">
        <v>25</v>
      </c>
      <c r="CD89" t="s">
        <v>41</v>
      </c>
      <c r="CE89" t="s">
        <v>41</v>
      </c>
      <c r="CF89" t="s">
        <v>42</v>
      </c>
      <c r="CG89" t="s">
        <v>42</v>
      </c>
      <c r="CH89" t="s">
        <v>25</v>
      </c>
      <c r="CI89" t="s">
        <v>35</v>
      </c>
      <c r="CJ89" t="s">
        <v>30</v>
      </c>
      <c r="CK89" t="s">
        <v>43</v>
      </c>
      <c r="CL89" t="s">
        <v>24</v>
      </c>
      <c r="CM89" t="s">
        <v>30</v>
      </c>
      <c r="CN89" t="s">
        <v>35</v>
      </c>
      <c r="CO89" t="s">
        <v>35</v>
      </c>
      <c r="CP89" t="s">
        <v>25</v>
      </c>
      <c r="CQ89" t="s">
        <v>41</v>
      </c>
      <c r="CR89" t="s">
        <v>41</v>
      </c>
      <c r="CS89" t="s">
        <v>42</v>
      </c>
      <c r="CT89" t="s">
        <v>42</v>
      </c>
      <c r="CU89" t="s">
        <v>41</v>
      </c>
      <c r="CV89" t="s">
        <v>25</v>
      </c>
      <c r="CW89" t="s">
        <v>43</v>
      </c>
      <c r="CX89" t="s">
        <v>35</v>
      </c>
      <c r="CY89" t="s">
        <v>43</v>
      </c>
      <c r="CZ89" t="s">
        <v>24</v>
      </c>
      <c r="DA89" t="s">
        <v>41</v>
      </c>
      <c r="DB89" t="s">
        <v>30</v>
      </c>
      <c r="DC89" t="s">
        <v>41</v>
      </c>
      <c r="DD89" t="s">
        <v>41</v>
      </c>
    </row>
    <row r="90" spans="1:108" x14ac:dyDescent="0.35">
      <c r="A90" s="45">
        <v>1E-3</v>
      </c>
      <c r="B90" s="39" t="s">
        <v>96</v>
      </c>
      <c r="C90" s="15">
        <v>5.9361207234513033E-2</v>
      </c>
      <c r="D90" s="15">
        <v>5.0061207234513044E-2</v>
      </c>
      <c r="E90" s="15">
        <v>6.8561207234513033E-2</v>
      </c>
      <c r="F90" s="15">
        <v>5.6761207234513035E-2</v>
      </c>
      <c r="G90" s="15">
        <v>5.3161207234513036E-2</v>
      </c>
      <c r="H90" s="15">
        <v>6.5661207234513033E-2</v>
      </c>
      <c r="I90" s="15">
        <v>6.4661207234513032E-2</v>
      </c>
      <c r="J90" s="15">
        <v>5.3761207234513032E-2</v>
      </c>
      <c r="K90" s="15">
        <v>5.6561207234513036E-2</v>
      </c>
      <c r="L90" s="15">
        <v>6.9661207234513023E-2</v>
      </c>
      <c r="M90" s="15">
        <v>5.0561207234513031E-2</v>
      </c>
      <c r="N90" s="15">
        <v>6.9461207234513031E-2</v>
      </c>
      <c r="O90" s="15">
        <v>6.8861207234513028E-2</v>
      </c>
      <c r="P90" s="15">
        <v>6.2661207234513031E-2</v>
      </c>
      <c r="Q90" s="15">
        <v>5.8561207234513031E-2</v>
      </c>
      <c r="R90" s="15">
        <v>6.5461207234513027E-2</v>
      </c>
      <c r="S90" s="15">
        <v>6.1261207234513032E-2</v>
      </c>
      <c r="T90" s="15">
        <v>6.7061207234513032E-2</v>
      </c>
      <c r="U90" s="15">
        <v>6.976120723451304E-2</v>
      </c>
      <c r="V90" s="15">
        <v>5.2861207234513041E-2</v>
      </c>
      <c r="W90" s="15">
        <v>6.846120723451303E-2</v>
      </c>
      <c r="X90" s="15">
        <v>5.0861207234513033E-2</v>
      </c>
      <c r="Y90" s="15">
        <v>6.1961207234513031E-2</v>
      </c>
      <c r="Z90" s="15">
        <v>5.926120723451303E-2</v>
      </c>
      <c r="AA90" s="15">
        <v>5.3461207234513031E-2</v>
      </c>
      <c r="AB90" s="15">
        <v>5.1761207234513038E-2</v>
      </c>
      <c r="AC90" s="15">
        <v>5.476120723451304E-2</v>
      </c>
      <c r="AD90" s="15">
        <v>5.1461207234513036E-2</v>
      </c>
      <c r="AE90" s="15">
        <v>6.3661207234513031E-2</v>
      </c>
      <c r="AF90" s="15">
        <v>5.0561207234513031E-2</v>
      </c>
      <c r="AG90" s="15">
        <v>5.4961207234513032E-2</v>
      </c>
      <c r="AH90" s="15">
        <v>6.8761207234513025E-2</v>
      </c>
      <c r="AI90" s="15">
        <v>5.0261207234513036E-2</v>
      </c>
      <c r="AJ90" s="15">
        <v>6.4061207234513029E-2</v>
      </c>
      <c r="AK90" s="5"/>
      <c r="AL90" s="39" t="s">
        <v>96</v>
      </c>
      <c r="AM90" s="31">
        <v>9.1823329816712304E-2</v>
      </c>
      <c r="AN90" s="31">
        <v>8.4118154002821494E-2</v>
      </c>
      <c r="AO90" s="31">
        <v>0.12449735958439871</v>
      </c>
      <c r="AP90" s="31">
        <v>0.133050567884163</v>
      </c>
      <c r="AQ90" s="31">
        <v>6.5609926338742561E-2</v>
      </c>
      <c r="AR90" s="31">
        <v>0.11835824989053834</v>
      </c>
      <c r="AS90" s="31">
        <v>8.5011979437672108E-2</v>
      </c>
      <c r="AT90" s="31">
        <v>4.5183496846038937E-2</v>
      </c>
      <c r="AU90" s="31">
        <v>0.11108754995898817</v>
      </c>
      <c r="AV90" s="31">
        <v>0.10610434259852211</v>
      </c>
      <c r="AW90" s="31">
        <v>9.8352904314749842E-2</v>
      </c>
      <c r="AX90" s="31">
        <v>7.2877929592959065E-2</v>
      </c>
      <c r="AY90" s="31">
        <v>6.0386748978203147E-2</v>
      </c>
      <c r="AZ90" s="31">
        <v>5.2742936739806678E-2</v>
      </c>
      <c r="BA90" s="31">
        <v>7.8012240357360804E-2</v>
      </c>
      <c r="BB90" s="31">
        <v>9.0283558587796825E-2</v>
      </c>
      <c r="BC90" s="31">
        <v>0.13659147372513131</v>
      </c>
      <c r="BD90" s="31">
        <v>0.12145551683357171</v>
      </c>
      <c r="BE90" s="31">
        <v>0.10681339965805034</v>
      </c>
      <c r="BF90" s="31">
        <v>0.1278044852669824</v>
      </c>
      <c r="BG90" s="31">
        <v>0.13136760109539719</v>
      </c>
      <c r="BH90" s="31">
        <v>0.11616411097101667</v>
      </c>
      <c r="BI90" s="31">
        <v>0.1242187881588537</v>
      </c>
      <c r="BJ90" s="31">
        <v>0.11079139585921077</v>
      </c>
      <c r="BK90" s="31">
        <v>0.1033350496283733</v>
      </c>
      <c r="BL90" s="31">
        <v>9.936024362380115E-2</v>
      </c>
      <c r="BM90" s="31">
        <v>8.9608033800390174E-2</v>
      </c>
      <c r="BN90" s="31">
        <v>0.11609629421595509</v>
      </c>
      <c r="BO90" s="31">
        <v>9.2667983015518304E-2</v>
      </c>
      <c r="BP90" s="31">
        <v>0.10755347543219201</v>
      </c>
      <c r="BQ90" s="31">
        <v>0.10186241824087316</v>
      </c>
      <c r="BR90" s="31">
        <v>0.12006278141541607</v>
      </c>
      <c r="BS90" s="31">
        <v>0.10211676270314889</v>
      </c>
      <c r="BT90" s="31">
        <v>0.11311747904751224</v>
      </c>
      <c r="BV90" s="39" t="s">
        <v>96</v>
      </c>
      <c r="BW90" t="s">
        <v>41</v>
      </c>
      <c r="BX90" t="s">
        <v>42</v>
      </c>
      <c r="BY90" t="s">
        <v>41</v>
      </c>
      <c r="BZ90" t="s">
        <v>25</v>
      </c>
      <c r="CA90" t="s">
        <v>42</v>
      </c>
      <c r="CB90" t="s">
        <v>24</v>
      </c>
      <c r="CC90" t="s">
        <v>42</v>
      </c>
      <c r="CD90" t="s">
        <v>25</v>
      </c>
      <c r="CE90" t="s">
        <v>30</v>
      </c>
      <c r="CF90" t="s">
        <v>43</v>
      </c>
      <c r="CG90" t="s">
        <v>43</v>
      </c>
      <c r="CH90" t="s">
        <v>30</v>
      </c>
      <c r="CI90" t="s">
        <v>43</v>
      </c>
      <c r="CJ90" t="s">
        <v>43</v>
      </c>
      <c r="CK90" t="s">
        <v>30</v>
      </c>
      <c r="CL90" t="s">
        <v>41</v>
      </c>
      <c r="CM90" t="s">
        <v>25</v>
      </c>
      <c r="CN90" t="s">
        <v>41</v>
      </c>
      <c r="CO90" t="s">
        <v>25</v>
      </c>
      <c r="CP90" t="s">
        <v>35</v>
      </c>
      <c r="CQ90" t="s">
        <v>43</v>
      </c>
      <c r="CR90" t="s">
        <v>25</v>
      </c>
      <c r="CS90" t="s">
        <v>35</v>
      </c>
      <c r="CT90" t="s">
        <v>30</v>
      </c>
      <c r="CU90" t="s">
        <v>42</v>
      </c>
      <c r="CV90" t="s">
        <v>42</v>
      </c>
      <c r="CW90" t="s">
        <v>41</v>
      </c>
      <c r="CX90" t="s">
        <v>24</v>
      </c>
      <c r="CY90" t="s">
        <v>42</v>
      </c>
      <c r="CZ90" t="s">
        <v>43</v>
      </c>
      <c r="DA90" t="s">
        <v>25</v>
      </c>
      <c r="DB90" t="s">
        <v>25</v>
      </c>
      <c r="DC90" t="s">
        <v>35</v>
      </c>
      <c r="DD90" t="s">
        <v>25</v>
      </c>
    </row>
    <row r="91" spans="1:108" x14ac:dyDescent="0.35">
      <c r="B91" s="39" t="s">
        <v>98</v>
      </c>
      <c r="C91" s="15">
        <v>9.1787588272710996E-2</v>
      </c>
      <c r="D91" s="15">
        <v>0.100487588272711</v>
      </c>
      <c r="E91" s="15">
        <v>0.107287588272711</v>
      </c>
      <c r="F91" s="15">
        <v>9.0487588272711E-2</v>
      </c>
      <c r="G91" s="15">
        <v>8.6687588272711003E-2</v>
      </c>
      <c r="H91" s="15">
        <v>9.1187588272710993E-2</v>
      </c>
      <c r="I91" s="15">
        <v>0.10718758827271099</v>
      </c>
      <c r="J91" s="15">
        <v>0.100287588272711</v>
      </c>
      <c r="K91" s="15">
        <v>0.106787588272711</v>
      </c>
      <c r="L91" s="15">
        <v>7.6787588272710997E-2</v>
      </c>
      <c r="M91" s="15">
        <v>8.0687588272710997E-2</v>
      </c>
      <c r="N91" s="15">
        <v>8.8287588272710993E-2</v>
      </c>
      <c r="O91" s="15">
        <v>9.4687588272710996E-2</v>
      </c>
      <c r="P91" s="15">
        <v>0.108787588272711</v>
      </c>
      <c r="Q91" s="15">
        <v>0.10188758827271099</v>
      </c>
      <c r="R91" s="15">
        <v>0.10628758827271099</v>
      </c>
      <c r="S91" s="15">
        <v>8.4487588272710995E-2</v>
      </c>
      <c r="T91" s="15">
        <v>9.6987588272710992E-2</v>
      </c>
      <c r="U91" s="15">
        <v>7.9087588272710993E-2</v>
      </c>
      <c r="V91" s="15">
        <v>9.4787588272710999E-2</v>
      </c>
      <c r="W91" s="15">
        <v>8.818758827271099E-2</v>
      </c>
      <c r="X91" s="15">
        <v>8.9887588272710997E-2</v>
      </c>
      <c r="Y91" s="15">
        <v>8.1287588272711001E-2</v>
      </c>
      <c r="Z91" s="15">
        <v>8.6287588272710991E-2</v>
      </c>
      <c r="AA91" s="15">
        <v>8.9787588272710994E-2</v>
      </c>
      <c r="AB91" s="15">
        <v>0.107387588272711</v>
      </c>
      <c r="AC91" s="15">
        <v>8.5987588272710996E-2</v>
      </c>
      <c r="AD91" s="15">
        <v>9.4387588272711001E-2</v>
      </c>
      <c r="AE91" s="15">
        <v>7.9787588272710999E-2</v>
      </c>
      <c r="AF91" s="15">
        <v>9.1887588272710999E-2</v>
      </c>
      <c r="AG91" s="15">
        <v>9.3187588272710994E-2</v>
      </c>
      <c r="AH91" s="15">
        <v>0.106987588272711</v>
      </c>
      <c r="AI91" s="15">
        <v>8.1787588272711001E-2</v>
      </c>
      <c r="AJ91" s="15">
        <v>9.6487588272710992E-2</v>
      </c>
      <c r="AK91" s="5"/>
      <c r="AL91" s="39" t="s">
        <v>97</v>
      </c>
      <c r="AM91" s="31">
        <v>0.13140243736992888</v>
      </c>
      <c r="AN91" s="31">
        <v>0.12369726155603807</v>
      </c>
      <c r="AO91" s="31">
        <v>0.16407646713761528</v>
      </c>
      <c r="AP91" s="31">
        <v>0.17262967543737956</v>
      </c>
      <c r="AQ91" s="31">
        <v>0.10518903389195913</v>
      </c>
      <c r="AR91" s="31">
        <v>0.15793735744375492</v>
      </c>
      <c r="AS91" s="31">
        <v>0.12459108699088868</v>
      </c>
      <c r="AT91" s="31">
        <v>8.4762604399255509E-2</v>
      </c>
      <c r="AU91" s="31">
        <v>0.15066665751220476</v>
      </c>
      <c r="AV91" s="31">
        <v>0.14568345015173867</v>
      </c>
      <c r="AW91" s="31">
        <v>0.13793201186796641</v>
      </c>
      <c r="AX91" s="31">
        <v>0.11245703714617564</v>
      </c>
      <c r="AY91" s="31">
        <v>9.9965856531419719E-2</v>
      </c>
      <c r="AZ91" s="31">
        <v>9.232204429302325E-2</v>
      </c>
      <c r="BA91" s="31">
        <v>0.11759134791057738</v>
      </c>
      <c r="BB91" s="31">
        <v>0.12986266614101338</v>
      </c>
      <c r="BC91" s="31">
        <v>0.17617058127834787</v>
      </c>
      <c r="BD91" s="31">
        <v>0.16103462438678828</v>
      </c>
      <c r="BE91" s="31">
        <v>0.1463925072112669</v>
      </c>
      <c r="BF91" s="31">
        <v>0.16738359282019899</v>
      </c>
      <c r="BG91" s="31">
        <v>0.17094670864861378</v>
      </c>
      <c r="BH91" s="31">
        <v>0.15574321852423323</v>
      </c>
      <c r="BI91" s="31">
        <v>0.16379789571207026</v>
      </c>
      <c r="BJ91" s="31">
        <v>0.15037050341242736</v>
      </c>
      <c r="BK91" s="31">
        <v>0.14291415718158987</v>
      </c>
      <c r="BL91" s="31">
        <v>0.13893935117701772</v>
      </c>
      <c r="BM91" s="31">
        <v>0.12918714135360676</v>
      </c>
      <c r="BN91" s="31">
        <v>0.15567540176917166</v>
      </c>
      <c r="BO91" s="31">
        <v>0.13224709056873488</v>
      </c>
      <c r="BP91" s="31">
        <v>0.1471325829854086</v>
      </c>
      <c r="BQ91" s="31">
        <v>0.14144152579408975</v>
      </c>
      <c r="BR91" s="31">
        <v>0.15964188896863263</v>
      </c>
      <c r="BS91" s="31">
        <v>0.14169587025636546</v>
      </c>
      <c r="BT91" s="31">
        <v>0.15269658660072882</v>
      </c>
      <c r="BV91" s="39" t="s">
        <v>97</v>
      </c>
      <c r="BW91" t="s">
        <v>42</v>
      </c>
      <c r="BX91" t="s">
        <v>35</v>
      </c>
      <c r="BY91" t="s">
        <v>43</v>
      </c>
      <c r="BZ91" t="s">
        <v>30</v>
      </c>
      <c r="CA91" t="s">
        <v>24</v>
      </c>
      <c r="CB91" t="s">
        <v>25</v>
      </c>
      <c r="CC91" t="s">
        <v>25</v>
      </c>
      <c r="CD91" t="s">
        <v>24</v>
      </c>
      <c r="CE91" t="s">
        <v>41</v>
      </c>
      <c r="CF91" t="s">
        <v>30</v>
      </c>
      <c r="CG91" t="s">
        <v>35</v>
      </c>
      <c r="CH91" t="s">
        <v>43</v>
      </c>
      <c r="CI91" t="s">
        <v>24</v>
      </c>
      <c r="CJ91" t="s">
        <v>41</v>
      </c>
      <c r="CK91" t="s">
        <v>35</v>
      </c>
      <c r="CL91" t="s">
        <v>25</v>
      </c>
      <c r="CM91" t="s">
        <v>35</v>
      </c>
      <c r="CN91" t="s">
        <v>24</v>
      </c>
      <c r="CO91" t="s">
        <v>43</v>
      </c>
      <c r="CP91" t="s">
        <v>25</v>
      </c>
      <c r="CQ91" t="s">
        <v>41</v>
      </c>
      <c r="CR91" t="s">
        <v>30</v>
      </c>
      <c r="CS91" t="s">
        <v>42</v>
      </c>
      <c r="CT91" t="s">
        <v>41</v>
      </c>
      <c r="CU91" t="s">
        <v>41</v>
      </c>
      <c r="CV91" t="s">
        <v>41</v>
      </c>
      <c r="CW91" t="s">
        <v>24</v>
      </c>
      <c r="CX91" t="s">
        <v>25</v>
      </c>
      <c r="CY91" t="s">
        <v>30</v>
      </c>
      <c r="CZ91" t="s">
        <v>25</v>
      </c>
      <c r="DA91" t="s">
        <v>42</v>
      </c>
      <c r="DB91" t="s">
        <v>35</v>
      </c>
      <c r="DC91" t="s">
        <v>43</v>
      </c>
      <c r="DD91" t="s">
        <v>25</v>
      </c>
    </row>
    <row r="92" spans="1:108" x14ac:dyDescent="0.35">
      <c r="B92" s="39" t="s">
        <v>97</v>
      </c>
      <c r="C92" s="15">
        <v>4.8015730901696557E-2</v>
      </c>
      <c r="D92" s="15">
        <v>5.5415730901696561E-2</v>
      </c>
      <c r="E92" s="15">
        <v>5.9715730901696559E-2</v>
      </c>
      <c r="F92" s="15">
        <v>4.2515730901696559E-2</v>
      </c>
      <c r="G92" s="15">
        <v>4.1415730901696556E-2</v>
      </c>
      <c r="H92" s="15">
        <v>5.2815730901696556E-2</v>
      </c>
      <c r="I92" s="15">
        <v>5.8815730901696561E-2</v>
      </c>
      <c r="J92" s="15">
        <v>5.0715730901696558E-2</v>
      </c>
      <c r="K92" s="15">
        <v>5.0515730901696559E-2</v>
      </c>
      <c r="L92" s="15">
        <v>4.061573090169656E-2</v>
      </c>
      <c r="M92" s="15">
        <v>5.0715730901696558E-2</v>
      </c>
      <c r="N92" s="15">
        <v>5.731573090169656E-2</v>
      </c>
      <c r="O92" s="15">
        <v>4.3315730901696554E-2</v>
      </c>
      <c r="P92" s="15">
        <v>4.3715730901696566E-2</v>
      </c>
      <c r="Q92" s="15">
        <v>4.7815730901696565E-2</v>
      </c>
      <c r="R92" s="15">
        <v>4.061573090169656E-2</v>
      </c>
      <c r="S92" s="15">
        <v>4.811573090169656E-2</v>
      </c>
      <c r="T92" s="15">
        <v>4.0815730901696559E-2</v>
      </c>
      <c r="U92" s="15">
        <v>5.9015730901696553E-2</v>
      </c>
      <c r="V92" s="15">
        <v>5.9815730901696555E-2</v>
      </c>
      <c r="W92" s="15">
        <v>5.8415730901696557E-2</v>
      </c>
      <c r="X92" s="15">
        <v>4.0515730901696557E-2</v>
      </c>
      <c r="Y92" s="15">
        <v>5.4915730901696554E-2</v>
      </c>
      <c r="Z92" s="15">
        <v>5.8515730901696553E-2</v>
      </c>
      <c r="AA92" s="15">
        <v>5.2515730901696554E-2</v>
      </c>
      <c r="AB92" s="15">
        <v>4.4415730901696558E-2</v>
      </c>
      <c r="AC92" s="15">
        <v>5.2115730901696557E-2</v>
      </c>
      <c r="AD92" s="15">
        <v>5.8815730901696561E-2</v>
      </c>
      <c r="AE92" s="15">
        <v>5.8515730901696553E-2</v>
      </c>
      <c r="AF92" s="15">
        <v>4.761573090169656E-2</v>
      </c>
      <c r="AG92" s="15">
        <v>4.181573090169656E-2</v>
      </c>
      <c r="AH92" s="15">
        <v>4.9215730901696557E-2</v>
      </c>
      <c r="AI92" s="15">
        <v>5.561573090169656E-2</v>
      </c>
      <c r="AJ92" s="15">
        <v>4.6315730901696557E-2</v>
      </c>
      <c r="AK92" s="5"/>
      <c r="AL92" s="39" t="s">
        <v>98</v>
      </c>
      <c r="AM92" s="31">
        <v>9.8791560764329059E-2</v>
      </c>
      <c r="AN92" s="31">
        <v>9.1086384950438248E-2</v>
      </c>
      <c r="AO92" s="31">
        <v>0.13146559053201545</v>
      </c>
      <c r="AP92" s="31">
        <v>0.14001879883177976</v>
      </c>
      <c r="AQ92" s="31">
        <v>7.2578157286359316E-2</v>
      </c>
      <c r="AR92" s="31">
        <v>0.12532648083815509</v>
      </c>
      <c r="AS92" s="31">
        <v>9.1980210385288863E-2</v>
      </c>
      <c r="AT92" s="31">
        <v>5.2151727793655692E-2</v>
      </c>
      <c r="AU92" s="31">
        <v>0.11805578090660493</v>
      </c>
      <c r="AV92" s="31">
        <v>0.11307257354613887</v>
      </c>
      <c r="AW92" s="31">
        <v>0.1053211352623666</v>
      </c>
      <c r="AX92" s="31">
        <v>7.984616054057582E-2</v>
      </c>
      <c r="AY92" s="31">
        <v>6.7354979925819902E-2</v>
      </c>
      <c r="AZ92" s="31">
        <v>5.9711167687423433E-2</v>
      </c>
      <c r="BA92" s="31">
        <v>8.4980471304977559E-2</v>
      </c>
      <c r="BB92" s="31">
        <v>9.725178953541358E-2</v>
      </c>
      <c r="BC92" s="31">
        <v>0.14355970467274803</v>
      </c>
      <c r="BD92" s="31">
        <v>0.12842374778118848</v>
      </c>
      <c r="BE92" s="31">
        <v>0.11378163060566709</v>
      </c>
      <c r="BF92" s="31">
        <v>0.13477271621459919</v>
      </c>
      <c r="BG92" s="31">
        <v>0.13833583204301395</v>
      </c>
      <c r="BH92" s="31">
        <v>0.12313234191863343</v>
      </c>
      <c r="BI92" s="31">
        <v>0.13118701910647046</v>
      </c>
      <c r="BJ92" s="31">
        <v>0.11775962680682753</v>
      </c>
      <c r="BK92" s="31">
        <v>0.11030328057599005</v>
      </c>
      <c r="BL92" s="31">
        <v>0.10632847457141791</v>
      </c>
      <c r="BM92" s="31">
        <v>9.6576264748006929E-2</v>
      </c>
      <c r="BN92" s="31">
        <v>0.12306452516357184</v>
      </c>
      <c r="BO92" s="31">
        <v>9.9636213963135059E-2</v>
      </c>
      <c r="BP92" s="31">
        <v>0.11452170637980877</v>
      </c>
      <c r="BQ92" s="31">
        <v>0.10883064918848992</v>
      </c>
      <c r="BR92" s="31">
        <v>0.12703101236303282</v>
      </c>
      <c r="BS92" s="31">
        <v>0.10908499365076564</v>
      </c>
      <c r="BT92" s="31">
        <v>0.12008570999512899</v>
      </c>
      <c r="BV92" s="39" t="s">
        <v>98</v>
      </c>
      <c r="BW92" t="s">
        <v>43</v>
      </c>
      <c r="BX92" t="s">
        <v>43</v>
      </c>
      <c r="BY92" t="s">
        <v>42</v>
      </c>
      <c r="BZ92" t="s">
        <v>41</v>
      </c>
      <c r="CA92" t="s">
        <v>35</v>
      </c>
      <c r="CB92" t="s">
        <v>25</v>
      </c>
      <c r="CC92" t="s">
        <v>35</v>
      </c>
      <c r="CD92" t="s">
        <v>30</v>
      </c>
      <c r="CE92" t="s">
        <v>24</v>
      </c>
      <c r="CF92" t="s">
        <v>35</v>
      </c>
      <c r="CG92" t="s">
        <v>41</v>
      </c>
      <c r="CH92" t="s">
        <v>30</v>
      </c>
      <c r="CI92" t="s">
        <v>43</v>
      </c>
      <c r="CJ92" t="s">
        <v>43</v>
      </c>
      <c r="CK92" t="s">
        <v>43</v>
      </c>
      <c r="CL92" t="s">
        <v>42</v>
      </c>
      <c r="CM92" t="s">
        <v>43</v>
      </c>
      <c r="CN92" t="s">
        <v>41</v>
      </c>
      <c r="CO92" t="s">
        <v>24</v>
      </c>
      <c r="CP92" t="s">
        <v>25</v>
      </c>
      <c r="CQ92" t="s">
        <v>41</v>
      </c>
      <c r="CR92" t="s">
        <v>41</v>
      </c>
      <c r="CS92" t="s">
        <v>24</v>
      </c>
      <c r="CT92" t="s">
        <v>30</v>
      </c>
      <c r="CU92" t="s">
        <v>42</v>
      </c>
      <c r="CV92" t="s">
        <v>24</v>
      </c>
      <c r="CW92" t="s">
        <v>43</v>
      </c>
      <c r="CX92" t="s">
        <v>41</v>
      </c>
      <c r="CY92" t="s">
        <v>30</v>
      </c>
      <c r="CZ92" t="s">
        <v>41</v>
      </c>
      <c r="DA92" t="s">
        <v>41</v>
      </c>
      <c r="DB92" t="s">
        <v>24</v>
      </c>
      <c r="DC92" t="s">
        <v>25</v>
      </c>
      <c r="DD92" t="s">
        <v>43</v>
      </c>
    </row>
    <row r="93" spans="1:108" x14ac:dyDescent="0.35">
      <c r="B93" s="40" t="s">
        <v>83</v>
      </c>
      <c r="C93" s="15">
        <v>0.13236680129836231</v>
      </c>
      <c r="D93" s="15">
        <v>0.11886680129836232</v>
      </c>
      <c r="E93" s="15">
        <v>0.12726680129836232</v>
      </c>
      <c r="F93" s="15">
        <v>0.12356680129836231</v>
      </c>
      <c r="G93" s="15">
        <v>0.14826680129836231</v>
      </c>
      <c r="H93" s="15">
        <v>0.11966680129836231</v>
      </c>
      <c r="I93" s="15">
        <v>0.13286680129836231</v>
      </c>
      <c r="J93" s="15">
        <v>0.14766680129836232</v>
      </c>
      <c r="K93" s="15">
        <v>0.12486680129836231</v>
      </c>
      <c r="L93" s="15">
        <v>0.11786680129836231</v>
      </c>
      <c r="M93" s="15">
        <v>0.12136680129836232</v>
      </c>
      <c r="N93" s="15">
        <v>0.14036680129836232</v>
      </c>
      <c r="O93" s="15">
        <v>0.12796680129836233</v>
      </c>
      <c r="P93" s="15">
        <v>0.14196680129836231</v>
      </c>
      <c r="Q93" s="15">
        <v>0.13526680129836233</v>
      </c>
      <c r="R93" s="15">
        <v>0.14336680129836232</v>
      </c>
      <c r="S93" s="15">
        <v>0.12606680129836231</v>
      </c>
      <c r="T93" s="15">
        <v>0.1344668012983623</v>
      </c>
      <c r="U93" s="15">
        <v>0.1480668012983623</v>
      </c>
      <c r="V93" s="15">
        <v>0.12906680129836232</v>
      </c>
      <c r="W93" s="15">
        <v>0.12076680129836231</v>
      </c>
      <c r="X93" s="15">
        <v>0.14886680129836233</v>
      </c>
      <c r="Y93" s="15">
        <v>0.14696680129836232</v>
      </c>
      <c r="Z93" s="15">
        <v>0.1304668012983623</v>
      </c>
      <c r="AA93" s="15">
        <v>0.11896680129836232</v>
      </c>
      <c r="AB93" s="15">
        <v>0.12196680129836232</v>
      </c>
      <c r="AC93" s="15">
        <v>0.14226680129836231</v>
      </c>
      <c r="AD93" s="15">
        <v>0.1362668012983623</v>
      </c>
      <c r="AE93" s="15">
        <v>0.1334668012983623</v>
      </c>
      <c r="AF93" s="15">
        <v>0.13996680129836231</v>
      </c>
      <c r="AG93" s="15">
        <v>0.12006680129836231</v>
      </c>
      <c r="AH93" s="15">
        <v>0.14446680129836231</v>
      </c>
      <c r="AI93" s="15">
        <v>0.1319668012983623</v>
      </c>
      <c r="AJ93" s="15">
        <v>0.12256680129836231</v>
      </c>
      <c r="AK93" s="5"/>
      <c r="AL93" s="40" t="s">
        <v>83</v>
      </c>
      <c r="AM93" s="31">
        <f>AM94*C94+AM101*C101+AM108*C108</f>
        <v>0.17203577456933095</v>
      </c>
      <c r="AN93" s="31">
        <f t="shared" ref="AN93:BT93" si="170">AN94*D94+AN101*D101+AN108*D108</f>
        <v>0.16413757879199892</v>
      </c>
      <c r="AO93" s="31">
        <f t="shared" si="170"/>
        <v>0.20472979431031035</v>
      </c>
      <c r="AP93" s="31">
        <f t="shared" si="170"/>
        <v>0.21378262359509448</v>
      </c>
      <c r="AQ93" s="31">
        <f t="shared" si="170"/>
        <v>0.14568071093396096</v>
      </c>
      <c r="AR93" s="31">
        <f t="shared" si="170"/>
        <v>0.19819251728089987</v>
      </c>
      <c r="AS93" s="31">
        <f t="shared" si="170"/>
        <v>0.16541887249174572</v>
      </c>
      <c r="AT93" s="31">
        <f t="shared" si="170"/>
        <v>0.12634973990457327</v>
      </c>
      <c r="AU93" s="31">
        <f t="shared" si="170"/>
        <v>0.19218836962897645</v>
      </c>
      <c r="AV93" s="31">
        <f t="shared" si="170"/>
        <v>0.18544310441479417</v>
      </c>
      <c r="AW93" s="31">
        <f t="shared" si="170"/>
        <v>0.17890765818047538</v>
      </c>
      <c r="AX93" s="31">
        <f t="shared" si="170"/>
        <v>0.15264680579381179</v>
      </c>
      <c r="AY93" s="31">
        <f t="shared" si="170"/>
        <v>0.14073921460392727</v>
      </c>
      <c r="AZ93" s="31">
        <f t="shared" si="170"/>
        <v>0.13275789721574885</v>
      </c>
      <c r="BA93" s="31">
        <f t="shared" si="170"/>
        <v>0.15811332354420002</v>
      </c>
      <c r="BB93" s="31">
        <f t="shared" si="170"/>
        <v>0.17117962083050312</v>
      </c>
      <c r="BC93" s="31">
        <f t="shared" si="170"/>
        <v>0.2169091274967353</v>
      </c>
      <c r="BD93" s="31">
        <f t="shared" si="170"/>
        <v>0.20246600411139209</v>
      </c>
      <c r="BE93" s="31">
        <f t="shared" si="170"/>
        <v>0.18651717714658586</v>
      </c>
      <c r="BF93" s="31">
        <f t="shared" si="170"/>
        <v>0.20781988956116185</v>
      </c>
      <c r="BG93" s="31">
        <f t="shared" si="170"/>
        <v>0.21124178814111649</v>
      </c>
      <c r="BH93" s="31">
        <f t="shared" si="170"/>
        <v>0.19610975582863943</v>
      </c>
      <c r="BI93" s="31">
        <f t="shared" si="170"/>
        <v>0.20456389253138782</v>
      </c>
      <c r="BJ93" s="31">
        <f t="shared" si="170"/>
        <v>0.19158879884004118</v>
      </c>
      <c r="BK93" s="31">
        <f t="shared" si="170"/>
        <v>0.18400804415504177</v>
      </c>
      <c r="BL93" s="31">
        <f t="shared" si="170"/>
        <v>0.17974227477658883</v>
      </c>
      <c r="BM93" s="31">
        <f t="shared" si="170"/>
        <v>0.17004089106089698</v>
      </c>
      <c r="BN93" s="31">
        <f t="shared" si="170"/>
        <v>0.19656813581344709</v>
      </c>
      <c r="BO93" s="31">
        <f t="shared" si="170"/>
        <v>0.17225574646440087</v>
      </c>
      <c r="BP93" s="31">
        <f t="shared" si="170"/>
        <v>0.18793073449951475</v>
      </c>
      <c r="BQ93" s="31">
        <f t="shared" si="170"/>
        <v>0.18154726989065034</v>
      </c>
      <c r="BR93" s="31">
        <f t="shared" si="170"/>
        <v>0.20043911285641608</v>
      </c>
      <c r="BS93" s="31">
        <f t="shared" si="170"/>
        <v>0.18204622285364874</v>
      </c>
      <c r="BT93" s="31">
        <f t="shared" si="170"/>
        <v>0.19355049756865522</v>
      </c>
      <c r="BV93" s="40" t="s">
        <v>83</v>
      </c>
      <c r="BW93" t="s">
        <v>35</v>
      </c>
      <c r="BX93" t="s">
        <v>41</v>
      </c>
      <c r="BY93" t="s">
        <v>42</v>
      </c>
      <c r="BZ93" t="s">
        <v>30</v>
      </c>
      <c r="CA93" t="s">
        <v>42</v>
      </c>
      <c r="CB93" t="s">
        <v>25</v>
      </c>
      <c r="CC93" t="s">
        <v>25</v>
      </c>
      <c r="CD93" t="s">
        <v>42</v>
      </c>
      <c r="CE93" t="s">
        <v>35</v>
      </c>
      <c r="CF93" t="s">
        <v>43</v>
      </c>
      <c r="CG93" t="s">
        <v>25</v>
      </c>
      <c r="CH93" t="s">
        <v>24</v>
      </c>
      <c r="CI93" t="s">
        <v>24</v>
      </c>
      <c r="CJ93" t="s">
        <v>25</v>
      </c>
      <c r="CK93" t="s">
        <v>30</v>
      </c>
      <c r="CL93" t="s">
        <v>30</v>
      </c>
      <c r="CM93" t="s">
        <v>42</v>
      </c>
      <c r="CN93" t="s">
        <v>35</v>
      </c>
      <c r="CO93" t="s">
        <v>42</v>
      </c>
      <c r="CP93" t="s">
        <v>41</v>
      </c>
      <c r="CQ93" t="s">
        <v>30</v>
      </c>
      <c r="CR93" t="s">
        <v>30</v>
      </c>
      <c r="CS93" t="s">
        <v>24</v>
      </c>
      <c r="CT93" t="s">
        <v>35</v>
      </c>
      <c r="CU93" t="s">
        <v>43</v>
      </c>
      <c r="CV93" t="s">
        <v>41</v>
      </c>
      <c r="CW93" t="s">
        <v>25</v>
      </c>
      <c r="CX93" t="s">
        <v>25</v>
      </c>
      <c r="CY93" t="s">
        <v>30</v>
      </c>
      <c r="CZ93" t="s">
        <v>43</v>
      </c>
      <c r="DA93" t="s">
        <v>30</v>
      </c>
      <c r="DB93" t="s">
        <v>35</v>
      </c>
      <c r="DC93" t="s">
        <v>35</v>
      </c>
      <c r="DD93" t="s">
        <v>24</v>
      </c>
    </row>
    <row r="94" spans="1:108" x14ac:dyDescent="0.35">
      <c r="B94" s="37" t="s">
        <v>80</v>
      </c>
      <c r="C94" s="15">
        <f>1-SUM(C101,C108)</f>
        <v>0.50546100897179469</v>
      </c>
      <c r="D94" s="15">
        <f t="shared" ref="D94:AJ94" si="171">1-SUM(D101,D108)</f>
        <v>0.50926100897179472</v>
      </c>
      <c r="E94" s="15">
        <f t="shared" si="171"/>
        <v>0.49956100897179467</v>
      </c>
      <c r="F94" s="15">
        <f t="shared" si="171"/>
        <v>0.50276100897179465</v>
      </c>
      <c r="G94" s="15">
        <f t="shared" si="171"/>
        <v>0.52476100897179467</v>
      </c>
      <c r="H94" s="15">
        <f t="shared" si="171"/>
        <v>0.50326100897179471</v>
      </c>
      <c r="I94" s="15">
        <f t="shared" si="171"/>
        <v>0.50846100897179469</v>
      </c>
      <c r="J94" s="15">
        <f t="shared" si="171"/>
        <v>0.48666100897179465</v>
      </c>
      <c r="K94" s="15">
        <f t="shared" si="171"/>
        <v>0.49106100897179472</v>
      </c>
      <c r="L94" s="15">
        <f t="shared" si="171"/>
        <v>0.52006100897179475</v>
      </c>
      <c r="M94" s="15">
        <f t="shared" si="171"/>
        <v>0.50276100897179465</v>
      </c>
      <c r="N94" s="15">
        <f t="shared" si="171"/>
        <v>0.50156100897179468</v>
      </c>
      <c r="O94" s="15">
        <f t="shared" si="171"/>
        <v>0.49836100897179469</v>
      </c>
      <c r="P94" s="15">
        <f t="shared" si="171"/>
        <v>0.51696100897179464</v>
      </c>
      <c r="Q94" s="15">
        <f t="shared" si="171"/>
        <v>0.50646100897179469</v>
      </c>
      <c r="R94" s="15">
        <f t="shared" si="171"/>
        <v>0.48656100897179466</v>
      </c>
      <c r="S94" s="15">
        <f t="shared" si="171"/>
        <v>0.49296100897179462</v>
      </c>
      <c r="T94" s="15">
        <f t="shared" si="171"/>
        <v>0.47966100897179476</v>
      </c>
      <c r="U94" s="15">
        <f t="shared" si="171"/>
        <v>0.50256100897179468</v>
      </c>
      <c r="V94" s="15">
        <f t="shared" si="171"/>
        <v>0.50706100897179462</v>
      </c>
      <c r="W94" s="15">
        <f t="shared" si="171"/>
        <v>0.50686100897179465</v>
      </c>
      <c r="X94" s="15">
        <f t="shared" si="171"/>
        <v>0.51676100897179467</v>
      </c>
      <c r="Y94" s="15">
        <f t="shared" si="171"/>
        <v>0.48896100897179473</v>
      </c>
      <c r="Z94" s="15">
        <f t="shared" si="171"/>
        <v>0.47846100897179467</v>
      </c>
      <c r="AA94" s="15">
        <f t="shared" si="171"/>
        <v>0.50186100897179475</v>
      </c>
      <c r="AB94" s="15">
        <f t="shared" si="171"/>
        <v>0.51456100897179469</v>
      </c>
      <c r="AC94" s="15">
        <f t="shared" si="171"/>
        <v>0.50406100897179473</v>
      </c>
      <c r="AD94" s="15">
        <f t="shared" si="171"/>
        <v>0.4952610089717947</v>
      </c>
      <c r="AE94" s="15">
        <f t="shared" si="171"/>
        <v>0.50826100897179471</v>
      </c>
      <c r="AF94" s="15">
        <f t="shared" si="171"/>
        <v>0.50666100897179467</v>
      </c>
      <c r="AG94" s="15">
        <f t="shared" si="171"/>
        <v>0.52876100897179468</v>
      </c>
      <c r="AH94" s="15">
        <f t="shared" si="171"/>
        <v>0.50376100897179465</v>
      </c>
      <c r="AI94" s="15">
        <f t="shared" si="171"/>
        <v>0.50816100897179473</v>
      </c>
      <c r="AJ94" s="15">
        <f t="shared" si="171"/>
        <v>0.49236100897179469</v>
      </c>
      <c r="AK94" s="5"/>
      <c r="AL94" s="37" t="s">
        <v>80</v>
      </c>
      <c r="AM94" s="49">
        <f>SUMPRODUCT(AM95:AM100,C95:C100)</f>
        <v>0.15546195497493578</v>
      </c>
      <c r="AN94" s="49">
        <f t="shared" ref="AN94:BT94" si="172">SUMPRODUCT(AN95:AN100,D95:D100)</f>
        <v>0.14788884229897176</v>
      </c>
      <c r="AO94" s="49">
        <f t="shared" si="172"/>
        <v>0.18783580282479118</v>
      </c>
      <c r="AP94" s="49">
        <f t="shared" si="172"/>
        <v>0.19709130916832732</v>
      </c>
      <c r="AQ94" s="49">
        <f t="shared" si="172"/>
        <v>0.12964665836231376</v>
      </c>
      <c r="AR94" s="49">
        <f t="shared" si="172"/>
        <v>0.18169080251651273</v>
      </c>
      <c r="AS94" s="49">
        <f t="shared" si="172"/>
        <v>0.14880621442603054</v>
      </c>
      <c r="AT94" s="49">
        <f t="shared" si="172"/>
        <v>0.1091055394794101</v>
      </c>
      <c r="AU94" s="49">
        <f t="shared" si="172"/>
        <v>0.17502793761239729</v>
      </c>
      <c r="AV94" s="49">
        <f t="shared" si="172"/>
        <v>0.169424187148455</v>
      </c>
      <c r="AW94" s="49">
        <f t="shared" si="172"/>
        <v>0.16204405498430821</v>
      </c>
      <c r="AX94" s="49">
        <f t="shared" si="172"/>
        <v>0.13613182960701264</v>
      </c>
      <c r="AY94" s="49">
        <f t="shared" si="172"/>
        <v>0.12375355660597612</v>
      </c>
      <c r="AZ94" s="49">
        <f t="shared" si="172"/>
        <v>0.11655960438209366</v>
      </c>
      <c r="BA94" s="49">
        <f t="shared" si="172"/>
        <v>0.14173423247096487</v>
      </c>
      <c r="BB94" s="49">
        <f t="shared" si="172"/>
        <v>0.15410877175170395</v>
      </c>
      <c r="BC94" s="49">
        <f t="shared" si="172"/>
        <v>0.20009744812504016</v>
      </c>
      <c r="BD94" s="49">
        <f t="shared" si="172"/>
        <v>0.18498815263750892</v>
      </c>
      <c r="BE94" s="49">
        <f t="shared" si="172"/>
        <v>0.16987323542934671</v>
      </c>
      <c r="BF94" s="49">
        <f t="shared" si="172"/>
        <v>0.1914379036073427</v>
      </c>
      <c r="BG94" s="49">
        <f t="shared" si="172"/>
        <v>0.19459392258882535</v>
      </c>
      <c r="BH94" s="49">
        <f t="shared" si="172"/>
        <v>0.17997971919171224</v>
      </c>
      <c r="BI94" s="49">
        <f t="shared" si="172"/>
        <v>0.18747450276785266</v>
      </c>
      <c r="BJ94" s="49">
        <f t="shared" si="172"/>
        <v>0.17418634875132599</v>
      </c>
      <c r="BK94" s="49">
        <f t="shared" si="172"/>
        <v>0.16704958671555059</v>
      </c>
      <c r="BL94" s="49">
        <f t="shared" si="172"/>
        <v>0.16353293768746965</v>
      </c>
      <c r="BM94" s="49">
        <f t="shared" si="172"/>
        <v>0.15314955203939787</v>
      </c>
      <c r="BN94" s="49">
        <f t="shared" si="172"/>
        <v>0.17975986182117992</v>
      </c>
      <c r="BO94" s="49">
        <f t="shared" si="172"/>
        <v>0.15560692715941368</v>
      </c>
      <c r="BP94" s="49">
        <f t="shared" si="172"/>
        <v>0.17138941153715159</v>
      </c>
      <c r="BQ94" s="49">
        <f t="shared" si="172"/>
        <v>0.16566736707824317</v>
      </c>
      <c r="BR94" s="49">
        <f t="shared" si="172"/>
        <v>0.18375631585660893</v>
      </c>
      <c r="BS94" s="49">
        <f t="shared" si="172"/>
        <v>0.16559511896342557</v>
      </c>
      <c r="BT94" s="49">
        <f t="shared" si="172"/>
        <v>0.17672779075274406</v>
      </c>
      <c r="BV94" s="37" t="s">
        <v>80</v>
      </c>
      <c r="BW94" t="s">
        <v>30</v>
      </c>
      <c r="BX94" t="s">
        <v>24</v>
      </c>
      <c r="BY94" t="s">
        <v>24</v>
      </c>
      <c r="BZ94" t="s">
        <v>42</v>
      </c>
      <c r="CA94" t="s">
        <v>25</v>
      </c>
      <c r="CB94" t="s">
        <v>41</v>
      </c>
      <c r="CC94" t="s">
        <v>24</v>
      </c>
      <c r="CD94" t="s">
        <v>35</v>
      </c>
      <c r="CE94" t="s">
        <v>30</v>
      </c>
      <c r="CF94" t="s">
        <v>30</v>
      </c>
      <c r="CG94" t="s">
        <v>30</v>
      </c>
      <c r="CH94" t="s">
        <v>30</v>
      </c>
      <c r="CI94" t="s">
        <v>24</v>
      </c>
      <c r="CJ94" t="s">
        <v>42</v>
      </c>
      <c r="CK94" t="s">
        <v>42</v>
      </c>
      <c r="CL94" t="s">
        <v>30</v>
      </c>
      <c r="CM94" t="s">
        <v>41</v>
      </c>
      <c r="CN94" t="s">
        <v>43</v>
      </c>
      <c r="CO94" t="s">
        <v>35</v>
      </c>
      <c r="CP94" t="s">
        <v>25</v>
      </c>
      <c r="CQ94" t="s">
        <v>43</v>
      </c>
      <c r="CR94" t="s">
        <v>35</v>
      </c>
      <c r="CS94" t="s">
        <v>30</v>
      </c>
      <c r="CT94" t="s">
        <v>25</v>
      </c>
      <c r="CU94" t="s">
        <v>25</v>
      </c>
      <c r="CV94" t="s">
        <v>42</v>
      </c>
      <c r="CW94" t="s">
        <v>42</v>
      </c>
      <c r="CX94" t="s">
        <v>43</v>
      </c>
      <c r="CY94" t="s">
        <v>25</v>
      </c>
      <c r="CZ94" t="s">
        <v>24</v>
      </c>
      <c r="DA94" t="s">
        <v>25</v>
      </c>
      <c r="DB94" t="s">
        <v>25</v>
      </c>
      <c r="DC94" t="s">
        <v>30</v>
      </c>
      <c r="DD94" t="s">
        <v>30</v>
      </c>
    </row>
    <row r="95" spans="1:108" x14ac:dyDescent="0.35">
      <c r="B95" s="39" t="s">
        <v>93</v>
      </c>
      <c r="C95" s="15">
        <f>1-SUM(C96:C100)</f>
        <v>0.37505446590769809</v>
      </c>
      <c r="D95" s="15">
        <f t="shared" ref="D95" si="173">1-SUM(D96:D100)</f>
        <v>0.38065446590769825</v>
      </c>
      <c r="E95" s="15">
        <f t="shared" ref="E95" si="174">1-SUM(E96:E100)</f>
        <v>0.36905446590769819</v>
      </c>
      <c r="F95" s="15">
        <f t="shared" ref="F95" si="175">1-SUM(F96:F100)</f>
        <v>0.36425446590769817</v>
      </c>
      <c r="G95" s="15">
        <f t="shared" ref="G95" si="176">1-SUM(G96:G100)</f>
        <v>0.37295446590769799</v>
      </c>
      <c r="H95" s="15">
        <f t="shared" ref="H95" si="177">1-SUM(H96:H100)</f>
        <v>0.34795446590769818</v>
      </c>
      <c r="I95" s="15">
        <f t="shared" ref="I95" si="178">1-SUM(I96:I100)</f>
        <v>0.35015446590769816</v>
      </c>
      <c r="J95" s="15">
        <f t="shared" ref="J95" si="179">1-SUM(J96:J100)</f>
        <v>0.35925446590769805</v>
      </c>
      <c r="K95" s="15">
        <f t="shared" ref="K95" si="180">1-SUM(K96:K100)</f>
        <v>0.3356544659076981</v>
      </c>
      <c r="L95" s="15">
        <f t="shared" ref="L95" si="181">1-SUM(L96:L100)</f>
        <v>0.35045446590769813</v>
      </c>
      <c r="M95" s="15">
        <f t="shared" ref="M95" si="182">1-SUM(M96:M100)</f>
        <v>0.33275446590769808</v>
      </c>
      <c r="N95" s="15">
        <f t="shared" ref="N95" si="183">1-SUM(N96:N100)</f>
        <v>0.34455446590769812</v>
      </c>
      <c r="O95" s="15">
        <f t="shared" ref="O95" si="184">1-SUM(O96:O100)</f>
        <v>0.36095446590769809</v>
      </c>
      <c r="P95" s="15">
        <f t="shared" ref="P95" si="185">1-SUM(P96:P100)</f>
        <v>0.3851544659076982</v>
      </c>
      <c r="Q95" s="15">
        <f t="shared" ref="Q95" si="186">1-SUM(Q96:Q100)</f>
        <v>0.40095446590769812</v>
      </c>
      <c r="R95" s="15">
        <f t="shared" ref="R95" si="187">1-SUM(R96:R100)</f>
        <v>0.33335446590769813</v>
      </c>
      <c r="S95" s="15">
        <f t="shared" ref="S95" si="188">1-SUM(S96:S100)</f>
        <v>0.37025446590769817</v>
      </c>
      <c r="T95" s="15">
        <f t="shared" ref="T95" si="189">1-SUM(T96:T100)</f>
        <v>0.38645446590769816</v>
      </c>
      <c r="U95" s="15">
        <f t="shared" ref="U95" si="190">1-SUM(U96:U100)</f>
        <v>0.36205446590769808</v>
      </c>
      <c r="V95" s="15">
        <f t="shared" ref="V95" si="191">1-SUM(V96:V100)</f>
        <v>0.35055446590769812</v>
      </c>
      <c r="W95" s="15">
        <f t="shared" ref="W95" si="192">1-SUM(W96:W100)</f>
        <v>0.36915446590769818</v>
      </c>
      <c r="X95" s="15">
        <f t="shared" ref="X95" si="193">1-SUM(X96:X100)</f>
        <v>0.35235446590769814</v>
      </c>
      <c r="Y95" s="15">
        <f t="shared" ref="Y95" si="194">1-SUM(Y96:Y100)</f>
        <v>0.39265446590769804</v>
      </c>
      <c r="Z95" s="15">
        <f t="shared" ref="Z95" si="195">1-SUM(Z96:Z100)</f>
        <v>0.37735446590769817</v>
      </c>
      <c r="AA95" s="15">
        <f t="shared" ref="AA95" si="196">1-SUM(AA96:AA100)</f>
        <v>0.39945446590769806</v>
      </c>
      <c r="AB95" s="15">
        <f t="shared" ref="AB95" si="197">1-SUM(AB96:AB100)</f>
        <v>0.36645446590769815</v>
      </c>
      <c r="AC95" s="15">
        <f t="shared" ref="AC95" si="198">1-SUM(AC96:AC100)</f>
        <v>0.38055446590769804</v>
      </c>
      <c r="AD95" s="15">
        <f t="shared" ref="AD95" si="199">1-SUM(AD96:AD100)</f>
        <v>0.34645446590769802</v>
      </c>
      <c r="AE95" s="15">
        <f t="shared" ref="AE95" si="200">1-SUM(AE96:AE100)</f>
        <v>0.37135446590769805</v>
      </c>
      <c r="AF95" s="15">
        <f t="shared" ref="AF95" si="201">1-SUM(AF96:AF100)</f>
        <v>0.36905446590769808</v>
      </c>
      <c r="AG95" s="15">
        <f t="shared" ref="AG95" si="202">1-SUM(AG96:AG100)</f>
        <v>0.38515446590769808</v>
      </c>
      <c r="AH95" s="15">
        <f t="shared" ref="AH95" si="203">1-SUM(AH96:AH100)</f>
        <v>0.41545446590769808</v>
      </c>
      <c r="AI95" s="15">
        <f t="shared" ref="AI95" si="204">1-SUM(AI96:AI100)</f>
        <v>0.38235446590769817</v>
      </c>
      <c r="AJ95" s="15">
        <f t="shared" ref="AJ95" si="205">1-SUM(AJ96:AJ100)</f>
        <v>0.39065446590769815</v>
      </c>
      <c r="AK95" s="5"/>
      <c r="AL95" s="39" t="s">
        <v>93</v>
      </c>
      <c r="AM95" s="30">
        <v>0.15315273770378868</v>
      </c>
      <c r="AN95" s="30">
        <v>0.14596895129986859</v>
      </c>
      <c r="AO95" s="30">
        <v>0.18603344778269901</v>
      </c>
      <c r="AP95" s="30">
        <v>0.19487022182038488</v>
      </c>
      <c r="AQ95" s="30">
        <v>0.12733324697374424</v>
      </c>
      <c r="AR95" s="30">
        <v>0.1795122644685124</v>
      </c>
      <c r="AS95" s="30">
        <v>0.14686594507491263</v>
      </c>
      <c r="AT95" s="30">
        <v>0.10648106206026156</v>
      </c>
      <c r="AU95" s="30">
        <v>0.17284937406637851</v>
      </c>
      <c r="AV95" s="30">
        <v>0.16674075369265595</v>
      </c>
      <c r="AW95" s="30">
        <v>0.15990540132233694</v>
      </c>
      <c r="AX95" s="30">
        <v>0.13430478779951971</v>
      </c>
      <c r="AY95" s="30">
        <v>0.12164132889314125</v>
      </c>
      <c r="AZ95" s="30">
        <v>0.11457192578523281</v>
      </c>
      <c r="BA95" s="30">
        <v>0.13931085585054981</v>
      </c>
      <c r="BB95" s="30">
        <v>0.15194161574627918</v>
      </c>
      <c r="BC95" s="30">
        <v>0.19739670090442626</v>
      </c>
      <c r="BD95" s="30">
        <v>0.18240670782354346</v>
      </c>
      <c r="BE95" s="30">
        <v>0.16703926932041699</v>
      </c>
      <c r="BF95" s="30">
        <v>0.18937763198571139</v>
      </c>
      <c r="BG95" s="30">
        <v>0.19210694054332203</v>
      </c>
      <c r="BH95" s="30">
        <v>0.17755163993656062</v>
      </c>
      <c r="BI95" s="30">
        <v>0.18502363446554865</v>
      </c>
      <c r="BJ95" s="30">
        <v>0.17143185662668392</v>
      </c>
      <c r="BK95" s="30">
        <v>0.16490870558421325</v>
      </c>
      <c r="BL95" s="30">
        <v>0.16102124715386698</v>
      </c>
      <c r="BM95" s="30">
        <v>0.15036915830779557</v>
      </c>
      <c r="BN95" s="30">
        <v>0.17756446848256674</v>
      </c>
      <c r="BO95" s="30">
        <v>0.15321200030549012</v>
      </c>
      <c r="BP95" s="30">
        <v>0.16945189160163568</v>
      </c>
      <c r="BQ95" s="30">
        <v>0.16338582847308128</v>
      </c>
      <c r="BR95" s="30">
        <v>0.18135696965191705</v>
      </c>
      <c r="BS95" s="30">
        <v>0.16371244013808436</v>
      </c>
      <c r="BT95" s="30">
        <v>0.17480170699861228</v>
      </c>
      <c r="BV95" s="39" t="s">
        <v>93</v>
      </c>
      <c r="BW95" t="s">
        <v>43</v>
      </c>
      <c r="BX95" t="s">
        <v>30</v>
      </c>
      <c r="BY95" t="s">
        <v>43</v>
      </c>
      <c r="BZ95" t="s">
        <v>30</v>
      </c>
      <c r="CA95" t="s">
        <v>35</v>
      </c>
      <c r="CB95" t="s">
        <v>35</v>
      </c>
      <c r="CC95" t="s">
        <v>30</v>
      </c>
      <c r="CD95" t="s">
        <v>25</v>
      </c>
      <c r="CE95" t="s">
        <v>35</v>
      </c>
      <c r="CF95" t="s">
        <v>42</v>
      </c>
      <c r="CG95" t="s">
        <v>43</v>
      </c>
      <c r="CH95" t="s">
        <v>42</v>
      </c>
      <c r="CI95" t="s">
        <v>24</v>
      </c>
      <c r="CJ95" t="s">
        <v>43</v>
      </c>
      <c r="CK95" t="s">
        <v>35</v>
      </c>
      <c r="CL95" t="s">
        <v>30</v>
      </c>
      <c r="CM95" t="s">
        <v>25</v>
      </c>
      <c r="CN95" t="s">
        <v>30</v>
      </c>
      <c r="CO95" t="s">
        <v>24</v>
      </c>
      <c r="CP95" t="s">
        <v>35</v>
      </c>
      <c r="CQ95" t="s">
        <v>25</v>
      </c>
      <c r="CR95" t="s">
        <v>41</v>
      </c>
      <c r="CS95" t="s">
        <v>25</v>
      </c>
      <c r="CT95" t="s">
        <v>30</v>
      </c>
      <c r="CU95" t="s">
        <v>35</v>
      </c>
      <c r="CV95" t="s">
        <v>24</v>
      </c>
      <c r="CW95" t="s">
        <v>43</v>
      </c>
      <c r="CX95" t="s">
        <v>42</v>
      </c>
      <c r="CY95" t="s">
        <v>43</v>
      </c>
      <c r="CZ95" t="s">
        <v>25</v>
      </c>
      <c r="DA95" t="s">
        <v>41</v>
      </c>
      <c r="DB95" t="s">
        <v>24</v>
      </c>
      <c r="DC95" t="s">
        <v>43</v>
      </c>
      <c r="DD95" t="s">
        <v>42</v>
      </c>
    </row>
    <row r="96" spans="1:108" x14ac:dyDescent="0.35">
      <c r="B96" s="39" t="s">
        <v>94</v>
      </c>
      <c r="C96" s="15">
        <v>0.16208442850228036</v>
      </c>
      <c r="D96" s="15">
        <v>0.14818442850228036</v>
      </c>
      <c r="E96" s="15">
        <v>0.16248442850228037</v>
      </c>
      <c r="F96" s="15">
        <v>0.17588442850228037</v>
      </c>
      <c r="G96" s="15">
        <v>0.15818442850228037</v>
      </c>
      <c r="H96" s="15">
        <v>0.16918442850228035</v>
      </c>
      <c r="I96" s="15">
        <v>0.16688442850228036</v>
      </c>
      <c r="J96" s="15">
        <v>0.17788442850228037</v>
      </c>
      <c r="K96" s="15">
        <v>0.17248442850228035</v>
      </c>
      <c r="L96" s="15">
        <v>0.16938442850228036</v>
      </c>
      <c r="M96" s="15">
        <v>0.16348442850228037</v>
      </c>
      <c r="N96" s="15">
        <v>0.16468442850228035</v>
      </c>
      <c r="O96" s="15">
        <v>0.15848442850228037</v>
      </c>
      <c r="P96" s="15">
        <v>0.15308442850228035</v>
      </c>
      <c r="Q96" s="15">
        <v>0.16028442850228036</v>
      </c>
      <c r="R96" s="15">
        <v>0.17348442850228035</v>
      </c>
      <c r="S96" s="15">
        <v>0.16938442850228036</v>
      </c>
      <c r="T96" s="15">
        <v>0.14868442850228036</v>
      </c>
      <c r="U96" s="15">
        <v>0.16968442850228035</v>
      </c>
      <c r="V96" s="15">
        <v>0.16198442850228037</v>
      </c>
      <c r="W96" s="15">
        <v>0.15108442850228035</v>
      </c>
      <c r="X96" s="15">
        <v>0.16918442850228035</v>
      </c>
      <c r="Y96" s="15">
        <v>0.16408442850228036</v>
      </c>
      <c r="Z96" s="15">
        <v>0.16728442850228037</v>
      </c>
      <c r="AA96" s="15">
        <v>0.15358442850228035</v>
      </c>
      <c r="AB96" s="15">
        <v>0.16388442850228035</v>
      </c>
      <c r="AC96" s="15">
        <v>0.16128442850228036</v>
      </c>
      <c r="AD96" s="15">
        <v>0.16628442850228037</v>
      </c>
      <c r="AE96" s="15">
        <v>0.17628442850228035</v>
      </c>
      <c r="AF96" s="15">
        <v>0.17778442850228035</v>
      </c>
      <c r="AG96" s="15">
        <v>0.17638442850228037</v>
      </c>
      <c r="AH96" s="15">
        <v>0.15298442850228036</v>
      </c>
      <c r="AI96" s="15">
        <v>0.14958442850228035</v>
      </c>
      <c r="AJ96" s="15">
        <v>0.15288442850228035</v>
      </c>
      <c r="AK96" s="5"/>
      <c r="AL96" s="39" t="s">
        <v>94</v>
      </c>
      <c r="AM96" s="30">
        <v>0.16000568603136622</v>
      </c>
      <c r="AN96" s="30">
        <v>0.15282189962744613</v>
      </c>
      <c r="AO96" s="30">
        <v>0.19288639611027655</v>
      </c>
      <c r="AP96" s="30">
        <v>0.20172317014796243</v>
      </c>
      <c r="AQ96" s="30">
        <v>0.13418619530132178</v>
      </c>
      <c r="AR96" s="30">
        <v>0.18636521279608995</v>
      </c>
      <c r="AS96" s="30">
        <v>0.15371889340249018</v>
      </c>
      <c r="AT96" s="30">
        <v>0.11333401038783911</v>
      </c>
      <c r="AU96" s="30">
        <v>0.17970232239395606</v>
      </c>
      <c r="AV96" s="30">
        <v>0.1735937020202335</v>
      </c>
      <c r="AW96" s="30">
        <v>0.16675834964991448</v>
      </c>
      <c r="AX96" s="30">
        <v>0.14115773612709726</v>
      </c>
      <c r="AY96" s="30">
        <v>0.12849427722071879</v>
      </c>
      <c r="AZ96" s="30">
        <v>0.12142487411281036</v>
      </c>
      <c r="BA96" s="30">
        <v>0.14616380417812735</v>
      </c>
      <c r="BB96" s="30">
        <v>0.15879456407385673</v>
      </c>
      <c r="BC96" s="30">
        <v>0.20424964923200381</v>
      </c>
      <c r="BD96" s="30">
        <v>0.189259656151121</v>
      </c>
      <c r="BE96" s="30">
        <v>0.17389221764799453</v>
      </c>
      <c r="BF96" s="30">
        <v>0.19623058031328894</v>
      </c>
      <c r="BG96" s="30">
        <v>0.19895988887089958</v>
      </c>
      <c r="BH96" s="30">
        <v>0.18440458826413816</v>
      </c>
      <c r="BI96" s="30">
        <v>0.19187658279312619</v>
      </c>
      <c r="BJ96" s="30">
        <v>0.17828480495426147</v>
      </c>
      <c r="BK96" s="30">
        <v>0.1717616539117908</v>
      </c>
      <c r="BL96" s="30">
        <v>0.16787419548144453</v>
      </c>
      <c r="BM96" s="30">
        <v>0.15722210663537312</v>
      </c>
      <c r="BN96" s="30">
        <v>0.18441741681014429</v>
      </c>
      <c r="BO96" s="30">
        <v>0.16006494863306767</v>
      </c>
      <c r="BP96" s="30">
        <v>0.17630483992921323</v>
      </c>
      <c r="BQ96" s="30">
        <v>0.17023877680065883</v>
      </c>
      <c r="BR96" s="30">
        <v>0.1882099179794946</v>
      </c>
      <c r="BS96" s="30">
        <v>0.17056538846566191</v>
      </c>
      <c r="BT96" s="30">
        <v>0.18165465532618982</v>
      </c>
      <c r="BV96" s="39" t="s">
        <v>94</v>
      </c>
      <c r="BW96" t="s">
        <v>42</v>
      </c>
      <c r="BX96" t="s">
        <v>42</v>
      </c>
      <c r="BY96" t="s">
        <v>24</v>
      </c>
      <c r="BZ96" t="s">
        <v>41</v>
      </c>
      <c r="CA96" t="s">
        <v>25</v>
      </c>
      <c r="CB96" t="s">
        <v>35</v>
      </c>
      <c r="CC96" t="s">
        <v>41</v>
      </c>
      <c r="CD96" t="s">
        <v>43</v>
      </c>
      <c r="CE96" t="s">
        <v>42</v>
      </c>
      <c r="CF96" t="s">
        <v>41</v>
      </c>
      <c r="CG96" t="s">
        <v>43</v>
      </c>
      <c r="CH96" t="s">
        <v>43</v>
      </c>
      <c r="CI96" t="s">
        <v>42</v>
      </c>
      <c r="CJ96" t="s">
        <v>42</v>
      </c>
      <c r="CK96" t="s">
        <v>43</v>
      </c>
      <c r="CL96" t="s">
        <v>42</v>
      </c>
      <c r="CM96" t="s">
        <v>24</v>
      </c>
      <c r="CN96" t="s">
        <v>30</v>
      </c>
      <c r="CO96" t="s">
        <v>42</v>
      </c>
      <c r="CP96" t="s">
        <v>42</v>
      </c>
      <c r="CQ96" t="s">
        <v>24</v>
      </c>
      <c r="CR96" t="s">
        <v>43</v>
      </c>
      <c r="CS96" t="s">
        <v>43</v>
      </c>
      <c r="CT96" t="s">
        <v>41</v>
      </c>
      <c r="CU96" t="s">
        <v>25</v>
      </c>
      <c r="CV96" t="s">
        <v>42</v>
      </c>
      <c r="CW96" t="s">
        <v>42</v>
      </c>
      <c r="CX96" t="s">
        <v>41</v>
      </c>
      <c r="CY96" t="s">
        <v>41</v>
      </c>
      <c r="CZ96" t="s">
        <v>24</v>
      </c>
      <c r="DA96" t="s">
        <v>43</v>
      </c>
      <c r="DB96" t="s">
        <v>30</v>
      </c>
      <c r="DC96" t="s">
        <v>24</v>
      </c>
      <c r="DD96" t="s">
        <v>35</v>
      </c>
    </row>
    <row r="97" spans="1:108" x14ac:dyDescent="0.35">
      <c r="B97" s="39" t="s">
        <v>95</v>
      </c>
      <c r="C97" s="15">
        <v>8.6356457808591996E-2</v>
      </c>
      <c r="D97" s="15">
        <v>0.103456457808592</v>
      </c>
      <c r="E97" s="15">
        <v>9.9756457808591992E-2</v>
      </c>
      <c r="F97" s="15">
        <v>9.3156457808591997E-2</v>
      </c>
      <c r="G97" s="15">
        <v>8.0356457808591991E-2</v>
      </c>
      <c r="H97" s="15">
        <v>9.3956457808591992E-2</v>
      </c>
      <c r="I97" s="15">
        <v>9.9556457808592E-2</v>
      </c>
      <c r="J97" s="15">
        <v>7.8556457808591995E-2</v>
      </c>
      <c r="K97" s="15">
        <v>8.8856457808591999E-2</v>
      </c>
      <c r="L97" s="15">
        <v>9.2656457808591997E-2</v>
      </c>
      <c r="M97" s="15">
        <v>9.1256457808591998E-2</v>
      </c>
      <c r="N97" s="15">
        <v>9.9356457808591994E-2</v>
      </c>
      <c r="O97" s="15">
        <v>7.5556457808591992E-2</v>
      </c>
      <c r="P97" s="15">
        <v>9.6856457808591992E-2</v>
      </c>
      <c r="Q97" s="15">
        <v>9.1256457808591998E-2</v>
      </c>
      <c r="R97" s="15">
        <v>9.5856457808591991E-2</v>
      </c>
      <c r="S97" s="15">
        <v>7.5656457808591995E-2</v>
      </c>
      <c r="T97" s="15">
        <v>8.0756457808592003E-2</v>
      </c>
      <c r="U97" s="15">
        <v>9.2356457808592002E-2</v>
      </c>
      <c r="V97" s="15">
        <v>8.9456457808592002E-2</v>
      </c>
      <c r="W97" s="15">
        <v>8.8856457808591999E-2</v>
      </c>
      <c r="X97" s="15">
        <v>9.8156457808592001E-2</v>
      </c>
      <c r="Y97" s="15">
        <v>7.4256457808591997E-2</v>
      </c>
      <c r="Z97" s="15">
        <v>7.4956457808592003E-2</v>
      </c>
      <c r="AA97" s="15">
        <v>7.9056457808591996E-2</v>
      </c>
      <c r="AB97" s="15">
        <v>7.7056457808591994E-2</v>
      </c>
      <c r="AC97" s="15">
        <v>7.6556457808591993E-2</v>
      </c>
      <c r="AD97" s="15">
        <v>9.7156457808592001E-2</v>
      </c>
      <c r="AE97" s="15">
        <v>7.1556457808591989E-2</v>
      </c>
      <c r="AF97" s="15">
        <v>7.5856457808592001E-2</v>
      </c>
      <c r="AG97" s="15">
        <v>7.9856457808591991E-2</v>
      </c>
      <c r="AH97" s="15">
        <v>8.805645780859199E-2</v>
      </c>
      <c r="AI97" s="15">
        <v>0.101156457808592</v>
      </c>
      <c r="AJ97" s="15">
        <v>7.1256457808591994E-2</v>
      </c>
      <c r="AK97" s="5"/>
      <c r="AL97" s="39" t="s">
        <v>95</v>
      </c>
      <c r="AM97" s="30">
        <v>0.14658159910066865</v>
      </c>
      <c r="AN97" s="30">
        <v>0.13939781269674856</v>
      </c>
      <c r="AO97" s="30">
        <v>0.17946230917957898</v>
      </c>
      <c r="AP97" s="30">
        <v>0.18829908321726485</v>
      </c>
      <c r="AQ97" s="30">
        <v>0.1207621083706242</v>
      </c>
      <c r="AR97" s="30">
        <v>0.17294112586539237</v>
      </c>
      <c r="AS97" s="30">
        <v>0.1402948064717926</v>
      </c>
      <c r="AT97" s="30">
        <v>9.9909923457141531E-2</v>
      </c>
      <c r="AU97" s="30">
        <v>0.16627823546325848</v>
      </c>
      <c r="AV97" s="30">
        <v>0.16016961508953592</v>
      </c>
      <c r="AW97" s="30">
        <v>0.15333426271921691</v>
      </c>
      <c r="AX97" s="30">
        <v>0.12773364919639968</v>
      </c>
      <c r="AY97" s="30">
        <v>0.11507019029002122</v>
      </c>
      <c r="AZ97" s="30">
        <v>0.10800078718211278</v>
      </c>
      <c r="BA97" s="30">
        <v>0.13273971724742978</v>
      </c>
      <c r="BB97" s="30">
        <v>0.14537047714315915</v>
      </c>
      <c r="BC97" s="30">
        <v>0.19082556230130623</v>
      </c>
      <c r="BD97" s="30">
        <v>0.17583556922042343</v>
      </c>
      <c r="BE97" s="30">
        <v>0.16046813071729696</v>
      </c>
      <c r="BF97" s="30">
        <v>0.18280649338259136</v>
      </c>
      <c r="BG97" s="30">
        <v>0.185535801940202</v>
      </c>
      <c r="BH97" s="30">
        <v>0.17098050133344059</v>
      </c>
      <c r="BI97" s="30">
        <v>0.17845249586242862</v>
      </c>
      <c r="BJ97" s="30">
        <v>0.16486071802356389</v>
      </c>
      <c r="BK97" s="30">
        <v>0.15833756698109322</v>
      </c>
      <c r="BL97" s="30">
        <v>0.15445010855074695</v>
      </c>
      <c r="BM97" s="30">
        <v>0.14379801970467554</v>
      </c>
      <c r="BN97" s="30">
        <v>0.17099332987944671</v>
      </c>
      <c r="BO97" s="30">
        <v>0.14664086170237009</v>
      </c>
      <c r="BP97" s="30">
        <v>0.16288075299851565</v>
      </c>
      <c r="BQ97" s="30">
        <v>0.15681468986996125</v>
      </c>
      <c r="BR97" s="30">
        <v>0.17478583104879702</v>
      </c>
      <c r="BS97" s="30">
        <v>0.15714130153496433</v>
      </c>
      <c r="BT97" s="30">
        <v>0.16823056839549225</v>
      </c>
      <c r="BV97" s="39" t="s">
        <v>95</v>
      </c>
      <c r="BW97" t="s">
        <v>25</v>
      </c>
      <c r="BX97" t="s">
        <v>35</v>
      </c>
      <c r="BY97" t="s">
        <v>35</v>
      </c>
      <c r="BZ97" t="s">
        <v>43</v>
      </c>
      <c r="CA97" t="s">
        <v>42</v>
      </c>
      <c r="CB97" t="s">
        <v>25</v>
      </c>
      <c r="CC97" t="s">
        <v>25</v>
      </c>
      <c r="CD97" t="s">
        <v>35</v>
      </c>
      <c r="CE97" t="s">
        <v>35</v>
      </c>
      <c r="CF97" t="s">
        <v>41</v>
      </c>
      <c r="CG97" t="s">
        <v>42</v>
      </c>
      <c r="CH97" t="s">
        <v>30</v>
      </c>
      <c r="CI97" t="s">
        <v>35</v>
      </c>
      <c r="CJ97" t="s">
        <v>25</v>
      </c>
      <c r="CK97" t="s">
        <v>42</v>
      </c>
      <c r="CL97" t="s">
        <v>24</v>
      </c>
      <c r="CM97" t="s">
        <v>24</v>
      </c>
      <c r="CN97" t="s">
        <v>41</v>
      </c>
      <c r="CO97" t="s">
        <v>35</v>
      </c>
      <c r="CP97" t="s">
        <v>24</v>
      </c>
      <c r="CQ97" t="s">
        <v>25</v>
      </c>
      <c r="CR97" t="s">
        <v>43</v>
      </c>
      <c r="CS97" t="s">
        <v>24</v>
      </c>
      <c r="CT97" t="s">
        <v>43</v>
      </c>
      <c r="CU97" t="s">
        <v>24</v>
      </c>
      <c r="CV97" t="s">
        <v>35</v>
      </c>
      <c r="CW97" t="s">
        <v>41</v>
      </c>
      <c r="CX97" t="s">
        <v>24</v>
      </c>
      <c r="CY97" t="s">
        <v>30</v>
      </c>
      <c r="CZ97" t="s">
        <v>42</v>
      </c>
      <c r="DA97" t="s">
        <v>25</v>
      </c>
      <c r="DB97" t="s">
        <v>42</v>
      </c>
      <c r="DC97" t="s">
        <v>41</v>
      </c>
      <c r="DD97" t="s">
        <v>43</v>
      </c>
    </row>
    <row r="98" spans="1:108" x14ac:dyDescent="0.35">
      <c r="B98" s="39" t="s">
        <v>96</v>
      </c>
      <c r="C98" s="15">
        <v>7.0814060911528739E-2</v>
      </c>
      <c r="D98" s="15">
        <v>6.7014060911528742E-2</v>
      </c>
      <c r="E98" s="15">
        <v>8.4114060911528732E-2</v>
      </c>
      <c r="F98" s="15">
        <v>7.4414060911528745E-2</v>
      </c>
      <c r="G98" s="15">
        <v>7.0714060911528737E-2</v>
      </c>
      <c r="H98" s="15">
        <v>8.3214060911528734E-2</v>
      </c>
      <c r="I98" s="15">
        <v>7.8214060911528743E-2</v>
      </c>
      <c r="J98" s="15">
        <v>6.9914060911528741E-2</v>
      </c>
      <c r="K98" s="15">
        <v>8.1814060911528735E-2</v>
      </c>
      <c r="L98" s="15">
        <v>6.3914060911528736E-2</v>
      </c>
      <c r="M98" s="15">
        <v>8.6414060911528742E-2</v>
      </c>
      <c r="N98" s="15">
        <v>8.2214060911528747E-2</v>
      </c>
      <c r="O98" s="15">
        <v>8.7714060911528738E-2</v>
      </c>
      <c r="P98" s="15">
        <v>6.7814060911528737E-2</v>
      </c>
      <c r="Q98" s="15">
        <v>5.871406091152874E-2</v>
      </c>
      <c r="R98" s="15">
        <v>7.7214060911528742E-2</v>
      </c>
      <c r="S98" s="15">
        <v>6.8014060911528743E-2</v>
      </c>
      <c r="T98" s="15">
        <v>5.7814060911528742E-2</v>
      </c>
      <c r="U98" s="15">
        <v>6.0314060911528737E-2</v>
      </c>
      <c r="V98" s="15">
        <v>7.9614060911528742E-2</v>
      </c>
      <c r="W98" s="15">
        <v>6.6414060911528738E-2</v>
      </c>
      <c r="X98" s="15">
        <v>6.1714060911528743E-2</v>
      </c>
      <c r="Y98" s="15">
        <v>6.9314060911528738E-2</v>
      </c>
      <c r="Z98" s="15">
        <v>5.6714060911528738E-2</v>
      </c>
      <c r="AA98" s="15">
        <v>7.0814060911528739E-2</v>
      </c>
      <c r="AB98" s="15">
        <v>7.5914060911528747E-2</v>
      </c>
      <c r="AC98" s="15">
        <v>6.211406091152874E-2</v>
      </c>
      <c r="AD98" s="15">
        <v>7.5714060911528741E-2</v>
      </c>
      <c r="AE98" s="15">
        <v>7.9514060911528739E-2</v>
      </c>
      <c r="AF98" s="15">
        <v>8.5714060911528736E-2</v>
      </c>
      <c r="AG98" s="15">
        <v>7.3014060911528733E-2</v>
      </c>
      <c r="AH98" s="15">
        <v>5.7814060911528742E-2</v>
      </c>
      <c r="AI98" s="15">
        <v>7.2914060911528744E-2</v>
      </c>
      <c r="AJ98" s="15">
        <v>8.0814060911528734E-2</v>
      </c>
      <c r="AK98" s="5"/>
      <c r="AL98" s="39" t="s">
        <v>96</v>
      </c>
      <c r="AM98" s="30">
        <v>0.13231823987454971</v>
      </c>
      <c r="AN98" s="30">
        <v>0.12513445347062963</v>
      </c>
      <c r="AO98" s="30">
        <v>0.16519894995346007</v>
      </c>
      <c r="AP98" s="30">
        <v>0.17403572399114592</v>
      </c>
      <c r="AQ98" s="30">
        <v>0.10649874914450529</v>
      </c>
      <c r="AR98" s="30">
        <v>0.15867776663927347</v>
      </c>
      <c r="AS98" s="30">
        <v>0.12603144724567367</v>
      </c>
      <c r="AT98" s="30">
        <v>8.5646564231022612E-2</v>
      </c>
      <c r="AU98" s="30">
        <v>0.15201487623713955</v>
      </c>
      <c r="AV98" s="30">
        <v>0.14590625586341699</v>
      </c>
      <c r="AW98" s="30">
        <v>0.13907090349309797</v>
      </c>
      <c r="AX98" s="30">
        <v>0.11347028997028076</v>
      </c>
      <c r="AY98" s="30">
        <v>0.1008068310639023</v>
      </c>
      <c r="AZ98" s="30">
        <v>9.3737427955993866E-2</v>
      </c>
      <c r="BA98" s="30">
        <v>0.11847635802131086</v>
      </c>
      <c r="BB98" s="30">
        <v>0.13110711791704022</v>
      </c>
      <c r="BC98" s="30">
        <v>0.17656220307518733</v>
      </c>
      <c r="BD98" s="30">
        <v>0.16157220999430449</v>
      </c>
      <c r="BE98" s="30">
        <v>0.14620477149117805</v>
      </c>
      <c r="BF98" s="30">
        <v>0.16854313415647243</v>
      </c>
      <c r="BG98" s="30">
        <v>0.1712724427140831</v>
      </c>
      <c r="BH98" s="30">
        <v>0.15671714210732168</v>
      </c>
      <c r="BI98" s="30">
        <v>0.16418913663630968</v>
      </c>
      <c r="BJ98" s="30">
        <v>0.15059735879744496</v>
      </c>
      <c r="BK98" s="30">
        <v>0.14407420775497431</v>
      </c>
      <c r="BL98" s="30">
        <v>0.14018674932462805</v>
      </c>
      <c r="BM98" s="30">
        <v>0.12953466047855661</v>
      </c>
      <c r="BN98" s="30">
        <v>0.15672997065332778</v>
      </c>
      <c r="BO98" s="30">
        <v>0.13237750247625119</v>
      </c>
      <c r="BP98" s="30">
        <v>0.14861739377239674</v>
      </c>
      <c r="BQ98" s="30">
        <v>0.14255133064384234</v>
      </c>
      <c r="BR98" s="30">
        <v>0.16052247182267809</v>
      </c>
      <c r="BS98" s="30">
        <v>0.14287794230884543</v>
      </c>
      <c r="BT98" s="30">
        <v>0.15396720916937334</v>
      </c>
      <c r="BV98" s="39" t="s">
        <v>96</v>
      </c>
      <c r="BW98" t="s">
        <v>25</v>
      </c>
      <c r="BX98" t="s">
        <v>43</v>
      </c>
      <c r="BY98" t="s">
        <v>30</v>
      </c>
      <c r="BZ98" t="s">
        <v>24</v>
      </c>
      <c r="CA98" t="s">
        <v>43</v>
      </c>
      <c r="CB98" t="s">
        <v>35</v>
      </c>
      <c r="CC98" t="s">
        <v>41</v>
      </c>
      <c r="CD98" t="s">
        <v>35</v>
      </c>
      <c r="CE98" t="s">
        <v>42</v>
      </c>
      <c r="CF98" t="s">
        <v>35</v>
      </c>
      <c r="CG98" t="s">
        <v>43</v>
      </c>
      <c r="CH98" t="s">
        <v>35</v>
      </c>
      <c r="CI98" t="s">
        <v>25</v>
      </c>
      <c r="CJ98" t="s">
        <v>30</v>
      </c>
      <c r="CK98" t="s">
        <v>24</v>
      </c>
      <c r="CL98" t="s">
        <v>43</v>
      </c>
      <c r="CM98" t="s">
        <v>42</v>
      </c>
      <c r="CN98" t="s">
        <v>43</v>
      </c>
      <c r="CO98" t="s">
        <v>42</v>
      </c>
      <c r="CP98" t="s">
        <v>43</v>
      </c>
      <c r="CQ98" t="s">
        <v>25</v>
      </c>
      <c r="CR98" t="s">
        <v>30</v>
      </c>
      <c r="CS98" t="s">
        <v>35</v>
      </c>
      <c r="CT98" t="s">
        <v>35</v>
      </c>
      <c r="CU98" t="s">
        <v>30</v>
      </c>
      <c r="CV98" t="s">
        <v>42</v>
      </c>
      <c r="CW98" t="s">
        <v>35</v>
      </c>
      <c r="CX98" t="s">
        <v>30</v>
      </c>
      <c r="CY98" t="s">
        <v>43</v>
      </c>
      <c r="CZ98" t="s">
        <v>42</v>
      </c>
      <c r="DA98" t="s">
        <v>43</v>
      </c>
      <c r="DB98" t="s">
        <v>41</v>
      </c>
      <c r="DC98" t="s">
        <v>25</v>
      </c>
      <c r="DD98" t="s">
        <v>43</v>
      </c>
    </row>
    <row r="99" spans="1:108" x14ac:dyDescent="0.35">
      <c r="B99" s="39" t="s">
        <v>98</v>
      </c>
      <c r="C99" s="15">
        <v>0.2742221758974745</v>
      </c>
      <c r="D99" s="15">
        <v>0.26232217589747447</v>
      </c>
      <c r="E99" s="15">
        <v>0.25812217589747449</v>
      </c>
      <c r="F99" s="15">
        <v>0.26502217589747451</v>
      </c>
      <c r="G99" s="15">
        <v>0.28012217589747451</v>
      </c>
      <c r="H99" s="15">
        <v>0.27882217589747449</v>
      </c>
      <c r="I99" s="15">
        <v>0.26822217589747449</v>
      </c>
      <c r="J99" s="15">
        <v>0.28362217589747452</v>
      </c>
      <c r="K99" s="15">
        <v>0.28382217589747449</v>
      </c>
      <c r="L99" s="15">
        <v>0.29142217589747449</v>
      </c>
      <c r="M99" s="15">
        <v>0.29112217589747447</v>
      </c>
      <c r="N99" s="15">
        <v>0.26972217589747449</v>
      </c>
      <c r="O99" s="15">
        <v>0.28412217589747452</v>
      </c>
      <c r="P99" s="15">
        <v>0.26072217589747448</v>
      </c>
      <c r="Q99" s="15">
        <v>0.2621221758974745</v>
      </c>
      <c r="R99" s="15">
        <v>0.28082217589747449</v>
      </c>
      <c r="S99" s="15">
        <v>0.28752217589747447</v>
      </c>
      <c r="T99" s="15">
        <v>0.28692217589747449</v>
      </c>
      <c r="U99" s="15">
        <v>0.2898221758974745</v>
      </c>
      <c r="V99" s="15">
        <v>0.2792221758974745</v>
      </c>
      <c r="W99" s="15">
        <v>0.2903221758974745</v>
      </c>
      <c r="X99" s="15">
        <v>0.27942217589747448</v>
      </c>
      <c r="Y99" s="15">
        <v>0.27172217589747449</v>
      </c>
      <c r="Z99" s="15">
        <v>0.28502217589747447</v>
      </c>
      <c r="AA99" s="15">
        <v>0.2641221758974745</v>
      </c>
      <c r="AB99" s="15">
        <v>0.2883221758974745</v>
      </c>
      <c r="AC99" s="15">
        <v>0.28962217589747452</v>
      </c>
      <c r="AD99" s="15">
        <v>0.27982217589747449</v>
      </c>
      <c r="AE99" s="15">
        <v>0.27452217589747452</v>
      </c>
      <c r="AF99" s="15">
        <v>0.25842217589747452</v>
      </c>
      <c r="AG99" s="15">
        <v>0.25942217589747452</v>
      </c>
      <c r="AH99" s="15">
        <v>0.26002217589747451</v>
      </c>
      <c r="AI99" s="15">
        <v>0.26102217589747451</v>
      </c>
      <c r="AJ99" s="15">
        <v>0.26602217589747451</v>
      </c>
      <c r="AK99" s="5"/>
      <c r="AL99" s="39" t="s">
        <v>97</v>
      </c>
      <c r="AM99" s="30">
        <v>0.16664173903136623</v>
      </c>
      <c r="AN99" s="30">
        <v>0.15945795262744614</v>
      </c>
      <c r="AO99" s="30">
        <v>0.19952244911027656</v>
      </c>
      <c r="AP99" s="30">
        <v>0.20835922314796243</v>
      </c>
      <c r="AQ99" s="30">
        <v>0.14082224830132178</v>
      </c>
      <c r="AR99" s="30">
        <v>0.19300126579608995</v>
      </c>
      <c r="AS99" s="30">
        <v>0.16035494640249018</v>
      </c>
      <c r="AT99" s="30">
        <v>0.11997006338783911</v>
      </c>
      <c r="AU99" s="30">
        <v>0.18633837539395606</v>
      </c>
      <c r="AV99" s="30">
        <v>0.1802297550202335</v>
      </c>
      <c r="AW99" s="30">
        <v>0.17339440264991449</v>
      </c>
      <c r="AX99" s="30">
        <v>0.14779378912709726</v>
      </c>
      <c r="AY99" s="30">
        <v>0.1351303302207188</v>
      </c>
      <c r="AZ99" s="30">
        <v>0.12806092711281036</v>
      </c>
      <c r="BA99" s="30">
        <v>0.15279985717812736</v>
      </c>
      <c r="BB99" s="30">
        <v>0.16543061707385673</v>
      </c>
      <c r="BC99" s="30">
        <v>0.21088570223200381</v>
      </c>
      <c r="BD99" s="30">
        <v>0.19589570915112101</v>
      </c>
      <c r="BE99" s="30">
        <v>0.18052827064799454</v>
      </c>
      <c r="BF99" s="30">
        <v>0.20286663331328894</v>
      </c>
      <c r="BG99" s="30">
        <v>0.20559594187089958</v>
      </c>
      <c r="BH99" s="30">
        <v>0.19104064126413817</v>
      </c>
      <c r="BI99" s="30">
        <v>0.1985126357931262</v>
      </c>
      <c r="BJ99" s="30">
        <v>0.18492085795426147</v>
      </c>
      <c r="BK99" s="30">
        <v>0.1783977069117908</v>
      </c>
      <c r="BL99" s="30">
        <v>0.17451024848144453</v>
      </c>
      <c r="BM99" s="30">
        <v>0.16385815963537312</v>
      </c>
      <c r="BN99" s="30">
        <v>0.19105346981014429</v>
      </c>
      <c r="BO99" s="30">
        <v>0.16670100163306767</v>
      </c>
      <c r="BP99" s="30">
        <v>0.18294089292921323</v>
      </c>
      <c r="BQ99" s="30">
        <v>0.17687482980065883</v>
      </c>
      <c r="BR99" s="30">
        <v>0.1948459709794946</v>
      </c>
      <c r="BS99" s="30">
        <v>0.17720144146566191</v>
      </c>
      <c r="BT99" s="30">
        <v>0.18829070832618983</v>
      </c>
      <c r="BV99" s="39" t="s">
        <v>97</v>
      </c>
      <c r="BW99" t="s">
        <v>42</v>
      </c>
      <c r="BX99" t="s">
        <v>42</v>
      </c>
      <c r="BY99" t="s">
        <v>25</v>
      </c>
      <c r="BZ99" t="s">
        <v>35</v>
      </c>
      <c r="CA99" t="s">
        <v>41</v>
      </c>
      <c r="CB99" t="s">
        <v>24</v>
      </c>
      <c r="CC99" t="s">
        <v>24</v>
      </c>
      <c r="CD99" t="s">
        <v>41</v>
      </c>
      <c r="CE99" t="s">
        <v>42</v>
      </c>
      <c r="CF99" t="s">
        <v>25</v>
      </c>
      <c r="CG99" t="s">
        <v>24</v>
      </c>
      <c r="CH99" t="s">
        <v>24</v>
      </c>
      <c r="CI99" t="s">
        <v>24</v>
      </c>
      <c r="CJ99" t="s">
        <v>41</v>
      </c>
      <c r="CK99" t="s">
        <v>25</v>
      </c>
      <c r="CL99" t="s">
        <v>30</v>
      </c>
      <c r="CM99" t="s">
        <v>25</v>
      </c>
      <c r="CN99" t="s">
        <v>25</v>
      </c>
      <c r="CO99" t="s">
        <v>41</v>
      </c>
      <c r="CP99" t="s">
        <v>41</v>
      </c>
      <c r="CQ99" t="s">
        <v>35</v>
      </c>
      <c r="CR99" t="s">
        <v>35</v>
      </c>
      <c r="CS99" t="s">
        <v>25</v>
      </c>
      <c r="CT99" t="s">
        <v>41</v>
      </c>
      <c r="CU99" t="s">
        <v>43</v>
      </c>
      <c r="CV99" t="s">
        <v>35</v>
      </c>
      <c r="CW99" t="s">
        <v>25</v>
      </c>
      <c r="CX99" t="s">
        <v>41</v>
      </c>
      <c r="CY99" t="s">
        <v>42</v>
      </c>
      <c r="CZ99" t="s">
        <v>43</v>
      </c>
      <c r="DA99" t="s">
        <v>30</v>
      </c>
      <c r="DB99" t="s">
        <v>35</v>
      </c>
      <c r="DC99" t="s">
        <v>35</v>
      </c>
      <c r="DD99" t="s">
        <v>43</v>
      </c>
    </row>
    <row r="100" spans="1:108" x14ac:dyDescent="0.35">
      <c r="B100" s="39" t="s">
        <v>97</v>
      </c>
      <c r="C100" s="15">
        <v>3.1468410972426301E-2</v>
      </c>
      <c r="D100" s="15">
        <v>3.8368410972426291E-2</v>
      </c>
      <c r="E100" s="15">
        <v>2.64684109724263E-2</v>
      </c>
      <c r="F100" s="15">
        <v>2.7268410972426303E-2</v>
      </c>
      <c r="G100" s="15">
        <v>3.7668410972426299E-2</v>
      </c>
      <c r="H100" s="15">
        <v>2.6868410972426305E-2</v>
      </c>
      <c r="I100" s="15">
        <v>3.6968410972426299E-2</v>
      </c>
      <c r="J100" s="15">
        <v>3.0768410972426302E-2</v>
      </c>
      <c r="K100" s="15">
        <v>3.7368410972426297E-2</v>
      </c>
      <c r="L100" s="15">
        <v>3.2168410972426301E-2</v>
      </c>
      <c r="M100" s="15">
        <v>3.4968410972426305E-2</v>
      </c>
      <c r="N100" s="15">
        <v>3.9468410972426295E-2</v>
      </c>
      <c r="O100" s="15">
        <v>3.3168410972426295E-2</v>
      </c>
      <c r="P100" s="15">
        <v>3.6368410972426317E-2</v>
      </c>
      <c r="Q100" s="15">
        <v>2.6668410972426306E-2</v>
      </c>
      <c r="R100" s="15">
        <v>3.9268410972426296E-2</v>
      </c>
      <c r="S100" s="15">
        <v>2.9168410972426308E-2</v>
      </c>
      <c r="T100" s="15">
        <v>3.9368410972426299E-2</v>
      </c>
      <c r="U100" s="15">
        <v>2.5768410972426301E-2</v>
      </c>
      <c r="V100" s="15">
        <v>3.91684109724263E-2</v>
      </c>
      <c r="W100" s="15">
        <v>3.4168410972426302E-2</v>
      </c>
      <c r="X100" s="15">
        <v>3.9168410972426293E-2</v>
      </c>
      <c r="Y100" s="15">
        <v>2.7968410972426312E-2</v>
      </c>
      <c r="Z100" s="15">
        <v>3.8668410972426293E-2</v>
      </c>
      <c r="AA100" s="15">
        <v>3.2968410972426303E-2</v>
      </c>
      <c r="AB100" s="15">
        <v>2.8368410972426303E-2</v>
      </c>
      <c r="AC100" s="15">
        <v>2.9868410972426301E-2</v>
      </c>
      <c r="AD100" s="15">
        <v>3.4568410972426314E-2</v>
      </c>
      <c r="AE100" s="15">
        <v>2.6768410972426306E-2</v>
      </c>
      <c r="AF100" s="15">
        <v>3.3168410972426302E-2</v>
      </c>
      <c r="AG100" s="15">
        <v>2.6168410972426302E-2</v>
      </c>
      <c r="AH100" s="15">
        <v>2.5668410972426309E-2</v>
      </c>
      <c r="AI100" s="15">
        <v>3.2968410972426289E-2</v>
      </c>
      <c r="AJ100" s="15">
        <v>3.8368410972426298E-2</v>
      </c>
      <c r="AK100" s="5"/>
      <c r="AL100" s="39" t="s">
        <v>98</v>
      </c>
      <c r="AM100" s="30">
        <v>0.1386084194240495</v>
      </c>
      <c r="AN100" s="30">
        <v>0.13142463302012941</v>
      </c>
      <c r="AO100" s="30">
        <v>0.17148912950295983</v>
      </c>
      <c r="AP100" s="30">
        <v>0.1803259035406457</v>
      </c>
      <c r="AQ100" s="30">
        <v>0.11278892869400506</v>
      </c>
      <c r="AR100" s="30">
        <v>0.16496794618877322</v>
      </c>
      <c r="AS100" s="30">
        <v>0.13232162679517345</v>
      </c>
      <c r="AT100" s="30">
        <v>9.1936743780522384E-2</v>
      </c>
      <c r="AU100" s="30">
        <v>0.15830505578663934</v>
      </c>
      <c r="AV100" s="30">
        <v>0.15219643541291678</v>
      </c>
      <c r="AW100" s="30">
        <v>0.14536108304259776</v>
      </c>
      <c r="AX100" s="30">
        <v>0.11976046951978053</v>
      </c>
      <c r="AY100" s="30">
        <v>0.10709701061340207</v>
      </c>
      <c r="AZ100" s="30">
        <v>0.10002760750549364</v>
      </c>
      <c r="BA100" s="30">
        <v>0.12476653757081063</v>
      </c>
      <c r="BB100" s="30">
        <v>0.13739729746654</v>
      </c>
      <c r="BC100" s="30">
        <v>0.18285238262468709</v>
      </c>
      <c r="BD100" s="30">
        <v>0.16786238954380428</v>
      </c>
      <c r="BE100" s="30">
        <v>0.15249495104067781</v>
      </c>
      <c r="BF100" s="30">
        <v>0.17483331370597222</v>
      </c>
      <c r="BG100" s="30">
        <v>0.17756262226358285</v>
      </c>
      <c r="BH100" s="30">
        <v>0.16300732165682144</v>
      </c>
      <c r="BI100" s="30">
        <v>0.17047931618580947</v>
      </c>
      <c r="BJ100" s="30">
        <v>0.15688753834694474</v>
      </c>
      <c r="BK100" s="30">
        <v>0.15036438730447407</v>
      </c>
      <c r="BL100" s="30">
        <v>0.1464769288741278</v>
      </c>
      <c r="BM100" s="30">
        <v>0.13582484002805639</v>
      </c>
      <c r="BN100" s="30">
        <v>0.16302015020282756</v>
      </c>
      <c r="BO100" s="30">
        <v>0.13866768202575094</v>
      </c>
      <c r="BP100" s="30">
        <v>0.1549075733218965</v>
      </c>
      <c r="BQ100" s="30">
        <v>0.1488415101933421</v>
      </c>
      <c r="BR100" s="30">
        <v>0.16681265137217788</v>
      </c>
      <c r="BS100" s="30">
        <v>0.14916812185834519</v>
      </c>
      <c r="BT100" s="30">
        <v>0.1602573887188731</v>
      </c>
      <c r="BV100" s="39" t="s">
        <v>98</v>
      </c>
      <c r="BW100" t="s">
        <v>24</v>
      </c>
      <c r="BX100" t="s">
        <v>35</v>
      </c>
      <c r="BY100" t="s">
        <v>25</v>
      </c>
      <c r="BZ100" t="s">
        <v>24</v>
      </c>
      <c r="CA100" t="s">
        <v>25</v>
      </c>
      <c r="CB100" t="s">
        <v>41</v>
      </c>
      <c r="CC100" t="s">
        <v>24</v>
      </c>
      <c r="CD100" t="s">
        <v>30</v>
      </c>
      <c r="CE100" t="s">
        <v>41</v>
      </c>
      <c r="CF100" t="s">
        <v>24</v>
      </c>
      <c r="CG100" t="s">
        <v>42</v>
      </c>
      <c r="CH100" t="s">
        <v>43</v>
      </c>
      <c r="CI100" t="s">
        <v>41</v>
      </c>
      <c r="CJ100" t="s">
        <v>24</v>
      </c>
      <c r="CK100" t="s">
        <v>41</v>
      </c>
      <c r="CL100" t="s">
        <v>41</v>
      </c>
      <c r="CM100" t="s">
        <v>35</v>
      </c>
      <c r="CN100" t="s">
        <v>35</v>
      </c>
      <c r="CO100" t="s">
        <v>42</v>
      </c>
      <c r="CP100" t="s">
        <v>35</v>
      </c>
      <c r="CQ100" t="s">
        <v>25</v>
      </c>
      <c r="CR100" t="s">
        <v>30</v>
      </c>
      <c r="CS100" t="s">
        <v>42</v>
      </c>
      <c r="CT100" t="s">
        <v>42</v>
      </c>
      <c r="CU100" t="s">
        <v>24</v>
      </c>
      <c r="CV100" t="s">
        <v>42</v>
      </c>
      <c r="CW100" t="s">
        <v>43</v>
      </c>
      <c r="CX100" t="s">
        <v>24</v>
      </c>
      <c r="CY100" t="s">
        <v>42</v>
      </c>
      <c r="CZ100" t="s">
        <v>35</v>
      </c>
      <c r="DA100" t="s">
        <v>43</v>
      </c>
      <c r="DB100" t="s">
        <v>43</v>
      </c>
      <c r="DC100" t="s">
        <v>24</v>
      </c>
      <c r="DD100" t="s">
        <v>30</v>
      </c>
    </row>
    <row r="101" spans="1:108" x14ac:dyDescent="0.35">
      <c r="B101" s="37" t="s">
        <v>81</v>
      </c>
      <c r="C101" s="15">
        <v>0.22930479148351329</v>
      </c>
      <c r="D101" s="15">
        <v>0.23890479148351329</v>
      </c>
      <c r="E101" s="15">
        <v>0.22500479148351329</v>
      </c>
      <c r="F101" s="15">
        <v>0.2290047914835133</v>
      </c>
      <c r="G101" s="15">
        <v>0.21420479148351329</v>
      </c>
      <c r="H101" s="15">
        <v>0.23870479148351328</v>
      </c>
      <c r="I101" s="15">
        <v>0.2199047914835133</v>
      </c>
      <c r="J101" s="15">
        <v>0.23570479148351328</v>
      </c>
      <c r="K101" s="15">
        <v>0.2300047914835133</v>
      </c>
      <c r="L101" s="15">
        <v>0.22630479148351329</v>
      </c>
      <c r="M101" s="15">
        <v>0.21910479148351331</v>
      </c>
      <c r="N101" s="15">
        <v>0.24200479148351328</v>
      </c>
      <c r="O101" s="15">
        <v>0.22260479148351328</v>
      </c>
      <c r="P101" s="15">
        <v>0.2234047914835133</v>
      </c>
      <c r="Q101" s="15">
        <v>0.2381047914835133</v>
      </c>
      <c r="R101" s="15">
        <v>0.2459047914835133</v>
      </c>
      <c r="S101" s="15">
        <v>0.24550479148351328</v>
      </c>
      <c r="T101" s="15">
        <v>0.23900479148351328</v>
      </c>
      <c r="U101" s="15">
        <v>0.23220479148351331</v>
      </c>
      <c r="V101" s="15">
        <v>0.2365047914835133</v>
      </c>
      <c r="W101" s="15">
        <v>0.2217047914835133</v>
      </c>
      <c r="X101" s="15">
        <v>0.22780479148351329</v>
      </c>
      <c r="Y101" s="15">
        <v>0.2391047914835133</v>
      </c>
      <c r="Z101" s="15">
        <v>0.24620479148351329</v>
      </c>
      <c r="AA101" s="15">
        <v>0.21580479148351328</v>
      </c>
      <c r="AB101" s="15">
        <v>0.2285047914835133</v>
      </c>
      <c r="AC101" s="15">
        <v>0.2144047914835133</v>
      </c>
      <c r="AD101" s="15">
        <v>0.24020479148351329</v>
      </c>
      <c r="AE101" s="15">
        <v>0.21830479148351328</v>
      </c>
      <c r="AF101" s="15">
        <v>0.22830479148351329</v>
      </c>
      <c r="AG101" s="15">
        <v>0.21350479148351328</v>
      </c>
      <c r="AH101" s="15">
        <v>0.22710479148351329</v>
      </c>
      <c r="AI101" s="15">
        <v>0.22990479148351328</v>
      </c>
      <c r="AJ101" s="15">
        <v>0.24630479148351331</v>
      </c>
      <c r="AK101" s="5"/>
      <c r="AL101" s="37" t="s">
        <v>81</v>
      </c>
      <c r="AM101" s="49">
        <f>SUMPRODUCT(AM102:AM107,C102:C107)</f>
        <v>0.17964199733493574</v>
      </c>
      <c r="AN101" s="49">
        <f t="shared" ref="AN101:BT101" si="206">SUMPRODUCT(AN102:AN107,D102:D107)</f>
        <v>0.17206888465897174</v>
      </c>
      <c r="AO101" s="49">
        <f t="shared" si="206"/>
        <v>0.21201584518479111</v>
      </c>
      <c r="AP101" s="49">
        <f t="shared" si="206"/>
        <v>0.2212713515283273</v>
      </c>
      <c r="AQ101" s="49">
        <f t="shared" si="206"/>
        <v>0.15382670072231375</v>
      </c>
      <c r="AR101" s="49">
        <f t="shared" si="206"/>
        <v>0.20587084487651269</v>
      </c>
      <c r="AS101" s="49">
        <f t="shared" si="206"/>
        <v>0.17298625678603052</v>
      </c>
      <c r="AT101" s="49">
        <f t="shared" si="206"/>
        <v>0.13328558183941008</v>
      </c>
      <c r="AU101" s="49">
        <f t="shared" si="206"/>
        <v>0.19920797997239723</v>
      </c>
      <c r="AV101" s="49">
        <f t="shared" si="206"/>
        <v>0.19360422950845493</v>
      </c>
      <c r="AW101" s="49">
        <f t="shared" si="206"/>
        <v>0.18622409734430823</v>
      </c>
      <c r="AX101" s="49">
        <f t="shared" si="206"/>
        <v>0.1603118719670126</v>
      </c>
      <c r="AY101" s="49">
        <f t="shared" si="206"/>
        <v>0.14793359896597605</v>
      </c>
      <c r="AZ101" s="49">
        <f t="shared" si="206"/>
        <v>0.14073964674209363</v>
      </c>
      <c r="BA101" s="49">
        <f t="shared" si="206"/>
        <v>0.16591427483096483</v>
      </c>
      <c r="BB101" s="49">
        <f t="shared" si="206"/>
        <v>0.17828881411170391</v>
      </c>
      <c r="BC101" s="49">
        <f t="shared" si="206"/>
        <v>0.22427749048504012</v>
      </c>
      <c r="BD101" s="49">
        <f t="shared" si="206"/>
        <v>0.20916819499750888</v>
      </c>
      <c r="BE101" s="49">
        <f t="shared" si="206"/>
        <v>0.1940532777893467</v>
      </c>
      <c r="BF101" s="49">
        <f t="shared" si="206"/>
        <v>0.21561794596734268</v>
      </c>
      <c r="BG101" s="49">
        <f t="shared" si="206"/>
        <v>0.21877396494882531</v>
      </c>
      <c r="BH101" s="49">
        <f t="shared" si="206"/>
        <v>0.2041597615517122</v>
      </c>
      <c r="BI101" s="49">
        <f t="shared" si="206"/>
        <v>0.21165454512785262</v>
      </c>
      <c r="BJ101" s="49">
        <f t="shared" si="206"/>
        <v>0.19836639111132598</v>
      </c>
      <c r="BK101" s="49">
        <f t="shared" si="206"/>
        <v>0.19122962907555058</v>
      </c>
      <c r="BL101" s="49">
        <f t="shared" si="206"/>
        <v>0.18771298004746964</v>
      </c>
      <c r="BM101" s="49">
        <f t="shared" si="206"/>
        <v>0.17732959439939774</v>
      </c>
      <c r="BN101" s="49">
        <f t="shared" si="206"/>
        <v>0.20393990418117991</v>
      </c>
      <c r="BO101" s="49">
        <f t="shared" si="206"/>
        <v>0.1797869695194137</v>
      </c>
      <c r="BP101" s="49">
        <f t="shared" si="206"/>
        <v>0.19556945389715155</v>
      </c>
      <c r="BQ101" s="49">
        <f t="shared" si="206"/>
        <v>0.18984740943824313</v>
      </c>
      <c r="BR101" s="49">
        <f t="shared" si="206"/>
        <v>0.20793635821660889</v>
      </c>
      <c r="BS101" s="49">
        <f t="shared" si="206"/>
        <v>0.18977516132342553</v>
      </c>
      <c r="BT101" s="49">
        <f t="shared" si="206"/>
        <v>0.20090783311274407</v>
      </c>
      <c r="BV101" s="37" t="s">
        <v>81</v>
      </c>
      <c r="BW101" t="s">
        <v>41</v>
      </c>
      <c r="BX101" t="s">
        <v>42</v>
      </c>
      <c r="BY101" t="s">
        <v>42</v>
      </c>
      <c r="BZ101" t="s">
        <v>35</v>
      </c>
      <c r="CA101" t="s">
        <v>25</v>
      </c>
      <c r="CB101" t="s">
        <v>43</v>
      </c>
      <c r="CC101" t="s">
        <v>42</v>
      </c>
      <c r="CD101" t="s">
        <v>42</v>
      </c>
      <c r="CE101" t="s">
        <v>42</v>
      </c>
      <c r="CF101" t="s">
        <v>42</v>
      </c>
      <c r="CG101" t="s">
        <v>43</v>
      </c>
      <c r="CH101" t="s">
        <v>35</v>
      </c>
      <c r="CI101" t="s">
        <v>30</v>
      </c>
      <c r="CJ101" t="s">
        <v>42</v>
      </c>
      <c r="CK101" t="s">
        <v>43</v>
      </c>
      <c r="CL101" t="s">
        <v>24</v>
      </c>
      <c r="CM101" t="s">
        <v>35</v>
      </c>
      <c r="CN101" t="s">
        <v>30</v>
      </c>
      <c r="CO101" t="s">
        <v>42</v>
      </c>
      <c r="CP101" t="s">
        <v>35</v>
      </c>
      <c r="CQ101" t="s">
        <v>41</v>
      </c>
      <c r="CR101" t="s">
        <v>42</v>
      </c>
      <c r="CS101" t="s">
        <v>43</v>
      </c>
      <c r="CT101" t="s">
        <v>25</v>
      </c>
      <c r="CU101" t="s">
        <v>30</v>
      </c>
      <c r="CV101" t="s">
        <v>41</v>
      </c>
      <c r="CW101" t="s">
        <v>30</v>
      </c>
      <c r="CX101" t="s">
        <v>25</v>
      </c>
      <c r="CY101" t="s">
        <v>42</v>
      </c>
      <c r="CZ101" t="s">
        <v>25</v>
      </c>
      <c r="DA101" t="s">
        <v>41</v>
      </c>
      <c r="DB101" t="s">
        <v>25</v>
      </c>
      <c r="DC101" t="s">
        <v>25</v>
      </c>
      <c r="DD101" t="s">
        <v>43</v>
      </c>
    </row>
    <row r="102" spans="1:108" x14ac:dyDescent="0.35">
      <c r="B102" s="39" t="s">
        <v>93</v>
      </c>
      <c r="C102" s="15">
        <f>1-SUM(C103:C107)</f>
        <v>0.3782542113323123</v>
      </c>
      <c r="D102" s="15">
        <f t="shared" ref="D102" si="207">1-SUM(D103:D107)</f>
        <v>0.37765421133231236</v>
      </c>
      <c r="E102" s="15">
        <f t="shared" ref="E102" si="208">1-SUM(E103:E107)</f>
        <v>0.39375421133231236</v>
      </c>
      <c r="F102" s="15">
        <f t="shared" ref="F102" si="209">1-SUM(F103:F107)</f>
        <v>0.35965421133231235</v>
      </c>
      <c r="G102" s="15">
        <f t="shared" ref="G102" si="210">1-SUM(G103:G107)</f>
        <v>0.4074542113323123</v>
      </c>
      <c r="H102" s="15">
        <f t="shared" ref="H102" si="211">1-SUM(H103:H107)</f>
        <v>0.36735421133231227</v>
      </c>
      <c r="I102" s="15">
        <f t="shared" ref="I102" si="212">1-SUM(I103:I107)</f>
        <v>0.38775421133231225</v>
      </c>
      <c r="J102" s="15">
        <f t="shared" ref="J102" si="213">1-SUM(J103:J107)</f>
        <v>0.40675421133231238</v>
      </c>
      <c r="K102" s="15">
        <f t="shared" ref="K102" si="214">1-SUM(K103:K107)</f>
        <v>0.40265421133231227</v>
      </c>
      <c r="L102" s="15">
        <f t="shared" ref="L102" si="215">1-SUM(L103:L107)</f>
        <v>0.36075421133231234</v>
      </c>
      <c r="M102" s="15">
        <f t="shared" ref="M102" si="216">1-SUM(M103:M107)</f>
        <v>0.3741542113323123</v>
      </c>
      <c r="N102" s="15">
        <f t="shared" ref="N102" si="217">1-SUM(N103:N107)</f>
        <v>0.36635421133231227</v>
      </c>
      <c r="O102" s="15">
        <f t="shared" ref="O102" si="218">1-SUM(O103:O107)</f>
        <v>0.37815421133231231</v>
      </c>
      <c r="P102" s="15">
        <f t="shared" ref="P102" si="219">1-SUM(P103:P107)</f>
        <v>0.38665421133231237</v>
      </c>
      <c r="Q102" s="15">
        <f t="shared" ref="Q102" si="220">1-SUM(Q103:Q107)</f>
        <v>0.38995421133231234</v>
      </c>
      <c r="R102" s="15">
        <f t="shared" ref="R102" si="221">1-SUM(R103:R107)</f>
        <v>0.37465421133231236</v>
      </c>
      <c r="S102" s="15">
        <f t="shared" ref="S102" si="222">1-SUM(S103:S107)</f>
        <v>0.39265421133231226</v>
      </c>
      <c r="T102" s="15">
        <f t="shared" ref="T102" si="223">1-SUM(T103:T107)</f>
        <v>0.37175421133231235</v>
      </c>
      <c r="U102" s="15">
        <f t="shared" ref="U102" si="224">1-SUM(U103:U107)</f>
        <v>0.36585421133231233</v>
      </c>
      <c r="V102" s="15">
        <f t="shared" ref="V102" si="225">1-SUM(V103:V107)</f>
        <v>0.40335421133231242</v>
      </c>
      <c r="W102" s="15">
        <f t="shared" ref="W102" si="226">1-SUM(W103:W107)</f>
        <v>0.38445421133231239</v>
      </c>
      <c r="X102" s="15">
        <f t="shared" ref="X102" si="227">1-SUM(X103:X107)</f>
        <v>0.36895421133231232</v>
      </c>
      <c r="Y102" s="15">
        <f t="shared" ref="Y102" si="228">1-SUM(Y103:Y107)</f>
        <v>0.38305421133231243</v>
      </c>
      <c r="Z102" s="15">
        <f t="shared" ref="Z102" si="229">1-SUM(Z103:Z107)</f>
        <v>0.38815421133231232</v>
      </c>
      <c r="AA102" s="15">
        <f t="shared" ref="AA102" si="230">1-SUM(AA103:AA107)</f>
        <v>0.36565421133231224</v>
      </c>
      <c r="AB102" s="15">
        <f t="shared" ref="AB102" si="231">1-SUM(AB103:AB107)</f>
        <v>0.36165421133231235</v>
      </c>
      <c r="AC102" s="15">
        <f t="shared" ref="AC102" si="232">1-SUM(AC103:AC107)</f>
        <v>0.36875421133231245</v>
      </c>
      <c r="AD102" s="15">
        <f t="shared" ref="AD102" si="233">1-SUM(AD103:AD107)</f>
        <v>0.41405421133231235</v>
      </c>
      <c r="AE102" s="15">
        <f t="shared" ref="AE102" si="234">1-SUM(AE103:AE107)</f>
        <v>0.38075421133231235</v>
      </c>
      <c r="AF102" s="15">
        <f t="shared" ref="AF102" si="235">1-SUM(AF103:AF107)</f>
        <v>0.40395421133231235</v>
      </c>
      <c r="AG102" s="15">
        <f t="shared" ref="AG102" si="236">1-SUM(AG103:AG107)</f>
        <v>0.36725421133231229</v>
      </c>
      <c r="AH102" s="15">
        <f t="shared" ref="AH102" si="237">1-SUM(AH103:AH107)</f>
        <v>0.38765421133231226</v>
      </c>
      <c r="AI102" s="15">
        <f t="shared" ref="AI102" si="238">1-SUM(AI103:AI107)</f>
        <v>0.33145421133231223</v>
      </c>
      <c r="AJ102" s="15">
        <f t="shared" ref="AJ102" si="239">1-SUM(AJ103:AJ107)</f>
        <v>0.36745421133231237</v>
      </c>
      <c r="AK102" s="5"/>
      <c r="AL102" s="39" t="s">
        <v>93</v>
      </c>
      <c r="AM102" s="30">
        <v>0.17681714157656037</v>
      </c>
      <c r="AN102" s="30">
        <v>0.16976205331676922</v>
      </c>
      <c r="AO102" s="30">
        <v>0.20887112092980262</v>
      </c>
      <c r="AP102" s="30">
        <v>0.21869134501374951</v>
      </c>
      <c r="AQ102" s="30">
        <v>0.15124976526382944</v>
      </c>
      <c r="AR102" s="30">
        <v>0.20326183027352793</v>
      </c>
      <c r="AS102" s="30">
        <v>0.16970257301372199</v>
      </c>
      <c r="AT102" s="30">
        <v>0.13024066162195808</v>
      </c>
      <c r="AU102" s="30">
        <v>0.19613089590638086</v>
      </c>
      <c r="AV102" s="30">
        <v>0.19091239047811814</v>
      </c>
      <c r="AW102" s="30">
        <v>0.18352381468839077</v>
      </c>
      <c r="AX102" s="30">
        <v>0.15774936374352838</v>
      </c>
      <c r="AY102" s="30">
        <v>0.14467698735359621</v>
      </c>
      <c r="AZ102" s="30">
        <v>0.13809763718241752</v>
      </c>
      <c r="BA102" s="30">
        <v>0.16306123955640586</v>
      </c>
      <c r="BB102" s="30">
        <v>0.17519623214261518</v>
      </c>
      <c r="BC102" s="30">
        <v>0.221271363601454</v>
      </c>
      <c r="BD102" s="30">
        <v>0.20589307764578629</v>
      </c>
      <c r="BE102" s="30">
        <v>0.19141537318209995</v>
      </c>
      <c r="BF102" s="30">
        <v>0.21246825471572706</v>
      </c>
      <c r="BG102" s="30">
        <v>0.21543753732075036</v>
      </c>
      <c r="BH102" s="30">
        <v>0.20095182831798455</v>
      </c>
      <c r="BI102" s="30">
        <v>0.20870287496317208</v>
      </c>
      <c r="BJ102" s="30">
        <v>0.1955810585929543</v>
      </c>
      <c r="BK102" s="30">
        <v>0.18849728621276596</v>
      </c>
      <c r="BL102" s="30">
        <v>0.18536370925606935</v>
      </c>
      <c r="BM102" s="30">
        <v>0.17428958201323538</v>
      </c>
      <c r="BN102" s="30">
        <v>0.20082320086561917</v>
      </c>
      <c r="BO102" s="30">
        <v>0.17653693227000911</v>
      </c>
      <c r="BP102" s="30">
        <v>0.19255482345046351</v>
      </c>
      <c r="BQ102" s="30">
        <v>0.1868920050802752</v>
      </c>
      <c r="BR102" s="30">
        <v>0.20522411910597024</v>
      </c>
      <c r="BS102" s="30">
        <v>0.186991523543975</v>
      </c>
      <c r="BT102" s="30">
        <v>0.19825442046553962</v>
      </c>
      <c r="BV102" s="39" t="s">
        <v>93</v>
      </c>
      <c r="BW102" t="s">
        <v>35</v>
      </c>
      <c r="BX102" t="s">
        <v>24</v>
      </c>
      <c r="BY102" t="s">
        <v>30</v>
      </c>
      <c r="BZ102" t="s">
        <v>25</v>
      </c>
      <c r="CA102" t="s">
        <v>43</v>
      </c>
      <c r="CB102" t="s">
        <v>30</v>
      </c>
      <c r="CC102" t="s">
        <v>24</v>
      </c>
      <c r="CD102" t="s">
        <v>42</v>
      </c>
      <c r="CE102" t="s">
        <v>24</v>
      </c>
      <c r="CF102" t="s">
        <v>35</v>
      </c>
      <c r="CG102" t="s">
        <v>25</v>
      </c>
      <c r="CH102" t="s">
        <v>41</v>
      </c>
      <c r="CI102" t="s">
        <v>25</v>
      </c>
      <c r="CJ102" t="s">
        <v>35</v>
      </c>
      <c r="CK102" t="s">
        <v>25</v>
      </c>
      <c r="CL102" t="s">
        <v>25</v>
      </c>
      <c r="CM102" t="s">
        <v>24</v>
      </c>
      <c r="CN102" t="s">
        <v>35</v>
      </c>
      <c r="CO102" t="s">
        <v>25</v>
      </c>
      <c r="CP102" t="s">
        <v>25</v>
      </c>
      <c r="CQ102" t="s">
        <v>30</v>
      </c>
      <c r="CR102" t="s">
        <v>42</v>
      </c>
      <c r="CS102" t="s">
        <v>35</v>
      </c>
      <c r="CT102" t="s">
        <v>25</v>
      </c>
      <c r="CU102" t="s">
        <v>42</v>
      </c>
      <c r="CV102" t="s">
        <v>42</v>
      </c>
      <c r="CW102" t="s">
        <v>43</v>
      </c>
      <c r="CX102" t="s">
        <v>30</v>
      </c>
      <c r="CY102" t="s">
        <v>42</v>
      </c>
      <c r="CZ102" t="s">
        <v>41</v>
      </c>
      <c r="DA102" t="s">
        <v>42</v>
      </c>
      <c r="DB102" t="s">
        <v>43</v>
      </c>
      <c r="DC102" t="s">
        <v>43</v>
      </c>
      <c r="DD102" t="s">
        <v>43</v>
      </c>
    </row>
    <row r="103" spans="1:108" x14ac:dyDescent="0.35">
      <c r="B103" s="39" t="s">
        <v>94</v>
      </c>
      <c r="C103" s="15">
        <v>0.15313935681470139</v>
      </c>
      <c r="D103" s="15">
        <v>0.13763935681470141</v>
      </c>
      <c r="E103" s="15">
        <v>0.1382393568147014</v>
      </c>
      <c r="F103" s="15">
        <v>0.15473935681470138</v>
      </c>
      <c r="G103" s="15">
        <v>0.1510393568147014</v>
      </c>
      <c r="H103" s="15">
        <v>0.1374393568147014</v>
      </c>
      <c r="I103" s="15">
        <v>0.15373935681470138</v>
      </c>
      <c r="J103" s="15">
        <v>0.1427393568147014</v>
      </c>
      <c r="K103" s="15">
        <v>0.15743935681470139</v>
      </c>
      <c r="L103" s="15">
        <v>0.16833935681470139</v>
      </c>
      <c r="M103" s="15">
        <v>0.1432393568147014</v>
      </c>
      <c r="N103" s="15">
        <v>0.1490393568147014</v>
      </c>
      <c r="O103" s="15">
        <v>0.1677393568147014</v>
      </c>
      <c r="P103" s="15">
        <v>0.15063935681470139</v>
      </c>
      <c r="Q103" s="15">
        <v>0.15373935681470138</v>
      </c>
      <c r="R103" s="15">
        <v>0.14193935681470141</v>
      </c>
      <c r="S103" s="15">
        <v>0.14873935681470141</v>
      </c>
      <c r="T103" s="15">
        <v>0.16033935681470141</v>
      </c>
      <c r="U103" s="15">
        <v>0.16803935681470139</v>
      </c>
      <c r="V103" s="15">
        <v>0.1470393568147014</v>
      </c>
      <c r="W103" s="15">
        <v>0.14733935681470139</v>
      </c>
      <c r="X103" s="15">
        <v>0.1636393568147014</v>
      </c>
      <c r="Y103" s="15">
        <v>0.1387393568147014</v>
      </c>
      <c r="Z103" s="15">
        <v>0.15123935681470138</v>
      </c>
      <c r="AA103" s="15">
        <v>0.14893935681470138</v>
      </c>
      <c r="AB103" s="15">
        <v>0.1525393568147014</v>
      </c>
      <c r="AC103" s="15">
        <v>0.14773935681470141</v>
      </c>
      <c r="AD103" s="15">
        <v>0.14863935681470139</v>
      </c>
      <c r="AE103" s="15">
        <v>0.16603935681470139</v>
      </c>
      <c r="AF103" s="15">
        <v>0.13803935681470139</v>
      </c>
      <c r="AG103" s="15">
        <v>0.14003935681470139</v>
      </c>
      <c r="AH103" s="15">
        <v>0.14593935681470138</v>
      </c>
      <c r="AI103" s="15">
        <v>0.16553935681470139</v>
      </c>
      <c r="AJ103" s="15">
        <v>0.15803935681470138</v>
      </c>
      <c r="AK103" s="5"/>
      <c r="AL103" s="39" t="s">
        <v>94</v>
      </c>
      <c r="AM103" s="30">
        <v>0.18394639849012612</v>
      </c>
      <c r="AN103" s="30">
        <v>0.17689131023033497</v>
      </c>
      <c r="AO103" s="30">
        <v>0.21600037784336837</v>
      </c>
      <c r="AP103" s="30">
        <v>0.22582060192731526</v>
      </c>
      <c r="AQ103" s="30">
        <v>0.15837902217739519</v>
      </c>
      <c r="AR103" s="30">
        <v>0.21039108718709368</v>
      </c>
      <c r="AS103" s="30">
        <v>0.17683182992728774</v>
      </c>
      <c r="AT103" s="30">
        <v>0.13736991853552383</v>
      </c>
      <c r="AU103" s="30">
        <v>0.20326015281994661</v>
      </c>
      <c r="AV103" s="30">
        <v>0.19804164739168389</v>
      </c>
      <c r="AW103" s="30">
        <v>0.19065307160195652</v>
      </c>
      <c r="AX103" s="30">
        <v>0.16487862065709413</v>
      </c>
      <c r="AY103" s="30">
        <v>0.15180624426716197</v>
      </c>
      <c r="AZ103" s="30">
        <v>0.14522689409598327</v>
      </c>
      <c r="BA103" s="30">
        <v>0.17019049646997161</v>
      </c>
      <c r="BB103" s="30">
        <v>0.18232548905618093</v>
      </c>
      <c r="BC103" s="30">
        <v>0.22840062051501975</v>
      </c>
      <c r="BD103" s="30">
        <v>0.21302233455935204</v>
      </c>
      <c r="BE103" s="30">
        <v>0.1985446300956657</v>
      </c>
      <c r="BF103" s="30">
        <v>0.21959751162929281</v>
      </c>
      <c r="BG103" s="30">
        <v>0.22256679423431611</v>
      </c>
      <c r="BH103" s="30">
        <v>0.20808108523155031</v>
      </c>
      <c r="BI103" s="30">
        <v>0.21583213187673783</v>
      </c>
      <c r="BJ103" s="30">
        <v>0.20271031550652005</v>
      </c>
      <c r="BK103" s="30">
        <v>0.19562654312633171</v>
      </c>
      <c r="BL103" s="30">
        <v>0.1924929661696351</v>
      </c>
      <c r="BM103" s="30">
        <v>0.18141883892680113</v>
      </c>
      <c r="BN103" s="30">
        <v>0.20795245777918492</v>
      </c>
      <c r="BO103" s="30">
        <v>0.18366618918357486</v>
      </c>
      <c r="BP103" s="30">
        <v>0.19968408036402926</v>
      </c>
      <c r="BQ103" s="30">
        <v>0.19402126199384095</v>
      </c>
      <c r="BR103" s="30">
        <v>0.21235337601953599</v>
      </c>
      <c r="BS103" s="30">
        <v>0.19412078045754075</v>
      </c>
      <c r="BT103" s="30">
        <v>0.20538367737910537</v>
      </c>
      <c r="BV103" s="39" t="s">
        <v>94</v>
      </c>
      <c r="BW103" t="s">
        <v>25</v>
      </c>
      <c r="BX103" t="s">
        <v>24</v>
      </c>
      <c r="BY103" t="s">
        <v>25</v>
      </c>
      <c r="BZ103" t="s">
        <v>41</v>
      </c>
      <c r="CA103" t="s">
        <v>41</v>
      </c>
      <c r="CB103" t="s">
        <v>24</v>
      </c>
      <c r="CC103" t="s">
        <v>30</v>
      </c>
      <c r="CD103" t="s">
        <v>30</v>
      </c>
      <c r="CE103" t="s">
        <v>41</v>
      </c>
      <c r="CF103" t="s">
        <v>35</v>
      </c>
      <c r="CG103" t="s">
        <v>42</v>
      </c>
      <c r="CH103" t="s">
        <v>25</v>
      </c>
      <c r="CI103" t="s">
        <v>35</v>
      </c>
      <c r="CJ103" t="s">
        <v>30</v>
      </c>
      <c r="CK103" t="s">
        <v>25</v>
      </c>
      <c r="CL103" t="s">
        <v>43</v>
      </c>
      <c r="CM103" t="s">
        <v>30</v>
      </c>
      <c r="CN103" t="s">
        <v>42</v>
      </c>
      <c r="CO103" t="s">
        <v>35</v>
      </c>
      <c r="CP103" t="s">
        <v>30</v>
      </c>
      <c r="CQ103" t="s">
        <v>24</v>
      </c>
      <c r="CR103" t="s">
        <v>42</v>
      </c>
      <c r="CS103" t="s">
        <v>30</v>
      </c>
      <c r="CT103" t="s">
        <v>41</v>
      </c>
      <c r="CU103" t="s">
        <v>25</v>
      </c>
      <c r="CV103" t="s">
        <v>41</v>
      </c>
      <c r="CW103" t="s">
        <v>24</v>
      </c>
      <c r="CX103" t="s">
        <v>25</v>
      </c>
      <c r="CY103" t="s">
        <v>25</v>
      </c>
      <c r="CZ103" t="s">
        <v>25</v>
      </c>
      <c r="DA103" t="s">
        <v>25</v>
      </c>
      <c r="DB103" t="s">
        <v>24</v>
      </c>
      <c r="DC103" t="s">
        <v>35</v>
      </c>
      <c r="DD103" t="s">
        <v>42</v>
      </c>
    </row>
    <row r="104" spans="1:108" x14ac:dyDescent="0.35">
      <c r="B104" s="39" t="s">
        <v>95</v>
      </c>
      <c r="C104" s="15">
        <v>8.1163859111791734E-2</v>
      </c>
      <c r="D104" s="15">
        <v>9.5063859111791729E-2</v>
      </c>
      <c r="E104" s="15">
        <v>6.9463859111791731E-2</v>
      </c>
      <c r="F104" s="15">
        <v>7.0763859111791727E-2</v>
      </c>
      <c r="G104" s="15">
        <v>6.7763859111791738E-2</v>
      </c>
      <c r="H104" s="15">
        <v>8.576385911179174E-2</v>
      </c>
      <c r="I104" s="15">
        <v>7.7863859111791736E-2</v>
      </c>
      <c r="J104" s="15">
        <v>6.7663859111791735E-2</v>
      </c>
      <c r="K104" s="15">
        <v>6.7563859111791733E-2</v>
      </c>
      <c r="L104" s="15">
        <v>9.5363859111791738E-2</v>
      </c>
      <c r="M104" s="15">
        <v>7.7463859111791739E-2</v>
      </c>
      <c r="N104" s="15">
        <v>7.8863859111791737E-2</v>
      </c>
      <c r="O104" s="15">
        <v>8.1963859111791729E-2</v>
      </c>
      <c r="P104" s="15">
        <v>9.1663859111791729E-2</v>
      </c>
      <c r="Q104" s="15">
        <v>6.796385911179173E-2</v>
      </c>
      <c r="R104" s="15">
        <v>8.346385911179173E-2</v>
      </c>
      <c r="S104" s="15">
        <v>7.556385911179174E-2</v>
      </c>
      <c r="T104" s="15">
        <v>8.3263859111791738E-2</v>
      </c>
      <c r="U104" s="15">
        <v>7.4463859111791736E-2</v>
      </c>
      <c r="V104" s="15">
        <v>8.1363859111791739E-2</v>
      </c>
      <c r="W104" s="15">
        <v>7.3863859111791733E-2</v>
      </c>
      <c r="X104" s="15">
        <v>9.7063859111791731E-2</v>
      </c>
      <c r="Y104" s="15">
        <v>8.7663859111791739E-2</v>
      </c>
      <c r="Z104" s="15">
        <v>6.7763859111791738E-2</v>
      </c>
      <c r="AA104" s="15">
        <v>8.7663859111791739E-2</v>
      </c>
      <c r="AB104" s="15">
        <v>9.1163859111791729E-2</v>
      </c>
      <c r="AC104" s="15">
        <v>8.2263859111791737E-2</v>
      </c>
      <c r="AD104" s="15">
        <v>6.4963859111791727E-2</v>
      </c>
      <c r="AE104" s="15">
        <v>7.9163859111791732E-2</v>
      </c>
      <c r="AF104" s="15">
        <v>7.2063859111791737E-2</v>
      </c>
      <c r="AG104" s="15">
        <v>9.5063859111791729E-2</v>
      </c>
      <c r="AH104" s="15">
        <v>7.5863859111791734E-2</v>
      </c>
      <c r="AI104" s="15">
        <v>8.7163859111791739E-2</v>
      </c>
      <c r="AJ104" s="15">
        <v>6.4963859111791727E-2</v>
      </c>
      <c r="AK104" s="5"/>
      <c r="AL104" s="39" t="s">
        <v>95</v>
      </c>
      <c r="AM104" s="30">
        <v>0.17010859371610448</v>
      </c>
      <c r="AN104" s="30">
        <v>0.16305350545631334</v>
      </c>
      <c r="AO104" s="30">
        <v>0.20216257306934673</v>
      </c>
      <c r="AP104" s="30">
        <v>0.21198279715329363</v>
      </c>
      <c r="AQ104" s="30">
        <v>0.14454121740337356</v>
      </c>
      <c r="AR104" s="30">
        <v>0.19655328241307204</v>
      </c>
      <c r="AS104" s="30">
        <v>0.16299402515326611</v>
      </c>
      <c r="AT104" s="30">
        <v>0.12353211376150219</v>
      </c>
      <c r="AU104" s="30">
        <v>0.18942234804592498</v>
      </c>
      <c r="AV104" s="30">
        <v>0.18420384261766226</v>
      </c>
      <c r="AW104" s="30">
        <v>0.17681526682793489</v>
      </c>
      <c r="AX104" s="30">
        <v>0.1510408158830725</v>
      </c>
      <c r="AY104" s="30">
        <v>0.13796843949314033</v>
      </c>
      <c r="AZ104" s="30">
        <v>0.13138908932196164</v>
      </c>
      <c r="BA104" s="30">
        <v>0.15635269169594998</v>
      </c>
      <c r="BB104" s="30">
        <v>0.16848768428215929</v>
      </c>
      <c r="BC104" s="30">
        <v>0.21456281574099811</v>
      </c>
      <c r="BD104" s="30">
        <v>0.19918452978533041</v>
      </c>
      <c r="BE104" s="30">
        <v>0.18470682532164406</v>
      </c>
      <c r="BF104" s="30">
        <v>0.20575970685527117</v>
      </c>
      <c r="BG104" s="30">
        <v>0.20872898946029447</v>
      </c>
      <c r="BH104" s="30">
        <v>0.19424328045752867</v>
      </c>
      <c r="BI104" s="30">
        <v>0.2019943271027162</v>
      </c>
      <c r="BJ104" s="30">
        <v>0.18887251073249842</v>
      </c>
      <c r="BK104" s="30">
        <v>0.18178873835231008</v>
      </c>
      <c r="BL104" s="30">
        <v>0.17865516139561347</v>
      </c>
      <c r="BM104" s="30">
        <v>0.1675810341527795</v>
      </c>
      <c r="BN104" s="30">
        <v>0.19411465300516328</v>
      </c>
      <c r="BO104" s="30">
        <v>0.16982838440955322</v>
      </c>
      <c r="BP104" s="30">
        <v>0.18584627559000763</v>
      </c>
      <c r="BQ104" s="30">
        <v>0.18018345721981932</v>
      </c>
      <c r="BR104" s="30">
        <v>0.19851557124551436</v>
      </c>
      <c r="BS104" s="30">
        <v>0.18028297568351911</v>
      </c>
      <c r="BT104" s="30">
        <v>0.19154587260508374</v>
      </c>
      <c r="BV104" s="39" t="s">
        <v>95</v>
      </c>
      <c r="BW104" t="s">
        <v>41</v>
      </c>
      <c r="BX104" t="s">
        <v>43</v>
      </c>
      <c r="BY104" t="s">
        <v>24</v>
      </c>
      <c r="BZ104" t="s">
        <v>24</v>
      </c>
      <c r="CA104" t="s">
        <v>30</v>
      </c>
      <c r="CB104" t="s">
        <v>35</v>
      </c>
      <c r="CC104" t="s">
        <v>30</v>
      </c>
      <c r="CD104" t="s">
        <v>41</v>
      </c>
      <c r="CE104" t="s">
        <v>42</v>
      </c>
      <c r="CF104" t="s">
        <v>42</v>
      </c>
      <c r="CG104" t="s">
        <v>43</v>
      </c>
      <c r="CH104" t="s">
        <v>25</v>
      </c>
      <c r="CI104" t="s">
        <v>42</v>
      </c>
      <c r="CJ104" t="s">
        <v>24</v>
      </c>
      <c r="CK104" t="s">
        <v>42</v>
      </c>
      <c r="CL104" t="s">
        <v>30</v>
      </c>
      <c r="CM104" t="s">
        <v>43</v>
      </c>
      <c r="CN104" t="s">
        <v>42</v>
      </c>
      <c r="CO104" t="s">
        <v>35</v>
      </c>
      <c r="CP104" t="s">
        <v>25</v>
      </c>
      <c r="CQ104" t="s">
        <v>42</v>
      </c>
      <c r="CR104" t="s">
        <v>35</v>
      </c>
      <c r="CS104" t="s">
        <v>25</v>
      </c>
      <c r="CT104" t="s">
        <v>25</v>
      </c>
      <c r="CU104" t="s">
        <v>25</v>
      </c>
      <c r="CV104" t="s">
        <v>43</v>
      </c>
      <c r="CW104" t="s">
        <v>25</v>
      </c>
      <c r="CX104" t="s">
        <v>25</v>
      </c>
      <c r="CY104" t="s">
        <v>43</v>
      </c>
      <c r="CZ104" t="s">
        <v>43</v>
      </c>
      <c r="DA104" t="s">
        <v>42</v>
      </c>
      <c r="DB104" t="s">
        <v>25</v>
      </c>
      <c r="DC104" t="s">
        <v>25</v>
      </c>
      <c r="DD104" t="s">
        <v>43</v>
      </c>
    </row>
    <row r="105" spans="1:108" x14ac:dyDescent="0.35">
      <c r="B105" s="39" t="s">
        <v>96</v>
      </c>
      <c r="C105" s="15">
        <v>7.8101071975497705E-2</v>
      </c>
      <c r="D105" s="15">
        <v>9.0001071975497698E-2</v>
      </c>
      <c r="E105" s="15">
        <v>6.6901071975497703E-2</v>
      </c>
      <c r="F105" s="15">
        <v>9.1201071975497705E-2</v>
      </c>
      <c r="G105" s="15">
        <v>8.3001071975497706E-2</v>
      </c>
      <c r="H105" s="15">
        <v>8.460107197549771E-2</v>
      </c>
      <c r="I105" s="15">
        <v>6.3501071975497703E-2</v>
      </c>
      <c r="J105" s="15">
        <v>7.3501071975497712E-2</v>
      </c>
      <c r="K105" s="15">
        <v>6.7901071975497704E-2</v>
      </c>
      <c r="L105" s="15">
        <v>7.9701071975497709E-2</v>
      </c>
      <c r="M105" s="15">
        <v>8.7301071975497704E-2</v>
      </c>
      <c r="N105" s="15">
        <v>8.7101071975497699E-2</v>
      </c>
      <c r="O105" s="15">
        <v>6.280107197549771E-2</v>
      </c>
      <c r="P105" s="15">
        <v>7.7101071975497704E-2</v>
      </c>
      <c r="Q105" s="15">
        <v>8.3001071975497706E-2</v>
      </c>
      <c r="R105" s="15">
        <v>7.3501071975497712E-2</v>
      </c>
      <c r="S105" s="15">
        <v>6.63010719754977E-2</v>
      </c>
      <c r="T105" s="15">
        <v>6.8401071975497704E-2</v>
      </c>
      <c r="U105" s="15">
        <v>8.6901071975497707E-2</v>
      </c>
      <c r="V105" s="15">
        <v>6.2101071975497704E-2</v>
      </c>
      <c r="W105" s="15">
        <v>6.2101071975497704E-2</v>
      </c>
      <c r="X105" s="15">
        <v>6.4001071975497703E-2</v>
      </c>
      <c r="Y105" s="15">
        <v>7.3701071975497703E-2</v>
      </c>
      <c r="Z105" s="15">
        <v>8.170107197549771E-2</v>
      </c>
      <c r="AA105" s="15">
        <v>8.2201071975497711E-2</v>
      </c>
      <c r="AB105" s="15">
        <v>8.5301071975497703E-2</v>
      </c>
      <c r="AC105" s="15">
        <v>7.8101071975497705E-2</v>
      </c>
      <c r="AD105" s="15">
        <v>6.2601071975497705E-2</v>
      </c>
      <c r="AE105" s="15">
        <v>6.5501071975497704E-2</v>
      </c>
      <c r="AF105" s="15">
        <v>6.6201071975497711E-2</v>
      </c>
      <c r="AG105" s="15">
        <v>7.6301071975497708E-2</v>
      </c>
      <c r="AH105" s="15">
        <v>7.9801071975497698E-2</v>
      </c>
      <c r="AI105" s="15">
        <v>9.4601071975497705E-2</v>
      </c>
      <c r="AJ105" s="15">
        <v>9.330107197549771E-2</v>
      </c>
      <c r="AK105" s="5"/>
      <c r="AL105" s="39" t="s">
        <v>96</v>
      </c>
      <c r="AM105" s="30">
        <v>0.15384924263510252</v>
      </c>
      <c r="AN105" s="30">
        <v>0.14679415437531138</v>
      </c>
      <c r="AO105" s="30">
        <v>0.18590322198834477</v>
      </c>
      <c r="AP105" s="30">
        <v>0.19572344607229167</v>
      </c>
      <c r="AQ105" s="30">
        <v>0.1282818663223716</v>
      </c>
      <c r="AR105" s="30">
        <v>0.18029393133207008</v>
      </c>
      <c r="AS105" s="30">
        <v>0.14673467407226415</v>
      </c>
      <c r="AT105" s="30">
        <v>0.10727276268050023</v>
      </c>
      <c r="AU105" s="30">
        <v>0.17316299696492302</v>
      </c>
      <c r="AV105" s="30">
        <v>0.1679444915366603</v>
      </c>
      <c r="AW105" s="30">
        <v>0.16055591574693293</v>
      </c>
      <c r="AX105" s="30">
        <v>0.13478146480207054</v>
      </c>
      <c r="AY105" s="30">
        <v>0.12170908841213837</v>
      </c>
      <c r="AZ105" s="30">
        <v>0.11512973824095968</v>
      </c>
      <c r="BA105" s="30">
        <v>0.14009334061494802</v>
      </c>
      <c r="BB105" s="30">
        <v>0.15222833320115733</v>
      </c>
      <c r="BC105" s="30">
        <v>0.19830346465999615</v>
      </c>
      <c r="BD105" s="30">
        <v>0.18292517870432845</v>
      </c>
      <c r="BE105" s="30">
        <v>0.1684474742406421</v>
      </c>
      <c r="BF105" s="30">
        <v>0.18950035577426921</v>
      </c>
      <c r="BG105" s="30">
        <v>0.19246963837929251</v>
      </c>
      <c r="BH105" s="30">
        <v>0.17798392937652671</v>
      </c>
      <c r="BI105" s="30">
        <v>0.18573497602171424</v>
      </c>
      <c r="BJ105" s="30">
        <v>0.17261315965149646</v>
      </c>
      <c r="BK105" s="30">
        <v>0.16552938727130811</v>
      </c>
      <c r="BL105" s="30">
        <v>0.16239581031461151</v>
      </c>
      <c r="BM105" s="30">
        <v>0.15132168307177754</v>
      </c>
      <c r="BN105" s="30">
        <v>0.17785530192416132</v>
      </c>
      <c r="BO105" s="30">
        <v>0.15356903332855126</v>
      </c>
      <c r="BP105" s="30">
        <v>0.16958692450900567</v>
      </c>
      <c r="BQ105" s="30">
        <v>0.16392410613881736</v>
      </c>
      <c r="BR105" s="30">
        <v>0.1822562201645124</v>
      </c>
      <c r="BS105" s="30">
        <v>0.16402362460251715</v>
      </c>
      <c r="BT105" s="30">
        <v>0.17528652152408178</v>
      </c>
      <c r="BV105" s="39" t="s">
        <v>96</v>
      </c>
      <c r="BW105" t="s">
        <v>42</v>
      </c>
      <c r="BX105" t="s">
        <v>24</v>
      </c>
      <c r="BY105" t="s">
        <v>42</v>
      </c>
      <c r="BZ105" t="s">
        <v>30</v>
      </c>
      <c r="CA105" t="s">
        <v>35</v>
      </c>
      <c r="CB105" t="s">
        <v>25</v>
      </c>
      <c r="CC105" t="s">
        <v>35</v>
      </c>
      <c r="CD105" t="s">
        <v>42</v>
      </c>
      <c r="CE105" t="s">
        <v>43</v>
      </c>
      <c r="CF105" t="s">
        <v>24</v>
      </c>
      <c r="CG105" t="s">
        <v>24</v>
      </c>
      <c r="CH105" t="s">
        <v>25</v>
      </c>
      <c r="CI105" t="s">
        <v>41</v>
      </c>
      <c r="CJ105" t="s">
        <v>42</v>
      </c>
      <c r="CK105" t="s">
        <v>24</v>
      </c>
      <c r="CL105" t="s">
        <v>43</v>
      </c>
      <c r="CM105" t="s">
        <v>24</v>
      </c>
      <c r="CN105" t="s">
        <v>30</v>
      </c>
      <c r="CO105" t="s">
        <v>42</v>
      </c>
      <c r="CP105" t="s">
        <v>42</v>
      </c>
      <c r="CQ105" t="s">
        <v>41</v>
      </c>
      <c r="CR105" t="s">
        <v>35</v>
      </c>
      <c r="CS105" t="s">
        <v>41</v>
      </c>
      <c r="CT105" t="s">
        <v>25</v>
      </c>
      <c r="CU105" t="s">
        <v>43</v>
      </c>
      <c r="CV105" t="s">
        <v>30</v>
      </c>
      <c r="CW105" t="s">
        <v>41</v>
      </c>
      <c r="CX105" t="s">
        <v>25</v>
      </c>
      <c r="CY105" t="s">
        <v>25</v>
      </c>
      <c r="CZ105" t="s">
        <v>42</v>
      </c>
      <c r="DA105" t="s">
        <v>35</v>
      </c>
      <c r="DB105" t="s">
        <v>24</v>
      </c>
      <c r="DC105" t="s">
        <v>41</v>
      </c>
      <c r="DD105" t="s">
        <v>43</v>
      </c>
    </row>
    <row r="106" spans="1:108" x14ac:dyDescent="0.35">
      <c r="B106" s="39" t="s">
        <v>98</v>
      </c>
      <c r="C106" s="15">
        <v>0.2848392036753446</v>
      </c>
      <c r="D106" s="15">
        <v>0.2787392036753446</v>
      </c>
      <c r="E106" s="15">
        <v>0.29873920367534462</v>
      </c>
      <c r="F106" s="15">
        <v>0.29103920367534458</v>
      </c>
      <c r="G106" s="15">
        <v>0.26883920367534458</v>
      </c>
      <c r="H106" s="15">
        <v>0.2949392036753446</v>
      </c>
      <c r="I106" s="15">
        <v>0.29183920367534461</v>
      </c>
      <c r="J106" s="15">
        <v>0.28803920367534458</v>
      </c>
      <c r="K106" s="15">
        <v>0.27903920367534463</v>
      </c>
      <c r="L106" s="15">
        <v>0.27463920367534461</v>
      </c>
      <c r="M106" s="15">
        <v>0.29333920367534461</v>
      </c>
      <c r="N106" s="15">
        <v>0.28803920367534458</v>
      </c>
      <c r="O106" s="15">
        <v>0.28423920367534461</v>
      </c>
      <c r="P106" s="15">
        <v>0.27343920367534458</v>
      </c>
      <c r="Q106" s="15">
        <v>0.28443920367534459</v>
      </c>
      <c r="R106" s="15">
        <v>0.30163920367534458</v>
      </c>
      <c r="S106" s="15">
        <v>0.2853392036753446</v>
      </c>
      <c r="T106" s="15">
        <v>0.2944392036753446</v>
      </c>
      <c r="U106" s="15">
        <v>0.27813920367534462</v>
      </c>
      <c r="V106" s="15">
        <v>0.2833392036753446</v>
      </c>
      <c r="W106" s="15">
        <v>0.30053920367534459</v>
      </c>
      <c r="X106" s="15">
        <v>0.2863392036753446</v>
      </c>
      <c r="Y106" s="15">
        <v>0.29413920367534457</v>
      </c>
      <c r="Z106" s="15">
        <v>0.28463920367534462</v>
      </c>
      <c r="AA106" s="15">
        <v>0.2903392036753446</v>
      </c>
      <c r="AB106" s="15">
        <v>0.27703920367534463</v>
      </c>
      <c r="AC106" s="15">
        <v>0.30013920367534458</v>
      </c>
      <c r="AD106" s="15">
        <v>0.28043920367534458</v>
      </c>
      <c r="AE106" s="15">
        <v>0.28543920367534459</v>
      </c>
      <c r="AF106" s="15">
        <v>0.28873920367534461</v>
      </c>
      <c r="AG106" s="15">
        <v>0.29973920367534462</v>
      </c>
      <c r="AH106" s="15">
        <v>0.28363920367534462</v>
      </c>
      <c r="AI106" s="15">
        <v>0.30013920367534458</v>
      </c>
      <c r="AJ106" s="15">
        <v>0.2893392036753446</v>
      </c>
      <c r="AK106" s="5"/>
      <c r="AL106" s="39" t="s">
        <v>97</v>
      </c>
      <c r="AM106" s="30">
        <v>0.19240415147822001</v>
      </c>
      <c r="AN106" s="30">
        <v>0.18534906321842887</v>
      </c>
      <c r="AO106" s="30">
        <v>0.22445813083146227</v>
      </c>
      <c r="AP106" s="30">
        <v>0.23427835491540916</v>
      </c>
      <c r="AQ106" s="30">
        <v>0.16683677516548909</v>
      </c>
      <c r="AR106" s="30">
        <v>0.21884884017518758</v>
      </c>
      <c r="AS106" s="30">
        <v>0.18528958291538164</v>
      </c>
      <c r="AT106" s="30">
        <v>0.14582767152361772</v>
      </c>
      <c r="AU106" s="30">
        <v>0.21171790580804051</v>
      </c>
      <c r="AV106" s="30">
        <v>0.20649940037977779</v>
      </c>
      <c r="AW106" s="30">
        <v>0.19911082459005042</v>
      </c>
      <c r="AX106" s="30">
        <v>0.17333637364518803</v>
      </c>
      <c r="AY106" s="30">
        <v>0.16026399725525586</v>
      </c>
      <c r="AZ106" s="30">
        <v>0.15368464708407717</v>
      </c>
      <c r="BA106" s="30">
        <v>0.17864824945806551</v>
      </c>
      <c r="BB106" s="30">
        <v>0.19078324204427483</v>
      </c>
      <c r="BC106" s="30">
        <v>0.23685837350311365</v>
      </c>
      <c r="BD106" s="30">
        <v>0.22148008754744594</v>
      </c>
      <c r="BE106" s="30">
        <v>0.20700238308375959</v>
      </c>
      <c r="BF106" s="30">
        <v>0.2280552646173867</v>
      </c>
      <c r="BG106" s="30">
        <v>0.23102454722241</v>
      </c>
      <c r="BH106" s="30">
        <v>0.2165388382196442</v>
      </c>
      <c r="BI106" s="30">
        <v>0.22428988486483173</v>
      </c>
      <c r="BJ106" s="30">
        <v>0.21116806849461395</v>
      </c>
      <c r="BK106" s="30">
        <v>0.20408429611442561</v>
      </c>
      <c r="BL106" s="30">
        <v>0.200950719157729</v>
      </c>
      <c r="BM106" s="30">
        <v>0.18987659191489503</v>
      </c>
      <c r="BN106" s="30">
        <v>0.21641021076727882</v>
      </c>
      <c r="BO106" s="30">
        <v>0.19212394217166875</v>
      </c>
      <c r="BP106" s="30">
        <v>0.20814183335212316</v>
      </c>
      <c r="BQ106" s="30">
        <v>0.20247901498193485</v>
      </c>
      <c r="BR106" s="30">
        <v>0.22081112900762989</v>
      </c>
      <c r="BS106" s="30">
        <v>0.20257853344563465</v>
      </c>
      <c r="BT106" s="30">
        <v>0.21384143036719927</v>
      </c>
      <c r="BV106" s="39" t="s">
        <v>97</v>
      </c>
      <c r="BW106" t="s">
        <v>24</v>
      </c>
      <c r="BX106" t="s">
        <v>41</v>
      </c>
      <c r="BY106" t="s">
        <v>24</v>
      </c>
      <c r="BZ106" t="s">
        <v>35</v>
      </c>
      <c r="CA106" t="s">
        <v>30</v>
      </c>
      <c r="CB106" t="s">
        <v>30</v>
      </c>
      <c r="CC106" t="s">
        <v>35</v>
      </c>
      <c r="CD106" t="s">
        <v>24</v>
      </c>
      <c r="CE106" t="s">
        <v>24</v>
      </c>
      <c r="CF106" t="s">
        <v>30</v>
      </c>
      <c r="CG106" t="s">
        <v>42</v>
      </c>
      <c r="CH106" t="s">
        <v>24</v>
      </c>
      <c r="CI106" t="s">
        <v>41</v>
      </c>
      <c r="CJ106" t="s">
        <v>30</v>
      </c>
      <c r="CK106" t="s">
        <v>41</v>
      </c>
      <c r="CL106" t="s">
        <v>42</v>
      </c>
      <c r="CM106" t="s">
        <v>25</v>
      </c>
      <c r="CN106" t="s">
        <v>43</v>
      </c>
      <c r="CO106" t="s">
        <v>43</v>
      </c>
      <c r="CP106" t="s">
        <v>35</v>
      </c>
      <c r="CQ106" t="s">
        <v>25</v>
      </c>
      <c r="CR106" t="s">
        <v>30</v>
      </c>
      <c r="CS106" t="s">
        <v>24</v>
      </c>
      <c r="CT106" t="s">
        <v>35</v>
      </c>
      <c r="CU106" t="s">
        <v>30</v>
      </c>
      <c r="CV106" t="s">
        <v>43</v>
      </c>
      <c r="CW106" t="s">
        <v>35</v>
      </c>
      <c r="CX106" t="s">
        <v>25</v>
      </c>
      <c r="CY106" t="s">
        <v>24</v>
      </c>
      <c r="CZ106" t="s">
        <v>30</v>
      </c>
      <c r="DA106" t="s">
        <v>25</v>
      </c>
      <c r="DB106" t="s">
        <v>35</v>
      </c>
      <c r="DC106" t="s">
        <v>41</v>
      </c>
      <c r="DD106" t="s">
        <v>42</v>
      </c>
    </row>
    <row r="107" spans="1:108" x14ac:dyDescent="0.35">
      <c r="A107" s="45">
        <v>1E-3</v>
      </c>
      <c r="B107" s="39" t="s">
        <v>97</v>
      </c>
      <c r="C107" s="15">
        <v>2.4502297090352222E-2</v>
      </c>
      <c r="D107" s="15">
        <v>2.0902297090352226E-2</v>
      </c>
      <c r="E107" s="15">
        <v>3.2902297090352223E-2</v>
      </c>
      <c r="F107" s="15">
        <v>3.2602297090352221E-2</v>
      </c>
      <c r="G107" s="15">
        <v>2.1902297090352227E-2</v>
      </c>
      <c r="H107" s="15">
        <v>2.9902297090352227E-2</v>
      </c>
      <c r="I107" s="15">
        <v>2.530229709035222E-2</v>
      </c>
      <c r="J107" s="15">
        <v>2.1302297090352227E-2</v>
      </c>
      <c r="K107" s="15">
        <v>2.5402297090352233E-2</v>
      </c>
      <c r="L107" s="15">
        <v>2.1202297090352228E-2</v>
      </c>
      <c r="M107" s="15">
        <v>2.4502297090352232E-2</v>
      </c>
      <c r="N107" s="15">
        <v>3.060229709035224E-2</v>
      </c>
      <c r="O107" s="15">
        <v>2.5102297090352207E-2</v>
      </c>
      <c r="P107" s="15">
        <v>2.0502297090352221E-2</v>
      </c>
      <c r="Q107" s="15">
        <v>2.0902297090352229E-2</v>
      </c>
      <c r="R107" s="15">
        <v>2.4802297090352234E-2</v>
      </c>
      <c r="S107" s="15">
        <v>3.1402297090352228E-2</v>
      </c>
      <c r="T107" s="15">
        <v>2.1802297090352231E-2</v>
      </c>
      <c r="U107" s="15">
        <v>2.660229709035223E-2</v>
      </c>
      <c r="V107" s="15">
        <v>2.2802297090352228E-2</v>
      </c>
      <c r="W107" s="15">
        <v>3.1702297090352216E-2</v>
      </c>
      <c r="X107" s="15">
        <v>2.0002297090352221E-2</v>
      </c>
      <c r="Y107" s="15">
        <v>2.2702297090352229E-2</v>
      </c>
      <c r="Z107" s="15">
        <v>2.650229709035222E-2</v>
      </c>
      <c r="AA107" s="15">
        <v>2.5202297090352221E-2</v>
      </c>
      <c r="AB107" s="15">
        <v>3.2302297090352212E-2</v>
      </c>
      <c r="AC107" s="15">
        <v>2.3002297090352227E-2</v>
      </c>
      <c r="AD107" s="15">
        <v>2.930229709035222E-2</v>
      </c>
      <c r="AE107" s="15">
        <v>2.3102297090352223E-2</v>
      </c>
      <c r="AF107" s="15">
        <v>3.1002297090352217E-2</v>
      </c>
      <c r="AG107" s="15">
        <v>2.1602297090352225E-2</v>
      </c>
      <c r="AH107" s="15">
        <v>2.7102297090352234E-2</v>
      </c>
      <c r="AI107" s="15">
        <v>2.1102297090352225E-2</v>
      </c>
      <c r="AJ107" s="15">
        <v>2.6902297090352238E-2</v>
      </c>
      <c r="AK107" s="5"/>
      <c r="AL107" s="39" t="s">
        <v>98</v>
      </c>
      <c r="AM107" s="30">
        <v>0.16178196406233361</v>
      </c>
      <c r="AN107" s="30">
        <v>0.15472687580254246</v>
      </c>
      <c r="AO107" s="30">
        <v>0.19383594341557586</v>
      </c>
      <c r="AP107" s="30">
        <v>0.20365616749952276</v>
      </c>
      <c r="AQ107" s="30">
        <v>0.13621458774960268</v>
      </c>
      <c r="AR107" s="30">
        <v>0.18822665275930117</v>
      </c>
      <c r="AS107" s="30">
        <v>0.15466739549949524</v>
      </c>
      <c r="AT107" s="30">
        <v>0.11520548410773132</v>
      </c>
      <c r="AU107" s="30">
        <v>0.1810957183921541</v>
      </c>
      <c r="AV107" s="30">
        <v>0.17587721296389139</v>
      </c>
      <c r="AW107" s="30">
        <v>0.16848863717416401</v>
      </c>
      <c r="AX107" s="30">
        <v>0.14271418622930163</v>
      </c>
      <c r="AY107" s="30">
        <v>0.12964180983936946</v>
      </c>
      <c r="AZ107" s="30">
        <v>0.12306245966819077</v>
      </c>
      <c r="BA107" s="30">
        <v>0.14802606204217911</v>
      </c>
      <c r="BB107" s="30">
        <v>0.16016105462838842</v>
      </c>
      <c r="BC107" s="30">
        <v>0.20623618608722724</v>
      </c>
      <c r="BD107" s="30">
        <v>0.19085790013155954</v>
      </c>
      <c r="BE107" s="30">
        <v>0.17638019566787319</v>
      </c>
      <c r="BF107" s="30">
        <v>0.1974330772015003</v>
      </c>
      <c r="BG107" s="30">
        <v>0.2004023598065236</v>
      </c>
      <c r="BH107" s="30">
        <v>0.1859166508037578</v>
      </c>
      <c r="BI107" s="30">
        <v>0.19366769744894533</v>
      </c>
      <c r="BJ107" s="30">
        <v>0.18054588107872754</v>
      </c>
      <c r="BK107" s="30">
        <v>0.1734621086985392</v>
      </c>
      <c r="BL107" s="30">
        <v>0.17032853174184259</v>
      </c>
      <c r="BM107" s="30">
        <v>0.15925440449900863</v>
      </c>
      <c r="BN107" s="30">
        <v>0.18578802335139241</v>
      </c>
      <c r="BO107" s="30">
        <v>0.16150175475578235</v>
      </c>
      <c r="BP107" s="30">
        <v>0.17751964593623676</v>
      </c>
      <c r="BQ107" s="30">
        <v>0.17185682756604845</v>
      </c>
      <c r="BR107" s="30">
        <v>0.19018894159174349</v>
      </c>
      <c r="BS107" s="30">
        <v>0.17195634602974824</v>
      </c>
      <c r="BT107" s="30">
        <v>0.18321924295131287</v>
      </c>
      <c r="BV107" s="39" t="s">
        <v>98</v>
      </c>
      <c r="BW107" t="s">
        <v>43</v>
      </c>
      <c r="BX107" t="s">
        <v>24</v>
      </c>
      <c r="BY107" t="s">
        <v>30</v>
      </c>
      <c r="BZ107" t="s">
        <v>25</v>
      </c>
      <c r="CA107" t="s">
        <v>43</v>
      </c>
      <c r="CB107" t="s">
        <v>35</v>
      </c>
      <c r="CC107" t="s">
        <v>43</v>
      </c>
      <c r="CD107" t="s">
        <v>30</v>
      </c>
      <c r="CE107" t="s">
        <v>41</v>
      </c>
      <c r="CF107" t="s">
        <v>41</v>
      </c>
      <c r="CG107" t="s">
        <v>35</v>
      </c>
      <c r="CH107" t="s">
        <v>41</v>
      </c>
      <c r="CI107" t="s">
        <v>24</v>
      </c>
      <c r="CJ107" t="s">
        <v>41</v>
      </c>
      <c r="CK107" t="s">
        <v>42</v>
      </c>
      <c r="CL107" t="s">
        <v>35</v>
      </c>
      <c r="CM107" t="s">
        <v>42</v>
      </c>
      <c r="CN107" t="s">
        <v>24</v>
      </c>
      <c r="CO107" t="s">
        <v>43</v>
      </c>
      <c r="CP107" t="s">
        <v>25</v>
      </c>
      <c r="CQ107" t="s">
        <v>25</v>
      </c>
      <c r="CR107" t="s">
        <v>25</v>
      </c>
      <c r="CS107" t="s">
        <v>25</v>
      </c>
      <c r="CT107" t="s">
        <v>35</v>
      </c>
      <c r="CU107" t="s">
        <v>41</v>
      </c>
      <c r="CV107" t="s">
        <v>30</v>
      </c>
      <c r="CW107" t="s">
        <v>35</v>
      </c>
      <c r="CX107" t="s">
        <v>41</v>
      </c>
      <c r="CY107" t="s">
        <v>42</v>
      </c>
      <c r="CZ107" t="s">
        <v>24</v>
      </c>
      <c r="DA107" t="s">
        <v>35</v>
      </c>
      <c r="DB107" t="s">
        <v>42</v>
      </c>
      <c r="DC107" t="s">
        <v>24</v>
      </c>
      <c r="DD107" t="s">
        <v>24</v>
      </c>
    </row>
    <row r="108" spans="1:108" x14ac:dyDescent="0.35">
      <c r="B108" s="37" t="s">
        <v>82</v>
      </c>
      <c r="C108" s="15">
        <v>0.26523419954469202</v>
      </c>
      <c r="D108" s="15">
        <v>0.25183419954469199</v>
      </c>
      <c r="E108" s="15">
        <v>0.275434199544692</v>
      </c>
      <c r="F108" s="15">
        <v>0.26823419954469202</v>
      </c>
      <c r="G108" s="15">
        <v>0.26103419954469204</v>
      </c>
      <c r="H108" s="15">
        <v>0.25803419954469203</v>
      </c>
      <c r="I108" s="15">
        <v>0.27163419954469203</v>
      </c>
      <c r="J108" s="15">
        <v>0.27763419954469204</v>
      </c>
      <c r="K108" s="15">
        <v>0.27893419954469201</v>
      </c>
      <c r="L108" s="15">
        <v>0.25363419954469202</v>
      </c>
      <c r="M108" s="15">
        <v>0.27813419954469204</v>
      </c>
      <c r="N108" s="15">
        <v>0.25643419954469204</v>
      </c>
      <c r="O108" s="15">
        <v>0.279034199544692</v>
      </c>
      <c r="P108" s="15">
        <v>0.25963419954469202</v>
      </c>
      <c r="Q108" s="15">
        <v>0.25543419954469204</v>
      </c>
      <c r="R108" s="15">
        <v>0.26753419954469204</v>
      </c>
      <c r="S108" s="15">
        <v>0.26153419954469204</v>
      </c>
      <c r="T108" s="15">
        <v>0.28133419954469202</v>
      </c>
      <c r="U108" s="15">
        <v>0.26523419954469202</v>
      </c>
      <c r="V108" s="15">
        <v>0.25643419954469204</v>
      </c>
      <c r="W108" s="15">
        <v>0.271434199544692</v>
      </c>
      <c r="X108" s="15">
        <v>0.25543419954469204</v>
      </c>
      <c r="Y108" s="15">
        <v>0.271934199544692</v>
      </c>
      <c r="Z108" s="15">
        <v>0.27533419954469202</v>
      </c>
      <c r="AA108" s="15">
        <v>0.28233419954469202</v>
      </c>
      <c r="AB108" s="15">
        <v>0.25693419954469204</v>
      </c>
      <c r="AC108" s="15">
        <v>0.281534199544692</v>
      </c>
      <c r="AD108" s="15">
        <v>0.26453419954469204</v>
      </c>
      <c r="AE108" s="15">
        <v>0.273434199544692</v>
      </c>
      <c r="AF108" s="15">
        <v>0.26503419954469204</v>
      </c>
      <c r="AG108" s="15">
        <v>0.25773419954469201</v>
      </c>
      <c r="AH108" s="15">
        <v>0.26913419954469203</v>
      </c>
      <c r="AI108" s="15">
        <v>0.26193419954469199</v>
      </c>
      <c r="AJ108" s="15">
        <v>0.261334199544692</v>
      </c>
      <c r="AK108" s="5"/>
      <c r="AL108" s="37" t="s">
        <v>82</v>
      </c>
      <c r="AM108" s="49">
        <f>SUMPRODUCT(AM109:AM114,C109:C114)</f>
        <v>0.19704490333493577</v>
      </c>
      <c r="AN108" s="49">
        <f t="shared" ref="AN108:BT108" si="240">SUMPRODUCT(AN109:AN114,D109:D114)</f>
        <v>0.18947179065897171</v>
      </c>
      <c r="AO108" s="49">
        <f t="shared" si="240"/>
        <v>0.22941875118479116</v>
      </c>
      <c r="AP108" s="49">
        <f t="shared" si="240"/>
        <v>0.2386742575283273</v>
      </c>
      <c r="AQ108" s="49">
        <f t="shared" si="240"/>
        <v>0.17122960672231377</v>
      </c>
      <c r="AR108" s="49">
        <f t="shared" si="240"/>
        <v>0.22327375087651266</v>
      </c>
      <c r="AS108" s="49">
        <f t="shared" si="240"/>
        <v>0.19038916278603055</v>
      </c>
      <c r="AT108" s="49">
        <f t="shared" si="240"/>
        <v>0.15068848783941005</v>
      </c>
      <c r="AU108" s="49">
        <f t="shared" si="240"/>
        <v>0.21661088597239728</v>
      </c>
      <c r="AV108" s="49">
        <f t="shared" si="240"/>
        <v>0.21100713550845496</v>
      </c>
      <c r="AW108" s="49">
        <f t="shared" si="240"/>
        <v>0.20362700334430819</v>
      </c>
      <c r="AX108" s="49">
        <f t="shared" si="240"/>
        <v>0.17771477796701257</v>
      </c>
      <c r="AY108" s="49">
        <f t="shared" si="240"/>
        <v>0.16533650496597607</v>
      </c>
      <c r="AZ108" s="49">
        <f t="shared" si="240"/>
        <v>0.15814255274209366</v>
      </c>
      <c r="BA108" s="49">
        <f t="shared" si="240"/>
        <v>0.18331718083096477</v>
      </c>
      <c r="BB108" s="49">
        <f t="shared" si="240"/>
        <v>0.19569172011170391</v>
      </c>
      <c r="BC108" s="49">
        <f t="shared" si="240"/>
        <v>0.24168039648504008</v>
      </c>
      <c r="BD108" s="49">
        <f t="shared" si="240"/>
        <v>0.22657110099750891</v>
      </c>
      <c r="BE108" s="49">
        <f t="shared" si="240"/>
        <v>0.21145618378934669</v>
      </c>
      <c r="BF108" s="49">
        <f t="shared" si="240"/>
        <v>0.23302085196734265</v>
      </c>
      <c r="BG108" s="49">
        <f t="shared" si="240"/>
        <v>0.23617687094882531</v>
      </c>
      <c r="BH108" s="49">
        <f t="shared" si="240"/>
        <v>0.22156266755171225</v>
      </c>
      <c r="BI108" s="49">
        <f t="shared" si="240"/>
        <v>0.22905745112785261</v>
      </c>
      <c r="BJ108" s="49">
        <f t="shared" si="240"/>
        <v>0.21576929711132598</v>
      </c>
      <c r="BK108" s="49">
        <f t="shared" si="240"/>
        <v>0.20863253507555057</v>
      </c>
      <c r="BL108" s="49">
        <f t="shared" si="240"/>
        <v>0.20511588604746964</v>
      </c>
      <c r="BM108" s="49">
        <f t="shared" si="240"/>
        <v>0.1947325003993978</v>
      </c>
      <c r="BN108" s="49">
        <f t="shared" si="240"/>
        <v>0.22134281018117991</v>
      </c>
      <c r="BO108" s="49">
        <f t="shared" si="240"/>
        <v>0.19718987551941372</v>
      </c>
      <c r="BP108" s="49">
        <f t="shared" si="240"/>
        <v>0.21297235989715155</v>
      </c>
      <c r="BQ108" s="49">
        <f t="shared" si="240"/>
        <v>0.20725031543824318</v>
      </c>
      <c r="BR108" s="49">
        <f t="shared" si="240"/>
        <v>0.22533926421660891</v>
      </c>
      <c r="BS108" s="49">
        <f t="shared" si="240"/>
        <v>0.20717806732342553</v>
      </c>
      <c r="BT108" s="49">
        <f t="shared" si="240"/>
        <v>0.21831073911274404</v>
      </c>
      <c r="BV108" s="37" t="s">
        <v>82</v>
      </c>
      <c r="BW108" t="s">
        <v>35</v>
      </c>
      <c r="BX108" t="s">
        <v>42</v>
      </c>
      <c r="BY108" t="s">
        <v>30</v>
      </c>
      <c r="BZ108" t="s">
        <v>42</v>
      </c>
      <c r="CA108" t="s">
        <v>43</v>
      </c>
      <c r="CB108" t="s">
        <v>30</v>
      </c>
      <c r="CC108" t="s">
        <v>30</v>
      </c>
      <c r="CD108" t="s">
        <v>24</v>
      </c>
      <c r="CE108" t="s">
        <v>41</v>
      </c>
      <c r="CF108" t="s">
        <v>25</v>
      </c>
      <c r="CG108" t="s">
        <v>43</v>
      </c>
      <c r="CH108" t="s">
        <v>25</v>
      </c>
      <c r="CI108" t="s">
        <v>43</v>
      </c>
      <c r="CJ108" t="s">
        <v>35</v>
      </c>
      <c r="CK108" t="s">
        <v>42</v>
      </c>
      <c r="CL108" t="s">
        <v>30</v>
      </c>
      <c r="CM108" t="s">
        <v>24</v>
      </c>
      <c r="CN108" t="s">
        <v>24</v>
      </c>
      <c r="CO108" t="s">
        <v>24</v>
      </c>
      <c r="CP108" t="s">
        <v>35</v>
      </c>
      <c r="CQ108" t="s">
        <v>35</v>
      </c>
      <c r="CR108" t="s">
        <v>41</v>
      </c>
      <c r="CS108" t="s">
        <v>42</v>
      </c>
      <c r="CT108" t="s">
        <v>43</v>
      </c>
      <c r="CU108" t="s">
        <v>25</v>
      </c>
      <c r="CV108" t="s">
        <v>25</v>
      </c>
      <c r="CW108" t="s">
        <v>41</v>
      </c>
      <c r="CX108" t="s">
        <v>41</v>
      </c>
      <c r="CY108" t="s">
        <v>25</v>
      </c>
      <c r="CZ108" t="s">
        <v>43</v>
      </c>
      <c r="DA108" t="s">
        <v>25</v>
      </c>
      <c r="DB108" t="s">
        <v>43</v>
      </c>
      <c r="DC108" t="s">
        <v>30</v>
      </c>
      <c r="DD108" t="s">
        <v>42</v>
      </c>
    </row>
    <row r="109" spans="1:108" x14ac:dyDescent="0.35">
      <c r="B109" s="39" t="s">
        <v>93</v>
      </c>
      <c r="C109" s="15">
        <f>1-SUM(C110:C114)</f>
        <v>0.35650776611915669</v>
      </c>
      <c r="D109" s="15">
        <f t="shared" ref="D109:AJ109" si="241">1-SUM(D110:D114)</f>
        <v>0.36130776611915683</v>
      </c>
      <c r="E109" s="15">
        <f t="shared" si="241"/>
        <v>0.36720776611915684</v>
      </c>
      <c r="F109" s="15">
        <f t="shared" si="241"/>
        <v>0.35650776611915669</v>
      </c>
      <c r="G109" s="15">
        <f t="shared" si="241"/>
        <v>0.36650776611915681</v>
      </c>
      <c r="H109" s="15">
        <f t="shared" si="241"/>
        <v>0.3373077661191568</v>
      </c>
      <c r="I109" s="15">
        <f t="shared" si="241"/>
        <v>0.41130776611915676</v>
      </c>
      <c r="J109" s="15">
        <f t="shared" si="241"/>
        <v>0.33360776611915677</v>
      </c>
      <c r="K109" s="15">
        <f t="shared" si="241"/>
        <v>0.33740776611915679</v>
      </c>
      <c r="L109" s="15">
        <f t="shared" si="241"/>
        <v>0.33710776611915672</v>
      </c>
      <c r="M109" s="15">
        <f t="shared" si="241"/>
        <v>0.36710776611915685</v>
      </c>
      <c r="N109" s="15">
        <f t="shared" si="241"/>
        <v>0.38780776611915679</v>
      </c>
      <c r="O109" s="15">
        <f t="shared" si="241"/>
        <v>0.33870776611915676</v>
      </c>
      <c r="P109" s="15">
        <f t="shared" si="241"/>
        <v>0.33540776611915679</v>
      </c>
      <c r="Q109" s="15">
        <f t="shared" si="241"/>
        <v>0.34330776611915681</v>
      </c>
      <c r="R109" s="15">
        <f t="shared" si="241"/>
        <v>0.38290776611915689</v>
      </c>
      <c r="S109" s="15">
        <f t="shared" si="241"/>
        <v>0.31950776611915677</v>
      </c>
      <c r="T109" s="15">
        <f t="shared" si="241"/>
        <v>0.34880776611915687</v>
      </c>
      <c r="U109" s="15">
        <f t="shared" si="241"/>
        <v>0.35270776611915677</v>
      </c>
      <c r="V109" s="15">
        <f t="shared" si="241"/>
        <v>0.40100776611915678</v>
      </c>
      <c r="W109" s="15">
        <f t="shared" si="241"/>
        <v>0.32530776611915679</v>
      </c>
      <c r="X109" s="15">
        <f t="shared" si="241"/>
        <v>0.32680776611915685</v>
      </c>
      <c r="Y109" s="15">
        <f t="shared" si="241"/>
        <v>0.34370776611915677</v>
      </c>
      <c r="Z109" s="15">
        <f t="shared" si="241"/>
        <v>0.39610776611915688</v>
      </c>
      <c r="AA109" s="15">
        <f t="shared" si="241"/>
        <v>0.3161077661191567</v>
      </c>
      <c r="AB109" s="15">
        <f t="shared" si="241"/>
        <v>0.36450776611915681</v>
      </c>
      <c r="AC109" s="15">
        <f t="shared" si="241"/>
        <v>0.3434077661191568</v>
      </c>
      <c r="AD109" s="15">
        <f t="shared" si="241"/>
        <v>0.35260776611915678</v>
      </c>
      <c r="AE109" s="15">
        <f t="shared" si="241"/>
        <v>0.34280776611915686</v>
      </c>
      <c r="AF109" s="15">
        <f t="shared" si="241"/>
        <v>0.37930776611915684</v>
      </c>
      <c r="AG109" s="15">
        <f t="shared" si="241"/>
        <v>0.33300776611915683</v>
      </c>
      <c r="AH109" s="15">
        <f t="shared" si="241"/>
        <v>0.38720776611915675</v>
      </c>
      <c r="AI109" s="15">
        <f t="shared" si="241"/>
        <v>0.40060776611915672</v>
      </c>
      <c r="AJ109" s="15">
        <f t="shared" si="241"/>
        <v>0.36690776611915676</v>
      </c>
      <c r="AK109" s="5"/>
      <c r="AL109" s="39" t="s">
        <v>93</v>
      </c>
      <c r="AM109" s="30">
        <v>0.1942809102533041</v>
      </c>
      <c r="AN109" s="30">
        <v>0.18674797832183779</v>
      </c>
      <c r="AO109" s="30">
        <v>0.22697612623827723</v>
      </c>
      <c r="AP109" s="30">
        <v>0.23550137443272973</v>
      </c>
      <c r="AQ109" s="30">
        <v>0.16859230552566024</v>
      </c>
      <c r="AR109" s="30">
        <v>0.22059241337364852</v>
      </c>
      <c r="AS109" s="30">
        <v>0.18759630786729981</v>
      </c>
      <c r="AT109" s="30">
        <v>0.14832454676847762</v>
      </c>
      <c r="AU109" s="30">
        <v>0.21353006052748358</v>
      </c>
      <c r="AV109" s="30">
        <v>0.2084579315889441</v>
      </c>
      <c r="AW109" s="30">
        <v>0.2010542010348213</v>
      </c>
      <c r="AX109" s="30">
        <v>0.17501215643991902</v>
      </c>
      <c r="AY109" s="30">
        <v>0.16300863193684054</v>
      </c>
      <c r="AZ109" s="30">
        <v>0.15568088837545144</v>
      </c>
      <c r="BA109" s="30">
        <v>0.18094394132292566</v>
      </c>
      <c r="BB109" s="30">
        <v>0.19346929957009035</v>
      </c>
      <c r="BC109" s="30">
        <v>0.23863422768141376</v>
      </c>
      <c r="BD109" s="30">
        <v>0.22358886981940357</v>
      </c>
      <c r="BE109" s="30">
        <v>0.20868615700762039</v>
      </c>
      <c r="BF109" s="30">
        <v>0.22983883785918155</v>
      </c>
      <c r="BG109" s="30">
        <v>0.23373975572644595</v>
      </c>
      <c r="BH109" s="30">
        <v>0.21918473063008553</v>
      </c>
      <c r="BI109" s="30">
        <v>0.22651897426886075</v>
      </c>
      <c r="BJ109" s="30">
        <v>0.21279709305666147</v>
      </c>
      <c r="BK109" s="30">
        <v>0.2056821508317504</v>
      </c>
      <c r="BL109" s="30">
        <v>0.20164431531727942</v>
      </c>
      <c r="BM109" s="30">
        <v>0.19237925616563956</v>
      </c>
      <c r="BN109" s="30">
        <v>0.21902051800266115</v>
      </c>
      <c r="BO109" s="30">
        <v>0.19452211960753382</v>
      </c>
      <c r="BP109" s="30">
        <v>0.21060719095685118</v>
      </c>
      <c r="BQ109" s="30">
        <v>0.20448186085465547</v>
      </c>
      <c r="BR109" s="30">
        <v>0.22254911488741261</v>
      </c>
      <c r="BS109" s="30">
        <v>0.20428039566254572</v>
      </c>
      <c r="BT109" s="30">
        <v>0.21477726277777795</v>
      </c>
      <c r="BV109" s="39" t="s">
        <v>93</v>
      </c>
      <c r="BW109" t="s">
        <v>25</v>
      </c>
      <c r="BX109" t="s">
        <v>42</v>
      </c>
      <c r="BY109" t="s">
        <v>25</v>
      </c>
      <c r="BZ109" t="s">
        <v>24</v>
      </c>
      <c r="CA109" t="s">
        <v>25</v>
      </c>
      <c r="CB109" t="s">
        <v>25</v>
      </c>
      <c r="CC109" t="s">
        <v>24</v>
      </c>
      <c r="CD109" t="s">
        <v>41</v>
      </c>
      <c r="CE109" t="s">
        <v>43</v>
      </c>
      <c r="CF109" t="s">
        <v>25</v>
      </c>
      <c r="CG109" t="s">
        <v>43</v>
      </c>
      <c r="CH109" t="s">
        <v>41</v>
      </c>
      <c r="CI109" t="s">
        <v>42</v>
      </c>
      <c r="CJ109" t="s">
        <v>41</v>
      </c>
      <c r="CK109" t="s">
        <v>43</v>
      </c>
      <c r="CL109" t="s">
        <v>42</v>
      </c>
      <c r="CM109" t="s">
        <v>43</v>
      </c>
      <c r="CN109" t="s">
        <v>41</v>
      </c>
      <c r="CO109" t="s">
        <v>43</v>
      </c>
      <c r="CP109" t="s">
        <v>41</v>
      </c>
      <c r="CQ109" t="s">
        <v>41</v>
      </c>
      <c r="CR109" t="s">
        <v>35</v>
      </c>
      <c r="CS109" t="s">
        <v>25</v>
      </c>
      <c r="CT109" t="s">
        <v>41</v>
      </c>
      <c r="CU109" t="s">
        <v>43</v>
      </c>
      <c r="CV109" t="s">
        <v>42</v>
      </c>
      <c r="CW109" t="s">
        <v>43</v>
      </c>
      <c r="CX109" t="s">
        <v>25</v>
      </c>
      <c r="CY109" t="s">
        <v>25</v>
      </c>
      <c r="CZ109" t="s">
        <v>43</v>
      </c>
      <c r="DA109" t="s">
        <v>25</v>
      </c>
      <c r="DB109" t="s">
        <v>35</v>
      </c>
      <c r="DC109" t="s">
        <v>30</v>
      </c>
      <c r="DD109" t="s">
        <v>42</v>
      </c>
    </row>
    <row r="110" spans="1:108" x14ac:dyDescent="0.35">
      <c r="B110" s="39" t="s">
        <v>94</v>
      </c>
      <c r="C110" s="15">
        <v>0.15782067341040465</v>
      </c>
      <c r="D110" s="15">
        <v>0.17372067341040465</v>
      </c>
      <c r="E110" s="15">
        <v>0.15312067341040464</v>
      </c>
      <c r="F110" s="15">
        <v>0.15642067341040464</v>
      </c>
      <c r="G110" s="15">
        <v>0.14492067341040465</v>
      </c>
      <c r="H110" s="15">
        <v>0.15212067341040464</v>
      </c>
      <c r="I110" s="15">
        <v>0.14162067341040466</v>
      </c>
      <c r="J110" s="15">
        <v>0.17412067341040466</v>
      </c>
      <c r="K110" s="15">
        <v>0.16612067341040465</v>
      </c>
      <c r="L110" s="15">
        <v>0.14662067341040466</v>
      </c>
      <c r="M110" s="15">
        <v>0.15072067341040465</v>
      </c>
      <c r="N110" s="15">
        <v>0.14632067341040464</v>
      </c>
      <c r="O110" s="15">
        <v>0.15672067341040466</v>
      </c>
      <c r="P110" s="15">
        <v>0.14392067341040465</v>
      </c>
      <c r="Q110" s="15">
        <v>0.15162067341040464</v>
      </c>
      <c r="R110" s="15">
        <v>0.14252067341040464</v>
      </c>
      <c r="S110" s="15">
        <v>0.16582067341040466</v>
      </c>
      <c r="T110" s="15">
        <v>0.17482067341040464</v>
      </c>
      <c r="U110" s="15">
        <v>0.16982067341040466</v>
      </c>
      <c r="V110" s="15">
        <v>0.15272067341040466</v>
      </c>
      <c r="W110" s="15">
        <v>0.15512067341040464</v>
      </c>
      <c r="X110" s="15">
        <v>0.16892067341040465</v>
      </c>
      <c r="Y110" s="15">
        <v>0.14272067341040465</v>
      </c>
      <c r="Z110" s="15">
        <v>0.15342067341040466</v>
      </c>
      <c r="AA110" s="15">
        <v>0.17252067341040464</v>
      </c>
      <c r="AB110" s="15">
        <v>0.16812067341040465</v>
      </c>
      <c r="AC110" s="15">
        <v>0.17022067341040464</v>
      </c>
      <c r="AD110" s="15">
        <v>0.16032067341040465</v>
      </c>
      <c r="AE110" s="15">
        <v>0.16792067341040465</v>
      </c>
      <c r="AF110" s="15">
        <v>0.14952067341040465</v>
      </c>
      <c r="AG110" s="15">
        <v>0.15912067341040464</v>
      </c>
      <c r="AH110" s="15">
        <v>0.15002067341040465</v>
      </c>
      <c r="AI110" s="15">
        <v>0.14352067341040464</v>
      </c>
      <c r="AJ110" s="15">
        <v>0.16142067341040464</v>
      </c>
      <c r="AK110" s="5"/>
      <c r="AL110" s="39" t="s">
        <v>94</v>
      </c>
      <c r="AM110" s="30">
        <v>0.20203131065777688</v>
      </c>
      <c r="AN110" s="30">
        <v>0.19449837872631057</v>
      </c>
      <c r="AO110" s="30">
        <v>0.23472652664275001</v>
      </c>
      <c r="AP110" s="30">
        <v>0.24325177483720251</v>
      </c>
      <c r="AQ110" s="30">
        <v>0.17634270593013301</v>
      </c>
      <c r="AR110" s="30">
        <v>0.2283428137781213</v>
      </c>
      <c r="AS110" s="30">
        <v>0.19534670827177258</v>
      </c>
      <c r="AT110" s="30">
        <v>0.1560749471729504</v>
      </c>
      <c r="AU110" s="30">
        <v>0.22128046093195636</v>
      </c>
      <c r="AV110" s="30">
        <v>0.21620833199341688</v>
      </c>
      <c r="AW110" s="30">
        <v>0.20880460143929408</v>
      </c>
      <c r="AX110" s="30">
        <v>0.1827625568443918</v>
      </c>
      <c r="AY110" s="30">
        <v>0.17075903234131332</v>
      </c>
      <c r="AZ110" s="30">
        <v>0.16343128877992422</v>
      </c>
      <c r="BA110" s="30">
        <v>0.18869434172739843</v>
      </c>
      <c r="BB110" s="30">
        <v>0.20121969997456313</v>
      </c>
      <c r="BC110" s="30">
        <v>0.24638462808588654</v>
      </c>
      <c r="BD110" s="30">
        <v>0.23133927022387635</v>
      </c>
      <c r="BE110" s="30">
        <v>0.21643655741209317</v>
      </c>
      <c r="BF110" s="30">
        <v>0.23758923826365433</v>
      </c>
      <c r="BG110" s="30">
        <v>0.24149015613091873</v>
      </c>
      <c r="BH110" s="30">
        <v>0.22693513103455831</v>
      </c>
      <c r="BI110" s="30">
        <v>0.23426937467333353</v>
      </c>
      <c r="BJ110" s="30">
        <v>0.22054749346113425</v>
      </c>
      <c r="BK110" s="30">
        <v>0.21343255123622318</v>
      </c>
      <c r="BL110" s="30">
        <v>0.20939471572175219</v>
      </c>
      <c r="BM110" s="30">
        <v>0.20012965657011234</v>
      </c>
      <c r="BN110" s="30">
        <v>0.22677091840713393</v>
      </c>
      <c r="BO110" s="30">
        <v>0.2022725200120066</v>
      </c>
      <c r="BP110" s="30">
        <v>0.21835759136132396</v>
      </c>
      <c r="BQ110" s="30">
        <v>0.21223226125912825</v>
      </c>
      <c r="BR110" s="30">
        <v>0.23029951529188539</v>
      </c>
      <c r="BS110" s="30">
        <v>0.2120307960670185</v>
      </c>
      <c r="BT110" s="30">
        <v>0.22252766318225073</v>
      </c>
      <c r="BV110" s="39" t="s">
        <v>94</v>
      </c>
      <c r="BW110" t="s">
        <v>30</v>
      </c>
      <c r="BX110" t="s">
        <v>43</v>
      </c>
      <c r="BY110" t="s">
        <v>41</v>
      </c>
      <c r="BZ110" t="s">
        <v>43</v>
      </c>
      <c r="CA110" t="s">
        <v>41</v>
      </c>
      <c r="CB110" t="s">
        <v>35</v>
      </c>
      <c r="CC110" t="s">
        <v>35</v>
      </c>
      <c r="CD110" t="s">
        <v>43</v>
      </c>
      <c r="CE110" t="s">
        <v>30</v>
      </c>
      <c r="CF110" t="s">
        <v>42</v>
      </c>
      <c r="CG110" t="s">
        <v>30</v>
      </c>
      <c r="CH110" t="s">
        <v>25</v>
      </c>
      <c r="CI110" t="s">
        <v>35</v>
      </c>
      <c r="CJ110" t="s">
        <v>43</v>
      </c>
      <c r="CK110" t="s">
        <v>24</v>
      </c>
      <c r="CL110" t="s">
        <v>30</v>
      </c>
      <c r="CM110" t="s">
        <v>24</v>
      </c>
      <c r="CN110" t="s">
        <v>41</v>
      </c>
      <c r="CO110" t="s">
        <v>42</v>
      </c>
      <c r="CP110" t="s">
        <v>43</v>
      </c>
      <c r="CQ110" t="s">
        <v>30</v>
      </c>
      <c r="CR110" t="s">
        <v>24</v>
      </c>
      <c r="CS110" t="s">
        <v>42</v>
      </c>
      <c r="CT110" t="s">
        <v>42</v>
      </c>
      <c r="CU110" t="s">
        <v>41</v>
      </c>
      <c r="CV110" t="s">
        <v>30</v>
      </c>
      <c r="CW110" t="s">
        <v>42</v>
      </c>
      <c r="CX110" t="s">
        <v>24</v>
      </c>
      <c r="CY110" t="s">
        <v>24</v>
      </c>
      <c r="CZ110" t="s">
        <v>42</v>
      </c>
      <c r="DA110" t="s">
        <v>43</v>
      </c>
      <c r="DB110" t="s">
        <v>25</v>
      </c>
      <c r="DC110" t="s">
        <v>30</v>
      </c>
      <c r="DD110" t="s">
        <v>43</v>
      </c>
    </row>
    <row r="111" spans="1:108" x14ac:dyDescent="0.35">
      <c r="B111" s="39" t="s">
        <v>95</v>
      </c>
      <c r="C111" s="15">
        <v>9.2816512597575576E-2</v>
      </c>
      <c r="D111" s="15">
        <v>7.791651259757558E-2</v>
      </c>
      <c r="E111" s="15">
        <v>9.8016512597575572E-2</v>
      </c>
      <c r="F111" s="15">
        <v>8.181651259757558E-2</v>
      </c>
      <c r="G111" s="15">
        <v>9.9516512597575574E-2</v>
      </c>
      <c r="H111" s="15">
        <v>0.10811651259757557</v>
      </c>
      <c r="I111" s="15">
        <v>7.8716512597575575E-2</v>
      </c>
      <c r="J111" s="15">
        <v>0.10001651259757557</v>
      </c>
      <c r="K111" s="15">
        <v>0.10271651259757558</v>
      </c>
      <c r="L111" s="15">
        <v>0.10321651259757558</v>
      </c>
      <c r="M111" s="15">
        <v>8.6816512597575571E-2</v>
      </c>
      <c r="N111" s="15">
        <v>8.9616512597575582E-2</v>
      </c>
      <c r="O111" s="15">
        <v>0.10301651259757558</v>
      </c>
      <c r="P111" s="15">
        <v>9.2716512597575573E-2</v>
      </c>
      <c r="Q111" s="15">
        <v>9.6716512597575577E-2</v>
      </c>
      <c r="R111" s="15">
        <v>8.0316512597575579E-2</v>
      </c>
      <c r="S111" s="15">
        <v>0.10601651259757558</v>
      </c>
      <c r="T111" s="15">
        <v>8.2716512597575578E-2</v>
      </c>
      <c r="U111" s="15">
        <v>8.0816512597575579E-2</v>
      </c>
      <c r="V111" s="15">
        <v>7.8816512597575578E-2</v>
      </c>
      <c r="W111" s="15">
        <v>0.10861651259757557</v>
      </c>
      <c r="X111" s="15">
        <v>0.10851651259757558</v>
      </c>
      <c r="Y111" s="15">
        <v>9.211651259757557E-2</v>
      </c>
      <c r="Z111" s="15">
        <v>8.2316512597575581E-2</v>
      </c>
      <c r="AA111" s="15">
        <v>0.10271651259757558</v>
      </c>
      <c r="AB111" s="15">
        <v>7.8116512597575571E-2</v>
      </c>
      <c r="AC111" s="15">
        <v>9.5116512597575573E-2</v>
      </c>
      <c r="AD111" s="15">
        <v>8.631651259757557E-2</v>
      </c>
      <c r="AE111" s="15">
        <v>8.0516512597575571E-2</v>
      </c>
      <c r="AF111" s="15">
        <v>7.9216512597575575E-2</v>
      </c>
      <c r="AG111" s="15">
        <v>0.10911651259757557</v>
      </c>
      <c r="AH111" s="15">
        <v>9.2416512597575579E-2</v>
      </c>
      <c r="AI111" s="15">
        <v>8.7916512597575575E-2</v>
      </c>
      <c r="AJ111" s="15">
        <v>8.001651259757557E-2</v>
      </c>
      <c r="AK111" s="5"/>
      <c r="AL111" s="39" t="s">
        <v>95</v>
      </c>
      <c r="AM111" s="30">
        <v>0.18548520009101113</v>
      </c>
      <c r="AN111" s="30">
        <v>0.17795226815954482</v>
      </c>
      <c r="AO111" s="30">
        <v>0.21818041607598426</v>
      </c>
      <c r="AP111" s="30">
        <v>0.22670566427043676</v>
      </c>
      <c r="AQ111" s="30">
        <v>0.15979659536336727</v>
      </c>
      <c r="AR111" s="30">
        <v>0.21179670321135555</v>
      </c>
      <c r="AS111" s="30">
        <v>0.17880059770500684</v>
      </c>
      <c r="AT111" s="30">
        <v>0.13952883660618465</v>
      </c>
      <c r="AU111" s="30">
        <v>0.20473435036519061</v>
      </c>
      <c r="AV111" s="30">
        <v>0.19966222142665113</v>
      </c>
      <c r="AW111" s="30">
        <v>0.19225849087252833</v>
      </c>
      <c r="AX111" s="30">
        <v>0.16621644627762605</v>
      </c>
      <c r="AY111" s="30">
        <v>0.15421292177454757</v>
      </c>
      <c r="AZ111" s="30">
        <v>0.14688517821315847</v>
      </c>
      <c r="BA111" s="30">
        <v>0.17214823116063269</v>
      </c>
      <c r="BB111" s="30">
        <v>0.18467358940779738</v>
      </c>
      <c r="BC111" s="30">
        <v>0.22983851751912079</v>
      </c>
      <c r="BD111" s="30">
        <v>0.2147931596571106</v>
      </c>
      <c r="BE111" s="30">
        <v>0.19989044684532742</v>
      </c>
      <c r="BF111" s="30">
        <v>0.22104312769688858</v>
      </c>
      <c r="BG111" s="30">
        <v>0.22494404556415298</v>
      </c>
      <c r="BH111" s="30">
        <v>0.21038902046779256</v>
      </c>
      <c r="BI111" s="30">
        <v>0.21772326410656778</v>
      </c>
      <c r="BJ111" s="30">
        <v>0.2040013828943685</v>
      </c>
      <c r="BK111" s="30">
        <v>0.19688644066945743</v>
      </c>
      <c r="BL111" s="30">
        <v>0.19284860515498645</v>
      </c>
      <c r="BM111" s="30">
        <v>0.18358354600334659</v>
      </c>
      <c r="BN111" s="30">
        <v>0.21022480784036818</v>
      </c>
      <c r="BO111" s="30">
        <v>0.18572640944524085</v>
      </c>
      <c r="BP111" s="30">
        <v>0.20181148079455821</v>
      </c>
      <c r="BQ111" s="30">
        <v>0.1956861506923625</v>
      </c>
      <c r="BR111" s="30">
        <v>0.21375340472511964</v>
      </c>
      <c r="BS111" s="30">
        <v>0.19548468550025275</v>
      </c>
      <c r="BT111" s="30">
        <v>0.20598155261548498</v>
      </c>
      <c r="BV111" s="39" t="s">
        <v>95</v>
      </c>
      <c r="BW111" t="s">
        <v>25</v>
      </c>
      <c r="BX111" t="s">
        <v>24</v>
      </c>
      <c r="BY111" t="s">
        <v>24</v>
      </c>
      <c r="BZ111" t="s">
        <v>41</v>
      </c>
      <c r="CA111" t="s">
        <v>24</v>
      </c>
      <c r="CB111" t="s">
        <v>25</v>
      </c>
      <c r="CC111" t="s">
        <v>24</v>
      </c>
      <c r="CD111" t="s">
        <v>42</v>
      </c>
      <c r="CE111" t="s">
        <v>42</v>
      </c>
      <c r="CF111" t="s">
        <v>41</v>
      </c>
      <c r="CG111" t="s">
        <v>30</v>
      </c>
      <c r="CH111" t="s">
        <v>35</v>
      </c>
      <c r="CI111" t="s">
        <v>30</v>
      </c>
      <c r="CJ111" t="s">
        <v>24</v>
      </c>
      <c r="CK111" t="s">
        <v>41</v>
      </c>
      <c r="CL111" t="s">
        <v>43</v>
      </c>
      <c r="CM111" t="s">
        <v>42</v>
      </c>
      <c r="CN111" t="s">
        <v>24</v>
      </c>
      <c r="CO111" t="s">
        <v>24</v>
      </c>
      <c r="CP111" t="s">
        <v>35</v>
      </c>
      <c r="CQ111" t="s">
        <v>24</v>
      </c>
      <c r="CR111" t="s">
        <v>35</v>
      </c>
      <c r="CS111" t="s">
        <v>24</v>
      </c>
      <c r="CT111" t="s">
        <v>35</v>
      </c>
      <c r="CU111" t="s">
        <v>42</v>
      </c>
      <c r="CV111" t="s">
        <v>43</v>
      </c>
      <c r="CW111" t="s">
        <v>24</v>
      </c>
      <c r="CX111" t="s">
        <v>42</v>
      </c>
      <c r="CY111" t="s">
        <v>41</v>
      </c>
      <c r="CZ111" t="s">
        <v>30</v>
      </c>
      <c r="DA111" t="s">
        <v>35</v>
      </c>
      <c r="DB111" t="s">
        <v>41</v>
      </c>
      <c r="DC111" t="s">
        <v>41</v>
      </c>
      <c r="DD111" t="s">
        <v>35</v>
      </c>
    </row>
    <row r="112" spans="1:108" x14ac:dyDescent="0.35">
      <c r="B112" s="39" t="s">
        <v>96</v>
      </c>
      <c r="C112" s="15">
        <v>6.9251818156529338E-2</v>
      </c>
      <c r="D112" s="15">
        <v>7.805181815652934E-2</v>
      </c>
      <c r="E112" s="15">
        <v>7.0751818156529339E-2</v>
      </c>
      <c r="F112" s="15">
        <v>7.0851818156529342E-2</v>
      </c>
      <c r="G112" s="15">
        <v>6.2851818156529335E-2</v>
      </c>
      <c r="H112" s="15">
        <v>6.2451818156529337E-2</v>
      </c>
      <c r="I112" s="15">
        <v>6.2851818156529335E-2</v>
      </c>
      <c r="J112" s="15">
        <v>8.4551818156529332E-2</v>
      </c>
      <c r="K112" s="15">
        <v>5.6951818156529339E-2</v>
      </c>
      <c r="L112" s="15">
        <v>7.0051818156529333E-2</v>
      </c>
      <c r="M112" s="15">
        <v>7.6851818156529333E-2</v>
      </c>
      <c r="N112" s="15">
        <v>6.5851818156529338E-2</v>
      </c>
      <c r="O112" s="15">
        <v>8.3151818156529334E-2</v>
      </c>
      <c r="P112" s="15">
        <v>7.9451818156529339E-2</v>
      </c>
      <c r="Q112" s="15">
        <v>7.8451818156529338E-2</v>
      </c>
      <c r="R112" s="15">
        <v>8.495181815652933E-2</v>
      </c>
      <c r="S112" s="15">
        <v>6.035181815652934E-2</v>
      </c>
      <c r="T112" s="15">
        <v>7.4351818156529331E-2</v>
      </c>
      <c r="U112" s="15">
        <v>6.9551818156529333E-2</v>
      </c>
      <c r="V112" s="15">
        <v>5.3051818156529339E-2</v>
      </c>
      <c r="W112" s="15">
        <v>7.5551818156529338E-2</v>
      </c>
      <c r="X112" s="15">
        <v>8.0451818156529339E-2</v>
      </c>
      <c r="Y112" s="15">
        <v>7.6351818156529333E-2</v>
      </c>
      <c r="Z112" s="15">
        <v>6.1051818156529339E-2</v>
      </c>
      <c r="AA112" s="15">
        <v>6.3151818156529343E-2</v>
      </c>
      <c r="AB112" s="15">
        <v>5.7251818156529341E-2</v>
      </c>
      <c r="AC112" s="15">
        <v>7.2551818156529335E-2</v>
      </c>
      <c r="AD112" s="15">
        <v>8.1251818156529335E-2</v>
      </c>
      <c r="AE112" s="15">
        <v>7.965181815652933E-2</v>
      </c>
      <c r="AF112" s="15">
        <v>7.2551818156529335E-2</v>
      </c>
      <c r="AG112" s="15">
        <v>6.5051818156529342E-2</v>
      </c>
      <c r="AH112" s="15">
        <v>6.1451818156529336E-2</v>
      </c>
      <c r="AI112" s="15">
        <v>5.6051818156529334E-2</v>
      </c>
      <c r="AJ112" s="15">
        <v>5.7651818156529339E-2</v>
      </c>
      <c r="AK112" s="5"/>
      <c r="AL112" s="39" t="s">
        <v>96</v>
      </c>
      <c r="AM112" s="30">
        <v>0.17087887207733482</v>
      </c>
      <c r="AN112" s="30">
        <v>0.16334594014586851</v>
      </c>
      <c r="AO112" s="30">
        <v>0.20357408806230795</v>
      </c>
      <c r="AP112" s="30">
        <v>0.21209933625676045</v>
      </c>
      <c r="AQ112" s="30">
        <v>0.14519026734969095</v>
      </c>
      <c r="AR112" s="30">
        <v>0.19719037519767924</v>
      </c>
      <c r="AS112" s="30">
        <v>0.16419426969133052</v>
      </c>
      <c r="AT112" s="30">
        <v>0.12492250859250834</v>
      </c>
      <c r="AU112" s="30">
        <v>0.1901280223515143</v>
      </c>
      <c r="AV112" s="30">
        <v>0.18505589341297482</v>
      </c>
      <c r="AW112" s="30">
        <v>0.17765216285885202</v>
      </c>
      <c r="AX112" s="30">
        <v>0.15161011826394974</v>
      </c>
      <c r="AY112" s="30">
        <v>0.13960659376087126</v>
      </c>
      <c r="AZ112" s="30">
        <v>0.13227885019948216</v>
      </c>
      <c r="BA112" s="30">
        <v>0.15754190314695637</v>
      </c>
      <c r="BB112" s="30">
        <v>0.17006726139412107</v>
      </c>
      <c r="BC112" s="30">
        <v>0.21523218950544448</v>
      </c>
      <c r="BD112" s="30">
        <v>0.20018683164343429</v>
      </c>
      <c r="BE112" s="30">
        <v>0.18528411883165111</v>
      </c>
      <c r="BF112" s="30">
        <v>0.20643679968321227</v>
      </c>
      <c r="BG112" s="30">
        <v>0.21033771755047667</v>
      </c>
      <c r="BH112" s="30">
        <v>0.19578269245411625</v>
      </c>
      <c r="BI112" s="30">
        <v>0.20311693609289147</v>
      </c>
      <c r="BJ112" s="30">
        <v>0.18939505488069219</v>
      </c>
      <c r="BK112" s="30">
        <v>0.18228011265578112</v>
      </c>
      <c r="BL112" s="30">
        <v>0.17824227714131013</v>
      </c>
      <c r="BM112" s="30">
        <v>0.16897721798967028</v>
      </c>
      <c r="BN112" s="30">
        <v>0.19561847982669187</v>
      </c>
      <c r="BO112" s="30">
        <v>0.17112008143156454</v>
      </c>
      <c r="BP112" s="30">
        <v>0.1872051527808819</v>
      </c>
      <c r="BQ112" s="30">
        <v>0.18107982267868619</v>
      </c>
      <c r="BR112" s="30">
        <v>0.19914707671144333</v>
      </c>
      <c r="BS112" s="30">
        <v>0.18087835748657644</v>
      </c>
      <c r="BT112" s="30">
        <v>0.19137522460180867</v>
      </c>
      <c r="BV112" s="39" t="s">
        <v>96</v>
      </c>
      <c r="BW112" t="s">
        <v>24</v>
      </c>
      <c r="BX112" t="s">
        <v>41</v>
      </c>
      <c r="BY112" t="s">
        <v>30</v>
      </c>
      <c r="BZ112" t="s">
        <v>30</v>
      </c>
      <c r="CA112" t="s">
        <v>42</v>
      </c>
      <c r="CB112" t="s">
        <v>41</v>
      </c>
      <c r="CC112" t="s">
        <v>43</v>
      </c>
      <c r="CD112" t="s">
        <v>25</v>
      </c>
      <c r="CE112" t="s">
        <v>35</v>
      </c>
      <c r="CF112" t="s">
        <v>41</v>
      </c>
      <c r="CG112" t="s">
        <v>42</v>
      </c>
      <c r="CH112" t="s">
        <v>24</v>
      </c>
      <c r="CI112" t="s">
        <v>43</v>
      </c>
      <c r="CJ112" t="s">
        <v>24</v>
      </c>
      <c r="CK112" t="s">
        <v>30</v>
      </c>
      <c r="CL112" t="s">
        <v>35</v>
      </c>
      <c r="CM112" t="s">
        <v>30</v>
      </c>
      <c r="CN112" t="s">
        <v>35</v>
      </c>
      <c r="CO112" t="s">
        <v>30</v>
      </c>
      <c r="CP112" t="s">
        <v>30</v>
      </c>
      <c r="CQ112" t="s">
        <v>42</v>
      </c>
      <c r="CR112" t="s">
        <v>35</v>
      </c>
      <c r="CS112" t="s">
        <v>30</v>
      </c>
      <c r="CT112" t="s">
        <v>30</v>
      </c>
      <c r="CU112" t="s">
        <v>24</v>
      </c>
      <c r="CV112" t="s">
        <v>43</v>
      </c>
      <c r="CW112" t="s">
        <v>35</v>
      </c>
      <c r="CX112" t="s">
        <v>30</v>
      </c>
      <c r="CY112" t="s">
        <v>43</v>
      </c>
      <c r="CZ112" t="s">
        <v>30</v>
      </c>
      <c r="DA112" t="s">
        <v>25</v>
      </c>
      <c r="DB112" t="s">
        <v>30</v>
      </c>
      <c r="DC112" t="s">
        <v>42</v>
      </c>
      <c r="DD112" t="s">
        <v>24</v>
      </c>
    </row>
    <row r="113" spans="1:108" x14ac:dyDescent="0.35">
      <c r="B113" s="39" t="s">
        <v>98</v>
      </c>
      <c r="C113" s="15">
        <v>0.2947971069364162</v>
      </c>
      <c r="D113" s="15">
        <v>0.28439710693641618</v>
      </c>
      <c r="E113" s="15">
        <v>0.2816971069364162</v>
      </c>
      <c r="F113" s="15">
        <v>0.3118971069364162</v>
      </c>
      <c r="G113" s="15">
        <v>0.29239710693641618</v>
      </c>
      <c r="H113" s="15">
        <v>0.3012971069364162</v>
      </c>
      <c r="I113" s="15">
        <v>0.28159710693641621</v>
      </c>
      <c r="J113" s="15">
        <v>0.2831971069364162</v>
      </c>
      <c r="K113" s="15">
        <v>0.30329710693641621</v>
      </c>
      <c r="L113" s="15">
        <v>0.30429710693641621</v>
      </c>
      <c r="M113" s="15">
        <v>0.2917971069364162</v>
      </c>
      <c r="N113" s="15">
        <v>0.28539710693641618</v>
      </c>
      <c r="O113" s="15">
        <v>0.29169710693641621</v>
      </c>
      <c r="P113" s="15">
        <v>0.30909710693641618</v>
      </c>
      <c r="Q113" s="15">
        <v>0.29509710693641622</v>
      </c>
      <c r="R113" s="15">
        <v>0.28209710693641621</v>
      </c>
      <c r="S113" s="15">
        <v>0.31169710693641617</v>
      </c>
      <c r="T113" s="15">
        <v>0.2962971069364162</v>
      </c>
      <c r="U113" s="15">
        <v>0.29069710693641621</v>
      </c>
      <c r="V113" s="15">
        <v>0.28859710693641621</v>
      </c>
      <c r="W113" s="15">
        <v>0.3002971069364162</v>
      </c>
      <c r="X113" s="15">
        <v>0.2881971069364162</v>
      </c>
      <c r="Y113" s="15">
        <v>0.30759710693641618</v>
      </c>
      <c r="Z113" s="15">
        <v>0.28489710693641618</v>
      </c>
      <c r="AA113" s="15">
        <v>0.30669710693641622</v>
      </c>
      <c r="AB113" s="15">
        <v>0.30609710693641617</v>
      </c>
      <c r="AC113" s="15">
        <v>0.2791971069364162</v>
      </c>
      <c r="AD113" s="15">
        <v>0.28509710693641621</v>
      </c>
      <c r="AE113" s="15">
        <v>0.29639710693641619</v>
      </c>
      <c r="AF113" s="15">
        <v>0.28059710693641621</v>
      </c>
      <c r="AG113" s="15">
        <v>0.3012971069364162</v>
      </c>
      <c r="AH113" s="15">
        <v>0.28399710693641622</v>
      </c>
      <c r="AI113" s="15">
        <v>0.28529710693641619</v>
      </c>
      <c r="AJ113" s="15">
        <v>0.31159710693641618</v>
      </c>
      <c r="AK113" s="5"/>
      <c r="AL113" s="39" t="s">
        <v>97</v>
      </c>
      <c r="AM113" s="30">
        <v>0.2093642866577769</v>
      </c>
      <c r="AN113" s="30">
        <v>0.20183135472631059</v>
      </c>
      <c r="AO113" s="30">
        <v>0.24205950264275003</v>
      </c>
      <c r="AP113" s="30">
        <v>0.25058475083720255</v>
      </c>
      <c r="AQ113" s="30">
        <v>0.18367568193013303</v>
      </c>
      <c r="AR113" s="30">
        <v>0.23567578977812131</v>
      </c>
      <c r="AS113" s="30">
        <v>0.2026796842717726</v>
      </c>
      <c r="AT113" s="30">
        <v>0.16340792317295041</v>
      </c>
      <c r="AU113" s="30">
        <v>0.22861343693195638</v>
      </c>
      <c r="AV113" s="30">
        <v>0.2235413079934169</v>
      </c>
      <c r="AW113" s="30">
        <v>0.2161375774392941</v>
      </c>
      <c r="AX113" s="30">
        <v>0.19009553284439182</v>
      </c>
      <c r="AY113" s="30">
        <v>0.17809200834131333</v>
      </c>
      <c r="AZ113" s="30">
        <v>0.17076426477992424</v>
      </c>
      <c r="BA113" s="30">
        <v>0.19602731772739845</v>
      </c>
      <c r="BB113" s="30">
        <v>0.20855267597456315</v>
      </c>
      <c r="BC113" s="30">
        <v>0.25371760408588656</v>
      </c>
      <c r="BD113" s="30">
        <v>0.23867224622387637</v>
      </c>
      <c r="BE113" s="30">
        <v>0.22376953341209319</v>
      </c>
      <c r="BF113" s="30">
        <v>0.24492221426365435</v>
      </c>
      <c r="BG113" s="30">
        <v>0.24882313213091875</v>
      </c>
      <c r="BH113" s="30">
        <v>0.23426810703455833</v>
      </c>
      <c r="BI113" s="30">
        <v>0.24160235067333355</v>
      </c>
      <c r="BJ113" s="30">
        <v>0.22788046946113427</v>
      </c>
      <c r="BK113" s="30">
        <v>0.2207655272362232</v>
      </c>
      <c r="BL113" s="30">
        <v>0.21672769172175221</v>
      </c>
      <c r="BM113" s="30">
        <v>0.20746263257011235</v>
      </c>
      <c r="BN113" s="30">
        <v>0.23410389440713394</v>
      </c>
      <c r="BO113" s="30">
        <v>0.20960549601200662</v>
      </c>
      <c r="BP113" s="30">
        <v>0.22569056736132398</v>
      </c>
      <c r="BQ113" s="30">
        <v>0.21956523725912827</v>
      </c>
      <c r="BR113" s="30">
        <v>0.23763249129188541</v>
      </c>
      <c r="BS113" s="30">
        <v>0.21936377206701851</v>
      </c>
      <c r="BT113" s="30">
        <v>0.22986063918225075</v>
      </c>
      <c r="BV113" s="39" t="s">
        <v>97</v>
      </c>
      <c r="BW113" t="s">
        <v>42</v>
      </c>
      <c r="BX113" t="s">
        <v>42</v>
      </c>
      <c r="BY113" t="s">
        <v>24</v>
      </c>
      <c r="BZ113" t="s">
        <v>25</v>
      </c>
      <c r="CA113" t="s">
        <v>35</v>
      </c>
      <c r="CB113" t="s">
        <v>42</v>
      </c>
      <c r="CC113" t="s">
        <v>35</v>
      </c>
      <c r="CD113" t="s">
        <v>42</v>
      </c>
      <c r="CE113" t="s">
        <v>30</v>
      </c>
      <c r="CF113" t="s">
        <v>43</v>
      </c>
      <c r="CG113" t="s">
        <v>30</v>
      </c>
      <c r="CH113" t="s">
        <v>43</v>
      </c>
      <c r="CI113" t="s">
        <v>30</v>
      </c>
      <c r="CJ113" t="s">
        <v>25</v>
      </c>
      <c r="CK113" t="s">
        <v>41</v>
      </c>
      <c r="CL113" t="s">
        <v>24</v>
      </c>
      <c r="CM113" t="s">
        <v>43</v>
      </c>
      <c r="CN113" t="s">
        <v>25</v>
      </c>
      <c r="CO113" t="s">
        <v>24</v>
      </c>
      <c r="CP113" t="s">
        <v>42</v>
      </c>
      <c r="CQ113" t="s">
        <v>25</v>
      </c>
      <c r="CR113" t="s">
        <v>35</v>
      </c>
      <c r="CS113" t="s">
        <v>24</v>
      </c>
      <c r="CT113" t="s">
        <v>25</v>
      </c>
      <c r="CU113" t="s">
        <v>30</v>
      </c>
      <c r="CV113" t="s">
        <v>25</v>
      </c>
      <c r="CW113" t="s">
        <v>25</v>
      </c>
      <c r="CX113" t="s">
        <v>25</v>
      </c>
      <c r="CY113" t="s">
        <v>30</v>
      </c>
      <c r="CZ113" t="s">
        <v>24</v>
      </c>
      <c r="DA113" t="s">
        <v>43</v>
      </c>
      <c r="DB113" t="s">
        <v>25</v>
      </c>
      <c r="DC113" t="s">
        <v>30</v>
      </c>
      <c r="DD113" t="s">
        <v>42</v>
      </c>
    </row>
    <row r="114" spans="1:108" x14ac:dyDescent="0.35">
      <c r="B114" s="39" t="s">
        <v>97</v>
      </c>
      <c r="C114" s="15">
        <v>2.8806122779917443E-2</v>
      </c>
      <c r="D114" s="15">
        <v>2.4606122779917451E-2</v>
      </c>
      <c r="E114" s="15">
        <v>2.9206122779917451E-2</v>
      </c>
      <c r="F114" s="15">
        <v>2.2506122779917443E-2</v>
      </c>
      <c r="G114" s="15">
        <v>3.3806122779917437E-2</v>
      </c>
      <c r="H114" s="15">
        <v>3.8706122779917446E-2</v>
      </c>
      <c r="I114" s="15">
        <v>2.3906122779917445E-2</v>
      </c>
      <c r="J114" s="15">
        <v>2.4506122779917441E-2</v>
      </c>
      <c r="K114" s="15">
        <v>3.3506122779917435E-2</v>
      </c>
      <c r="L114" s="15">
        <v>3.8706122779917439E-2</v>
      </c>
      <c r="M114" s="15">
        <v>2.6706122779917442E-2</v>
      </c>
      <c r="N114" s="15">
        <v>2.5006122779917449E-2</v>
      </c>
      <c r="O114" s="15">
        <v>2.6706122779917442E-2</v>
      </c>
      <c r="P114" s="15">
        <v>3.9406122779917438E-2</v>
      </c>
      <c r="Q114" s="15">
        <v>3.4806122779917445E-2</v>
      </c>
      <c r="R114" s="15">
        <v>2.7206122779917442E-2</v>
      </c>
      <c r="S114" s="15">
        <v>3.6606122779917441E-2</v>
      </c>
      <c r="T114" s="15">
        <v>2.3006122779917447E-2</v>
      </c>
      <c r="U114" s="15">
        <v>3.6406122779917435E-2</v>
      </c>
      <c r="V114" s="15">
        <v>2.5806122779917451E-2</v>
      </c>
      <c r="W114" s="15">
        <v>3.510612277991744E-2</v>
      </c>
      <c r="X114" s="15">
        <v>2.7106122779917443E-2</v>
      </c>
      <c r="Y114" s="15">
        <v>3.7506122779917439E-2</v>
      </c>
      <c r="Z114" s="15">
        <v>2.2206122779917445E-2</v>
      </c>
      <c r="AA114" s="15">
        <v>3.8806122779917442E-2</v>
      </c>
      <c r="AB114" s="15">
        <v>2.5906122779917447E-2</v>
      </c>
      <c r="AC114" s="15">
        <v>3.9506122779917441E-2</v>
      </c>
      <c r="AD114" s="15">
        <v>3.440612277991744E-2</v>
      </c>
      <c r="AE114" s="15">
        <v>3.270612277991744E-2</v>
      </c>
      <c r="AF114" s="15">
        <v>3.8806122779917435E-2</v>
      </c>
      <c r="AG114" s="15">
        <v>3.2406122779917446E-2</v>
      </c>
      <c r="AH114" s="15">
        <v>2.4906122779917442E-2</v>
      </c>
      <c r="AI114" s="15">
        <v>2.6606122779917446E-2</v>
      </c>
      <c r="AJ114" s="15">
        <v>2.2406122779917444E-2</v>
      </c>
      <c r="AK114" s="5"/>
      <c r="AL114" s="39" t="s">
        <v>98</v>
      </c>
      <c r="AM114" s="30">
        <v>0.1780102297275879</v>
      </c>
      <c r="AN114" s="30">
        <v>0.17047729779612159</v>
      </c>
      <c r="AO114" s="30">
        <v>0.21070544571256103</v>
      </c>
      <c r="AP114" s="30">
        <v>0.21923069390701352</v>
      </c>
      <c r="AQ114" s="30">
        <v>0.15232162499994403</v>
      </c>
      <c r="AR114" s="30">
        <v>0.20432173284793231</v>
      </c>
      <c r="AS114" s="30">
        <v>0.1713256273415836</v>
      </c>
      <c r="AT114" s="30">
        <v>0.13205386624276141</v>
      </c>
      <c r="AU114" s="30">
        <v>0.19725938000176738</v>
      </c>
      <c r="AV114" s="30">
        <v>0.1921872510632279</v>
      </c>
      <c r="AW114" s="30">
        <v>0.1847835205091051</v>
      </c>
      <c r="AX114" s="30">
        <v>0.15874147591420282</v>
      </c>
      <c r="AY114" s="30">
        <v>0.14673795141112433</v>
      </c>
      <c r="AZ114" s="30">
        <v>0.13941020784973523</v>
      </c>
      <c r="BA114" s="30">
        <v>0.16467326079720945</v>
      </c>
      <c r="BB114" s="30">
        <v>0.17719861904437414</v>
      </c>
      <c r="BC114" s="30">
        <v>0.22236354715569756</v>
      </c>
      <c r="BD114" s="30">
        <v>0.20731818929368737</v>
      </c>
      <c r="BE114" s="30">
        <v>0.19241547648190419</v>
      </c>
      <c r="BF114" s="30">
        <v>0.21356815733346535</v>
      </c>
      <c r="BG114" s="30">
        <v>0.21746907520072975</v>
      </c>
      <c r="BH114" s="30">
        <v>0.20291405010436933</v>
      </c>
      <c r="BI114" s="30">
        <v>0.21024829374314455</v>
      </c>
      <c r="BJ114" s="30">
        <v>0.19652641253094527</v>
      </c>
      <c r="BK114" s="30">
        <v>0.1894114703060342</v>
      </c>
      <c r="BL114" s="30">
        <v>0.18537363479156321</v>
      </c>
      <c r="BM114" s="30">
        <v>0.17610857563992335</v>
      </c>
      <c r="BN114" s="30">
        <v>0.20274983747694494</v>
      </c>
      <c r="BO114" s="30">
        <v>0.17825143908181762</v>
      </c>
      <c r="BP114" s="30">
        <v>0.19433651043113498</v>
      </c>
      <c r="BQ114" s="30">
        <v>0.18821118032893927</v>
      </c>
      <c r="BR114" s="30">
        <v>0.20627843436169641</v>
      </c>
      <c r="BS114" s="30">
        <v>0.18800971513682951</v>
      </c>
      <c r="BT114" s="30">
        <v>0.19850658225206175</v>
      </c>
      <c r="BV114" s="39" t="s">
        <v>98</v>
      </c>
      <c r="BW114" t="s">
        <v>42</v>
      </c>
      <c r="BX114" t="s">
        <v>43</v>
      </c>
      <c r="BY114" t="s">
        <v>25</v>
      </c>
      <c r="BZ114" t="s">
        <v>43</v>
      </c>
      <c r="CA114" t="s">
        <v>41</v>
      </c>
      <c r="CB114" t="s">
        <v>41</v>
      </c>
      <c r="CC114" t="s">
        <v>41</v>
      </c>
      <c r="CD114" t="s">
        <v>24</v>
      </c>
      <c r="CE114" t="s">
        <v>24</v>
      </c>
      <c r="CF114" t="s">
        <v>43</v>
      </c>
      <c r="CG114" t="s">
        <v>24</v>
      </c>
      <c r="CH114" t="s">
        <v>42</v>
      </c>
      <c r="CI114" t="s">
        <v>43</v>
      </c>
      <c r="CJ114" t="s">
        <v>42</v>
      </c>
      <c r="CK114" t="s">
        <v>30</v>
      </c>
      <c r="CL114" t="s">
        <v>24</v>
      </c>
      <c r="CM114" t="s">
        <v>25</v>
      </c>
      <c r="CN114" t="s">
        <v>43</v>
      </c>
      <c r="CO114" t="s">
        <v>41</v>
      </c>
      <c r="CP114" t="s">
        <v>30</v>
      </c>
      <c r="CQ114" t="s">
        <v>43</v>
      </c>
      <c r="CR114" t="s">
        <v>41</v>
      </c>
      <c r="CS114" t="s">
        <v>43</v>
      </c>
      <c r="CT114" t="s">
        <v>35</v>
      </c>
      <c r="CU114" t="s">
        <v>30</v>
      </c>
      <c r="CV114" t="s">
        <v>41</v>
      </c>
      <c r="CW114" t="s">
        <v>41</v>
      </c>
      <c r="CX114" t="s">
        <v>30</v>
      </c>
      <c r="CY114" t="s">
        <v>41</v>
      </c>
      <c r="CZ114" t="s">
        <v>41</v>
      </c>
      <c r="DA114" t="s">
        <v>42</v>
      </c>
      <c r="DB114" t="s">
        <v>35</v>
      </c>
      <c r="DC114" t="s">
        <v>24</v>
      </c>
      <c r="DD114" t="s">
        <v>41</v>
      </c>
    </row>
    <row r="115" spans="1:108" x14ac:dyDescent="0.35">
      <c r="B115" s="39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5"/>
      <c r="AL115" s="39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  <c r="BA115" s="30"/>
      <c r="BB115" s="30"/>
      <c r="BC115" s="30"/>
      <c r="BD115" s="30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V115" s="39"/>
    </row>
    <row r="116" spans="1:108" x14ac:dyDescent="0.35">
      <c r="B116" s="39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5"/>
      <c r="AL116" s="39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/>
      <c r="AZ116" s="30"/>
      <c r="BA116" s="30"/>
      <c r="BB116" s="30"/>
      <c r="BC116" s="30"/>
      <c r="BD116" s="30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V116" s="39"/>
    </row>
    <row r="117" spans="1:108" x14ac:dyDescent="0.35"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5"/>
      <c r="Z117" s="5"/>
      <c r="AA117" s="5"/>
      <c r="AB117" s="5"/>
      <c r="AC117" s="5"/>
      <c r="AD117" s="5"/>
      <c r="AE117" s="5"/>
      <c r="AG117" s="5"/>
      <c r="AH117" s="5"/>
      <c r="AI117" s="5"/>
      <c r="AJ117" s="5"/>
      <c r="AK117" s="5"/>
    </row>
    <row r="118" spans="1:108" x14ac:dyDescent="0.35">
      <c r="A118" t="s">
        <v>17</v>
      </c>
      <c r="B118" s="4" t="s">
        <v>0</v>
      </c>
      <c r="C118" s="20" t="s">
        <v>15</v>
      </c>
      <c r="D118" s="20" t="s">
        <v>48</v>
      </c>
      <c r="E118" s="20" t="s">
        <v>45</v>
      </c>
      <c r="F118" s="20"/>
      <c r="Y118" s="5"/>
      <c r="Z118" s="5"/>
      <c r="AA118" s="5"/>
      <c r="AB118" s="5"/>
      <c r="AC118" s="5"/>
      <c r="AD118" s="5"/>
      <c r="AE118" s="5"/>
      <c r="AG118" s="1"/>
      <c r="AH118" s="5"/>
      <c r="AI118" s="5"/>
      <c r="AJ118" s="5"/>
      <c r="AK118" s="5"/>
    </row>
    <row r="119" spans="1:108" x14ac:dyDescent="0.35">
      <c r="B119" s="6" t="s">
        <v>28</v>
      </c>
      <c r="C119" s="1">
        <v>1</v>
      </c>
      <c r="D119" s="18"/>
      <c r="F119" s="19"/>
      <c r="Y119" s="5"/>
      <c r="Z119" s="5"/>
      <c r="AA119" s="5"/>
      <c r="AB119" s="5"/>
      <c r="AC119" s="5"/>
      <c r="AD119" s="5"/>
      <c r="AE119" s="5"/>
      <c r="AG119" s="5"/>
      <c r="AH119" s="5"/>
      <c r="AI119" s="5"/>
      <c r="AJ119" s="5"/>
      <c r="AK119" s="5"/>
    </row>
    <row r="120" spans="1:108" x14ac:dyDescent="0.35">
      <c r="B120" s="7" t="s">
        <v>4</v>
      </c>
      <c r="C120" s="17">
        <f>VLOOKUP($B120,'Market Value'!$B$4:$E$8,3,0)</f>
        <v>0.35</v>
      </c>
      <c r="D120" s="17">
        <f>VLOOKUP($B120,'Market Value'!$B$4:$E$8,4,0)</f>
        <v>0.12155377102724609</v>
      </c>
      <c r="E120" s="43">
        <f>VLOOKUP($B120,'Market Value'!$B$4:$E$8,2,0)</f>
        <v>1232.3499999999999</v>
      </c>
      <c r="F120" s="17"/>
      <c r="H120" s="27"/>
      <c r="I120" s="28"/>
      <c r="J120" s="28"/>
      <c r="Y120" s="5"/>
      <c r="Z120" s="5"/>
      <c r="AA120" s="5"/>
      <c r="AB120" s="5"/>
      <c r="AC120" s="5"/>
      <c r="AD120" s="5"/>
      <c r="AE120" s="5"/>
      <c r="AG120" s="5"/>
      <c r="AH120" s="5"/>
      <c r="AI120" s="5"/>
      <c r="AJ120" s="5"/>
      <c r="AK120" s="5"/>
    </row>
    <row r="121" spans="1:108" x14ac:dyDescent="0.35">
      <c r="B121" t="s">
        <v>18</v>
      </c>
      <c r="C121" s="15">
        <v>0.86399999999999999</v>
      </c>
      <c r="D121" s="15">
        <v>0.12254788922712656</v>
      </c>
      <c r="E121" s="44">
        <f>C121*$E$120</f>
        <v>1064.7503999999999</v>
      </c>
      <c r="F121" s="33"/>
      <c r="H121" s="27"/>
      <c r="I121" s="28"/>
      <c r="J121" s="28"/>
      <c r="Y121" s="5"/>
      <c r="Z121" s="5"/>
      <c r="AA121" s="5"/>
      <c r="AB121" s="5"/>
      <c r="AC121" s="5"/>
      <c r="AD121" s="5"/>
      <c r="AE121" s="5"/>
      <c r="AG121" s="5"/>
      <c r="AH121" s="5"/>
      <c r="AI121" s="5"/>
      <c r="AJ121" s="5"/>
      <c r="AK121" s="5"/>
    </row>
    <row r="122" spans="1:108" x14ac:dyDescent="0.35">
      <c r="B122" t="s">
        <v>5</v>
      </c>
      <c r="C122" s="15">
        <v>0.1371452723960831</v>
      </c>
      <c r="D122" s="15">
        <v>0.11430959692994426</v>
      </c>
      <c r="E122" s="44">
        <f>C122*$E$120</f>
        <v>169.01097643731299</v>
      </c>
      <c r="F122" s="33"/>
      <c r="H122" s="27"/>
      <c r="I122" s="28"/>
      <c r="J122" s="28"/>
      <c r="Y122" s="5"/>
      <c r="Z122" s="5"/>
      <c r="AA122" s="5"/>
      <c r="AB122" s="5"/>
      <c r="AC122" s="5"/>
      <c r="AD122" s="5"/>
      <c r="AE122" s="5"/>
      <c r="AG122" s="5"/>
      <c r="AH122" s="5"/>
      <c r="AI122" s="5"/>
      <c r="AJ122" s="5"/>
      <c r="AK122" s="5"/>
    </row>
    <row r="123" spans="1:108" x14ac:dyDescent="0.35">
      <c r="B123" s="9" t="s">
        <v>21</v>
      </c>
      <c r="C123" s="17">
        <f>VLOOKUP($B123,'Market Value'!$B$4:$E$8,3,0)</f>
        <v>0.28999999999999998</v>
      </c>
      <c r="D123" s="17">
        <f>VLOOKUP($B123,'Market Value'!$B$4:$E$8,4,0)</f>
        <v>0.13048948650763981</v>
      </c>
      <c r="E123" s="43">
        <f>VLOOKUP($B123,'Market Value'!$B$4:$E$8,2,0)</f>
        <v>1021.0899999999999</v>
      </c>
      <c r="F123" s="17"/>
      <c r="H123" s="27"/>
      <c r="I123" s="28"/>
      <c r="J123" s="28"/>
      <c r="Y123" s="5"/>
      <c r="Z123" s="5"/>
      <c r="AA123" s="5"/>
      <c r="AB123" s="5"/>
      <c r="AC123" s="5"/>
      <c r="AD123" s="5"/>
      <c r="AE123" s="5"/>
      <c r="AG123" s="5"/>
      <c r="AH123" s="5"/>
      <c r="AI123" s="5"/>
      <c r="AJ123" s="5"/>
      <c r="AK123" s="5"/>
    </row>
    <row r="124" spans="1:108" x14ac:dyDescent="0.35">
      <c r="A124">
        <v>2</v>
      </c>
      <c r="B124" s="32" t="s">
        <v>33</v>
      </c>
      <c r="C124" s="13">
        <v>0.14399999999999999</v>
      </c>
      <c r="D124" s="15">
        <v>0.1548364647016523</v>
      </c>
      <c r="E124" s="44">
        <f>C124*$E$123</f>
        <v>147.03695999999997</v>
      </c>
      <c r="F124" s="33"/>
      <c r="H124" s="27"/>
      <c r="I124" s="28"/>
      <c r="J124" s="28"/>
      <c r="Y124" s="5"/>
      <c r="Z124" s="5"/>
      <c r="AA124" s="5"/>
      <c r="AB124" s="5"/>
      <c r="AC124" s="5"/>
      <c r="AD124" s="5"/>
      <c r="AE124" s="5"/>
      <c r="AG124" s="5"/>
      <c r="AH124" s="5"/>
      <c r="AI124" s="5"/>
      <c r="AJ124" s="5"/>
      <c r="AK124" s="5"/>
    </row>
    <row r="125" spans="1:108" x14ac:dyDescent="0.35">
      <c r="A125">
        <v>1</v>
      </c>
      <c r="B125" s="32" t="s">
        <v>34</v>
      </c>
      <c r="C125" s="13">
        <v>0.154</v>
      </c>
      <c r="D125" s="15">
        <v>0.16341376988402972</v>
      </c>
      <c r="E125" s="44">
        <f t="shared" ref="E125:E137" si="242">C125*$E$123</f>
        <v>157.24785999999997</v>
      </c>
      <c r="F125" s="16"/>
      <c r="I125" s="28"/>
      <c r="J125" s="28"/>
      <c r="Y125" s="5"/>
      <c r="Z125" s="5"/>
      <c r="AA125" s="5"/>
      <c r="AB125" s="5"/>
      <c r="AC125" s="5"/>
      <c r="AD125" s="5"/>
      <c r="AE125" s="5"/>
      <c r="AG125" s="5"/>
      <c r="AH125" s="5"/>
      <c r="AI125" s="5"/>
      <c r="AJ125" s="5"/>
      <c r="AK125" s="5"/>
    </row>
    <row r="126" spans="1:108" x14ac:dyDescent="0.35">
      <c r="A126">
        <v>11</v>
      </c>
      <c r="B126" s="32" t="s">
        <v>10</v>
      </c>
      <c r="C126" s="13">
        <v>4.2999999999999997E-2</v>
      </c>
      <c r="D126" s="15">
        <v>9.7694978474406072E-2</v>
      </c>
      <c r="E126" s="44">
        <f t="shared" si="242"/>
        <v>43.906869999999991</v>
      </c>
      <c r="F126" s="16"/>
      <c r="Y126" s="5"/>
      <c r="Z126" s="5"/>
      <c r="AA126" s="5"/>
      <c r="AB126" s="5"/>
      <c r="AC126" s="5"/>
      <c r="AD126" s="5"/>
      <c r="AE126" s="5"/>
      <c r="AG126" s="5"/>
      <c r="AH126" s="5"/>
      <c r="AI126" s="5"/>
      <c r="AJ126" s="5"/>
      <c r="AK126" s="5"/>
    </row>
    <row r="127" spans="1:108" x14ac:dyDescent="0.35">
      <c r="A127">
        <v>3</v>
      </c>
      <c r="B127" s="32" t="s">
        <v>9</v>
      </c>
      <c r="C127" s="13">
        <v>0.111</v>
      </c>
      <c r="D127" s="15">
        <v>0.14806968007666488</v>
      </c>
      <c r="E127" s="44">
        <f t="shared" si="242"/>
        <v>113.34098999999999</v>
      </c>
      <c r="F127" s="16"/>
      <c r="Y127" s="5"/>
      <c r="Z127" s="5"/>
      <c r="AA127" s="5"/>
      <c r="AB127" s="5"/>
      <c r="AC127" s="5"/>
      <c r="AD127" s="5"/>
      <c r="AE127" s="5"/>
      <c r="AG127" s="5"/>
      <c r="AH127" s="5"/>
      <c r="AI127" s="5"/>
      <c r="AJ127" s="5"/>
      <c r="AK127" s="5"/>
    </row>
    <row r="128" spans="1:108" x14ac:dyDescent="0.35">
      <c r="A128">
        <v>8</v>
      </c>
      <c r="B128" s="32" t="s">
        <v>31</v>
      </c>
      <c r="C128" s="13">
        <v>6.6000000000000003E-2</v>
      </c>
      <c r="D128" s="15">
        <v>0.11581248108088804</v>
      </c>
      <c r="E128" s="44">
        <f t="shared" si="242"/>
        <v>67.391939999999991</v>
      </c>
      <c r="F128" s="10"/>
      <c r="Y128" s="5"/>
      <c r="Z128" s="5"/>
      <c r="AA128" s="5"/>
      <c r="AB128" s="5"/>
      <c r="AC128" s="5"/>
      <c r="AD128" s="5"/>
      <c r="AE128" s="5"/>
      <c r="AG128" s="5"/>
      <c r="AH128" s="5"/>
      <c r="AI128" s="5"/>
      <c r="AJ128" s="5"/>
      <c r="AK128" s="5"/>
    </row>
    <row r="129" spans="1:37" x14ac:dyDescent="0.35">
      <c r="A129">
        <v>14</v>
      </c>
      <c r="B129" s="32" t="s">
        <v>19</v>
      </c>
      <c r="C129" s="13">
        <v>6.2E-2</v>
      </c>
      <c r="D129" s="15">
        <v>7.7070547384016974E-2</v>
      </c>
      <c r="E129" s="44">
        <f t="shared" si="242"/>
        <v>63.307579999999994</v>
      </c>
      <c r="F129" s="10"/>
      <c r="Y129" s="5"/>
      <c r="Z129" s="5"/>
      <c r="AA129" s="5"/>
      <c r="AB129" s="5"/>
      <c r="AC129" s="5"/>
      <c r="AD129" s="5"/>
      <c r="AE129" s="5"/>
      <c r="AG129" s="5"/>
      <c r="AH129" s="5"/>
      <c r="AI129" s="5"/>
      <c r="AJ129" s="5"/>
      <c r="AK129" s="5"/>
    </row>
    <row r="130" spans="1:37" x14ac:dyDescent="0.35">
      <c r="A130">
        <v>4</v>
      </c>
      <c r="B130" t="s">
        <v>51</v>
      </c>
      <c r="C130" s="13">
        <v>4.2000000000000003E-2</v>
      </c>
      <c r="D130" s="15">
        <v>0.14163131669056445</v>
      </c>
      <c r="E130" s="44">
        <f t="shared" si="242"/>
        <v>42.885779999999997</v>
      </c>
      <c r="F130" s="8"/>
    </row>
    <row r="131" spans="1:37" x14ac:dyDescent="0.35">
      <c r="A131">
        <v>5</v>
      </c>
      <c r="B131" s="32" t="s">
        <v>52</v>
      </c>
      <c r="C131" s="13">
        <v>1.7000000000000001E-2</v>
      </c>
      <c r="D131" s="15">
        <v>0.1355054348443463</v>
      </c>
      <c r="E131" s="44">
        <f t="shared" si="242"/>
        <v>17.358529999999998</v>
      </c>
      <c r="F131" s="16"/>
    </row>
    <row r="132" spans="1:37" x14ac:dyDescent="0.35">
      <c r="A132">
        <v>6</v>
      </c>
      <c r="B132" s="32" t="s">
        <v>53</v>
      </c>
      <c r="C132" s="13">
        <v>2.7E-2</v>
      </c>
      <c r="D132" s="15">
        <v>0.12854555065364054</v>
      </c>
      <c r="E132" s="44">
        <f t="shared" si="242"/>
        <v>27.569429999999997</v>
      </c>
      <c r="F132" s="33"/>
    </row>
    <row r="133" spans="1:37" x14ac:dyDescent="0.35">
      <c r="A133">
        <v>10</v>
      </c>
      <c r="B133" s="32" t="s">
        <v>54</v>
      </c>
      <c r="C133" s="13">
        <v>0.04</v>
      </c>
      <c r="D133" s="15">
        <v>0.10363036242786322</v>
      </c>
      <c r="E133" s="44">
        <f t="shared" si="242"/>
        <v>40.843599999999995</v>
      </c>
      <c r="F133" s="33"/>
    </row>
    <row r="134" spans="1:37" x14ac:dyDescent="0.35">
      <c r="A134">
        <v>12</v>
      </c>
      <c r="B134" s="32" t="s">
        <v>55</v>
      </c>
      <c r="C134" s="13">
        <v>1.4999999999999999E-2</v>
      </c>
      <c r="D134" s="15">
        <v>9.0646755684802072E-2</v>
      </c>
      <c r="E134" s="44">
        <f t="shared" si="242"/>
        <v>15.316349999999998</v>
      </c>
      <c r="F134" s="33"/>
    </row>
    <row r="135" spans="1:37" x14ac:dyDescent="0.35">
      <c r="A135">
        <v>13</v>
      </c>
      <c r="B135" s="32" t="s">
        <v>56</v>
      </c>
      <c r="C135" s="13">
        <v>1.2E-2</v>
      </c>
      <c r="D135" s="15">
        <v>8.4202284898151791E-2</v>
      </c>
      <c r="E135" s="44">
        <f t="shared" si="242"/>
        <v>12.253079999999999</v>
      </c>
      <c r="F135" s="33"/>
    </row>
    <row r="136" spans="1:37" x14ac:dyDescent="0.35">
      <c r="A136">
        <v>9</v>
      </c>
      <c r="B136" s="32" t="s">
        <v>57</v>
      </c>
      <c r="C136" s="13">
        <v>6.5000000000000002E-2</v>
      </c>
      <c r="D136" s="15">
        <v>0.10905746048666691</v>
      </c>
      <c r="E136" s="44">
        <f t="shared" si="242"/>
        <v>66.37084999999999</v>
      </c>
      <c r="F136" s="33"/>
    </row>
    <row r="137" spans="1:37" x14ac:dyDescent="0.35">
      <c r="A137">
        <v>7</v>
      </c>
      <c r="B137" s="32" t="s">
        <v>20</v>
      </c>
      <c r="C137" s="13">
        <v>0.20200000000000001</v>
      </c>
      <c r="D137" s="15">
        <v>0.12198902491386507</v>
      </c>
      <c r="E137" s="44">
        <f t="shared" si="242"/>
        <v>206.26017999999999</v>
      </c>
      <c r="F137" s="33"/>
    </row>
    <row r="138" spans="1:37" x14ac:dyDescent="0.35">
      <c r="B138" s="4" t="s">
        <v>22</v>
      </c>
      <c r="C138" s="17">
        <f>VLOOKUP($B138,'Market Value'!$B$4:$E$8,3,0)</f>
        <v>0.23</v>
      </c>
      <c r="D138" s="17">
        <f>VLOOKUP($B138,'Market Value'!$B$4:$E$8,4,0)</f>
        <v>0.15303129613414701</v>
      </c>
      <c r="E138" s="43">
        <f>VLOOKUP($B138,'Market Value'!$B$4:$E$8,2,0)</f>
        <v>809.83</v>
      </c>
      <c r="F138" s="34"/>
    </row>
    <row r="139" spans="1:37" x14ac:dyDescent="0.35">
      <c r="A139">
        <v>1</v>
      </c>
      <c r="B139" s="32" t="s">
        <v>11</v>
      </c>
      <c r="C139" s="15">
        <v>0.42599999999999999</v>
      </c>
      <c r="D139" s="15">
        <v>0.16701918380698191</v>
      </c>
      <c r="E139" s="44">
        <f t="shared" ref="E139:E150" si="243">C139*$E$138</f>
        <v>344.98758000000004</v>
      </c>
      <c r="F139" s="16"/>
    </row>
    <row r="140" spans="1:37" x14ac:dyDescent="0.35">
      <c r="A140">
        <v>3</v>
      </c>
      <c r="B140" s="32" t="s">
        <v>12</v>
      </c>
      <c r="C140" s="15">
        <v>0.155</v>
      </c>
      <c r="D140" s="15">
        <v>0.15210650081359028</v>
      </c>
      <c r="E140" s="44">
        <f t="shared" si="243"/>
        <v>125.52365</v>
      </c>
      <c r="F140" s="33"/>
    </row>
    <row r="141" spans="1:37" x14ac:dyDescent="0.35">
      <c r="A141">
        <v>5</v>
      </c>
      <c r="B141" s="32" t="s">
        <v>13</v>
      </c>
      <c r="C141" s="15">
        <v>0.115</v>
      </c>
      <c r="D141" s="16">
        <v>0.13793380176359865</v>
      </c>
      <c r="E141" s="44">
        <f t="shared" si="243"/>
        <v>93.13045000000001</v>
      </c>
      <c r="F141" s="33"/>
    </row>
    <row r="142" spans="1:37" x14ac:dyDescent="0.35">
      <c r="A142">
        <v>2</v>
      </c>
      <c r="B142" s="32" t="s">
        <v>26</v>
      </c>
      <c r="C142" s="15">
        <v>7.3999999999999996E-2</v>
      </c>
      <c r="D142" s="15">
        <v>0.15834517942879031</v>
      </c>
      <c r="E142" s="44">
        <f t="shared" si="243"/>
        <v>59.927419999999998</v>
      </c>
      <c r="F142" s="33"/>
    </row>
    <row r="143" spans="1:37" x14ac:dyDescent="0.35">
      <c r="A143">
        <v>4</v>
      </c>
      <c r="B143" s="4" t="s">
        <v>27</v>
      </c>
      <c r="C143" s="16">
        <v>0.1048</v>
      </c>
      <c r="D143" s="15">
        <f>SUMPRODUCT(D144:D148,C144:C148)</f>
        <v>0.14656695674813516</v>
      </c>
      <c r="E143" s="44">
        <f t="shared" si="243"/>
        <v>84.870184000000009</v>
      </c>
      <c r="F143" s="34"/>
    </row>
    <row r="144" spans="1:37" x14ac:dyDescent="0.35">
      <c r="A144">
        <v>1</v>
      </c>
      <c r="B144" s="36" t="s">
        <v>58</v>
      </c>
      <c r="C144" s="16">
        <v>9.1999999999999998E-2</v>
      </c>
      <c r="D144" s="15">
        <v>0.16105296837683525</v>
      </c>
      <c r="E144" s="44">
        <f>C144*$E$143</f>
        <v>7.808056928000001</v>
      </c>
      <c r="F144" s="16"/>
    </row>
    <row r="145" spans="1:6" x14ac:dyDescent="0.35">
      <c r="A145">
        <v>3</v>
      </c>
      <c r="B145" s="36" t="s">
        <v>59</v>
      </c>
      <c r="C145" s="16">
        <v>0.13100000000000001</v>
      </c>
      <c r="D145" s="15">
        <v>0.1481165047838853</v>
      </c>
      <c r="E145" s="44">
        <f t="shared" ref="E145:E148" si="244">C145*$E$143</f>
        <v>11.117994104000001</v>
      </c>
      <c r="F145" s="33"/>
    </row>
    <row r="146" spans="1:6" x14ac:dyDescent="0.35">
      <c r="A146">
        <v>2</v>
      </c>
      <c r="B146" s="36" t="s">
        <v>60</v>
      </c>
      <c r="C146" s="16">
        <v>0.27200000000000002</v>
      </c>
      <c r="D146" s="15">
        <v>0.15523913882532586</v>
      </c>
      <c r="E146" s="44">
        <f t="shared" si="244"/>
        <v>23.084690048000002</v>
      </c>
      <c r="F146" s="33"/>
    </row>
    <row r="147" spans="1:6" x14ac:dyDescent="0.35">
      <c r="A147">
        <v>4</v>
      </c>
      <c r="B147" s="36" t="s">
        <v>61</v>
      </c>
      <c r="C147" s="16">
        <v>0.34699999999999998</v>
      </c>
      <c r="D147" s="15">
        <v>0.14131121514650974</v>
      </c>
      <c r="E147" s="44">
        <f t="shared" si="244"/>
        <v>29.449953848</v>
      </c>
      <c r="F147" s="12"/>
    </row>
    <row r="148" spans="1:6" x14ac:dyDescent="0.35">
      <c r="A148">
        <v>5</v>
      </c>
      <c r="B148" s="36" t="s">
        <v>62</v>
      </c>
      <c r="C148" s="16">
        <v>0.158</v>
      </c>
      <c r="D148" s="15">
        <v>0.13346065895221412</v>
      </c>
      <c r="E148" s="44">
        <f t="shared" si="244"/>
        <v>13.409489072000001</v>
      </c>
    </row>
    <row r="149" spans="1:6" x14ac:dyDescent="0.35">
      <c r="A149">
        <v>6</v>
      </c>
      <c r="B149" s="11" t="s">
        <v>36</v>
      </c>
      <c r="C149" s="16">
        <v>2.4E-2</v>
      </c>
      <c r="D149" s="16">
        <v>0.12985826024407288</v>
      </c>
      <c r="E149" s="44">
        <f t="shared" si="243"/>
        <v>19.435920000000003</v>
      </c>
    </row>
    <row r="150" spans="1:6" x14ac:dyDescent="0.35">
      <c r="A150">
        <v>7</v>
      </c>
      <c r="B150" s="11" t="s">
        <v>37</v>
      </c>
      <c r="C150" s="16">
        <v>0.1012</v>
      </c>
      <c r="D150" s="16">
        <v>0.12102638747687328</v>
      </c>
      <c r="E150" s="44">
        <f t="shared" si="243"/>
        <v>81.954796000000002</v>
      </c>
    </row>
    <row r="151" spans="1:6" x14ac:dyDescent="0.35">
      <c r="B151" s="4" t="s">
        <v>6</v>
      </c>
      <c r="C151" s="17">
        <f>VLOOKUP($B151,'Market Value'!$B$4:$E$8,3,0)</f>
        <v>0.08</v>
      </c>
      <c r="D151" s="17">
        <f>VLOOKUP($B151,'Market Value'!$B$4:$E$8,4,0)</f>
        <v>0.13894332669608961</v>
      </c>
      <c r="E151" s="43">
        <f>VLOOKUP($B151,'Market Value'!$B$4:$E$8,2,0)</f>
        <v>281.68</v>
      </c>
    </row>
    <row r="152" spans="1:6" x14ac:dyDescent="0.35">
      <c r="B152" t="s">
        <v>29</v>
      </c>
      <c r="C152" s="15">
        <v>0.41299999999999998</v>
      </c>
      <c r="D152" s="15">
        <v>0.14706775632641317</v>
      </c>
      <c r="E152" s="44">
        <f>C152*$E$151</f>
        <v>116.33384</v>
      </c>
      <c r="F152" s="30"/>
    </row>
    <row r="153" spans="1:6" x14ac:dyDescent="0.35">
      <c r="B153" t="s">
        <v>23</v>
      </c>
      <c r="C153" s="15">
        <v>0.14599999999999999</v>
      </c>
      <c r="D153" s="15">
        <v>0.1229268405383622</v>
      </c>
      <c r="E153" s="44">
        <f t="shared" ref="E153:E155" si="245">C153*$E$151</f>
        <v>41.125279999999997</v>
      </c>
    </row>
    <row r="154" spans="1:6" x14ac:dyDescent="0.35">
      <c r="B154" t="s">
        <v>7</v>
      </c>
      <c r="C154" s="15">
        <v>0.3</v>
      </c>
      <c r="D154" s="15">
        <v>0.13887533926231319</v>
      </c>
      <c r="E154" s="44">
        <f t="shared" si="245"/>
        <v>84.504000000000005</v>
      </c>
    </row>
    <row r="155" spans="1:6" x14ac:dyDescent="0.35">
      <c r="B155" t="s">
        <v>8</v>
      </c>
      <c r="C155" s="15">
        <v>0.14099999999999999</v>
      </c>
      <c r="D155" s="15">
        <v>0.13187533926231318</v>
      </c>
      <c r="E155" s="44">
        <f t="shared" si="245"/>
        <v>39.716879999999996</v>
      </c>
    </row>
    <row r="156" spans="1:6" x14ac:dyDescent="0.35">
      <c r="B156" s="4" t="s">
        <v>39</v>
      </c>
      <c r="C156" s="17">
        <f>VLOOKUP($B156,'Market Value'!$B$4:$E$8,3,0)</f>
        <v>0.05</v>
      </c>
      <c r="D156" s="17">
        <f>VLOOKUP($B156,'Market Value'!$B$4:$E$8,4,0)</f>
        <v>0.146031296134147</v>
      </c>
      <c r="E156" s="43">
        <f>VLOOKUP($B156,'Market Value'!$B$4:$E$8,2,0)</f>
        <v>176.05</v>
      </c>
    </row>
    <row r="157" spans="1:6" x14ac:dyDescent="0.35">
      <c r="B157" t="s">
        <v>32</v>
      </c>
      <c r="C157" s="15">
        <v>0.54500000000000004</v>
      </c>
      <c r="D157" s="15">
        <v>0.15146892305137549</v>
      </c>
      <c r="E157" s="44">
        <f>C157*$E$156</f>
        <v>95.947250000000011</v>
      </c>
      <c r="F157" s="30"/>
    </row>
    <row r="158" spans="1:6" x14ac:dyDescent="0.35">
      <c r="B158" t="s">
        <v>14</v>
      </c>
      <c r="C158" s="15">
        <v>0.156</v>
      </c>
      <c r="D158" s="15">
        <v>0.13264781879648352</v>
      </c>
      <c r="E158" s="44">
        <f t="shared" ref="E158:E159" si="246">C158*$E$156</f>
        <v>27.463800000000003</v>
      </c>
    </row>
    <row r="159" spans="1:6" x14ac:dyDescent="0.35">
      <c r="B159" t="s">
        <v>38</v>
      </c>
      <c r="C159" s="15">
        <v>0.29899999999999999</v>
      </c>
      <c r="D159" s="15">
        <v>0.14310258641771215</v>
      </c>
      <c r="E159" s="44">
        <f t="shared" si="246"/>
        <v>52.638950000000001</v>
      </c>
    </row>
  </sheetData>
  <conditionalFormatting sqref="D139:D150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98D32-383E-4735-83EE-381D1355CDA2}">
  <dimension ref="A2:BU459"/>
  <sheetViews>
    <sheetView workbookViewId="0"/>
  </sheetViews>
  <sheetFormatPr defaultRowHeight="14.5" x14ac:dyDescent="0.35"/>
  <cols>
    <col min="2" max="2" width="12.1796875" bestFit="1" customWidth="1"/>
    <col min="3" max="3" width="14.54296875" customWidth="1"/>
    <col min="4" max="4" width="9.453125" bestFit="1" customWidth="1"/>
  </cols>
  <sheetData>
    <row r="2" spans="1:73" x14ac:dyDescent="0.35">
      <c r="D2" s="71" t="s">
        <v>126</v>
      </c>
    </row>
    <row r="3" spans="1:73" x14ac:dyDescent="0.35">
      <c r="D3" s="14" t="s">
        <v>18</v>
      </c>
      <c r="E3" s="14" t="s">
        <v>5</v>
      </c>
      <c r="F3" s="14" t="s">
        <v>33</v>
      </c>
      <c r="G3" s="14" t="s">
        <v>34</v>
      </c>
      <c r="H3" s="14" t="s">
        <v>10</v>
      </c>
      <c r="I3" s="14" t="s">
        <v>9</v>
      </c>
      <c r="J3" s="14" t="s">
        <v>31</v>
      </c>
      <c r="K3" s="14" t="s">
        <v>19</v>
      </c>
      <c r="L3" s="21" t="s">
        <v>51</v>
      </c>
      <c r="M3" s="14" t="s">
        <v>52</v>
      </c>
      <c r="N3" s="14" t="s">
        <v>53</v>
      </c>
      <c r="O3" s="14" t="s">
        <v>54</v>
      </c>
      <c r="P3" s="14" t="s">
        <v>55</v>
      </c>
      <c r="Q3" s="14" t="s">
        <v>56</v>
      </c>
      <c r="R3" s="14" t="s">
        <v>57</v>
      </c>
      <c r="S3" s="14" t="s">
        <v>20</v>
      </c>
      <c r="T3" s="14" t="s">
        <v>11</v>
      </c>
      <c r="U3" s="14" t="s">
        <v>12</v>
      </c>
      <c r="V3" s="14" t="s">
        <v>13</v>
      </c>
      <c r="W3" s="14" t="s">
        <v>26</v>
      </c>
      <c r="X3" s="14" t="s">
        <v>58</v>
      </c>
      <c r="Y3" s="14" t="s">
        <v>59</v>
      </c>
      <c r="Z3" s="14" t="s">
        <v>60</v>
      </c>
      <c r="AA3" s="14" t="s">
        <v>61</v>
      </c>
      <c r="AB3" s="14" t="s">
        <v>62</v>
      </c>
      <c r="AC3" s="14" t="s">
        <v>36</v>
      </c>
      <c r="AD3" s="14" t="s">
        <v>37</v>
      </c>
      <c r="AE3" s="14" t="s">
        <v>29</v>
      </c>
      <c r="AF3" s="14" t="s">
        <v>23</v>
      </c>
      <c r="AG3" s="14" t="s">
        <v>7</v>
      </c>
      <c r="AH3" s="14" t="s">
        <v>8</v>
      </c>
      <c r="AI3" s="14" t="s">
        <v>32</v>
      </c>
      <c r="AJ3" s="14" t="s">
        <v>14</v>
      </c>
      <c r="AK3" s="14" t="s">
        <v>38</v>
      </c>
      <c r="AN3" s="14" t="s">
        <v>18</v>
      </c>
      <c r="AO3" s="14" t="s">
        <v>5</v>
      </c>
      <c r="AP3" s="14" t="s">
        <v>33</v>
      </c>
      <c r="AQ3" s="14" t="s">
        <v>34</v>
      </c>
      <c r="AR3" s="14" t="s">
        <v>10</v>
      </c>
      <c r="AS3" s="14" t="s">
        <v>9</v>
      </c>
      <c r="AT3" s="14" t="s">
        <v>31</v>
      </c>
      <c r="AU3" s="14" t="s">
        <v>19</v>
      </c>
      <c r="AV3" s="21" t="s">
        <v>51</v>
      </c>
      <c r="AW3" s="14" t="s">
        <v>52</v>
      </c>
      <c r="AX3" s="14" t="s">
        <v>53</v>
      </c>
      <c r="AY3" s="14" t="s">
        <v>54</v>
      </c>
      <c r="AZ3" s="14" t="s">
        <v>55</v>
      </c>
      <c r="BA3" s="14" t="s">
        <v>56</v>
      </c>
      <c r="BB3" s="14" t="s">
        <v>57</v>
      </c>
      <c r="BC3" s="14" t="s">
        <v>20</v>
      </c>
      <c r="BD3" s="14" t="s">
        <v>11</v>
      </c>
      <c r="BE3" s="14" t="s">
        <v>12</v>
      </c>
      <c r="BF3" s="14" t="s">
        <v>13</v>
      </c>
      <c r="BG3" s="14" t="s">
        <v>26</v>
      </c>
      <c r="BH3" s="14" t="s">
        <v>58</v>
      </c>
      <c r="BI3" s="14" t="s">
        <v>59</v>
      </c>
      <c r="BJ3" s="14" t="s">
        <v>60</v>
      </c>
      <c r="BK3" s="14" t="s">
        <v>61</v>
      </c>
      <c r="BL3" s="14" t="s">
        <v>62</v>
      </c>
      <c r="BM3" s="14" t="s">
        <v>36</v>
      </c>
      <c r="BN3" s="14" t="s">
        <v>37</v>
      </c>
      <c r="BO3" s="14" t="s">
        <v>29</v>
      </c>
      <c r="BP3" s="14" t="s">
        <v>23</v>
      </c>
      <c r="BQ3" s="14" t="s">
        <v>7</v>
      </c>
      <c r="BR3" s="14" t="s">
        <v>8</v>
      </c>
      <c r="BS3" s="14" t="s">
        <v>32</v>
      </c>
      <c r="BT3" s="14" t="s">
        <v>14</v>
      </c>
      <c r="BU3" s="14" t="s">
        <v>38</v>
      </c>
    </row>
    <row r="4" spans="1:73" x14ac:dyDescent="0.35">
      <c r="C4" s="4" t="s">
        <v>63</v>
      </c>
      <c r="AM4" s="4" t="s">
        <v>63</v>
      </c>
    </row>
    <row r="5" spans="1:73" x14ac:dyDescent="0.35">
      <c r="B5" s="69">
        <f>B350</f>
        <v>1855654.2296361541</v>
      </c>
      <c r="C5" s="41" t="s">
        <v>64</v>
      </c>
      <c r="D5" s="44">
        <f>D235/D350*10^6</f>
        <v>980.21905712922171</v>
      </c>
      <c r="E5" s="44">
        <f t="shared" ref="E5:AK6" si="0">E235/E350*10^6</f>
        <v>968.31550083495551</v>
      </c>
      <c r="F5" s="44">
        <f t="shared" si="0"/>
        <v>964.01647119009795</v>
      </c>
      <c r="G5" s="44">
        <f t="shared" si="0"/>
        <v>961.09489969612798</v>
      </c>
      <c r="H5" s="44">
        <f t="shared" si="0"/>
        <v>972.79057625796702</v>
      </c>
      <c r="I5" s="44">
        <f t="shared" si="0"/>
        <v>1008.9905919584046</v>
      </c>
      <c r="J5" s="44">
        <f t="shared" si="0"/>
        <v>975.73804717019698</v>
      </c>
      <c r="K5" s="44">
        <f t="shared" si="0"/>
        <v>941.95919666330985</v>
      </c>
      <c r="L5" s="44">
        <f t="shared" si="0"/>
        <v>918.46912199903841</v>
      </c>
      <c r="M5" s="44">
        <f t="shared" si="0"/>
        <v>980.24997671900871</v>
      </c>
      <c r="N5" s="44">
        <f t="shared" si="0"/>
        <v>965.02266318161799</v>
      </c>
      <c r="O5" s="44">
        <f t="shared" si="0"/>
        <v>954.50250819905295</v>
      </c>
      <c r="P5" s="44">
        <f t="shared" si="0"/>
        <v>896.29982301244411</v>
      </c>
      <c r="Q5" s="44">
        <f t="shared" si="0"/>
        <v>951.3182890593489</v>
      </c>
      <c r="R5" s="44">
        <f t="shared" si="0"/>
        <v>950.26060623169644</v>
      </c>
      <c r="S5" s="44">
        <f t="shared" si="0"/>
        <v>1006.7533849483327</v>
      </c>
      <c r="T5" s="44">
        <f t="shared" si="0"/>
        <v>918.40470148540965</v>
      </c>
      <c r="U5" s="44">
        <f t="shared" si="0"/>
        <v>927.71320211575664</v>
      </c>
      <c r="V5" s="44">
        <f t="shared" si="0"/>
        <v>921.74293275994012</v>
      </c>
      <c r="W5" s="44">
        <f t="shared" si="0"/>
        <v>967.89370333833517</v>
      </c>
      <c r="X5" s="44">
        <f t="shared" si="0"/>
        <v>952.17121999355265</v>
      </c>
      <c r="Y5" s="44">
        <f t="shared" si="0"/>
        <v>907.84423233743109</v>
      </c>
      <c r="Z5" s="44">
        <f t="shared" si="0"/>
        <v>985.67454180494485</v>
      </c>
      <c r="AA5" s="44">
        <f t="shared" si="0"/>
        <v>928.85239326151634</v>
      </c>
      <c r="AB5" s="44">
        <f t="shared" si="0"/>
        <v>960.85614212671942</v>
      </c>
      <c r="AC5" s="44">
        <f t="shared" si="0"/>
        <v>975.01250489205631</v>
      </c>
      <c r="AD5" s="44">
        <f t="shared" si="0"/>
        <v>927.04920844512037</v>
      </c>
      <c r="AE5" s="44">
        <f t="shared" si="0"/>
        <v>937.50219932586754</v>
      </c>
      <c r="AF5" s="44">
        <f t="shared" si="0"/>
        <v>904.0941721450107</v>
      </c>
      <c r="AG5" s="44">
        <f t="shared" si="0"/>
        <v>933.47269525929528</v>
      </c>
      <c r="AH5" s="44">
        <f t="shared" si="0"/>
        <v>891.97999162211966</v>
      </c>
      <c r="AI5" s="44">
        <f t="shared" si="0"/>
        <v>942.55936686561472</v>
      </c>
      <c r="AJ5" s="44">
        <f t="shared" si="0"/>
        <v>947.75864227621219</v>
      </c>
      <c r="AK5" s="44">
        <f t="shared" si="0"/>
        <v>915.03800926483166</v>
      </c>
      <c r="AM5" s="41" t="s">
        <v>64</v>
      </c>
      <c r="AN5" t="s">
        <v>115</v>
      </c>
      <c r="AO5" t="s">
        <v>113</v>
      </c>
      <c r="AP5" t="s">
        <v>115</v>
      </c>
      <c r="AQ5" t="s">
        <v>114</v>
      </c>
      <c r="AR5" t="s">
        <v>111</v>
      </c>
      <c r="AS5" t="s">
        <v>116</v>
      </c>
      <c r="AT5" t="s">
        <v>115</v>
      </c>
      <c r="AU5" t="s">
        <v>113</v>
      </c>
      <c r="AV5" t="s">
        <v>109</v>
      </c>
      <c r="AW5" t="s">
        <v>115</v>
      </c>
      <c r="AX5" t="s">
        <v>116</v>
      </c>
      <c r="AY5" t="s">
        <v>109</v>
      </c>
      <c r="AZ5" t="s">
        <v>114</v>
      </c>
      <c r="BA5" t="s">
        <v>109</v>
      </c>
      <c r="BB5" t="s">
        <v>113</v>
      </c>
      <c r="BC5" t="s">
        <v>113</v>
      </c>
      <c r="BD5" t="s">
        <v>112</v>
      </c>
      <c r="BE5" t="s">
        <v>108</v>
      </c>
      <c r="BF5" t="s">
        <v>110</v>
      </c>
      <c r="BG5" t="s">
        <v>113</v>
      </c>
      <c r="BH5" t="s">
        <v>109</v>
      </c>
      <c r="BI5" t="s">
        <v>114</v>
      </c>
      <c r="BJ5" t="s">
        <v>116</v>
      </c>
      <c r="BK5" t="s">
        <v>116</v>
      </c>
      <c r="BL5" t="s">
        <v>114</v>
      </c>
      <c r="BM5" t="s">
        <v>113</v>
      </c>
      <c r="BN5" t="s">
        <v>112</v>
      </c>
      <c r="BO5" t="s">
        <v>115</v>
      </c>
      <c r="BP5" t="s">
        <v>113</v>
      </c>
      <c r="BQ5" t="s">
        <v>108</v>
      </c>
      <c r="BR5" t="s">
        <v>109</v>
      </c>
      <c r="BS5" t="s">
        <v>109</v>
      </c>
      <c r="BT5" t="s">
        <v>111</v>
      </c>
      <c r="BU5" t="s">
        <v>113</v>
      </c>
    </row>
    <row r="6" spans="1:73" x14ac:dyDescent="0.35">
      <c r="B6" s="69">
        <f t="shared" ref="B6:B16" si="1">B351</f>
        <v>445211.88474942633</v>
      </c>
      <c r="C6" s="37" t="s">
        <v>65</v>
      </c>
      <c r="D6" s="44">
        <f>D236/D351*10^6</f>
        <v>816.81972921640727</v>
      </c>
      <c r="E6" s="44">
        <f t="shared" si="0"/>
        <v>848.07675836117778</v>
      </c>
      <c r="F6" s="44">
        <f t="shared" si="0"/>
        <v>831.88513072186072</v>
      </c>
      <c r="G6" s="44">
        <f t="shared" si="0"/>
        <v>821.67726057144955</v>
      </c>
      <c r="H6" s="44">
        <f t="shared" si="0"/>
        <v>853.15232517166044</v>
      </c>
      <c r="I6" s="44">
        <f t="shared" si="0"/>
        <v>858.1018660710655</v>
      </c>
      <c r="J6" s="44">
        <f t="shared" si="0"/>
        <v>817.90596377185807</v>
      </c>
      <c r="K6" s="44">
        <f t="shared" si="0"/>
        <v>860.92493525384714</v>
      </c>
      <c r="L6" s="44">
        <f t="shared" si="0"/>
        <v>801.56726432877713</v>
      </c>
      <c r="M6" s="44">
        <f t="shared" si="0"/>
        <v>839.13794183701475</v>
      </c>
      <c r="N6" s="44">
        <f t="shared" si="0"/>
        <v>849.64739977453462</v>
      </c>
      <c r="O6" s="44">
        <f t="shared" si="0"/>
        <v>866.95235649766437</v>
      </c>
      <c r="P6" s="44">
        <f t="shared" si="0"/>
        <v>851.70346416165432</v>
      </c>
      <c r="Q6" s="44">
        <f t="shared" si="0"/>
        <v>849.86491941469387</v>
      </c>
      <c r="R6" s="44">
        <f t="shared" si="0"/>
        <v>841.87258560108</v>
      </c>
      <c r="S6" s="44">
        <f t="shared" si="0"/>
        <v>825.29473833255281</v>
      </c>
      <c r="T6" s="44">
        <f t="shared" si="0"/>
        <v>856.15174926801637</v>
      </c>
      <c r="U6" s="44">
        <f t="shared" si="0"/>
        <v>836.91107413855025</v>
      </c>
      <c r="V6" s="44">
        <f t="shared" si="0"/>
        <v>858.67145365756528</v>
      </c>
      <c r="W6" s="44">
        <f t="shared" si="0"/>
        <v>827.65638587239016</v>
      </c>
      <c r="X6" s="44">
        <f t="shared" si="0"/>
        <v>827.14009140037695</v>
      </c>
      <c r="Y6" s="44">
        <f t="shared" si="0"/>
        <v>831.96467020227021</v>
      </c>
      <c r="Z6" s="44">
        <f t="shared" si="0"/>
        <v>855.23608470518695</v>
      </c>
      <c r="AA6" s="44">
        <f t="shared" si="0"/>
        <v>834.18965558783248</v>
      </c>
      <c r="AB6" s="44">
        <f t="shared" si="0"/>
        <v>883.87932033431275</v>
      </c>
      <c r="AC6" s="44">
        <f t="shared" si="0"/>
        <v>846.63699643342159</v>
      </c>
      <c r="AD6" s="44">
        <f t="shared" si="0"/>
        <v>857.73546886699773</v>
      </c>
      <c r="AE6" s="44">
        <f t="shared" si="0"/>
        <v>838.96584369451375</v>
      </c>
      <c r="AF6" s="44">
        <f t="shared" si="0"/>
        <v>828.43014220898181</v>
      </c>
      <c r="AG6" s="44">
        <f t="shared" si="0"/>
        <v>823.11539598390482</v>
      </c>
      <c r="AH6" s="44">
        <f t="shared" si="0"/>
        <v>831.00029959685639</v>
      </c>
      <c r="AI6" s="44">
        <f t="shared" si="0"/>
        <v>848.25122645295369</v>
      </c>
      <c r="AJ6" s="44">
        <f t="shared" si="0"/>
        <v>824.57107663586305</v>
      </c>
      <c r="AK6" s="44">
        <f t="shared" si="0"/>
        <v>871.38913676295601</v>
      </c>
      <c r="AM6" s="37" t="s">
        <v>65</v>
      </c>
      <c r="AN6" t="s">
        <v>113</v>
      </c>
      <c r="AO6" t="s">
        <v>115</v>
      </c>
      <c r="AP6" t="s">
        <v>111</v>
      </c>
      <c r="AQ6" t="s">
        <v>112</v>
      </c>
      <c r="AR6" t="s">
        <v>111</v>
      </c>
      <c r="AS6" t="s">
        <v>115</v>
      </c>
      <c r="AT6" t="s">
        <v>115</v>
      </c>
      <c r="AU6" t="s">
        <v>109</v>
      </c>
      <c r="AV6" t="s">
        <v>116</v>
      </c>
      <c r="AW6" t="s">
        <v>110</v>
      </c>
      <c r="AX6" t="s">
        <v>108</v>
      </c>
      <c r="AY6" t="s">
        <v>110</v>
      </c>
      <c r="AZ6" t="s">
        <v>110</v>
      </c>
      <c r="BA6" t="s">
        <v>114</v>
      </c>
      <c r="BB6" t="s">
        <v>112</v>
      </c>
      <c r="BC6" t="s">
        <v>114</v>
      </c>
      <c r="BD6" t="s">
        <v>109</v>
      </c>
      <c r="BE6" t="s">
        <v>116</v>
      </c>
      <c r="BF6" t="s">
        <v>114</v>
      </c>
      <c r="BG6" t="s">
        <v>111</v>
      </c>
      <c r="BH6" t="s">
        <v>114</v>
      </c>
      <c r="BI6" t="s">
        <v>109</v>
      </c>
      <c r="BJ6" t="s">
        <v>109</v>
      </c>
      <c r="BK6" t="s">
        <v>113</v>
      </c>
      <c r="BL6" t="s">
        <v>115</v>
      </c>
      <c r="BM6" t="s">
        <v>115</v>
      </c>
      <c r="BN6" t="s">
        <v>116</v>
      </c>
      <c r="BO6" t="s">
        <v>114</v>
      </c>
      <c r="BP6" t="s">
        <v>116</v>
      </c>
      <c r="BQ6" t="s">
        <v>110</v>
      </c>
      <c r="BR6" t="s">
        <v>114</v>
      </c>
      <c r="BS6" t="s">
        <v>108</v>
      </c>
      <c r="BT6" t="s">
        <v>113</v>
      </c>
      <c r="BU6" t="s">
        <v>114</v>
      </c>
    </row>
    <row r="7" spans="1:73" x14ac:dyDescent="0.35">
      <c r="A7" s="3"/>
      <c r="B7" s="69">
        <f t="shared" si="1"/>
        <v>235861.80608659668</v>
      </c>
      <c r="C7" s="38" t="s">
        <v>66</v>
      </c>
      <c r="D7" s="44">
        <v>382.35784897978016</v>
      </c>
      <c r="E7" s="44">
        <v>388.80047374416733</v>
      </c>
      <c r="F7" s="44">
        <v>393.21754552363916</v>
      </c>
      <c r="G7" s="44">
        <v>394.31258172636319</v>
      </c>
      <c r="H7" s="44">
        <v>397.73613325309867</v>
      </c>
      <c r="I7" s="44">
        <v>395.46393241567461</v>
      </c>
      <c r="J7" s="44">
        <v>396.5715334994614</v>
      </c>
      <c r="K7" s="44">
        <v>408.26597583725669</v>
      </c>
      <c r="L7" s="44">
        <v>386.62894323423967</v>
      </c>
      <c r="M7" s="44">
        <v>392.07921908599991</v>
      </c>
      <c r="N7" s="44">
        <v>385.57611036492989</v>
      </c>
      <c r="O7" s="44">
        <v>409.44655568326363</v>
      </c>
      <c r="P7" s="44">
        <v>411.88277081029605</v>
      </c>
      <c r="Q7" s="44">
        <v>413.08439141204997</v>
      </c>
      <c r="R7" s="44">
        <v>410.63398307912848</v>
      </c>
      <c r="S7" s="44">
        <v>383.44034904459255</v>
      </c>
      <c r="T7" s="44">
        <v>420.61428512534007</v>
      </c>
      <c r="U7" s="44">
        <v>390.99653516232814</v>
      </c>
      <c r="V7" s="44">
        <v>419.36852391468341</v>
      </c>
      <c r="W7" s="44">
        <v>389.87101322131031</v>
      </c>
      <c r="X7" s="44">
        <v>384.4815348849998</v>
      </c>
      <c r="Y7" s="44">
        <v>401.16798398432314</v>
      </c>
      <c r="Z7" s="44">
        <v>399.98323005113883</v>
      </c>
      <c r="AA7" s="44">
        <v>416.84322168316191</v>
      </c>
      <c r="AB7" s="44">
        <v>418.07400290407571</v>
      </c>
      <c r="AC7" s="44">
        <v>387.73579731618986</v>
      </c>
      <c r="AD7" s="44">
        <v>402.3078129456631</v>
      </c>
      <c r="AE7" s="44">
        <v>403.50639839873946</v>
      </c>
      <c r="AF7" s="44">
        <v>414.34815052384533</v>
      </c>
      <c r="AG7" s="44">
        <v>404.65957334869694</v>
      </c>
      <c r="AH7" s="44">
        <v>407.03899067532581</v>
      </c>
      <c r="AI7" s="44">
        <v>398.85651672705109</v>
      </c>
      <c r="AJ7" s="44">
        <v>405.87223395938361</v>
      </c>
      <c r="AK7" s="44">
        <v>415.56422033594833</v>
      </c>
      <c r="AM7" s="38" t="s">
        <v>66</v>
      </c>
      <c r="AN7" t="s">
        <v>110</v>
      </c>
      <c r="AO7" t="s">
        <v>115</v>
      </c>
      <c r="AP7" t="s">
        <v>114</v>
      </c>
      <c r="AQ7" t="s">
        <v>113</v>
      </c>
      <c r="AR7" t="s">
        <v>109</v>
      </c>
      <c r="AS7" t="s">
        <v>110</v>
      </c>
      <c r="AT7" t="s">
        <v>110</v>
      </c>
      <c r="AU7" t="s">
        <v>112</v>
      </c>
      <c r="AV7" t="s">
        <v>108</v>
      </c>
      <c r="AW7" t="s">
        <v>109</v>
      </c>
      <c r="AX7" t="s">
        <v>113</v>
      </c>
      <c r="AY7" t="s">
        <v>114</v>
      </c>
      <c r="AZ7" t="s">
        <v>112</v>
      </c>
      <c r="BA7" t="s">
        <v>113</v>
      </c>
      <c r="BB7" t="s">
        <v>111</v>
      </c>
      <c r="BC7" t="s">
        <v>114</v>
      </c>
      <c r="BD7" t="s">
        <v>114</v>
      </c>
      <c r="BE7" t="s">
        <v>109</v>
      </c>
      <c r="BF7" t="s">
        <v>110</v>
      </c>
      <c r="BG7" t="s">
        <v>116</v>
      </c>
      <c r="BH7" t="s">
        <v>115</v>
      </c>
      <c r="BI7" t="s">
        <v>108</v>
      </c>
      <c r="BJ7" t="s">
        <v>114</v>
      </c>
      <c r="BK7" t="s">
        <v>116</v>
      </c>
      <c r="BL7" t="s">
        <v>116</v>
      </c>
      <c r="BM7" t="s">
        <v>116</v>
      </c>
      <c r="BN7" t="s">
        <v>115</v>
      </c>
      <c r="BO7" t="s">
        <v>109</v>
      </c>
      <c r="BP7" t="s">
        <v>112</v>
      </c>
      <c r="BQ7" t="s">
        <v>112</v>
      </c>
      <c r="BR7" t="s">
        <v>114</v>
      </c>
      <c r="BS7" t="s">
        <v>114</v>
      </c>
      <c r="BT7" t="s">
        <v>108</v>
      </c>
      <c r="BU7" t="s">
        <v>116</v>
      </c>
    </row>
    <row r="8" spans="1:73" x14ac:dyDescent="0.35">
      <c r="B8" s="69">
        <f t="shared" si="1"/>
        <v>101831.50872869449</v>
      </c>
      <c r="C8" s="38" t="s">
        <v>67</v>
      </c>
      <c r="D8" s="44">
        <v>2521.6969202276823</v>
      </c>
      <c r="E8" s="44">
        <v>2480.0602700816962</v>
      </c>
      <c r="F8" s="44">
        <v>2452.2337959742308</v>
      </c>
      <c r="G8" s="44">
        <v>2445.3287079549705</v>
      </c>
      <c r="H8" s="44">
        <v>2424.5103828819779</v>
      </c>
      <c r="I8" s="44">
        <v>2438.4236199357106</v>
      </c>
      <c r="J8" s="44">
        <v>2431.4154709012373</v>
      </c>
      <c r="K8" s="44">
        <v>2361.9523466477863</v>
      </c>
      <c r="L8" s="44">
        <v>2493.9735071354298</v>
      </c>
      <c r="M8" s="44">
        <v>2459.2419450087032</v>
      </c>
      <c r="N8" s="44">
        <v>2500.8785951546893</v>
      </c>
      <c r="O8" s="44">
        <v>2355.0472586285255</v>
      </c>
      <c r="P8" s="44">
        <v>2341.1340215747932</v>
      </c>
      <c r="Q8" s="44">
        <v>2334.1258725403204</v>
      </c>
      <c r="R8" s="44">
        <v>2348.0391095940531</v>
      </c>
      <c r="S8" s="44">
        <v>2514.7918322084224</v>
      </c>
      <c r="T8" s="44">
        <v>2292.4892223943343</v>
      </c>
      <c r="U8" s="44">
        <v>2466.147033027964</v>
      </c>
      <c r="V8" s="44">
        <v>2299.3943104135942</v>
      </c>
      <c r="W8" s="44">
        <v>2473.1551820624363</v>
      </c>
      <c r="X8" s="44">
        <v>2507.8867441891625</v>
      </c>
      <c r="Y8" s="44">
        <v>2403.5889967937715</v>
      </c>
      <c r="Z8" s="44">
        <v>2410.5971458282452</v>
      </c>
      <c r="AA8" s="44">
        <v>2313.3075474673269</v>
      </c>
      <c r="AB8" s="44">
        <v>2306.402459448067</v>
      </c>
      <c r="AC8" s="44">
        <v>2486.9653581009566</v>
      </c>
      <c r="AD8" s="44">
        <v>2396.6839087745116</v>
      </c>
      <c r="AE8" s="44">
        <v>2389.7788207552521</v>
      </c>
      <c r="AF8" s="44">
        <v>2327.2207845210601</v>
      </c>
      <c r="AG8" s="44">
        <v>2382.7706717207789</v>
      </c>
      <c r="AH8" s="44">
        <v>2368.8574346670462</v>
      </c>
      <c r="AI8" s="44">
        <v>2417.5022338475046</v>
      </c>
      <c r="AJ8" s="44">
        <v>2375.865583701519</v>
      </c>
      <c r="AK8" s="44">
        <v>2320.3156965018002</v>
      </c>
      <c r="AM8" s="38" t="s">
        <v>67</v>
      </c>
      <c r="AN8" t="s">
        <v>109</v>
      </c>
      <c r="AO8" t="s">
        <v>110</v>
      </c>
      <c r="AP8" t="s">
        <v>113</v>
      </c>
      <c r="AQ8" t="s">
        <v>110</v>
      </c>
      <c r="AR8" t="s">
        <v>115</v>
      </c>
      <c r="AS8" t="s">
        <v>112</v>
      </c>
      <c r="AT8" t="s">
        <v>115</v>
      </c>
      <c r="AU8" t="s">
        <v>115</v>
      </c>
      <c r="AV8" t="s">
        <v>109</v>
      </c>
      <c r="AW8" t="s">
        <v>113</v>
      </c>
      <c r="AX8" t="s">
        <v>111</v>
      </c>
      <c r="AY8" t="s">
        <v>109</v>
      </c>
      <c r="AZ8" t="s">
        <v>114</v>
      </c>
      <c r="BA8" t="s">
        <v>111</v>
      </c>
      <c r="BB8" t="s">
        <v>112</v>
      </c>
      <c r="BC8" t="s">
        <v>115</v>
      </c>
      <c r="BD8" t="s">
        <v>114</v>
      </c>
      <c r="BE8" t="s">
        <v>114</v>
      </c>
      <c r="BF8" t="s">
        <v>113</v>
      </c>
      <c r="BG8" t="s">
        <v>113</v>
      </c>
      <c r="BH8" t="s">
        <v>116</v>
      </c>
      <c r="BI8" t="s">
        <v>109</v>
      </c>
      <c r="BJ8" t="s">
        <v>109</v>
      </c>
      <c r="BK8" t="s">
        <v>109</v>
      </c>
      <c r="BL8" t="s">
        <v>115</v>
      </c>
      <c r="BM8" t="s">
        <v>112</v>
      </c>
      <c r="BN8" t="s">
        <v>109</v>
      </c>
      <c r="BO8" t="s">
        <v>113</v>
      </c>
      <c r="BP8" t="s">
        <v>110</v>
      </c>
      <c r="BQ8" t="s">
        <v>112</v>
      </c>
      <c r="BR8" t="s">
        <v>109</v>
      </c>
      <c r="BS8" t="s">
        <v>113</v>
      </c>
      <c r="BT8" t="s">
        <v>109</v>
      </c>
      <c r="BU8" t="s">
        <v>115</v>
      </c>
    </row>
    <row r="9" spans="1:73" x14ac:dyDescent="0.35">
      <c r="B9" s="69">
        <f t="shared" si="1"/>
        <v>107518.5699341349</v>
      </c>
      <c r="C9" s="38" t="s">
        <v>117</v>
      </c>
      <c r="D9" s="44">
        <v>268.44232206553505</v>
      </c>
      <c r="E9" s="44">
        <v>272.92372457356538</v>
      </c>
      <c r="F9" s="44">
        <v>276.03914402172973</v>
      </c>
      <c r="G9" s="44">
        <v>276.82914395692194</v>
      </c>
      <c r="H9" s="44">
        <v>279.22650964911566</v>
      </c>
      <c r="I9" s="44">
        <v>277.62367869202905</v>
      </c>
      <c r="J9" s="44">
        <v>278.42278738579364</v>
      </c>
      <c r="K9" s="44">
        <v>286.60360508922798</v>
      </c>
      <c r="L9" s="44">
        <v>271.45570641051768</v>
      </c>
      <c r="M9" s="44">
        <v>275.25364017343458</v>
      </c>
      <c r="N9" s="44">
        <v>270.69603559033897</v>
      </c>
      <c r="O9" s="44">
        <v>287.4553245694338</v>
      </c>
      <c r="P9" s="44">
        <v>289.17404100931077</v>
      </c>
      <c r="Q9" s="44">
        <v>290.04112958804939</v>
      </c>
      <c r="R9" s="44">
        <v>288.31212136397755</v>
      </c>
      <c r="S9" s="44">
        <v>269.18937862044851</v>
      </c>
      <c r="T9" s="44">
        <v>295.27972541627418</v>
      </c>
      <c r="U9" s="44">
        <v>274.47259413841903</v>
      </c>
      <c r="V9" s="44">
        <v>294.38108055069074</v>
      </c>
      <c r="W9" s="44">
        <v>273.69596807624936</v>
      </c>
      <c r="X9" s="44">
        <v>269.94060479334274</v>
      </c>
      <c r="Y9" s="44">
        <v>281.59742858111929</v>
      </c>
      <c r="Z9" s="44">
        <v>280.78001949960657</v>
      </c>
      <c r="AA9" s="44">
        <v>292.60010098597769</v>
      </c>
      <c r="AB9" s="44">
        <v>293.48788890300222</v>
      </c>
      <c r="AC9" s="44">
        <v>272.15582663807118</v>
      </c>
      <c r="AD9" s="44">
        <v>282.41961085434883</v>
      </c>
      <c r="AE9" s="44">
        <v>283.24660825070123</v>
      </c>
      <c r="AF9" s="44">
        <v>290.84054137092801</v>
      </c>
      <c r="AG9" s="44">
        <v>284.07846319416876</v>
      </c>
      <c r="AH9" s="44">
        <v>285.75691792500589</v>
      </c>
      <c r="AI9" s="44">
        <v>280.03488555159805</v>
      </c>
      <c r="AJ9" s="44">
        <v>284.91521860858461</v>
      </c>
      <c r="AK9" s="44">
        <v>291.71766790936755</v>
      </c>
      <c r="AM9" s="38" t="s">
        <v>117</v>
      </c>
      <c r="AN9" t="s">
        <v>110</v>
      </c>
      <c r="AO9" t="s">
        <v>108</v>
      </c>
      <c r="AP9" t="s">
        <v>109</v>
      </c>
      <c r="AQ9" t="s">
        <v>109</v>
      </c>
      <c r="AR9" t="s">
        <v>116</v>
      </c>
      <c r="AS9" t="s">
        <v>116</v>
      </c>
      <c r="AT9" t="s">
        <v>111</v>
      </c>
      <c r="AU9" t="s">
        <v>108</v>
      </c>
      <c r="AV9" t="s">
        <v>112</v>
      </c>
      <c r="AW9" t="s">
        <v>111</v>
      </c>
      <c r="AX9" t="s">
        <v>113</v>
      </c>
      <c r="AY9" t="s">
        <v>111</v>
      </c>
      <c r="AZ9" t="s">
        <v>112</v>
      </c>
      <c r="BA9" t="s">
        <v>111</v>
      </c>
      <c r="BB9" t="s">
        <v>108</v>
      </c>
      <c r="BC9" t="s">
        <v>113</v>
      </c>
      <c r="BD9" t="s">
        <v>115</v>
      </c>
      <c r="BE9" t="s">
        <v>109</v>
      </c>
      <c r="BF9" t="s">
        <v>114</v>
      </c>
      <c r="BG9" t="s">
        <v>108</v>
      </c>
      <c r="BH9" t="s">
        <v>109</v>
      </c>
      <c r="BI9" t="s">
        <v>115</v>
      </c>
      <c r="BJ9" t="s">
        <v>112</v>
      </c>
      <c r="BK9" t="s">
        <v>109</v>
      </c>
      <c r="BL9" t="s">
        <v>109</v>
      </c>
      <c r="BM9" t="s">
        <v>113</v>
      </c>
      <c r="BN9" t="s">
        <v>112</v>
      </c>
      <c r="BO9" t="s">
        <v>116</v>
      </c>
      <c r="BP9" t="s">
        <v>108</v>
      </c>
      <c r="BQ9" t="s">
        <v>115</v>
      </c>
      <c r="BR9" t="s">
        <v>110</v>
      </c>
      <c r="BS9" t="s">
        <v>111</v>
      </c>
      <c r="BT9" t="s">
        <v>113</v>
      </c>
      <c r="BU9" t="s">
        <v>115</v>
      </c>
    </row>
    <row r="10" spans="1:73" x14ac:dyDescent="0.35">
      <c r="A10" s="3"/>
      <c r="B10" s="69">
        <f t="shared" si="1"/>
        <v>125940.93563682478</v>
      </c>
      <c r="C10" s="37" t="s">
        <v>118</v>
      </c>
      <c r="D10" s="44">
        <v>1363.1782293287185</v>
      </c>
      <c r="E10" s="44">
        <v>1340.6238258980061</v>
      </c>
      <c r="F10" s="44">
        <v>1325.5875569441987</v>
      </c>
      <c r="G10" s="44">
        <v>1321.8697981369387</v>
      </c>
      <c r="H10" s="44">
        <v>1310.6339048527745</v>
      </c>
      <c r="I10" s="44">
        <v>1318.1520393296785</v>
      </c>
      <c r="J10" s="44">
        <v>1314.3516636600348</v>
      </c>
      <c r="K10" s="44">
        <v>1276.8436081378991</v>
      </c>
      <c r="L10" s="44">
        <v>1348.1419603749102</v>
      </c>
      <c r="M10" s="44">
        <v>1329.3879326138424</v>
      </c>
      <c r="N10" s="44">
        <v>1351.9423360445542</v>
      </c>
      <c r="O10" s="44">
        <v>1273.0432324682552</v>
      </c>
      <c r="P10" s="44">
        <v>1265.5250979913515</v>
      </c>
      <c r="Q10" s="44">
        <v>1261.8073391840912</v>
      </c>
      <c r="R10" s="44">
        <v>1269.3254736609956</v>
      </c>
      <c r="S10" s="44">
        <v>1359.4604705214574</v>
      </c>
      <c r="T10" s="44">
        <v>1239.2529357533799</v>
      </c>
      <c r="U10" s="44">
        <v>1333.1056914211028</v>
      </c>
      <c r="V10" s="44">
        <v>1242.9706945606408</v>
      </c>
      <c r="W10" s="44">
        <v>1336.9060670907463</v>
      </c>
      <c r="X10" s="44">
        <v>1355.6600948518139</v>
      </c>
      <c r="Y10" s="44">
        <v>1299.3153947062269</v>
      </c>
      <c r="Z10" s="44">
        <v>1303.1157703758711</v>
      </c>
      <c r="AA10" s="44">
        <v>1250.4888290375438</v>
      </c>
      <c r="AB10" s="44">
        <v>1246.7710702302834</v>
      </c>
      <c r="AC10" s="44">
        <v>1344.4242015676502</v>
      </c>
      <c r="AD10" s="44">
        <v>1295.5976358989667</v>
      </c>
      <c r="AE10" s="44">
        <v>1291.7972602293232</v>
      </c>
      <c r="AF10" s="44">
        <v>1258.006963514448</v>
      </c>
      <c r="AG10" s="44">
        <v>1288.0795014220632</v>
      </c>
      <c r="AH10" s="44">
        <v>1280.5613669451591</v>
      </c>
      <c r="AI10" s="44">
        <v>1306.8335291831306</v>
      </c>
      <c r="AJ10" s="44">
        <v>1284.2791257524193</v>
      </c>
      <c r="AK10" s="44">
        <v>1254.2892047071878</v>
      </c>
      <c r="AM10" s="37" t="s">
        <v>118</v>
      </c>
      <c r="AN10" t="s">
        <v>108</v>
      </c>
      <c r="AO10" t="s">
        <v>116</v>
      </c>
      <c r="AP10" t="s">
        <v>110</v>
      </c>
      <c r="AQ10" t="s">
        <v>110</v>
      </c>
      <c r="AR10" t="s">
        <v>110</v>
      </c>
      <c r="AS10" t="s">
        <v>116</v>
      </c>
      <c r="AT10" t="s">
        <v>109</v>
      </c>
      <c r="AU10" t="s">
        <v>116</v>
      </c>
      <c r="AV10" t="s">
        <v>115</v>
      </c>
      <c r="AW10" t="s">
        <v>115</v>
      </c>
      <c r="AX10" t="s">
        <v>108</v>
      </c>
      <c r="AY10" t="s">
        <v>116</v>
      </c>
      <c r="AZ10" t="s">
        <v>108</v>
      </c>
      <c r="BA10" t="s">
        <v>116</v>
      </c>
      <c r="BB10" t="s">
        <v>109</v>
      </c>
      <c r="BC10" t="s">
        <v>110</v>
      </c>
      <c r="BD10" t="s">
        <v>116</v>
      </c>
      <c r="BE10" t="s">
        <v>108</v>
      </c>
      <c r="BF10" t="s">
        <v>112</v>
      </c>
      <c r="BG10" t="s">
        <v>111</v>
      </c>
      <c r="BH10" t="s">
        <v>109</v>
      </c>
      <c r="BI10" t="s">
        <v>109</v>
      </c>
      <c r="BJ10" t="s">
        <v>108</v>
      </c>
      <c r="BK10" t="s">
        <v>112</v>
      </c>
      <c r="BL10" t="s">
        <v>109</v>
      </c>
      <c r="BM10" t="s">
        <v>110</v>
      </c>
      <c r="BN10" t="s">
        <v>108</v>
      </c>
      <c r="BO10" t="s">
        <v>116</v>
      </c>
      <c r="BP10" t="s">
        <v>112</v>
      </c>
      <c r="BQ10" t="s">
        <v>110</v>
      </c>
      <c r="BR10" t="s">
        <v>110</v>
      </c>
      <c r="BS10" t="s">
        <v>109</v>
      </c>
      <c r="BT10" t="s">
        <v>113</v>
      </c>
      <c r="BU10" t="s">
        <v>108</v>
      </c>
    </row>
    <row r="11" spans="1:73" x14ac:dyDescent="0.35">
      <c r="A11" s="69"/>
      <c r="B11" s="69">
        <f t="shared" si="1"/>
        <v>26811.097786363265</v>
      </c>
      <c r="C11" s="37" t="s">
        <v>119</v>
      </c>
      <c r="D11" s="44">
        <v>3816.8990421204094</v>
      </c>
      <c r="E11" s="44">
        <v>3753.7797592593711</v>
      </c>
      <c r="F11" s="44">
        <v>3711.7277763061411</v>
      </c>
      <c r="G11" s="44">
        <v>3701.2354347834284</v>
      </c>
      <c r="H11" s="44">
        <v>3669.6757933529093</v>
      </c>
      <c r="I11" s="44">
        <v>3690.7430932607158</v>
      </c>
      <c r="J11" s="44">
        <v>3680.1681348756197</v>
      </c>
      <c r="K11" s="44">
        <v>3575.0794859237353</v>
      </c>
      <c r="L11" s="44">
        <v>3774.8470591671785</v>
      </c>
      <c r="M11" s="44">
        <v>3722.302734691234</v>
      </c>
      <c r="N11" s="44">
        <v>3785.3394006898916</v>
      </c>
      <c r="O11" s="44">
        <v>3564.5045275386365</v>
      </c>
      <c r="P11" s="44">
        <v>3543.5198444932157</v>
      </c>
      <c r="Q11" s="44">
        <v>3533.0275029705026</v>
      </c>
      <c r="R11" s="44">
        <v>3554.0121860159265</v>
      </c>
      <c r="S11" s="44">
        <v>3806.4067005976981</v>
      </c>
      <c r="T11" s="44">
        <v>3469.9082201094639</v>
      </c>
      <c r="U11" s="44">
        <v>3732.7950762139453</v>
      </c>
      <c r="V11" s="44">
        <v>3480.4005616321751</v>
      </c>
      <c r="W11" s="44">
        <v>3743.2874177366584</v>
      </c>
      <c r="X11" s="44">
        <v>3795.8317422126024</v>
      </c>
      <c r="Y11" s="44">
        <v>3638.1161519223892</v>
      </c>
      <c r="Z11" s="44">
        <v>3648.691110307484</v>
      </c>
      <c r="AA11" s="44">
        <v>3501.4678615399839</v>
      </c>
      <c r="AB11" s="44">
        <v>3490.9755200172713</v>
      </c>
      <c r="AC11" s="44">
        <v>3764.3547176444654</v>
      </c>
      <c r="AD11" s="44">
        <v>3627.6238103996775</v>
      </c>
      <c r="AE11" s="44">
        <v>3617.1314688769648</v>
      </c>
      <c r="AF11" s="44">
        <v>3522.4525445854065</v>
      </c>
      <c r="AG11" s="44">
        <v>3606.6391273542527</v>
      </c>
      <c r="AH11" s="44">
        <v>3585.5718274464462</v>
      </c>
      <c r="AI11" s="44">
        <v>3659.1834518301966</v>
      </c>
      <c r="AJ11" s="44">
        <v>3596.0641689691574</v>
      </c>
      <c r="AK11" s="44">
        <v>3511.9602030626952</v>
      </c>
      <c r="AM11" s="37" t="s">
        <v>119</v>
      </c>
      <c r="AN11" t="s">
        <v>115</v>
      </c>
      <c r="AO11" t="s">
        <v>108</v>
      </c>
      <c r="AP11" t="s">
        <v>112</v>
      </c>
      <c r="AQ11" t="s">
        <v>108</v>
      </c>
      <c r="AR11" t="s">
        <v>112</v>
      </c>
      <c r="AS11" t="s">
        <v>113</v>
      </c>
      <c r="AT11" t="s">
        <v>109</v>
      </c>
      <c r="AU11" t="s">
        <v>109</v>
      </c>
      <c r="AV11" t="s">
        <v>113</v>
      </c>
      <c r="AW11" t="s">
        <v>115</v>
      </c>
      <c r="AX11" t="s">
        <v>111</v>
      </c>
      <c r="AY11" t="s">
        <v>108</v>
      </c>
      <c r="AZ11" t="s">
        <v>112</v>
      </c>
      <c r="BA11" t="s">
        <v>116</v>
      </c>
      <c r="BB11" t="s">
        <v>114</v>
      </c>
      <c r="BC11" t="s">
        <v>114</v>
      </c>
      <c r="BD11" t="s">
        <v>113</v>
      </c>
      <c r="BE11" t="s">
        <v>111</v>
      </c>
      <c r="BF11" t="s">
        <v>115</v>
      </c>
      <c r="BG11" t="s">
        <v>112</v>
      </c>
      <c r="BH11" t="s">
        <v>114</v>
      </c>
      <c r="BI11" t="s">
        <v>111</v>
      </c>
      <c r="BJ11" t="s">
        <v>112</v>
      </c>
      <c r="BK11" t="s">
        <v>116</v>
      </c>
      <c r="BL11" t="s">
        <v>112</v>
      </c>
      <c r="BM11" t="s">
        <v>112</v>
      </c>
      <c r="BN11" t="s">
        <v>112</v>
      </c>
      <c r="BO11" t="s">
        <v>114</v>
      </c>
      <c r="BP11" t="s">
        <v>114</v>
      </c>
      <c r="BQ11" t="s">
        <v>112</v>
      </c>
      <c r="BR11" t="s">
        <v>115</v>
      </c>
      <c r="BS11" t="s">
        <v>111</v>
      </c>
      <c r="BT11" t="s">
        <v>111</v>
      </c>
      <c r="BU11" t="s">
        <v>109</v>
      </c>
    </row>
    <row r="12" spans="1:73" x14ac:dyDescent="0.35">
      <c r="B12" s="69">
        <f t="shared" si="1"/>
        <v>215022.39415825243</v>
      </c>
      <c r="C12" s="37" t="s">
        <v>120</v>
      </c>
      <c r="D12" s="44">
        <v>1950.3</v>
      </c>
      <c r="E12" s="44">
        <v>1918.1</v>
      </c>
      <c r="F12" s="44">
        <v>1896.6</v>
      </c>
      <c r="G12" s="44">
        <v>1891.2</v>
      </c>
      <c r="H12" s="44">
        <v>1875.1</v>
      </c>
      <c r="I12" s="44">
        <v>1885.8</v>
      </c>
      <c r="J12" s="44">
        <v>1880.5</v>
      </c>
      <c r="K12" s="44">
        <v>1826.7</v>
      </c>
      <c r="L12" s="44">
        <v>1928.8</v>
      </c>
      <c r="M12" s="44">
        <v>1901.9</v>
      </c>
      <c r="N12" s="44">
        <v>1934.2</v>
      </c>
      <c r="O12" s="44">
        <v>1821.4</v>
      </c>
      <c r="P12" s="44">
        <v>1810.6</v>
      </c>
      <c r="Q12" s="44">
        <v>1805.2</v>
      </c>
      <c r="R12" s="44">
        <v>1816</v>
      </c>
      <c r="S12" s="44">
        <v>1944.9</v>
      </c>
      <c r="T12" s="44">
        <v>1773</v>
      </c>
      <c r="U12" s="44">
        <v>1907.3</v>
      </c>
      <c r="V12" s="44">
        <v>1778.4</v>
      </c>
      <c r="W12" s="44">
        <v>1912.7</v>
      </c>
      <c r="X12" s="44">
        <v>1939.6</v>
      </c>
      <c r="Y12" s="44">
        <v>1859</v>
      </c>
      <c r="Z12" s="44">
        <v>1864.3</v>
      </c>
      <c r="AA12" s="44">
        <v>1789.1</v>
      </c>
      <c r="AB12" s="44">
        <v>1783.7</v>
      </c>
      <c r="AC12" s="44">
        <v>1923.4</v>
      </c>
      <c r="AD12" s="44">
        <v>1853.6</v>
      </c>
      <c r="AE12" s="44">
        <v>1848.2</v>
      </c>
      <c r="AF12" s="44">
        <v>1799.9</v>
      </c>
      <c r="AG12" s="44">
        <v>1842.8</v>
      </c>
      <c r="AH12" s="44">
        <v>1832.1</v>
      </c>
      <c r="AI12" s="44">
        <v>1869.7</v>
      </c>
      <c r="AJ12" s="44">
        <v>1837.5</v>
      </c>
      <c r="AK12" s="44">
        <v>1794.5</v>
      </c>
      <c r="AM12" s="37" t="s">
        <v>120</v>
      </c>
      <c r="AN12" t="s">
        <v>115</v>
      </c>
      <c r="AO12" t="s">
        <v>108</v>
      </c>
      <c r="AP12" t="s">
        <v>115</v>
      </c>
      <c r="AQ12" t="s">
        <v>111</v>
      </c>
      <c r="AR12" t="s">
        <v>110</v>
      </c>
      <c r="AS12" t="s">
        <v>111</v>
      </c>
      <c r="AT12" t="s">
        <v>115</v>
      </c>
      <c r="AU12" t="s">
        <v>115</v>
      </c>
      <c r="AV12" t="s">
        <v>112</v>
      </c>
      <c r="AW12" t="s">
        <v>112</v>
      </c>
      <c r="AX12" t="s">
        <v>114</v>
      </c>
      <c r="AY12" t="s">
        <v>110</v>
      </c>
      <c r="AZ12" t="s">
        <v>115</v>
      </c>
      <c r="BA12" t="s">
        <v>109</v>
      </c>
      <c r="BB12" t="s">
        <v>109</v>
      </c>
      <c r="BC12" t="s">
        <v>109</v>
      </c>
      <c r="BD12" t="s">
        <v>111</v>
      </c>
      <c r="BE12" t="s">
        <v>108</v>
      </c>
      <c r="BF12" t="s">
        <v>111</v>
      </c>
      <c r="BG12" t="s">
        <v>114</v>
      </c>
      <c r="BH12" t="s">
        <v>110</v>
      </c>
      <c r="BI12" t="s">
        <v>113</v>
      </c>
      <c r="BJ12" t="s">
        <v>109</v>
      </c>
      <c r="BK12" t="s">
        <v>110</v>
      </c>
      <c r="BL12" t="s">
        <v>116</v>
      </c>
      <c r="BM12" t="s">
        <v>111</v>
      </c>
      <c r="BN12" t="s">
        <v>115</v>
      </c>
      <c r="BO12" t="s">
        <v>115</v>
      </c>
      <c r="BP12" t="s">
        <v>116</v>
      </c>
      <c r="BQ12" t="s">
        <v>111</v>
      </c>
      <c r="BR12" t="s">
        <v>111</v>
      </c>
      <c r="BS12" t="s">
        <v>111</v>
      </c>
      <c r="BT12" t="s">
        <v>109</v>
      </c>
      <c r="BU12" t="s">
        <v>115</v>
      </c>
    </row>
    <row r="13" spans="1:73" x14ac:dyDescent="0.35">
      <c r="B13" s="69">
        <f t="shared" si="1"/>
        <v>285702.46619527979</v>
      </c>
      <c r="C13" s="37" t="s">
        <v>121</v>
      </c>
      <c r="D13" s="44">
        <v>330</v>
      </c>
      <c r="E13" s="44">
        <v>324.5</v>
      </c>
      <c r="F13" s="44">
        <v>320.89999999999998</v>
      </c>
      <c r="G13" s="44">
        <v>320</v>
      </c>
      <c r="H13" s="44">
        <v>317.3</v>
      </c>
      <c r="I13" s="44">
        <v>319.10000000000002</v>
      </c>
      <c r="J13" s="44">
        <v>318.2</v>
      </c>
      <c r="K13" s="44">
        <v>309.10000000000002</v>
      </c>
      <c r="L13" s="44">
        <v>326.39999999999998</v>
      </c>
      <c r="M13" s="44">
        <v>321.8</v>
      </c>
      <c r="N13" s="44">
        <v>327.3</v>
      </c>
      <c r="O13" s="44">
        <v>308.2</v>
      </c>
      <c r="P13" s="44">
        <v>306.39999999999998</v>
      </c>
      <c r="Q13" s="44">
        <v>305.5</v>
      </c>
      <c r="R13" s="44">
        <v>307.3</v>
      </c>
      <c r="S13" s="44">
        <v>329.1</v>
      </c>
      <c r="T13" s="44">
        <v>300</v>
      </c>
      <c r="U13" s="44">
        <v>322.7</v>
      </c>
      <c r="V13" s="44">
        <v>300.89999999999998</v>
      </c>
      <c r="W13" s="44">
        <v>323.60000000000002</v>
      </c>
      <c r="X13" s="44">
        <v>328.2</v>
      </c>
      <c r="Y13" s="44">
        <v>314.5</v>
      </c>
      <c r="Z13" s="44">
        <v>315.5</v>
      </c>
      <c r="AA13" s="44">
        <v>302.7</v>
      </c>
      <c r="AB13" s="44">
        <v>301.8</v>
      </c>
      <c r="AC13" s="44">
        <v>325.5</v>
      </c>
      <c r="AD13" s="44">
        <v>313.60000000000002</v>
      </c>
      <c r="AE13" s="44">
        <v>312.7</v>
      </c>
      <c r="AF13" s="44">
        <v>304.5</v>
      </c>
      <c r="AG13" s="44">
        <v>311.8</v>
      </c>
      <c r="AH13" s="44">
        <v>310</v>
      </c>
      <c r="AI13" s="44">
        <v>316.39999999999998</v>
      </c>
      <c r="AJ13" s="44">
        <v>310.89999999999998</v>
      </c>
      <c r="AK13" s="44">
        <v>303.60000000000002</v>
      </c>
      <c r="AM13" s="37" t="s">
        <v>121</v>
      </c>
      <c r="AN13" t="s">
        <v>109</v>
      </c>
      <c r="AO13" t="s">
        <v>111</v>
      </c>
      <c r="AP13" t="s">
        <v>113</v>
      </c>
      <c r="AQ13" t="s">
        <v>116</v>
      </c>
      <c r="AR13" t="s">
        <v>109</v>
      </c>
      <c r="AS13" t="s">
        <v>113</v>
      </c>
      <c r="AT13" t="s">
        <v>109</v>
      </c>
      <c r="AU13" t="s">
        <v>108</v>
      </c>
      <c r="AV13" t="s">
        <v>114</v>
      </c>
      <c r="AW13" t="s">
        <v>108</v>
      </c>
      <c r="AX13" t="s">
        <v>113</v>
      </c>
      <c r="AY13" t="s">
        <v>111</v>
      </c>
      <c r="AZ13" t="s">
        <v>116</v>
      </c>
      <c r="BA13" t="s">
        <v>116</v>
      </c>
      <c r="BB13" t="s">
        <v>112</v>
      </c>
      <c r="BC13" t="s">
        <v>114</v>
      </c>
      <c r="BD13" t="s">
        <v>108</v>
      </c>
      <c r="BE13" t="s">
        <v>114</v>
      </c>
      <c r="BF13" t="s">
        <v>112</v>
      </c>
      <c r="BG13" t="s">
        <v>112</v>
      </c>
      <c r="BH13" t="s">
        <v>110</v>
      </c>
      <c r="BI13" t="s">
        <v>111</v>
      </c>
      <c r="BJ13" t="s">
        <v>113</v>
      </c>
      <c r="BK13" t="s">
        <v>115</v>
      </c>
      <c r="BL13" t="s">
        <v>111</v>
      </c>
      <c r="BM13" t="s">
        <v>110</v>
      </c>
      <c r="BN13" t="s">
        <v>112</v>
      </c>
      <c r="BO13" t="s">
        <v>110</v>
      </c>
      <c r="BP13" t="s">
        <v>112</v>
      </c>
      <c r="BQ13" t="s">
        <v>115</v>
      </c>
      <c r="BR13" t="s">
        <v>115</v>
      </c>
      <c r="BS13" t="s">
        <v>109</v>
      </c>
      <c r="BT13" t="s">
        <v>116</v>
      </c>
      <c r="BU13" t="s">
        <v>112</v>
      </c>
    </row>
    <row r="14" spans="1:73" x14ac:dyDescent="0.35">
      <c r="B14" s="69">
        <f t="shared" si="1"/>
        <v>228688.10884109963</v>
      </c>
      <c r="C14" s="37" t="s">
        <v>122</v>
      </c>
      <c r="D14" s="44">
        <v>1544.4</v>
      </c>
      <c r="E14" s="44">
        <v>1518.84</v>
      </c>
      <c r="F14" s="44">
        <v>1501.8300000000002</v>
      </c>
      <c r="G14" s="44">
        <v>1497.6000000000001</v>
      </c>
      <c r="H14" s="44">
        <v>1484.82</v>
      </c>
      <c r="I14" s="44">
        <v>1493.37</v>
      </c>
      <c r="J14" s="44">
        <v>1489.05</v>
      </c>
      <c r="K14" s="44">
        <v>1446.57</v>
      </c>
      <c r="L14" s="44">
        <v>1527.3899999999999</v>
      </c>
      <c r="M14" s="44">
        <v>1506.15</v>
      </c>
      <c r="N14" s="44">
        <v>1531.62</v>
      </c>
      <c r="O14" s="44">
        <v>1442.25</v>
      </c>
      <c r="P14" s="44">
        <v>1433.79</v>
      </c>
      <c r="Q14" s="44">
        <v>1429.5600000000002</v>
      </c>
      <c r="R14" s="44">
        <v>1438.02</v>
      </c>
      <c r="S14" s="44">
        <v>1540.17</v>
      </c>
      <c r="T14" s="44">
        <v>1404</v>
      </c>
      <c r="U14" s="44">
        <v>1510.38</v>
      </c>
      <c r="V14" s="44">
        <v>1408.23</v>
      </c>
      <c r="W14" s="44">
        <v>1514.6100000000001</v>
      </c>
      <c r="X14" s="44">
        <v>1535.8500000000001</v>
      </c>
      <c r="Y14" s="44">
        <v>1472.04</v>
      </c>
      <c r="Z14" s="44">
        <v>1476.3600000000001</v>
      </c>
      <c r="AA14" s="44">
        <v>1416.78</v>
      </c>
      <c r="AB14" s="44">
        <v>1412.55</v>
      </c>
      <c r="AC14" s="44">
        <v>1523.16</v>
      </c>
      <c r="AD14" s="44">
        <v>1467.8100000000002</v>
      </c>
      <c r="AE14" s="44">
        <v>1463.5800000000002</v>
      </c>
      <c r="AF14" s="44">
        <v>1425.24</v>
      </c>
      <c r="AG14" s="44">
        <v>1459.3500000000001</v>
      </c>
      <c r="AH14" s="44">
        <v>1450.8</v>
      </c>
      <c r="AI14" s="44">
        <v>1480.59</v>
      </c>
      <c r="AJ14" s="44">
        <v>1455.03</v>
      </c>
      <c r="AK14" s="44">
        <v>1421.0100000000002</v>
      </c>
      <c r="AM14" s="37" t="s">
        <v>122</v>
      </c>
      <c r="AN14" t="s">
        <v>110</v>
      </c>
      <c r="AO14" t="s">
        <v>113</v>
      </c>
      <c r="AP14" t="s">
        <v>109</v>
      </c>
      <c r="AQ14" t="s">
        <v>109</v>
      </c>
      <c r="AR14" t="s">
        <v>109</v>
      </c>
      <c r="AS14" t="s">
        <v>114</v>
      </c>
      <c r="AT14" t="s">
        <v>111</v>
      </c>
      <c r="AU14" t="s">
        <v>109</v>
      </c>
      <c r="AV14" t="s">
        <v>112</v>
      </c>
      <c r="AW14" t="s">
        <v>115</v>
      </c>
      <c r="AX14" t="s">
        <v>113</v>
      </c>
      <c r="AY14" t="s">
        <v>108</v>
      </c>
      <c r="AZ14" t="s">
        <v>115</v>
      </c>
      <c r="BA14" t="s">
        <v>114</v>
      </c>
      <c r="BB14" t="s">
        <v>112</v>
      </c>
      <c r="BC14" t="s">
        <v>109</v>
      </c>
      <c r="BD14" t="s">
        <v>112</v>
      </c>
      <c r="BE14" t="s">
        <v>109</v>
      </c>
      <c r="BF14" t="s">
        <v>115</v>
      </c>
      <c r="BG14" t="s">
        <v>109</v>
      </c>
      <c r="BH14" t="s">
        <v>115</v>
      </c>
      <c r="BI14" t="s">
        <v>109</v>
      </c>
      <c r="BJ14" t="s">
        <v>115</v>
      </c>
      <c r="BK14" t="s">
        <v>116</v>
      </c>
      <c r="BL14" t="s">
        <v>115</v>
      </c>
      <c r="BM14" t="s">
        <v>116</v>
      </c>
      <c r="BN14" t="s">
        <v>110</v>
      </c>
      <c r="BO14" t="s">
        <v>111</v>
      </c>
      <c r="BP14" t="s">
        <v>109</v>
      </c>
      <c r="BQ14" t="s">
        <v>111</v>
      </c>
      <c r="BR14" t="s">
        <v>116</v>
      </c>
      <c r="BS14" t="s">
        <v>113</v>
      </c>
      <c r="BT14" t="s">
        <v>111</v>
      </c>
      <c r="BU14" t="s">
        <v>109</v>
      </c>
    </row>
    <row r="15" spans="1:73" x14ac:dyDescent="0.35">
      <c r="B15" s="69">
        <f t="shared" si="1"/>
        <v>290787.32602837519</v>
      </c>
      <c r="C15" s="37" t="s">
        <v>123</v>
      </c>
      <c r="D15" s="70">
        <v>433</v>
      </c>
      <c r="E15" s="70">
        <v>425.81818181818176</v>
      </c>
      <c r="F15" s="70">
        <v>421.09090909090907</v>
      </c>
      <c r="G15" s="70">
        <v>419.90909090909088</v>
      </c>
      <c r="H15" s="70">
        <v>416.2727272727272</v>
      </c>
      <c r="I15" s="70">
        <v>418.72727272727269</v>
      </c>
      <c r="J15" s="70">
        <v>417.45454545454538</v>
      </c>
      <c r="K15" s="70">
        <v>405.54545454545456</v>
      </c>
      <c r="L15" s="70">
        <v>428.27272727272725</v>
      </c>
      <c r="M15" s="70">
        <v>422.27272727272725</v>
      </c>
      <c r="N15" s="70">
        <v>429.45454545454538</v>
      </c>
      <c r="O15" s="70">
        <v>404.36363636363632</v>
      </c>
      <c r="P15" s="70">
        <v>401.99999999999994</v>
      </c>
      <c r="Q15" s="70">
        <v>400.81818181818176</v>
      </c>
      <c r="R15" s="70">
        <v>403.18181818181813</v>
      </c>
      <c r="S15" s="70">
        <v>431.81818181818176</v>
      </c>
      <c r="T15" s="70">
        <v>393.63636363636363</v>
      </c>
      <c r="U15" s="70">
        <v>423.45454545454544</v>
      </c>
      <c r="V15" s="70">
        <v>394.81818181818181</v>
      </c>
      <c r="W15" s="70">
        <v>424.63636363636363</v>
      </c>
      <c r="X15" s="70">
        <v>430.63636363636357</v>
      </c>
      <c r="Y15" s="70">
        <v>412.72727272727269</v>
      </c>
      <c r="Z15" s="70">
        <v>413.90909090909088</v>
      </c>
      <c r="AA15" s="70">
        <v>397.18181818181813</v>
      </c>
      <c r="AB15" s="70">
        <v>396</v>
      </c>
      <c r="AC15" s="70">
        <v>426.99999999999994</v>
      </c>
      <c r="AD15" s="70">
        <v>411.5454545454545</v>
      </c>
      <c r="AE15" s="70">
        <v>410.36363636363632</v>
      </c>
      <c r="AF15" s="70">
        <v>399.63636363636363</v>
      </c>
      <c r="AG15" s="70">
        <v>409.18181818181819</v>
      </c>
      <c r="AH15" s="70">
        <v>406.72727272727269</v>
      </c>
      <c r="AI15" s="70">
        <v>415.09090909090907</v>
      </c>
      <c r="AJ15" s="70">
        <v>407.90909090909088</v>
      </c>
      <c r="AK15" s="70">
        <v>398.36363636363632</v>
      </c>
      <c r="AM15" s="37" t="s">
        <v>123</v>
      </c>
      <c r="AN15" t="s">
        <v>116</v>
      </c>
      <c r="AO15" t="s">
        <v>114</v>
      </c>
      <c r="AP15" t="s">
        <v>115</v>
      </c>
      <c r="AQ15" t="s">
        <v>115</v>
      </c>
      <c r="AR15" t="s">
        <v>115</v>
      </c>
      <c r="AS15" t="s">
        <v>115</v>
      </c>
      <c r="AT15" t="s">
        <v>112</v>
      </c>
      <c r="AU15" t="s">
        <v>116</v>
      </c>
      <c r="AV15" t="s">
        <v>111</v>
      </c>
      <c r="AW15" t="s">
        <v>112</v>
      </c>
      <c r="AX15" t="s">
        <v>112</v>
      </c>
      <c r="AY15" t="s">
        <v>112</v>
      </c>
      <c r="AZ15" t="s">
        <v>109</v>
      </c>
      <c r="BA15" t="s">
        <v>109</v>
      </c>
      <c r="BB15" t="s">
        <v>113</v>
      </c>
      <c r="BC15" t="s">
        <v>110</v>
      </c>
      <c r="BD15" t="s">
        <v>114</v>
      </c>
      <c r="BE15" t="s">
        <v>112</v>
      </c>
      <c r="BF15" t="s">
        <v>110</v>
      </c>
      <c r="BG15" t="s">
        <v>116</v>
      </c>
      <c r="BH15" t="s">
        <v>111</v>
      </c>
      <c r="BI15" t="s">
        <v>110</v>
      </c>
      <c r="BJ15" t="s">
        <v>108</v>
      </c>
      <c r="BK15" t="s">
        <v>109</v>
      </c>
      <c r="BL15" t="s">
        <v>114</v>
      </c>
      <c r="BM15" t="s">
        <v>111</v>
      </c>
      <c r="BN15" t="s">
        <v>111</v>
      </c>
      <c r="BO15" t="s">
        <v>112</v>
      </c>
      <c r="BP15" t="s">
        <v>113</v>
      </c>
      <c r="BQ15" t="s">
        <v>114</v>
      </c>
      <c r="BR15" t="s">
        <v>114</v>
      </c>
      <c r="BS15" t="s">
        <v>109</v>
      </c>
      <c r="BT15" t="s">
        <v>108</v>
      </c>
      <c r="BU15" t="s">
        <v>113</v>
      </c>
    </row>
    <row r="16" spans="1:73" x14ac:dyDescent="0.35">
      <c r="B16" s="69">
        <f t="shared" si="1"/>
        <v>237490.01624053277</v>
      </c>
      <c r="C16" s="37" t="s">
        <v>124</v>
      </c>
      <c r="D16" s="44">
        <v>794.2</v>
      </c>
      <c r="E16" s="44">
        <v>781.1</v>
      </c>
      <c r="F16" s="44">
        <v>772.3</v>
      </c>
      <c r="G16" s="44">
        <v>770.1</v>
      </c>
      <c r="H16" s="44">
        <v>763.6</v>
      </c>
      <c r="I16" s="44">
        <v>767.9</v>
      </c>
      <c r="J16" s="44">
        <v>765.8</v>
      </c>
      <c r="K16" s="44">
        <v>743.9</v>
      </c>
      <c r="L16" s="44">
        <v>785.4</v>
      </c>
      <c r="M16" s="44">
        <v>774.5</v>
      </c>
      <c r="N16" s="44">
        <v>787.6</v>
      </c>
      <c r="O16" s="44">
        <v>741.7</v>
      </c>
      <c r="P16" s="44">
        <v>737.3</v>
      </c>
      <c r="Q16" s="44">
        <v>735.1</v>
      </c>
      <c r="R16" s="44">
        <v>739.5</v>
      </c>
      <c r="S16" s="44">
        <v>792</v>
      </c>
      <c r="T16" s="44">
        <v>722</v>
      </c>
      <c r="U16" s="44">
        <v>776.7</v>
      </c>
      <c r="V16" s="44">
        <v>724.2</v>
      </c>
      <c r="W16" s="44">
        <v>778.9</v>
      </c>
      <c r="X16" s="44">
        <v>789.8</v>
      </c>
      <c r="Y16" s="44">
        <v>757</v>
      </c>
      <c r="Z16" s="44">
        <v>759.2</v>
      </c>
      <c r="AA16" s="44">
        <v>728.6</v>
      </c>
      <c r="AB16" s="44">
        <v>726.4</v>
      </c>
      <c r="AC16" s="44">
        <v>783.3</v>
      </c>
      <c r="AD16" s="44">
        <v>754.8</v>
      </c>
      <c r="AE16" s="44">
        <v>752.6</v>
      </c>
      <c r="AF16" s="44">
        <v>732.9</v>
      </c>
      <c r="AG16" s="44">
        <v>750.4</v>
      </c>
      <c r="AH16" s="44">
        <v>746.1</v>
      </c>
      <c r="AI16" s="44">
        <v>761.4</v>
      </c>
      <c r="AJ16" s="44">
        <v>748.3</v>
      </c>
      <c r="AK16" s="44">
        <v>730.8</v>
      </c>
      <c r="AM16" s="37" t="s">
        <v>124</v>
      </c>
      <c r="AN16" t="s">
        <v>108</v>
      </c>
      <c r="AO16" t="s">
        <v>111</v>
      </c>
      <c r="AP16" t="s">
        <v>111</v>
      </c>
      <c r="AQ16" t="s">
        <v>112</v>
      </c>
      <c r="AR16" t="s">
        <v>116</v>
      </c>
      <c r="AS16" t="s">
        <v>115</v>
      </c>
      <c r="AT16" t="s">
        <v>109</v>
      </c>
      <c r="AU16" t="s">
        <v>109</v>
      </c>
      <c r="AV16" t="s">
        <v>110</v>
      </c>
      <c r="AW16" t="s">
        <v>113</v>
      </c>
      <c r="AX16" t="s">
        <v>111</v>
      </c>
      <c r="AY16" t="s">
        <v>116</v>
      </c>
      <c r="AZ16" t="s">
        <v>110</v>
      </c>
      <c r="BA16" t="s">
        <v>109</v>
      </c>
      <c r="BB16" t="s">
        <v>115</v>
      </c>
      <c r="BC16" t="s">
        <v>116</v>
      </c>
      <c r="BD16" t="s">
        <v>110</v>
      </c>
      <c r="BE16" t="s">
        <v>109</v>
      </c>
      <c r="BF16" t="s">
        <v>114</v>
      </c>
      <c r="BG16" t="s">
        <v>116</v>
      </c>
      <c r="BH16" t="s">
        <v>113</v>
      </c>
      <c r="BI16" t="s">
        <v>116</v>
      </c>
      <c r="BJ16" t="s">
        <v>112</v>
      </c>
      <c r="BK16" t="s">
        <v>116</v>
      </c>
      <c r="BL16" t="s">
        <v>111</v>
      </c>
      <c r="BM16" t="s">
        <v>113</v>
      </c>
      <c r="BN16" t="s">
        <v>109</v>
      </c>
      <c r="BO16" t="s">
        <v>109</v>
      </c>
      <c r="BP16" t="s">
        <v>111</v>
      </c>
      <c r="BQ16" t="s">
        <v>115</v>
      </c>
      <c r="BR16" t="s">
        <v>114</v>
      </c>
      <c r="BS16" t="s">
        <v>109</v>
      </c>
      <c r="BT16" t="s">
        <v>108</v>
      </c>
      <c r="BU16" t="s">
        <v>113</v>
      </c>
    </row>
    <row r="17" spans="2:73" x14ac:dyDescent="0.35">
      <c r="B17" s="69"/>
      <c r="C17" s="41" t="s">
        <v>68</v>
      </c>
      <c r="AM17" s="41" t="s">
        <v>68</v>
      </c>
      <c r="AN17" t="s">
        <v>110</v>
      </c>
      <c r="AO17" t="s">
        <v>116</v>
      </c>
      <c r="AP17" t="s">
        <v>113</v>
      </c>
      <c r="AQ17" t="s">
        <v>109</v>
      </c>
      <c r="AR17" t="s">
        <v>109</v>
      </c>
      <c r="AS17" t="s">
        <v>110</v>
      </c>
      <c r="AT17" t="s">
        <v>110</v>
      </c>
      <c r="AU17" t="s">
        <v>115</v>
      </c>
      <c r="AV17" t="s">
        <v>115</v>
      </c>
      <c r="AW17" t="s">
        <v>115</v>
      </c>
      <c r="AX17" t="s">
        <v>109</v>
      </c>
      <c r="AY17" t="s">
        <v>108</v>
      </c>
      <c r="AZ17" t="s">
        <v>114</v>
      </c>
      <c r="BA17" t="s">
        <v>113</v>
      </c>
      <c r="BB17" t="s">
        <v>108</v>
      </c>
      <c r="BC17" t="s">
        <v>110</v>
      </c>
      <c r="BD17" t="s">
        <v>116</v>
      </c>
      <c r="BE17" t="s">
        <v>109</v>
      </c>
      <c r="BF17" t="s">
        <v>110</v>
      </c>
      <c r="BG17" t="s">
        <v>108</v>
      </c>
      <c r="BH17" t="s">
        <v>114</v>
      </c>
      <c r="BI17" t="s">
        <v>110</v>
      </c>
      <c r="BJ17" t="s">
        <v>114</v>
      </c>
      <c r="BK17" t="s">
        <v>115</v>
      </c>
      <c r="BL17" t="s">
        <v>115</v>
      </c>
      <c r="BM17" t="s">
        <v>108</v>
      </c>
      <c r="BN17" t="s">
        <v>114</v>
      </c>
      <c r="BO17" t="s">
        <v>116</v>
      </c>
      <c r="BP17" t="s">
        <v>112</v>
      </c>
      <c r="BQ17" t="s">
        <v>109</v>
      </c>
      <c r="BR17" t="s">
        <v>116</v>
      </c>
      <c r="BS17" t="s">
        <v>111</v>
      </c>
      <c r="BT17" t="s">
        <v>110</v>
      </c>
      <c r="BU17" t="s">
        <v>110</v>
      </c>
    </row>
    <row r="18" spans="2:73" x14ac:dyDescent="0.35">
      <c r="B18" s="69"/>
      <c r="C18" s="37" t="s">
        <v>69</v>
      </c>
      <c r="AM18" s="37" t="s">
        <v>69</v>
      </c>
      <c r="AN18" t="s">
        <v>111</v>
      </c>
      <c r="AO18" t="s">
        <v>113</v>
      </c>
      <c r="AP18" t="s">
        <v>109</v>
      </c>
      <c r="AQ18" t="s">
        <v>113</v>
      </c>
      <c r="AR18" t="s">
        <v>109</v>
      </c>
      <c r="AS18" t="s">
        <v>108</v>
      </c>
      <c r="AT18" t="s">
        <v>109</v>
      </c>
      <c r="AU18" t="s">
        <v>116</v>
      </c>
      <c r="AV18" t="s">
        <v>113</v>
      </c>
      <c r="AW18" t="s">
        <v>116</v>
      </c>
      <c r="AX18" t="s">
        <v>111</v>
      </c>
      <c r="AY18" t="s">
        <v>109</v>
      </c>
      <c r="AZ18" t="s">
        <v>116</v>
      </c>
      <c r="BA18" t="s">
        <v>116</v>
      </c>
      <c r="BB18" t="s">
        <v>114</v>
      </c>
      <c r="BC18" t="s">
        <v>112</v>
      </c>
      <c r="BD18" t="s">
        <v>110</v>
      </c>
      <c r="BE18" t="s">
        <v>111</v>
      </c>
      <c r="BF18" t="s">
        <v>108</v>
      </c>
      <c r="BG18" t="s">
        <v>116</v>
      </c>
      <c r="BH18" t="s">
        <v>112</v>
      </c>
      <c r="BI18" t="s">
        <v>114</v>
      </c>
      <c r="BJ18" t="s">
        <v>116</v>
      </c>
      <c r="BK18" t="s">
        <v>116</v>
      </c>
      <c r="BL18" t="s">
        <v>108</v>
      </c>
      <c r="BM18" t="s">
        <v>108</v>
      </c>
      <c r="BN18" t="s">
        <v>108</v>
      </c>
      <c r="BO18" t="s">
        <v>109</v>
      </c>
      <c r="BP18" t="s">
        <v>113</v>
      </c>
      <c r="BQ18" t="s">
        <v>111</v>
      </c>
      <c r="BR18" t="s">
        <v>110</v>
      </c>
      <c r="BS18" t="s">
        <v>110</v>
      </c>
      <c r="BT18" t="s">
        <v>114</v>
      </c>
      <c r="BU18" t="s">
        <v>114</v>
      </c>
    </row>
    <row r="19" spans="2:73" x14ac:dyDescent="0.35">
      <c r="B19" s="69"/>
      <c r="C19" s="37" t="s">
        <v>70</v>
      </c>
      <c r="AM19" s="37" t="s">
        <v>70</v>
      </c>
      <c r="AN19" t="s">
        <v>108</v>
      </c>
      <c r="AO19" t="s">
        <v>109</v>
      </c>
      <c r="AP19" t="s">
        <v>109</v>
      </c>
      <c r="AQ19" t="s">
        <v>109</v>
      </c>
      <c r="AR19" t="s">
        <v>110</v>
      </c>
      <c r="AS19" t="s">
        <v>115</v>
      </c>
      <c r="AT19" t="s">
        <v>113</v>
      </c>
      <c r="AU19" t="s">
        <v>111</v>
      </c>
      <c r="AV19" t="s">
        <v>110</v>
      </c>
      <c r="AW19" t="s">
        <v>109</v>
      </c>
      <c r="AX19" t="s">
        <v>110</v>
      </c>
      <c r="AY19" t="s">
        <v>108</v>
      </c>
      <c r="AZ19" t="s">
        <v>116</v>
      </c>
      <c r="BA19" t="s">
        <v>114</v>
      </c>
      <c r="BB19" t="s">
        <v>114</v>
      </c>
      <c r="BC19" t="s">
        <v>108</v>
      </c>
      <c r="BD19" t="s">
        <v>115</v>
      </c>
      <c r="BE19" t="s">
        <v>111</v>
      </c>
      <c r="BF19" t="s">
        <v>108</v>
      </c>
      <c r="BG19" t="s">
        <v>109</v>
      </c>
      <c r="BH19" t="s">
        <v>112</v>
      </c>
      <c r="BI19" t="s">
        <v>116</v>
      </c>
      <c r="BJ19" t="s">
        <v>116</v>
      </c>
      <c r="BK19" t="s">
        <v>108</v>
      </c>
      <c r="BL19" t="s">
        <v>108</v>
      </c>
      <c r="BM19" t="s">
        <v>115</v>
      </c>
      <c r="BN19" t="s">
        <v>110</v>
      </c>
      <c r="BO19" t="s">
        <v>108</v>
      </c>
      <c r="BP19" t="s">
        <v>111</v>
      </c>
      <c r="BQ19" t="s">
        <v>113</v>
      </c>
      <c r="BR19" t="s">
        <v>114</v>
      </c>
      <c r="BS19" t="s">
        <v>116</v>
      </c>
      <c r="BT19" t="s">
        <v>114</v>
      </c>
      <c r="BU19" t="s">
        <v>113</v>
      </c>
    </row>
    <row r="20" spans="2:73" x14ac:dyDescent="0.35">
      <c r="B20" s="69"/>
      <c r="C20" s="37" t="s">
        <v>71</v>
      </c>
      <c r="AM20" s="37" t="s">
        <v>71</v>
      </c>
      <c r="AN20" t="s">
        <v>108</v>
      </c>
      <c r="AO20" t="s">
        <v>115</v>
      </c>
      <c r="AP20" t="s">
        <v>113</v>
      </c>
      <c r="AQ20" t="s">
        <v>110</v>
      </c>
      <c r="AR20" t="s">
        <v>109</v>
      </c>
      <c r="AS20" t="s">
        <v>109</v>
      </c>
      <c r="AT20" t="s">
        <v>114</v>
      </c>
      <c r="AU20" t="s">
        <v>112</v>
      </c>
      <c r="AV20" t="s">
        <v>108</v>
      </c>
      <c r="AW20" t="s">
        <v>113</v>
      </c>
      <c r="AX20" t="s">
        <v>110</v>
      </c>
      <c r="AY20" t="s">
        <v>110</v>
      </c>
      <c r="AZ20" t="s">
        <v>113</v>
      </c>
      <c r="BA20" t="s">
        <v>115</v>
      </c>
      <c r="BB20" t="s">
        <v>108</v>
      </c>
      <c r="BC20" t="s">
        <v>116</v>
      </c>
      <c r="BD20" t="s">
        <v>116</v>
      </c>
      <c r="BE20" t="s">
        <v>108</v>
      </c>
      <c r="BF20" t="s">
        <v>109</v>
      </c>
      <c r="BG20" t="s">
        <v>116</v>
      </c>
      <c r="BH20" t="s">
        <v>116</v>
      </c>
      <c r="BI20" t="s">
        <v>115</v>
      </c>
      <c r="BJ20" t="s">
        <v>112</v>
      </c>
      <c r="BK20" t="s">
        <v>108</v>
      </c>
      <c r="BL20" t="s">
        <v>113</v>
      </c>
      <c r="BM20" t="s">
        <v>114</v>
      </c>
      <c r="BN20" t="s">
        <v>108</v>
      </c>
      <c r="BO20" t="s">
        <v>116</v>
      </c>
      <c r="BP20" t="s">
        <v>109</v>
      </c>
      <c r="BQ20" t="s">
        <v>110</v>
      </c>
      <c r="BR20" t="s">
        <v>114</v>
      </c>
      <c r="BS20" t="s">
        <v>113</v>
      </c>
      <c r="BT20" t="s">
        <v>108</v>
      </c>
      <c r="BU20" t="s">
        <v>111</v>
      </c>
    </row>
    <row r="21" spans="2:73" x14ac:dyDescent="0.35">
      <c r="B21" s="69"/>
      <c r="C21" s="37" t="s">
        <v>72</v>
      </c>
      <c r="AM21" s="37" t="s">
        <v>72</v>
      </c>
      <c r="AN21" t="s">
        <v>115</v>
      </c>
      <c r="AO21" t="s">
        <v>108</v>
      </c>
      <c r="AP21" t="s">
        <v>115</v>
      </c>
      <c r="AQ21" t="s">
        <v>109</v>
      </c>
      <c r="AR21" t="s">
        <v>114</v>
      </c>
      <c r="AS21" t="s">
        <v>113</v>
      </c>
      <c r="AT21" t="s">
        <v>116</v>
      </c>
      <c r="AU21" t="s">
        <v>113</v>
      </c>
      <c r="AV21" t="s">
        <v>108</v>
      </c>
      <c r="AW21" t="s">
        <v>108</v>
      </c>
      <c r="AX21" t="s">
        <v>109</v>
      </c>
      <c r="AY21" t="s">
        <v>116</v>
      </c>
      <c r="AZ21" t="s">
        <v>109</v>
      </c>
      <c r="BA21" t="s">
        <v>108</v>
      </c>
      <c r="BB21" t="s">
        <v>112</v>
      </c>
      <c r="BC21" t="s">
        <v>116</v>
      </c>
      <c r="BD21" t="s">
        <v>109</v>
      </c>
      <c r="BE21" t="s">
        <v>108</v>
      </c>
      <c r="BF21" t="s">
        <v>114</v>
      </c>
      <c r="BG21" t="s">
        <v>112</v>
      </c>
      <c r="BH21" t="s">
        <v>109</v>
      </c>
      <c r="BI21" t="s">
        <v>115</v>
      </c>
      <c r="BJ21" t="s">
        <v>111</v>
      </c>
      <c r="BK21" t="s">
        <v>108</v>
      </c>
      <c r="BL21" t="s">
        <v>112</v>
      </c>
      <c r="BM21" t="s">
        <v>110</v>
      </c>
      <c r="BN21" t="s">
        <v>108</v>
      </c>
      <c r="BO21" t="s">
        <v>109</v>
      </c>
      <c r="BP21" t="s">
        <v>112</v>
      </c>
      <c r="BQ21" t="s">
        <v>112</v>
      </c>
      <c r="BR21" t="s">
        <v>115</v>
      </c>
      <c r="BS21" t="s">
        <v>115</v>
      </c>
      <c r="BT21" t="s">
        <v>109</v>
      </c>
      <c r="BU21" t="s">
        <v>109</v>
      </c>
    </row>
    <row r="22" spans="2:73" x14ac:dyDescent="0.35">
      <c r="B22" s="69"/>
      <c r="C22" s="37" t="s">
        <v>73</v>
      </c>
      <c r="AM22" s="37" t="s">
        <v>73</v>
      </c>
      <c r="AN22" t="s">
        <v>111</v>
      </c>
      <c r="AO22" t="s">
        <v>113</v>
      </c>
      <c r="AP22" t="s">
        <v>112</v>
      </c>
      <c r="AQ22" t="s">
        <v>114</v>
      </c>
      <c r="AR22" t="s">
        <v>114</v>
      </c>
      <c r="AS22" t="s">
        <v>108</v>
      </c>
      <c r="AT22" t="s">
        <v>116</v>
      </c>
      <c r="AU22" t="s">
        <v>110</v>
      </c>
      <c r="AV22" t="s">
        <v>111</v>
      </c>
      <c r="AW22" t="s">
        <v>114</v>
      </c>
      <c r="AX22" t="s">
        <v>113</v>
      </c>
      <c r="AY22" t="s">
        <v>113</v>
      </c>
      <c r="AZ22" t="s">
        <v>112</v>
      </c>
      <c r="BA22" t="s">
        <v>111</v>
      </c>
      <c r="BB22" t="s">
        <v>109</v>
      </c>
      <c r="BC22" t="s">
        <v>111</v>
      </c>
      <c r="BD22" t="s">
        <v>110</v>
      </c>
      <c r="BE22" t="s">
        <v>109</v>
      </c>
      <c r="BF22" t="s">
        <v>111</v>
      </c>
      <c r="BG22" t="s">
        <v>112</v>
      </c>
      <c r="BH22" t="s">
        <v>111</v>
      </c>
      <c r="BI22" t="s">
        <v>109</v>
      </c>
      <c r="BJ22" t="s">
        <v>111</v>
      </c>
      <c r="BK22" t="s">
        <v>113</v>
      </c>
      <c r="BL22" t="s">
        <v>113</v>
      </c>
      <c r="BM22" t="s">
        <v>111</v>
      </c>
      <c r="BN22" t="s">
        <v>113</v>
      </c>
      <c r="BO22" t="s">
        <v>109</v>
      </c>
      <c r="BP22" t="s">
        <v>114</v>
      </c>
      <c r="BQ22" t="s">
        <v>108</v>
      </c>
      <c r="BR22" t="s">
        <v>109</v>
      </c>
      <c r="BS22" t="s">
        <v>109</v>
      </c>
      <c r="BT22" t="s">
        <v>114</v>
      </c>
      <c r="BU22" t="s">
        <v>108</v>
      </c>
    </row>
    <row r="23" spans="2:73" x14ac:dyDescent="0.35">
      <c r="B23" s="69"/>
      <c r="C23" s="41" t="s">
        <v>76</v>
      </c>
      <c r="AM23" s="41" t="s">
        <v>76</v>
      </c>
      <c r="AN23" t="s">
        <v>115</v>
      </c>
      <c r="AO23" t="s">
        <v>109</v>
      </c>
      <c r="AP23" t="s">
        <v>116</v>
      </c>
      <c r="AQ23" t="s">
        <v>114</v>
      </c>
      <c r="AR23" t="s">
        <v>115</v>
      </c>
      <c r="AS23" t="s">
        <v>116</v>
      </c>
      <c r="AT23" t="s">
        <v>109</v>
      </c>
      <c r="AU23" t="s">
        <v>109</v>
      </c>
      <c r="AV23" t="s">
        <v>109</v>
      </c>
      <c r="AW23" t="s">
        <v>110</v>
      </c>
      <c r="AX23" t="s">
        <v>109</v>
      </c>
      <c r="AY23" t="s">
        <v>109</v>
      </c>
      <c r="AZ23" t="s">
        <v>108</v>
      </c>
      <c r="BA23" t="s">
        <v>114</v>
      </c>
      <c r="BB23" t="s">
        <v>112</v>
      </c>
      <c r="BC23" t="s">
        <v>113</v>
      </c>
      <c r="BD23" t="s">
        <v>109</v>
      </c>
      <c r="BE23" t="s">
        <v>111</v>
      </c>
      <c r="BF23" t="s">
        <v>113</v>
      </c>
      <c r="BG23" t="s">
        <v>115</v>
      </c>
      <c r="BH23" t="s">
        <v>115</v>
      </c>
      <c r="BI23" t="s">
        <v>114</v>
      </c>
      <c r="BJ23" t="s">
        <v>108</v>
      </c>
      <c r="BK23" t="s">
        <v>111</v>
      </c>
      <c r="BL23" t="s">
        <v>109</v>
      </c>
      <c r="BM23" t="s">
        <v>115</v>
      </c>
      <c r="BN23" t="s">
        <v>116</v>
      </c>
      <c r="BO23" t="s">
        <v>109</v>
      </c>
      <c r="BP23" t="s">
        <v>114</v>
      </c>
      <c r="BQ23" t="s">
        <v>111</v>
      </c>
      <c r="BR23" t="s">
        <v>111</v>
      </c>
      <c r="BS23" t="s">
        <v>115</v>
      </c>
      <c r="BT23" t="s">
        <v>116</v>
      </c>
      <c r="BU23" t="s">
        <v>115</v>
      </c>
    </row>
    <row r="24" spans="2:73" x14ac:dyDescent="0.35">
      <c r="B24" s="69"/>
      <c r="C24" s="37" t="s">
        <v>74</v>
      </c>
      <c r="AM24" s="37" t="s">
        <v>74</v>
      </c>
      <c r="AN24" t="s">
        <v>108</v>
      </c>
      <c r="AO24" t="s">
        <v>114</v>
      </c>
      <c r="AP24" t="s">
        <v>108</v>
      </c>
      <c r="AQ24" t="s">
        <v>112</v>
      </c>
      <c r="AR24" t="s">
        <v>116</v>
      </c>
      <c r="AS24" t="s">
        <v>116</v>
      </c>
      <c r="AT24" t="s">
        <v>109</v>
      </c>
      <c r="AU24" t="s">
        <v>112</v>
      </c>
      <c r="AV24" t="s">
        <v>112</v>
      </c>
      <c r="AW24" t="s">
        <v>112</v>
      </c>
      <c r="AX24" t="s">
        <v>112</v>
      </c>
      <c r="AY24" t="s">
        <v>109</v>
      </c>
      <c r="AZ24" t="s">
        <v>111</v>
      </c>
      <c r="BA24" t="s">
        <v>110</v>
      </c>
      <c r="BB24" t="s">
        <v>113</v>
      </c>
      <c r="BC24" t="s">
        <v>110</v>
      </c>
      <c r="BD24" t="s">
        <v>111</v>
      </c>
      <c r="BE24" t="s">
        <v>115</v>
      </c>
      <c r="BF24" t="s">
        <v>116</v>
      </c>
      <c r="BG24" t="s">
        <v>109</v>
      </c>
      <c r="BH24" t="s">
        <v>110</v>
      </c>
      <c r="BI24" t="s">
        <v>109</v>
      </c>
      <c r="BJ24" t="s">
        <v>113</v>
      </c>
      <c r="BK24" t="s">
        <v>108</v>
      </c>
      <c r="BL24" t="s">
        <v>114</v>
      </c>
      <c r="BM24" t="s">
        <v>110</v>
      </c>
      <c r="BN24" t="s">
        <v>114</v>
      </c>
      <c r="BO24" t="s">
        <v>113</v>
      </c>
      <c r="BP24" t="s">
        <v>111</v>
      </c>
      <c r="BQ24" t="s">
        <v>115</v>
      </c>
      <c r="BR24" t="s">
        <v>108</v>
      </c>
      <c r="BS24" t="s">
        <v>109</v>
      </c>
      <c r="BT24" t="s">
        <v>109</v>
      </c>
      <c r="BU24" t="s">
        <v>110</v>
      </c>
    </row>
    <row r="25" spans="2:73" x14ac:dyDescent="0.35">
      <c r="B25" s="69"/>
      <c r="C25" s="37" t="s">
        <v>75</v>
      </c>
      <c r="AM25" s="37" t="s">
        <v>75</v>
      </c>
      <c r="AN25" t="s">
        <v>115</v>
      </c>
      <c r="AO25" t="s">
        <v>110</v>
      </c>
      <c r="AP25" t="s">
        <v>114</v>
      </c>
      <c r="AQ25" t="s">
        <v>108</v>
      </c>
      <c r="AR25" t="s">
        <v>108</v>
      </c>
      <c r="AS25" t="s">
        <v>110</v>
      </c>
      <c r="AT25" t="s">
        <v>114</v>
      </c>
      <c r="AU25" t="s">
        <v>115</v>
      </c>
      <c r="AV25" t="s">
        <v>112</v>
      </c>
      <c r="AW25" t="s">
        <v>110</v>
      </c>
      <c r="AX25" t="s">
        <v>109</v>
      </c>
      <c r="AY25" t="s">
        <v>116</v>
      </c>
      <c r="AZ25" t="s">
        <v>111</v>
      </c>
      <c r="BA25" t="s">
        <v>116</v>
      </c>
      <c r="BB25" t="s">
        <v>116</v>
      </c>
      <c r="BC25" t="s">
        <v>108</v>
      </c>
      <c r="BD25" t="s">
        <v>115</v>
      </c>
      <c r="BE25" t="s">
        <v>115</v>
      </c>
      <c r="BF25" t="s">
        <v>110</v>
      </c>
      <c r="BG25" t="s">
        <v>108</v>
      </c>
      <c r="BH25" t="s">
        <v>110</v>
      </c>
      <c r="BI25" t="s">
        <v>112</v>
      </c>
      <c r="BJ25" t="s">
        <v>114</v>
      </c>
      <c r="BK25" t="s">
        <v>109</v>
      </c>
      <c r="BL25" t="s">
        <v>112</v>
      </c>
      <c r="BM25" t="s">
        <v>112</v>
      </c>
      <c r="BN25" t="s">
        <v>111</v>
      </c>
      <c r="BO25" t="s">
        <v>109</v>
      </c>
      <c r="BP25" t="s">
        <v>114</v>
      </c>
      <c r="BQ25" t="s">
        <v>112</v>
      </c>
      <c r="BR25" t="s">
        <v>112</v>
      </c>
      <c r="BS25" t="s">
        <v>111</v>
      </c>
      <c r="BT25" t="s">
        <v>113</v>
      </c>
      <c r="BU25" t="s">
        <v>115</v>
      </c>
    </row>
    <row r="26" spans="2:73" x14ac:dyDescent="0.35">
      <c r="B26" s="69"/>
      <c r="C26" s="4"/>
      <c r="AM26" s="4"/>
    </row>
    <row r="27" spans="2:73" x14ac:dyDescent="0.35">
      <c r="B27" s="69">
        <f>B28+B32</f>
        <v>393985.3039522958</v>
      </c>
      <c r="C27" s="7" t="s">
        <v>50</v>
      </c>
      <c r="AM27" s="7" t="s">
        <v>50</v>
      </c>
    </row>
    <row r="28" spans="2:73" x14ac:dyDescent="0.35">
      <c r="B28" s="69">
        <f>B373</f>
        <v>260438.63649994647</v>
      </c>
      <c r="C28" s="42" t="s">
        <v>84</v>
      </c>
      <c r="D28" s="50">
        <v>15052.4</v>
      </c>
      <c r="E28" s="50">
        <v>14803.6</v>
      </c>
      <c r="F28" s="50">
        <v>14637.7</v>
      </c>
      <c r="G28" s="50">
        <v>14596.3</v>
      </c>
      <c r="H28" s="50">
        <v>14471.9</v>
      </c>
      <c r="I28" s="50">
        <v>14554.8</v>
      </c>
      <c r="J28" s="50">
        <v>14513.3</v>
      </c>
      <c r="K28" s="50">
        <v>14098.7</v>
      </c>
      <c r="L28" s="50">
        <v>14886.5</v>
      </c>
      <c r="M28" s="50">
        <v>14679.2</v>
      </c>
      <c r="N28" s="50">
        <v>14928</v>
      </c>
      <c r="O28" s="50">
        <v>14057.2</v>
      </c>
      <c r="P28" s="50">
        <v>13974.3</v>
      </c>
      <c r="Q28" s="50">
        <v>13932.8</v>
      </c>
      <c r="R28" s="50">
        <v>14015.7</v>
      </c>
      <c r="S28" s="50">
        <v>15010.9</v>
      </c>
      <c r="T28" s="50">
        <v>13684</v>
      </c>
      <c r="U28" s="50">
        <v>14720.7</v>
      </c>
      <c r="V28" s="50">
        <v>13725.5</v>
      </c>
      <c r="W28" s="50">
        <v>14762.1</v>
      </c>
      <c r="X28" s="50">
        <v>14969.5</v>
      </c>
      <c r="Y28" s="50">
        <v>14347.5</v>
      </c>
      <c r="Z28" s="50">
        <v>14388.9</v>
      </c>
      <c r="AA28" s="50">
        <v>13808.4</v>
      </c>
      <c r="AB28" s="50">
        <v>13766.9</v>
      </c>
      <c r="AC28" s="50">
        <v>14845.1</v>
      </c>
      <c r="AD28" s="50">
        <v>14306</v>
      </c>
      <c r="AE28" s="50">
        <v>14264.5</v>
      </c>
      <c r="AF28" s="50">
        <v>13891.3</v>
      </c>
      <c r="AG28" s="50">
        <v>14223.1</v>
      </c>
      <c r="AH28" s="50">
        <v>14140.1</v>
      </c>
      <c r="AI28" s="50">
        <v>14430.4</v>
      </c>
      <c r="AJ28" s="50">
        <v>14181.6</v>
      </c>
      <c r="AK28" s="50">
        <v>13849.9</v>
      </c>
      <c r="AM28" s="42" t="s">
        <v>84</v>
      </c>
      <c r="AN28" t="s">
        <v>114</v>
      </c>
      <c r="AO28" t="s">
        <v>110</v>
      </c>
      <c r="AP28" t="s">
        <v>113</v>
      </c>
      <c r="AQ28" t="s">
        <v>112</v>
      </c>
      <c r="AR28" t="s">
        <v>108</v>
      </c>
      <c r="AS28" t="s">
        <v>115</v>
      </c>
      <c r="AT28" t="s">
        <v>116</v>
      </c>
      <c r="AU28" t="s">
        <v>116</v>
      </c>
      <c r="AV28" t="s">
        <v>116</v>
      </c>
      <c r="AW28" t="s">
        <v>113</v>
      </c>
      <c r="AX28" t="s">
        <v>114</v>
      </c>
      <c r="AY28" t="s">
        <v>112</v>
      </c>
      <c r="AZ28" t="s">
        <v>109</v>
      </c>
      <c r="BA28" t="s">
        <v>110</v>
      </c>
      <c r="BB28" t="s">
        <v>109</v>
      </c>
      <c r="BC28" t="s">
        <v>113</v>
      </c>
      <c r="BD28" t="s">
        <v>112</v>
      </c>
      <c r="BE28" t="s">
        <v>114</v>
      </c>
      <c r="BF28" t="s">
        <v>111</v>
      </c>
      <c r="BG28" t="s">
        <v>116</v>
      </c>
      <c r="BH28" t="s">
        <v>109</v>
      </c>
      <c r="BI28" t="s">
        <v>114</v>
      </c>
      <c r="BJ28" t="s">
        <v>108</v>
      </c>
      <c r="BK28" t="s">
        <v>109</v>
      </c>
      <c r="BL28" t="s">
        <v>115</v>
      </c>
      <c r="BM28" t="s">
        <v>111</v>
      </c>
      <c r="BN28" t="s">
        <v>116</v>
      </c>
      <c r="BO28" t="s">
        <v>109</v>
      </c>
      <c r="BP28" t="s">
        <v>108</v>
      </c>
      <c r="BQ28" t="s">
        <v>112</v>
      </c>
      <c r="BR28" t="s">
        <v>109</v>
      </c>
      <c r="BS28" t="s">
        <v>108</v>
      </c>
      <c r="BT28" t="s">
        <v>112</v>
      </c>
      <c r="BU28" t="s">
        <v>114</v>
      </c>
    </row>
    <row r="29" spans="2:73" x14ac:dyDescent="0.35">
      <c r="B29" s="69">
        <f t="shared" ref="B29:B35" si="2">B374</f>
        <v>101231.14057412067</v>
      </c>
      <c r="C29" s="37" t="s">
        <v>77</v>
      </c>
      <c r="D29" s="32">
        <v>11711.937023195615</v>
      </c>
      <c r="E29" s="32">
        <v>11518.312971675325</v>
      </c>
      <c r="F29" s="32">
        <v>11389.258368768247</v>
      </c>
      <c r="G29" s="32">
        <v>11357.057938780985</v>
      </c>
      <c r="H29" s="32">
        <v>11260.203765861173</v>
      </c>
      <c r="I29" s="32">
        <v>11324.77321447438</v>
      </c>
      <c r="J29" s="32">
        <v>11292.488490167774</v>
      </c>
      <c r="K29" s="32">
        <v>10969.894130059745</v>
      </c>
      <c r="L29" s="32">
        <v>11582.882420288539</v>
      </c>
      <c r="M29" s="32">
        <v>11421.543093074853</v>
      </c>
      <c r="N29" s="32">
        <v>11615.167144595142</v>
      </c>
      <c r="O29" s="32">
        <v>10937.609405753143</v>
      </c>
      <c r="P29" s="32">
        <v>10873.039957139928</v>
      </c>
      <c r="Q29" s="32">
        <v>10840.839527152668</v>
      </c>
      <c r="R29" s="32">
        <v>10905.32468144654</v>
      </c>
      <c r="S29" s="32">
        <v>11679.652298889012</v>
      </c>
      <c r="T29" s="32">
        <v>10647.21547563238</v>
      </c>
      <c r="U29" s="32">
        <v>11453.827817381454</v>
      </c>
      <c r="V29" s="32">
        <v>10679.500199938984</v>
      </c>
      <c r="W29" s="32">
        <v>11486.11254168806</v>
      </c>
      <c r="X29" s="32">
        <v>11647.367574582411</v>
      </c>
      <c r="Y29" s="32">
        <v>11163.433887260695</v>
      </c>
      <c r="Z29" s="32">
        <v>11195.718611567301</v>
      </c>
      <c r="AA29" s="32">
        <v>10743.985354232851</v>
      </c>
      <c r="AB29" s="32">
        <v>10711.78492424559</v>
      </c>
      <c r="AC29" s="32">
        <v>11550.597695981936</v>
      </c>
      <c r="AD29" s="32">
        <v>11131.149162954089</v>
      </c>
      <c r="AE29" s="32">
        <v>11098.948732966823</v>
      </c>
      <c r="AF29" s="32">
        <v>10808.554802846062</v>
      </c>
      <c r="AG29" s="32">
        <v>11066.664008660222</v>
      </c>
      <c r="AH29" s="32">
        <v>11002.094560047011</v>
      </c>
      <c r="AI29" s="32">
        <v>11228.003335873904</v>
      </c>
      <c r="AJ29" s="32">
        <v>11034.379284353612</v>
      </c>
      <c r="AK29" s="32">
        <v>10776.270078539457</v>
      </c>
      <c r="AM29" s="37" t="s">
        <v>77</v>
      </c>
      <c r="AN29" t="s">
        <v>115</v>
      </c>
      <c r="AO29" t="s">
        <v>114</v>
      </c>
      <c r="AP29" t="s">
        <v>114</v>
      </c>
      <c r="AQ29" t="s">
        <v>115</v>
      </c>
      <c r="AR29" t="s">
        <v>116</v>
      </c>
      <c r="AS29" t="s">
        <v>112</v>
      </c>
      <c r="AT29" t="s">
        <v>112</v>
      </c>
      <c r="AU29" t="s">
        <v>108</v>
      </c>
      <c r="AV29" t="s">
        <v>112</v>
      </c>
      <c r="AW29" t="s">
        <v>115</v>
      </c>
      <c r="AX29" t="s">
        <v>115</v>
      </c>
      <c r="AY29" t="s">
        <v>108</v>
      </c>
      <c r="AZ29" t="s">
        <v>112</v>
      </c>
      <c r="BA29" t="s">
        <v>114</v>
      </c>
      <c r="BB29" t="s">
        <v>115</v>
      </c>
      <c r="BC29" t="s">
        <v>116</v>
      </c>
      <c r="BD29" t="s">
        <v>112</v>
      </c>
      <c r="BE29" t="s">
        <v>113</v>
      </c>
      <c r="BF29" t="s">
        <v>114</v>
      </c>
      <c r="BG29" t="s">
        <v>110</v>
      </c>
      <c r="BH29" t="s">
        <v>116</v>
      </c>
      <c r="BI29" t="s">
        <v>109</v>
      </c>
      <c r="BJ29" t="s">
        <v>116</v>
      </c>
      <c r="BK29" t="s">
        <v>109</v>
      </c>
      <c r="BL29" t="s">
        <v>116</v>
      </c>
      <c r="BM29" t="s">
        <v>109</v>
      </c>
      <c r="BN29" t="s">
        <v>114</v>
      </c>
      <c r="BO29" t="s">
        <v>108</v>
      </c>
      <c r="BP29" t="s">
        <v>112</v>
      </c>
      <c r="BQ29" t="s">
        <v>110</v>
      </c>
      <c r="BR29" t="s">
        <v>116</v>
      </c>
      <c r="BS29" t="s">
        <v>113</v>
      </c>
      <c r="BT29" t="s">
        <v>115</v>
      </c>
      <c r="BU29" t="s">
        <v>112</v>
      </c>
    </row>
    <row r="30" spans="2:73" x14ac:dyDescent="0.35">
      <c r="B30" s="69">
        <f t="shared" si="2"/>
        <v>89887.02163015517</v>
      </c>
      <c r="C30" s="37" t="s">
        <v>78</v>
      </c>
      <c r="D30" s="32">
        <v>15596.134963989414</v>
      </c>
      <c r="E30" s="32">
        <v>15338.362935452604</v>
      </c>
      <c r="F30" s="32">
        <v>15166.486818321624</v>
      </c>
      <c r="G30" s="32">
        <v>15123.496715459047</v>
      </c>
      <c r="H30" s="32">
        <v>14994.610701190642</v>
      </c>
      <c r="I30" s="32">
        <v>15080.59090691581</v>
      </c>
      <c r="J30" s="32">
        <v>15037.600804053227</v>
      </c>
      <c r="K30" s="32">
        <v>14607.952658385437</v>
      </c>
      <c r="L30" s="32">
        <v>15424.258846858429</v>
      </c>
      <c r="M30" s="32">
        <v>15209.476921184203</v>
      </c>
      <c r="N30" s="32">
        <v>15467.248949721006</v>
      </c>
      <c r="O30" s="32">
        <v>14564.962555522852</v>
      </c>
      <c r="P30" s="32">
        <v>14479.066644117034</v>
      </c>
      <c r="Q30" s="32">
        <v>14436.076541254453</v>
      </c>
      <c r="R30" s="32">
        <v>14522.056746979615</v>
      </c>
      <c r="S30" s="32">
        <v>15553.14486112683</v>
      </c>
      <c r="T30" s="32">
        <v>14178.30451271765</v>
      </c>
      <c r="U30" s="32">
        <v>15252.382729727447</v>
      </c>
      <c r="V30" s="32">
        <v>14221.294615580227</v>
      </c>
      <c r="W30" s="32">
        <v>15295.372832590028</v>
      </c>
      <c r="X30" s="32">
        <v>15510.239052583589</v>
      </c>
      <c r="Y30" s="32">
        <v>14865.72468692224</v>
      </c>
      <c r="Z30" s="32">
        <v>14908.714789784821</v>
      </c>
      <c r="AA30" s="32">
        <v>14307.190526986051</v>
      </c>
      <c r="AB30" s="32">
        <v>14264.200424123472</v>
      </c>
      <c r="AC30" s="32">
        <v>15381.353038315192</v>
      </c>
      <c r="AD30" s="32">
        <v>14822.734584059659</v>
      </c>
      <c r="AE30" s="32">
        <v>14779.828775516416</v>
      </c>
      <c r="AF30" s="32">
        <v>14393.086438391874</v>
      </c>
      <c r="AG30" s="32">
        <v>14736.838672653832</v>
      </c>
      <c r="AH30" s="32">
        <v>14650.942761248014</v>
      </c>
      <c r="AI30" s="32">
        <v>14951.7048926474</v>
      </c>
      <c r="AJ30" s="32">
        <v>14693.848569791257</v>
      </c>
      <c r="AK30" s="32">
        <v>14350.180629848632</v>
      </c>
      <c r="AM30" s="37" t="s">
        <v>78</v>
      </c>
      <c r="AN30" t="s">
        <v>114</v>
      </c>
      <c r="AO30" t="s">
        <v>109</v>
      </c>
      <c r="AP30" t="s">
        <v>109</v>
      </c>
      <c r="AQ30" t="s">
        <v>112</v>
      </c>
      <c r="AR30" t="s">
        <v>113</v>
      </c>
      <c r="AS30" t="s">
        <v>112</v>
      </c>
      <c r="AT30" t="s">
        <v>116</v>
      </c>
      <c r="AU30" t="s">
        <v>116</v>
      </c>
      <c r="AV30" t="s">
        <v>108</v>
      </c>
      <c r="AW30" t="s">
        <v>108</v>
      </c>
      <c r="AX30" t="s">
        <v>111</v>
      </c>
      <c r="AY30" t="s">
        <v>112</v>
      </c>
      <c r="AZ30" t="s">
        <v>109</v>
      </c>
      <c r="BA30" t="s">
        <v>110</v>
      </c>
      <c r="BB30" t="s">
        <v>116</v>
      </c>
      <c r="BC30" t="s">
        <v>114</v>
      </c>
      <c r="BD30" t="s">
        <v>109</v>
      </c>
      <c r="BE30" t="s">
        <v>108</v>
      </c>
      <c r="BF30" t="s">
        <v>111</v>
      </c>
      <c r="BG30" t="s">
        <v>109</v>
      </c>
      <c r="BH30" t="s">
        <v>109</v>
      </c>
      <c r="BI30" t="s">
        <v>114</v>
      </c>
      <c r="BJ30" t="s">
        <v>108</v>
      </c>
      <c r="BK30" t="s">
        <v>109</v>
      </c>
      <c r="BL30" t="s">
        <v>111</v>
      </c>
      <c r="BM30" t="s">
        <v>108</v>
      </c>
      <c r="BN30" t="s">
        <v>115</v>
      </c>
      <c r="BO30" t="s">
        <v>112</v>
      </c>
      <c r="BP30" t="s">
        <v>109</v>
      </c>
      <c r="BQ30" t="s">
        <v>109</v>
      </c>
      <c r="BR30" t="s">
        <v>114</v>
      </c>
      <c r="BS30" t="s">
        <v>111</v>
      </c>
      <c r="BT30" t="s">
        <v>110</v>
      </c>
      <c r="BU30" t="s">
        <v>113</v>
      </c>
    </row>
    <row r="31" spans="2:73" x14ac:dyDescent="0.35">
      <c r="B31" s="69">
        <f t="shared" si="2"/>
        <v>57212.711189943271</v>
      </c>
      <c r="C31" s="37" t="s">
        <v>79</v>
      </c>
      <c r="D31" s="32">
        <v>10045.691212833608</v>
      </c>
      <c r="E31" s="32">
        <v>9879.6314037369739</v>
      </c>
      <c r="F31" s="32">
        <v>9768.9529624456645</v>
      </c>
      <c r="G31" s="32">
        <v>9741.3044257026722</v>
      </c>
      <c r="H31" s="32">
        <v>9658.2745211543552</v>
      </c>
      <c r="I31" s="32">
        <v>9713.5715946403434</v>
      </c>
      <c r="J31" s="32">
        <v>9685.9230578973511</v>
      </c>
      <c r="K31" s="32">
        <v>9409.1848075094058</v>
      </c>
      <c r="L31" s="32">
        <v>9935.0127715422987</v>
      </c>
      <c r="M31" s="32">
        <v>9796.6014991886586</v>
      </c>
      <c r="N31" s="32">
        <v>9962.6613082852946</v>
      </c>
      <c r="O31" s="32">
        <v>9381.5362707664117</v>
      </c>
      <c r="P31" s="32">
        <v>9326.1549029610869</v>
      </c>
      <c r="Q31" s="32">
        <v>9298.5063662180964</v>
      </c>
      <c r="R31" s="32">
        <v>9353.8034397040828</v>
      </c>
      <c r="S31" s="32">
        <v>10018.042676090618</v>
      </c>
      <c r="T31" s="32">
        <v>9132.4465571214605</v>
      </c>
      <c r="U31" s="32">
        <v>9824.3343302509875</v>
      </c>
      <c r="V31" s="32">
        <v>9160.0950938644546</v>
      </c>
      <c r="W31" s="32">
        <v>9851.9828669939816</v>
      </c>
      <c r="X31" s="32">
        <v>9990.3098450282832</v>
      </c>
      <c r="Y31" s="32">
        <v>9575.2446166060381</v>
      </c>
      <c r="Z31" s="32">
        <v>9602.8931533490286</v>
      </c>
      <c r="AA31" s="32">
        <v>9215.4764616697776</v>
      </c>
      <c r="AB31" s="32">
        <v>9187.8279249267853</v>
      </c>
      <c r="AC31" s="32">
        <v>9907.2799404799698</v>
      </c>
      <c r="AD31" s="32">
        <v>9547.5960798630458</v>
      </c>
      <c r="AE31" s="32">
        <v>9519.8632488007152</v>
      </c>
      <c r="AF31" s="32">
        <v>9270.8578294751078</v>
      </c>
      <c r="AG31" s="32">
        <v>9492.214712057721</v>
      </c>
      <c r="AH31" s="32">
        <v>9436.8333442523963</v>
      </c>
      <c r="AI31" s="32">
        <v>9630.5416900920245</v>
      </c>
      <c r="AJ31" s="32">
        <v>9464.5661753147288</v>
      </c>
      <c r="AK31" s="32">
        <v>9243.1249984127735</v>
      </c>
      <c r="AM31" s="37" t="s">
        <v>79</v>
      </c>
      <c r="AN31" t="s">
        <v>113</v>
      </c>
      <c r="AO31" t="s">
        <v>108</v>
      </c>
      <c r="AP31" t="s">
        <v>115</v>
      </c>
      <c r="AQ31" t="s">
        <v>115</v>
      </c>
      <c r="AR31" t="s">
        <v>116</v>
      </c>
      <c r="AS31" t="s">
        <v>116</v>
      </c>
      <c r="AT31" t="s">
        <v>113</v>
      </c>
      <c r="AU31" t="s">
        <v>116</v>
      </c>
      <c r="AV31" t="s">
        <v>109</v>
      </c>
      <c r="AW31" t="s">
        <v>110</v>
      </c>
      <c r="AX31" t="s">
        <v>113</v>
      </c>
      <c r="AY31" t="s">
        <v>109</v>
      </c>
      <c r="AZ31" t="s">
        <v>108</v>
      </c>
      <c r="BA31" t="s">
        <v>110</v>
      </c>
      <c r="BB31" t="s">
        <v>110</v>
      </c>
      <c r="BC31" t="s">
        <v>108</v>
      </c>
      <c r="BD31" t="s">
        <v>111</v>
      </c>
      <c r="BE31" t="s">
        <v>114</v>
      </c>
      <c r="BF31" t="s">
        <v>113</v>
      </c>
      <c r="BG31" t="s">
        <v>113</v>
      </c>
      <c r="BH31" t="s">
        <v>116</v>
      </c>
      <c r="BI31" t="s">
        <v>113</v>
      </c>
      <c r="BJ31" t="s">
        <v>114</v>
      </c>
      <c r="BK31" t="s">
        <v>115</v>
      </c>
      <c r="BL31" t="s">
        <v>112</v>
      </c>
      <c r="BM31" t="s">
        <v>109</v>
      </c>
      <c r="BN31" t="s">
        <v>113</v>
      </c>
      <c r="BO31" t="s">
        <v>116</v>
      </c>
      <c r="BP31" t="s">
        <v>111</v>
      </c>
      <c r="BQ31" t="s">
        <v>108</v>
      </c>
      <c r="BR31" t="s">
        <v>108</v>
      </c>
      <c r="BS31" t="s">
        <v>113</v>
      </c>
      <c r="BT31" t="s">
        <v>113</v>
      </c>
      <c r="BU31" t="s">
        <v>111</v>
      </c>
    </row>
    <row r="32" spans="2:73" x14ac:dyDescent="0.35">
      <c r="B32" s="69">
        <f t="shared" si="2"/>
        <v>133546.66745234933</v>
      </c>
      <c r="C32" s="42" t="s">
        <v>83</v>
      </c>
      <c r="D32" s="50">
        <v>3649.8</v>
      </c>
      <c r="E32" s="50">
        <v>3589.5</v>
      </c>
      <c r="F32" s="50">
        <v>3549.3</v>
      </c>
      <c r="G32" s="50">
        <v>3539.2</v>
      </c>
      <c r="H32" s="50">
        <v>3509</v>
      </c>
      <c r="I32" s="50">
        <v>3529.1</v>
      </c>
      <c r="J32" s="50">
        <v>3519.1</v>
      </c>
      <c r="K32" s="50">
        <v>3418.5</v>
      </c>
      <c r="L32" s="50">
        <v>3609.6</v>
      </c>
      <c r="M32" s="50">
        <v>3559.3</v>
      </c>
      <c r="N32" s="50">
        <v>3619.6</v>
      </c>
      <c r="O32" s="50">
        <v>3408.5</v>
      </c>
      <c r="P32" s="50">
        <v>3388.4</v>
      </c>
      <c r="Q32" s="50">
        <v>3378.3</v>
      </c>
      <c r="R32" s="50">
        <v>3398.4</v>
      </c>
      <c r="S32" s="50">
        <v>3639.7</v>
      </c>
      <c r="T32" s="50">
        <v>3318</v>
      </c>
      <c r="U32" s="50">
        <v>3569.4</v>
      </c>
      <c r="V32" s="50">
        <v>3328.1</v>
      </c>
      <c r="W32" s="50">
        <v>3579.4</v>
      </c>
      <c r="X32" s="50">
        <v>3629.7</v>
      </c>
      <c r="Y32" s="50">
        <v>3478.9</v>
      </c>
      <c r="Z32" s="50">
        <v>3488.9</v>
      </c>
      <c r="AA32" s="50">
        <v>3348.2</v>
      </c>
      <c r="AB32" s="50">
        <v>3338.1</v>
      </c>
      <c r="AC32" s="50">
        <v>3599.5</v>
      </c>
      <c r="AD32" s="50">
        <v>3468.8</v>
      </c>
      <c r="AE32" s="50">
        <v>3458.8</v>
      </c>
      <c r="AF32" s="50">
        <v>3368.3</v>
      </c>
      <c r="AG32" s="50">
        <v>3448.7</v>
      </c>
      <c r="AH32" s="50">
        <v>3428.6</v>
      </c>
      <c r="AI32" s="50">
        <v>3499</v>
      </c>
      <c r="AJ32" s="50">
        <v>3438.7</v>
      </c>
      <c r="AK32" s="50">
        <v>3358.2</v>
      </c>
      <c r="AM32" s="42" t="s">
        <v>83</v>
      </c>
      <c r="AN32" t="s">
        <v>114</v>
      </c>
      <c r="AO32" t="s">
        <v>113</v>
      </c>
      <c r="AP32" t="s">
        <v>111</v>
      </c>
      <c r="AQ32" t="s">
        <v>113</v>
      </c>
      <c r="AR32" t="s">
        <v>108</v>
      </c>
      <c r="AS32" t="s">
        <v>109</v>
      </c>
      <c r="AT32" t="s">
        <v>110</v>
      </c>
      <c r="AU32" t="s">
        <v>108</v>
      </c>
      <c r="AV32" t="s">
        <v>110</v>
      </c>
      <c r="AW32" t="s">
        <v>112</v>
      </c>
      <c r="AX32" t="s">
        <v>110</v>
      </c>
      <c r="AY32" t="s">
        <v>110</v>
      </c>
      <c r="AZ32" t="s">
        <v>110</v>
      </c>
      <c r="BA32" t="s">
        <v>110</v>
      </c>
      <c r="BB32" t="s">
        <v>111</v>
      </c>
      <c r="BC32" t="s">
        <v>115</v>
      </c>
      <c r="BD32" t="s">
        <v>115</v>
      </c>
      <c r="BE32" t="s">
        <v>116</v>
      </c>
      <c r="BF32" t="s">
        <v>110</v>
      </c>
      <c r="BG32" t="s">
        <v>109</v>
      </c>
      <c r="BH32" t="s">
        <v>108</v>
      </c>
      <c r="BI32" t="s">
        <v>112</v>
      </c>
      <c r="BJ32" t="s">
        <v>111</v>
      </c>
      <c r="BK32" t="s">
        <v>112</v>
      </c>
      <c r="BL32" t="s">
        <v>111</v>
      </c>
      <c r="BM32" t="s">
        <v>111</v>
      </c>
      <c r="BN32" t="s">
        <v>111</v>
      </c>
      <c r="BO32" t="s">
        <v>110</v>
      </c>
      <c r="BP32" t="s">
        <v>109</v>
      </c>
      <c r="BQ32" t="s">
        <v>114</v>
      </c>
      <c r="BR32" t="s">
        <v>111</v>
      </c>
      <c r="BS32" t="s">
        <v>114</v>
      </c>
      <c r="BT32" t="s">
        <v>111</v>
      </c>
      <c r="BU32" t="s">
        <v>110</v>
      </c>
    </row>
    <row r="33" spans="1:73" x14ac:dyDescent="0.35">
      <c r="B33" s="69">
        <f t="shared" si="2"/>
        <v>100144.09273246404</v>
      </c>
      <c r="C33" s="37" t="s">
        <v>80</v>
      </c>
      <c r="D33" s="32">
        <v>2441.416370997867</v>
      </c>
      <c r="E33" s="32">
        <v>2401.0393920347769</v>
      </c>
      <c r="F33" s="32">
        <v>2374.1495041658295</v>
      </c>
      <c r="G33" s="32">
        <v>2367.4059586187586</v>
      </c>
      <c r="H33" s="32">
        <v>2347.2596162968821</v>
      </c>
      <c r="I33" s="32">
        <v>2360.7467073910261</v>
      </c>
      <c r="J33" s="32">
        <v>2354.0031618439534</v>
      </c>
      <c r="K33" s="32">
        <v>2286.7362950119164</v>
      </c>
      <c r="L33" s="32">
        <v>2414.5264831289205</v>
      </c>
      <c r="M33" s="32">
        <v>2380.8930497129004</v>
      </c>
      <c r="N33" s="32">
        <v>2421.2700286759909</v>
      </c>
      <c r="O33" s="32">
        <v>2279.9927494648455</v>
      </c>
      <c r="P33" s="32">
        <v>2266.5899526900403</v>
      </c>
      <c r="Q33" s="32">
        <v>2259.8464071429685</v>
      </c>
      <c r="R33" s="32">
        <v>2273.2492039177737</v>
      </c>
      <c r="S33" s="32">
        <v>2434.6728254507966</v>
      </c>
      <c r="T33" s="32">
        <v>2219.4694281798784</v>
      </c>
      <c r="U33" s="32">
        <v>2387.6365952599726</v>
      </c>
      <c r="V33" s="32">
        <v>2226.2129737269502</v>
      </c>
      <c r="W33" s="32">
        <v>2394.2958464877056</v>
      </c>
      <c r="X33" s="32">
        <v>2427.9292799037244</v>
      </c>
      <c r="Y33" s="32">
        <v>2327.1132739750065</v>
      </c>
      <c r="Z33" s="32">
        <v>2333.7725252027399</v>
      </c>
      <c r="AA33" s="32">
        <v>2239.6157705017545</v>
      </c>
      <c r="AB33" s="32">
        <v>2232.956519274022</v>
      </c>
      <c r="AC33" s="32">
        <v>2407.7829375818483</v>
      </c>
      <c r="AD33" s="32">
        <v>2320.3697284279351</v>
      </c>
      <c r="AE33" s="32">
        <v>2313.6261828808629</v>
      </c>
      <c r="AF33" s="32">
        <v>2253.102861595898</v>
      </c>
      <c r="AG33" s="32">
        <v>2306.8826373337924</v>
      </c>
      <c r="AH33" s="32">
        <v>2293.4798405589886</v>
      </c>
      <c r="AI33" s="32">
        <v>2340.5160707498103</v>
      </c>
      <c r="AJ33" s="32">
        <v>2300.1390917867216</v>
      </c>
      <c r="AK33" s="32">
        <v>2246.3593160488263</v>
      </c>
      <c r="AM33" s="37" t="s">
        <v>80</v>
      </c>
      <c r="AN33" t="s">
        <v>112</v>
      </c>
      <c r="AO33" t="s">
        <v>113</v>
      </c>
      <c r="AP33" t="s">
        <v>108</v>
      </c>
      <c r="AQ33" t="s">
        <v>111</v>
      </c>
      <c r="AR33" t="s">
        <v>112</v>
      </c>
      <c r="AS33" t="s">
        <v>115</v>
      </c>
      <c r="AT33" t="s">
        <v>110</v>
      </c>
      <c r="AU33" t="s">
        <v>116</v>
      </c>
      <c r="AV33" t="s">
        <v>108</v>
      </c>
      <c r="AW33" t="s">
        <v>109</v>
      </c>
      <c r="AX33" t="s">
        <v>108</v>
      </c>
      <c r="AY33" t="s">
        <v>114</v>
      </c>
      <c r="AZ33" t="s">
        <v>115</v>
      </c>
      <c r="BA33" t="s">
        <v>116</v>
      </c>
      <c r="BB33" t="s">
        <v>108</v>
      </c>
      <c r="BC33" t="s">
        <v>115</v>
      </c>
      <c r="BD33" t="s">
        <v>112</v>
      </c>
      <c r="BE33" t="s">
        <v>110</v>
      </c>
      <c r="BF33" t="s">
        <v>111</v>
      </c>
      <c r="BG33" t="s">
        <v>116</v>
      </c>
      <c r="BH33" t="s">
        <v>115</v>
      </c>
      <c r="BI33" t="s">
        <v>116</v>
      </c>
      <c r="BJ33" t="s">
        <v>111</v>
      </c>
      <c r="BK33" t="s">
        <v>111</v>
      </c>
      <c r="BL33" t="s">
        <v>116</v>
      </c>
      <c r="BM33" t="s">
        <v>115</v>
      </c>
      <c r="BN33" t="s">
        <v>114</v>
      </c>
      <c r="BO33" t="s">
        <v>110</v>
      </c>
      <c r="BP33" t="s">
        <v>109</v>
      </c>
      <c r="BQ33" t="s">
        <v>110</v>
      </c>
      <c r="BR33" t="s">
        <v>112</v>
      </c>
      <c r="BS33" t="s">
        <v>115</v>
      </c>
      <c r="BT33" t="s">
        <v>112</v>
      </c>
      <c r="BU33" t="s">
        <v>109</v>
      </c>
    </row>
    <row r="34" spans="1:73" x14ac:dyDescent="0.35">
      <c r="B34" s="69">
        <f t="shared" si="2"/>
        <v>33998.186647903254</v>
      </c>
      <c r="C34" s="37" t="s">
        <v>81</v>
      </c>
      <c r="D34" s="32">
        <v>3223.077594222782</v>
      </c>
      <c r="E34" s="32">
        <v>3169.8035844009182</v>
      </c>
      <c r="F34" s="32">
        <v>3134.3156759594558</v>
      </c>
      <c r="G34" s="32">
        <v>3125.3804781095855</v>
      </c>
      <c r="H34" s="32">
        <v>3098.7434731986536</v>
      </c>
      <c r="I34" s="32">
        <v>3116.5295745790531</v>
      </c>
      <c r="J34" s="32">
        <v>3107.678671048523</v>
      </c>
      <c r="K34" s="32">
        <v>3018.8324584658567</v>
      </c>
      <c r="L34" s="32">
        <v>3187.5896857813186</v>
      </c>
      <c r="M34" s="32">
        <v>3143.1665794899855</v>
      </c>
      <c r="N34" s="32">
        <v>3196.440589311851</v>
      </c>
      <c r="O34" s="32">
        <v>3009.9815549353257</v>
      </c>
      <c r="P34" s="32">
        <v>2992.1954535549248</v>
      </c>
      <c r="Q34" s="32">
        <v>2983.3445500243929</v>
      </c>
      <c r="R34" s="32">
        <v>3001.1306514047938</v>
      </c>
      <c r="S34" s="32">
        <v>3214.2266906922523</v>
      </c>
      <c r="T34" s="32">
        <v>2930.0705402025296</v>
      </c>
      <c r="U34" s="32">
        <v>3152.0174830205174</v>
      </c>
      <c r="V34" s="32">
        <v>2938.9214437330597</v>
      </c>
      <c r="W34" s="32">
        <v>3160.9526808703872</v>
      </c>
      <c r="X34" s="32">
        <v>3205.2914928423816</v>
      </c>
      <c r="Y34" s="32">
        <v>3072.1064682877204</v>
      </c>
      <c r="Z34" s="32">
        <v>3081.0416661375912</v>
      </c>
      <c r="AA34" s="32">
        <v>2956.707545113461</v>
      </c>
      <c r="AB34" s="32">
        <v>2947.8566415829305</v>
      </c>
      <c r="AC34" s="32">
        <v>3178.6544879314497</v>
      </c>
      <c r="AD34" s="32">
        <v>3063.2555647571899</v>
      </c>
      <c r="AE34" s="32">
        <v>3054.4046612266579</v>
      </c>
      <c r="AF34" s="32">
        <v>2974.4936464938623</v>
      </c>
      <c r="AG34" s="32">
        <v>3045.469463376789</v>
      </c>
      <c r="AH34" s="32">
        <v>3027.7676563157265</v>
      </c>
      <c r="AI34" s="32">
        <v>3089.8925696681222</v>
      </c>
      <c r="AJ34" s="32">
        <v>3036.618559846258</v>
      </c>
      <c r="AK34" s="32">
        <v>2965.558448643993</v>
      </c>
      <c r="AM34" s="37" t="s">
        <v>81</v>
      </c>
      <c r="AN34" t="s">
        <v>113</v>
      </c>
      <c r="AO34" t="s">
        <v>116</v>
      </c>
      <c r="AP34" t="s">
        <v>108</v>
      </c>
      <c r="AQ34" t="s">
        <v>111</v>
      </c>
      <c r="AR34" t="s">
        <v>110</v>
      </c>
      <c r="AS34" t="s">
        <v>109</v>
      </c>
      <c r="AT34" t="s">
        <v>113</v>
      </c>
      <c r="AU34" t="s">
        <v>112</v>
      </c>
      <c r="AV34" t="s">
        <v>108</v>
      </c>
      <c r="AW34" t="s">
        <v>116</v>
      </c>
      <c r="AX34" t="s">
        <v>115</v>
      </c>
      <c r="AY34" t="s">
        <v>111</v>
      </c>
      <c r="AZ34" t="s">
        <v>109</v>
      </c>
      <c r="BA34" t="s">
        <v>111</v>
      </c>
      <c r="BB34" t="s">
        <v>111</v>
      </c>
      <c r="BC34" t="s">
        <v>109</v>
      </c>
      <c r="BD34" t="s">
        <v>113</v>
      </c>
      <c r="BE34" t="s">
        <v>115</v>
      </c>
      <c r="BF34" t="s">
        <v>110</v>
      </c>
      <c r="BG34" t="s">
        <v>113</v>
      </c>
      <c r="BH34" t="s">
        <v>110</v>
      </c>
      <c r="BI34" t="s">
        <v>116</v>
      </c>
      <c r="BJ34" t="s">
        <v>109</v>
      </c>
      <c r="BK34" t="s">
        <v>114</v>
      </c>
      <c r="BL34" t="s">
        <v>110</v>
      </c>
      <c r="BM34" t="s">
        <v>114</v>
      </c>
      <c r="BN34" t="s">
        <v>116</v>
      </c>
      <c r="BO34" t="s">
        <v>108</v>
      </c>
      <c r="BP34" t="s">
        <v>111</v>
      </c>
      <c r="BQ34" t="s">
        <v>110</v>
      </c>
      <c r="BR34" t="s">
        <v>114</v>
      </c>
      <c r="BS34" t="s">
        <v>110</v>
      </c>
      <c r="BT34" t="s">
        <v>114</v>
      </c>
      <c r="BU34" t="s">
        <v>108</v>
      </c>
    </row>
    <row r="35" spans="1:73" x14ac:dyDescent="0.35">
      <c r="B35" s="69">
        <f t="shared" si="2"/>
        <v>17939.389684937523</v>
      </c>
      <c r="C35" s="37" t="s">
        <v>82</v>
      </c>
      <c r="D35" s="32">
        <v>7106.3482975038542</v>
      </c>
      <c r="E35" s="32">
        <v>6988.9263106654753</v>
      </c>
      <c r="F35" s="32">
        <v>6910.6168880001087</v>
      </c>
      <c r="G35" s="32">
        <v>6890.9763115942624</v>
      </c>
      <c r="H35" s="32">
        <v>6832.3074653347403</v>
      </c>
      <c r="I35" s="32">
        <v>6871.4200295077553</v>
      </c>
      <c r="J35" s="32">
        <v>6851.8637474212474</v>
      </c>
      <c r="K35" s="32">
        <v>6656.0480435981608</v>
      </c>
      <c r="L35" s="32">
        <v>7028.0388748384885</v>
      </c>
      <c r="M35" s="32">
        <v>6930.1731700866158</v>
      </c>
      <c r="N35" s="32">
        <v>7047.5951569249964</v>
      </c>
      <c r="O35" s="32">
        <v>6636.4917615116547</v>
      </c>
      <c r="P35" s="32">
        <v>6597.3791973386396</v>
      </c>
      <c r="Q35" s="32">
        <v>6577.7386209327942</v>
      </c>
      <c r="R35" s="32">
        <v>6616.9354794251476</v>
      </c>
      <c r="S35" s="32">
        <v>7086.7920154173489</v>
      </c>
      <c r="T35" s="32">
        <v>6460.3166340944126</v>
      </c>
      <c r="U35" s="32">
        <v>6949.7294521731237</v>
      </c>
      <c r="V35" s="32">
        <v>6479.8729161809215</v>
      </c>
      <c r="W35" s="32">
        <v>6969.285734259628</v>
      </c>
      <c r="X35" s="32">
        <v>7067.2357333308428</v>
      </c>
      <c r="Y35" s="32">
        <v>6773.5543247558817</v>
      </c>
      <c r="Z35" s="32">
        <v>6793.1106068423887</v>
      </c>
      <c r="AA35" s="32">
        <v>6519.0697746732731</v>
      </c>
      <c r="AB35" s="32">
        <v>6499.4291982674285</v>
      </c>
      <c r="AC35" s="32">
        <v>7008.4825927519814</v>
      </c>
      <c r="AD35" s="32">
        <v>6753.9980426693737</v>
      </c>
      <c r="AE35" s="32">
        <v>6734.3574662635292</v>
      </c>
      <c r="AF35" s="32">
        <v>6558.182338846289</v>
      </c>
      <c r="AG35" s="32">
        <v>6714.8011841770222</v>
      </c>
      <c r="AH35" s="32">
        <v>6675.6886200040071</v>
      </c>
      <c r="AI35" s="32">
        <v>6812.6668889288958</v>
      </c>
      <c r="AJ35" s="32">
        <v>6695.2449020905169</v>
      </c>
      <c r="AK35" s="32">
        <v>6538.6260567597801</v>
      </c>
      <c r="AM35" s="37" t="s">
        <v>82</v>
      </c>
      <c r="AN35" t="s">
        <v>111</v>
      </c>
      <c r="AO35" t="s">
        <v>110</v>
      </c>
      <c r="AP35" t="s">
        <v>108</v>
      </c>
      <c r="AQ35" t="s">
        <v>109</v>
      </c>
      <c r="AR35" t="s">
        <v>114</v>
      </c>
      <c r="AS35" t="s">
        <v>116</v>
      </c>
      <c r="AT35" t="s">
        <v>112</v>
      </c>
      <c r="AU35" t="s">
        <v>109</v>
      </c>
      <c r="AV35" t="s">
        <v>110</v>
      </c>
      <c r="AW35" t="s">
        <v>112</v>
      </c>
      <c r="AX35" t="s">
        <v>109</v>
      </c>
      <c r="AY35" t="s">
        <v>110</v>
      </c>
      <c r="AZ35" t="s">
        <v>112</v>
      </c>
      <c r="BA35" t="s">
        <v>113</v>
      </c>
      <c r="BB35" t="s">
        <v>115</v>
      </c>
      <c r="BC35" t="s">
        <v>116</v>
      </c>
      <c r="BD35" t="s">
        <v>114</v>
      </c>
      <c r="BE35" t="s">
        <v>113</v>
      </c>
      <c r="BF35" t="s">
        <v>112</v>
      </c>
      <c r="BG35" t="s">
        <v>116</v>
      </c>
      <c r="BH35" t="s">
        <v>111</v>
      </c>
      <c r="BI35" t="s">
        <v>111</v>
      </c>
      <c r="BJ35" t="s">
        <v>115</v>
      </c>
      <c r="BK35" t="s">
        <v>114</v>
      </c>
      <c r="BL35" t="s">
        <v>112</v>
      </c>
      <c r="BM35" t="s">
        <v>111</v>
      </c>
      <c r="BN35" t="s">
        <v>115</v>
      </c>
      <c r="BO35" t="s">
        <v>116</v>
      </c>
      <c r="BP35" t="s">
        <v>112</v>
      </c>
      <c r="BQ35" t="s">
        <v>108</v>
      </c>
      <c r="BR35" t="s">
        <v>110</v>
      </c>
      <c r="BS35" t="s">
        <v>111</v>
      </c>
      <c r="BT35" t="s">
        <v>113</v>
      </c>
      <c r="BU35" t="s">
        <v>112</v>
      </c>
    </row>
    <row r="36" spans="1:73" x14ac:dyDescent="0.35">
      <c r="B36" s="69"/>
      <c r="C36" s="4"/>
      <c r="AM36" s="4"/>
    </row>
    <row r="37" spans="1:73" x14ac:dyDescent="0.35">
      <c r="B37" s="69"/>
      <c r="C37" s="4" t="s">
        <v>85</v>
      </c>
      <c r="AM37" s="4" t="s">
        <v>85</v>
      </c>
    </row>
    <row r="38" spans="1:73" x14ac:dyDescent="0.35">
      <c r="B38" s="69">
        <f>B383</f>
        <v>87277.272483372333</v>
      </c>
      <c r="C38" t="s">
        <v>86</v>
      </c>
      <c r="D38" s="50">
        <v>12590.625106871543</v>
      </c>
      <c r="E38" s="50">
        <v>12657.233447204833</v>
      </c>
      <c r="F38" s="50">
        <v>12489.210134552748</v>
      </c>
      <c r="G38" s="50">
        <v>12522.05018891739</v>
      </c>
      <c r="H38" s="50">
        <v>11575.583900753911</v>
      </c>
      <c r="I38" s="50">
        <v>12493.356887492379</v>
      </c>
      <c r="J38" s="50">
        <v>12143.346220994694</v>
      </c>
      <c r="K38" s="50">
        <v>11574.316188039313</v>
      </c>
      <c r="L38" s="50">
        <v>12656.635953036877</v>
      </c>
      <c r="M38" s="50">
        <v>12719.815430744296</v>
      </c>
      <c r="N38" s="50">
        <v>12768.304645969749</v>
      </c>
      <c r="O38" s="50">
        <v>11488.671229129399</v>
      </c>
      <c r="P38" s="50">
        <v>11904.763555189003</v>
      </c>
      <c r="Q38" s="50">
        <v>11403.807074277258</v>
      </c>
      <c r="R38" s="50">
        <v>11526.441477301043</v>
      </c>
      <c r="S38" s="50">
        <v>12292.425611876781</v>
      </c>
      <c r="T38" s="50">
        <v>11534.191795559276</v>
      </c>
      <c r="U38" s="50">
        <v>12378.649724653364</v>
      </c>
      <c r="V38" s="50">
        <v>11069.782465136637</v>
      </c>
      <c r="W38" s="50">
        <v>12308.637118995393</v>
      </c>
      <c r="X38" s="50">
        <v>12842.25527536236</v>
      </c>
      <c r="Y38" s="50">
        <v>11579.897674163158</v>
      </c>
      <c r="Z38" s="50">
        <v>11781.178698565154</v>
      </c>
      <c r="AA38" s="50">
        <v>11643.811801079435</v>
      </c>
      <c r="AB38" s="50">
        <v>11977.181309766947</v>
      </c>
      <c r="AC38" s="50">
        <v>12605.108402950471</v>
      </c>
      <c r="AD38" s="50">
        <v>11791.597499097566</v>
      </c>
      <c r="AE38" s="50">
        <v>11924.699846265155</v>
      </c>
      <c r="AF38" s="50">
        <v>11649.91700547107</v>
      </c>
      <c r="AG38" s="50">
        <v>11705.9068082141</v>
      </c>
      <c r="AH38" s="50">
        <v>12094.435439588162</v>
      </c>
      <c r="AI38" s="50">
        <v>11695.866821522146</v>
      </c>
      <c r="AJ38" s="50">
        <v>11925.331000754777</v>
      </c>
      <c r="AK38" s="50">
        <v>11824.799114841488</v>
      </c>
      <c r="AM38" t="s">
        <v>86</v>
      </c>
      <c r="AN38" t="s">
        <v>109</v>
      </c>
      <c r="AO38" t="s">
        <v>109</v>
      </c>
      <c r="AP38" t="s">
        <v>115</v>
      </c>
      <c r="AQ38" t="s">
        <v>114</v>
      </c>
      <c r="AR38" t="s">
        <v>113</v>
      </c>
      <c r="AS38" t="s">
        <v>115</v>
      </c>
      <c r="AT38" t="s">
        <v>114</v>
      </c>
      <c r="AU38" t="s">
        <v>111</v>
      </c>
      <c r="AV38" t="s">
        <v>111</v>
      </c>
      <c r="AW38" t="s">
        <v>114</v>
      </c>
      <c r="AX38" t="s">
        <v>110</v>
      </c>
      <c r="AY38" t="s">
        <v>109</v>
      </c>
      <c r="AZ38" t="s">
        <v>116</v>
      </c>
      <c r="BA38" t="s">
        <v>115</v>
      </c>
      <c r="BB38" t="s">
        <v>112</v>
      </c>
      <c r="BC38" t="s">
        <v>108</v>
      </c>
      <c r="BD38" t="s">
        <v>110</v>
      </c>
      <c r="BE38" t="s">
        <v>112</v>
      </c>
      <c r="BF38" t="s">
        <v>116</v>
      </c>
      <c r="BG38" t="s">
        <v>111</v>
      </c>
      <c r="BH38" t="s">
        <v>112</v>
      </c>
      <c r="BI38" t="s">
        <v>113</v>
      </c>
      <c r="BJ38" t="s">
        <v>108</v>
      </c>
      <c r="BK38" t="s">
        <v>113</v>
      </c>
      <c r="BL38" t="s">
        <v>113</v>
      </c>
      <c r="BM38" t="s">
        <v>112</v>
      </c>
      <c r="BN38" t="s">
        <v>114</v>
      </c>
      <c r="BO38" t="s">
        <v>109</v>
      </c>
      <c r="BP38" t="s">
        <v>115</v>
      </c>
      <c r="BQ38" t="s">
        <v>110</v>
      </c>
      <c r="BR38" t="s">
        <v>109</v>
      </c>
      <c r="BS38" t="s">
        <v>110</v>
      </c>
      <c r="BT38" t="s">
        <v>116</v>
      </c>
      <c r="BU38" t="s">
        <v>112</v>
      </c>
    </row>
    <row r="39" spans="1:73" x14ac:dyDescent="0.35">
      <c r="A39" s="3">
        <v>0.99999000000000005</v>
      </c>
      <c r="B39" s="69">
        <f>B384</f>
        <v>313048.70866963628</v>
      </c>
      <c r="C39" t="s">
        <v>87</v>
      </c>
      <c r="D39" s="32">
        <v>8123.1589036722926</v>
      </c>
      <c r="E39" s="32">
        <v>8166.0979709421308</v>
      </c>
      <c r="F39" s="32">
        <v>8057.7523257976491</v>
      </c>
      <c r="G39" s="32">
        <v>8078.9622902966394</v>
      </c>
      <c r="H39" s="32">
        <v>7468.3062371383839</v>
      </c>
      <c r="I39" s="32">
        <v>8060.3880344852378</v>
      </c>
      <c r="J39" s="32">
        <v>7834.5919330232036</v>
      </c>
      <c r="K39" s="32">
        <v>7467.4386634047423</v>
      </c>
      <c r="L39" s="32">
        <v>8165.752117615013</v>
      </c>
      <c r="M39" s="32">
        <v>8206.5110431540088</v>
      </c>
      <c r="N39" s="32">
        <v>8237.7758364360652</v>
      </c>
      <c r="O39" s="32">
        <v>7412.203956081351</v>
      </c>
      <c r="P39" s="32">
        <v>7680.6708129242961</v>
      </c>
      <c r="Q39" s="32">
        <v>7357.4868449350097</v>
      </c>
      <c r="R39" s="32">
        <v>7436.5650283747846</v>
      </c>
      <c r="S39" s="32">
        <v>7930.7892232609183</v>
      </c>
      <c r="T39" s="32">
        <v>7441.5743448374269</v>
      </c>
      <c r="U39" s="32">
        <v>7986.4068528938469</v>
      </c>
      <c r="V39" s="32">
        <v>7141.9280550578778</v>
      </c>
      <c r="W39" s="32">
        <v>7941.2147584451095</v>
      </c>
      <c r="X39" s="32">
        <v>8285.4646492832671</v>
      </c>
      <c r="Y39" s="32">
        <v>7471.0731079045809</v>
      </c>
      <c r="Z39" s="32">
        <v>7600.9135505699587</v>
      </c>
      <c r="AA39" s="32">
        <v>7512.3157022361383</v>
      </c>
      <c r="AB39" s="32">
        <v>7727.4205440144515</v>
      </c>
      <c r="AC39" s="32">
        <v>8132.4464093053803</v>
      </c>
      <c r="AD39" s="32">
        <v>7607.6781771481619</v>
      </c>
      <c r="AE39" s="32">
        <v>7693.4925097586583</v>
      </c>
      <c r="AF39" s="32">
        <v>7516.293437110704</v>
      </c>
      <c r="AG39" s="32">
        <v>7552.3544446399837</v>
      </c>
      <c r="AH39" s="32">
        <v>7802.9835588679962</v>
      </c>
      <c r="AI39" s="32">
        <v>7545.8515347825742</v>
      </c>
      <c r="AJ39" s="32">
        <v>7693.943160056052</v>
      </c>
      <c r="AK39" s="32">
        <v>7629.0623027617512</v>
      </c>
      <c r="AM39" t="s">
        <v>87</v>
      </c>
      <c r="AN39" t="s">
        <v>114</v>
      </c>
      <c r="AO39" t="s">
        <v>110</v>
      </c>
      <c r="AP39" t="s">
        <v>109</v>
      </c>
      <c r="AQ39" t="s">
        <v>108</v>
      </c>
      <c r="AR39" t="s">
        <v>111</v>
      </c>
      <c r="AS39" t="s">
        <v>112</v>
      </c>
      <c r="AT39" t="s">
        <v>108</v>
      </c>
      <c r="AU39" t="s">
        <v>109</v>
      </c>
      <c r="AV39" t="s">
        <v>116</v>
      </c>
      <c r="AW39" t="s">
        <v>110</v>
      </c>
      <c r="AX39" t="s">
        <v>113</v>
      </c>
      <c r="AY39" t="s">
        <v>110</v>
      </c>
      <c r="AZ39" t="s">
        <v>113</v>
      </c>
      <c r="BA39" t="s">
        <v>115</v>
      </c>
      <c r="BB39" t="s">
        <v>113</v>
      </c>
      <c r="BC39" t="s">
        <v>113</v>
      </c>
      <c r="BD39" t="s">
        <v>110</v>
      </c>
      <c r="BE39" t="s">
        <v>110</v>
      </c>
      <c r="BF39" t="s">
        <v>115</v>
      </c>
      <c r="BG39" t="s">
        <v>112</v>
      </c>
      <c r="BH39" t="s">
        <v>111</v>
      </c>
      <c r="BI39" t="s">
        <v>113</v>
      </c>
      <c r="BJ39" t="s">
        <v>108</v>
      </c>
      <c r="BK39" t="s">
        <v>115</v>
      </c>
      <c r="BL39" t="s">
        <v>116</v>
      </c>
      <c r="BM39" t="s">
        <v>109</v>
      </c>
      <c r="BN39" t="s">
        <v>110</v>
      </c>
      <c r="BO39" t="s">
        <v>114</v>
      </c>
      <c r="BP39" t="s">
        <v>116</v>
      </c>
      <c r="BQ39" t="s">
        <v>108</v>
      </c>
      <c r="BR39" t="s">
        <v>114</v>
      </c>
      <c r="BS39" t="s">
        <v>108</v>
      </c>
      <c r="BT39" t="s">
        <v>112</v>
      </c>
      <c r="BU39" t="s">
        <v>114</v>
      </c>
    </row>
    <row r="40" spans="1:73" x14ac:dyDescent="0.35">
      <c r="B40" s="69"/>
      <c r="C40" s="4"/>
      <c r="AM40" s="4"/>
    </row>
    <row r="41" spans="1:73" x14ac:dyDescent="0.35">
      <c r="B41" s="69"/>
      <c r="C41" s="4" t="s">
        <v>88</v>
      </c>
      <c r="AM41" s="4" t="s">
        <v>88</v>
      </c>
    </row>
    <row r="42" spans="1:73" x14ac:dyDescent="0.35">
      <c r="B42" s="69">
        <f>B387</f>
        <v>351503.95009459765</v>
      </c>
      <c r="C42" t="s">
        <v>89</v>
      </c>
      <c r="D42" s="50">
        <v>11020.9</v>
      </c>
      <c r="E42" s="50">
        <v>10838.7</v>
      </c>
      <c r="F42" s="50">
        <v>10717.3</v>
      </c>
      <c r="G42" s="50">
        <v>10686.9</v>
      </c>
      <c r="H42" s="50">
        <v>10595.9</v>
      </c>
      <c r="I42" s="50">
        <v>10656.6</v>
      </c>
      <c r="J42" s="50">
        <v>10626.2</v>
      </c>
      <c r="K42" s="50">
        <v>10322.6</v>
      </c>
      <c r="L42" s="50">
        <v>10899.5</v>
      </c>
      <c r="M42" s="50">
        <v>10747.7</v>
      </c>
      <c r="N42" s="50">
        <v>10929.8</v>
      </c>
      <c r="O42" s="50">
        <v>10292.200000000001</v>
      </c>
      <c r="P42" s="50">
        <v>10231.5</v>
      </c>
      <c r="Q42" s="50">
        <v>10201.200000000001</v>
      </c>
      <c r="R42" s="50">
        <v>10261.9</v>
      </c>
      <c r="S42" s="50">
        <v>10990.5</v>
      </c>
      <c r="T42" s="50">
        <v>10019</v>
      </c>
      <c r="U42" s="50">
        <v>10778</v>
      </c>
      <c r="V42" s="50">
        <v>10049.4</v>
      </c>
      <c r="W42" s="50">
        <v>10808.4</v>
      </c>
      <c r="X42" s="50">
        <v>10960.2</v>
      </c>
      <c r="Y42" s="50">
        <v>10504.8</v>
      </c>
      <c r="Z42" s="50">
        <v>10535.1</v>
      </c>
      <c r="AA42" s="50">
        <v>10110.1</v>
      </c>
      <c r="AB42" s="50">
        <v>10079.700000000001</v>
      </c>
      <c r="AC42" s="50">
        <v>10869.1</v>
      </c>
      <c r="AD42" s="50">
        <v>10474.4</v>
      </c>
      <c r="AE42" s="50">
        <v>10444</v>
      </c>
      <c r="AF42" s="50">
        <v>10170.799999999999</v>
      </c>
      <c r="AG42" s="50">
        <v>10413.700000000001</v>
      </c>
      <c r="AH42" s="50">
        <v>10353</v>
      </c>
      <c r="AI42" s="50">
        <v>10565.5</v>
      </c>
      <c r="AJ42" s="50">
        <v>10383.299999999999</v>
      </c>
      <c r="AK42" s="50">
        <v>10140.4</v>
      </c>
      <c r="AM42" t="s">
        <v>89</v>
      </c>
      <c r="AN42" t="s">
        <v>113</v>
      </c>
      <c r="AO42" t="s">
        <v>111</v>
      </c>
      <c r="AP42" t="s">
        <v>113</v>
      </c>
      <c r="AQ42" t="s">
        <v>108</v>
      </c>
      <c r="AR42" t="s">
        <v>108</v>
      </c>
      <c r="AS42" t="s">
        <v>109</v>
      </c>
      <c r="AT42" t="s">
        <v>111</v>
      </c>
      <c r="AU42" t="s">
        <v>115</v>
      </c>
      <c r="AV42" t="s">
        <v>112</v>
      </c>
      <c r="AW42" t="s">
        <v>108</v>
      </c>
      <c r="AX42" t="s">
        <v>108</v>
      </c>
      <c r="AY42" t="s">
        <v>111</v>
      </c>
      <c r="AZ42" t="s">
        <v>115</v>
      </c>
      <c r="BA42" t="s">
        <v>113</v>
      </c>
      <c r="BB42" t="s">
        <v>115</v>
      </c>
      <c r="BC42" t="s">
        <v>113</v>
      </c>
      <c r="BD42" t="s">
        <v>112</v>
      </c>
      <c r="BE42" t="s">
        <v>111</v>
      </c>
      <c r="BF42" t="s">
        <v>112</v>
      </c>
      <c r="BG42" t="s">
        <v>108</v>
      </c>
      <c r="BH42" t="s">
        <v>108</v>
      </c>
      <c r="BI42" t="s">
        <v>115</v>
      </c>
      <c r="BJ42" t="s">
        <v>114</v>
      </c>
      <c r="BK42" t="s">
        <v>112</v>
      </c>
      <c r="BL42" t="s">
        <v>115</v>
      </c>
      <c r="BM42" t="s">
        <v>115</v>
      </c>
      <c r="BN42" t="s">
        <v>112</v>
      </c>
      <c r="BO42" t="s">
        <v>111</v>
      </c>
      <c r="BP42" t="s">
        <v>114</v>
      </c>
      <c r="BQ42" t="s">
        <v>110</v>
      </c>
      <c r="BR42" t="s">
        <v>116</v>
      </c>
      <c r="BS42" t="s">
        <v>114</v>
      </c>
      <c r="BT42" t="s">
        <v>115</v>
      </c>
      <c r="BU42" t="s">
        <v>115</v>
      </c>
    </row>
    <row r="43" spans="1:73" x14ac:dyDescent="0.35">
      <c r="A43" s="3">
        <v>0.99</v>
      </c>
      <c r="B43" s="69">
        <f t="shared" ref="B43:B44" si="3">B388</f>
        <v>171847.14046097235</v>
      </c>
      <c r="C43" t="s">
        <v>90</v>
      </c>
      <c r="D43" s="32">
        <v>12855.831037649221</v>
      </c>
      <c r="E43" s="32">
        <v>12643.319224280349</v>
      </c>
      <c r="F43" s="32">
        <v>12501.713389377914</v>
      </c>
      <c r="G43" s="32">
        <v>12466.260400144698</v>
      </c>
      <c r="H43" s="32">
        <v>12360.004493460265</v>
      </c>
      <c r="I43" s="32">
        <v>12430.807410911482</v>
      </c>
      <c r="J43" s="32">
        <v>12395.457482693479</v>
      </c>
      <c r="K43" s="32">
        <v>12041.236773406961</v>
      </c>
      <c r="L43" s="32">
        <v>12714.12214173157</v>
      </c>
      <c r="M43" s="32">
        <v>12537.063317595916</v>
      </c>
      <c r="N43" s="32">
        <v>12749.575130964786</v>
      </c>
      <c r="O43" s="32">
        <v>12005.886845188958</v>
      </c>
      <c r="P43" s="32">
        <v>11934.980866722526</v>
      </c>
      <c r="Q43" s="32">
        <v>11899.630938504524</v>
      </c>
      <c r="R43" s="32">
        <v>11970.433855955742</v>
      </c>
      <c r="S43" s="32">
        <v>12820.378048416005</v>
      </c>
      <c r="T43" s="32">
        <v>11687.119125135654</v>
      </c>
      <c r="U43" s="32">
        <v>12572.516306829133</v>
      </c>
      <c r="V43" s="32">
        <v>11722.57211436887</v>
      </c>
      <c r="W43" s="32">
        <v>12607.969296062349</v>
      </c>
      <c r="X43" s="32">
        <v>12785.028120198</v>
      </c>
      <c r="Y43" s="32">
        <v>12253.74858677583</v>
      </c>
      <c r="Z43" s="32">
        <v>12289.201576009045</v>
      </c>
      <c r="AA43" s="32">
        <v>11793.375031820089</v>
      </c>
      <c r="AB43" s="32">
        <v>11757.922042586873</v>
      </c>
      <c r="AC43" s="32">
        <v>12678.772213513566</v>
      </c>
      <c r="AD43" s="32">
        <v>12218.398658557826</v>
      </c>
      <c r="AE43" s="32">
        <v>12182.94566932461</v>
      </c>
      <c r="AF43" s="32">
        <v>11864.177949271307</v>
      </c>
      <c r="AG43" s="32">
        <v>12147.492680091396</v>
      </c>
      <c r="AH43" s="32">
        <v>12076.689762640175</v>
      </c>
      <c r="AI43" s="32">
        <v>12324.551504227047</v>
      </c>
      <c r="AJ43" s="32">
        <v>12112.142751873393</v>
      </c>
      <c r="AK43" s="32">
        <v>11828.828021053303</v>
      </c>
      <c r="AM43" t="s">
        <v>90</v>
      </c>
      <c r="AN43" t="s">
        <v>115</v>
      </c>
      <c r="AO43" t="s">
        <v>113</v>
      </c>
      <c r="AP43" t="s">
        <v>114</v>
      </c>
      <c r="AQ43" t="s">
        <v>113</v>
      </c>
      <c r="AR43" t="s">
        <v>114</v>
      </c>
      <c r="AS43" t="s">
        <v>113</v>
      </c>
      <c r="AT43" t="s">
        <v>114</v>
      </c>
      <c r="AU43" t="s">
        <v>110</v>
      </c>
      <c r="AV43" t="s">
        <v>110</v>
      </c>
      <c r="AW43" t="s">
        <v>115</v>
      </c>
      <c r="AX43" t="s">
        <v>108</v>
      </c>
      <c r="AY43" t="s">
        <v>108</v>
      </c>
      <c r="AZ43" t="s">
        <v>116</v>
      </c>
      <c r="BA43" t="s">
        <v>109</v>
      </c>
      <c r="BB43" t="s">
        <v>114</v>
      </c>
      <c r="BC43" t="s">
        <v>116</v>
      </c>
      <c r="BD43" t="s">
        <v>113</v>
      </c>
      <c r="BE43" t="s">
        <v>114</v>
      </c>
      <c r="BF43" t="s">
        <v>114</v>
      </c>
      <c r="BG43" t="s">
        <v>112</v>
      </c>
      <c r="BH43" t="s">
        <v>110</v>
      </c>
      <c r="BI43" t="s">
        <v>112</v>
      </c>
      <c r="BJ43" t="s">
        <v>110</v>
      </c>
      <c r="BK43" t="s">
        <v>108</v>
      </c>
      <c r="BL43" t="s">
        <v>111</v>
      </c>
      <c r="BM43" t="s">
        <v>113</v>
      </c>
      <c r="BN43" t="s">
        <v>114</v>
      </c>
      <c r="BO43" t="s">
        <v>113</v>
      </c>
      <c r="BP43" t="s">
        <v>110</v>
      </c>
      <c r="BQ43" t="s">
        <v>108</v>
      </c>
      <c r="BR43" t="s">
        <v>110</v>
      </c>
      <c r="BS43" t="s">
        <v>114</v>
      </c>
      <c r="BT43" t="s">
        <v>114</v>
      </c>
      <c r="BU43" t="s">
        <v>111</v>
      </c>
    </row>
    <row r="44" spans="1:73" x14ac:dyDescent="0.35">
      <c r="B44" s="69">
        <f t="shared" si="3"/>
        <v>108092.62699952506</v>
      </c>
      <c r="C44" t="s">
        <v>91</v>
      </c>
      <c r="D44" s="32">
        <v>17263.544536271809</v>
      </c>
      <c r="E44" s="32">
        <v>16978.168585147465</v>
      </c>
      <c r="F44" s="32">
        <v>16787.917951064566</v>
      </c>
      <c r="G44" s="32">
        <v>16740.406823051449</v>
      </c>
      <c r="H44" s="32">
        <v>16597.770377996887</v>
      </c>
      <c r="I44" s="32">
        <v>16692.895695038333</v>
      </c>
      <c r="J44" s="32">
        <v>16645.281506010004</v>
      </c>
      <c r="K44" s="32">
        <v>16169.757981817977</v>
      </c>
      <c r="L44" s="32">
        <v>17073.293902188914</v>
      </c>
      <c r="M44" s="32">
        <v>16835.532140092899</v>
      </c>
      <c r="N44" s="32">
        <v>17120.908091217247</v>
      </c>
      <c r="O44" s="32">
        <v>16122.143792789644</v>
      </c>
      <c r="P44" s="32">
        <v>16027.018475748197</v>
      </c>
      <c r="Q44" s="32">
        <v>15979.50734773508</v>
      </c>
      <c r="R44" s="32">
        <v>16074.632664776529</v>
      </c>
      <c r="S44" s="32">
        <v>17216.033408258689</v>
      </c>
      <c r="T44" s="32">
        <v>15694.131396610737</v>
      </c>
      <c r="U44" s="32">
        <v>16883.043268106019</v>
      </c>
      <c r="V44" s="32">
        <v>15741.642524623854</v>
      </c>
      <c r="W44" s="32">
        <v>16930.657457134348</v>
      </c>
      <c r="X44" s="32">
        <v>17168.419219230364</v>
      </c>
      <c r="Y44" s="32">
        <v>16455.030871927105</v>
      </c>
      <c r="Z44" s="32">
        <v>16502.645060955438</v>
      </c>
      <c r="AA44" s="32">
        <v>15836.7678416653</v>
      </c>
      <c r="AB44" s="32">
        <v>15789.256713652183</v>
      </c>
      <c r="AC44" s="32">
        <v>17025.782774175797</v>
      </c>
      <c r="AD44" s="32">
        <v>16407.519743913992</v>
      </c>
      <c r="AE44" s="32">
        <v>16359.90555488566</v>
      </c>
      <c r="AF44" s="32">
        <v>15931.893158706751</v>
      </c>
      <c r="AG44" s="32">
        <v>16312.394426872541</v>
      </c>
      <c r="AH44" s="32">
        <v>16217.269109831095</v>
      </c>
      <c r="AI44" s="32">
        <v>16550.156188968558</v>
      </c>
      <c r="AJ44" s="32">
        <v>16264.780237844212</v>
      </c>
      <c r="AK44" s="32">
        <v>15884.382030693632</v>
      </c>
      <c r="AM44" t="s">
        <v>91</v>
      </c>
      <c r="AN44" t="s">
        <v>114</v>
      </c>
      <c r="AO44" t="s">
        <v>113</v>
      </c>
      <c r="AP44" t="s">
        <v>112</v>
      </c>
      <c r="AQ44" t="s">
        <v>116</v>
      </c>
      <c r="AR44" t="s">
        <v>113</v>
      </c>
      <c r="AS44" t="s">
        <v>113</v>
      </c>
      <c r="AT44" t="s">
        <v>111</v>
      </c>
      <c r="AU44" t="s">
        <v>115</v>
      </c>
      <c r="AV44" t="s">
        <v>111</v>
      </c>
      <c r="AW44" t="s">
        <v>111</v>
      </c>
      <c r="AX44" t="s">
        <v>114</v>
      </c>
      <c r="AY44" t="s">
        <v>113</v>
      </c>
      <c r="AZ44" t="s">
        <v>113</v>
      </c>
      <c r="BA44" t="s">
        <v>116</v>
      </c>
      <c r="BB44" t="s">
        <v>108</v>
      </c>
      <c r="BC44" t="s">
        <v>114</v>
      </c>
      <c r="BD44" t="s">
        <v>116</v>
      </c>
      <c r="BE44" t="s">
        <v>113</v>
      </c>
      <c r="BF44" t="s">
        <v>116</v>
      </c>
      <c r="BG44" t="s">
        <v>112</v>
      </c>
      <c r="BH44" t="s">
        <v>116</v>
      </c>
      <c r="BI44" t="s">
        <v>108</v>
      </c>
      <c r="BJ44" t="s">
        <v>114</v>
      </c>
      <c r="BK44" t="s">
        <v>115</v>
      </c>
      <c r="BL44" t="s">
        <v>115</v>
      </c>
      <c r="BM44" t="s">
        <v>110</v>
      </c>
      <c r="BN44" t="s">
        <v>112</v>
      </c>
      <c r="BO44" t="s">
        <v>108</v>
      </c>
      <c r="BP44" t="s">
        <v>109</v>
      </c>
      <c r="BQ44" t="s">
        <v>111</v>
      </c>
      <c r="BR44" t="s">
        <v>108</v>
      </c>
      <c r="BS44" t="s">
        <v>112</v>
      </c>
      <c r="BT44" t="s">
        <v>110</v>
      </c>
      <c r="BU44" t="s">
        <v>116</v>
      </c>
    </row>
    <row r="45" spans="1:73" x14ac:dyDescent="0.35">
      <c r="B45" s="69"/>
      <c r="C45" s="4"/>
      <c r="AM45" s="4"/>
    </row>
    <row r="46" spans="1:73" x14ac:dyDescent="0.35">
      <c r="B46" s="69"/>
      <c r="C46" s="4" t="s">
        <v>92</v>
      </c>
      <c r="AM46" s="4" t="s">
        <v>92</v>
      </c>
    </row>
    <row r="47" spans="1:73" x14ac:dyDescent="0.35">
      <c r="B47" s="69"/>
      <c r="C47" t="s">
        <v>93</v>
      </c>
      <c r="D47" s="50">
        <v>12525.7</v>
      </c>
      <c r="E47" s="50">
        <v>12318.7</v>
      </c>
      <c r="F47" s="50">
        <v>12180.6</v>
      </c>
      <c r="G47" s="50">
        <v>12146.1</v>
      </c>
      <c r="H47" s="50">
        <v>12042.6</v>
      </c>
      <c r="I47" s="50">
        <v>12111.6</v>
      </c>
      <c r="J47" s="50">
        <v>12077.1</v>
      </c>
      <c r="K47" s="50">
        <v>11732.1</v>
      </c>
      <c r="L47" s="50">
        <v>12387.7</v>
      </c>
      <c r="M47" s="50">
        <v>12215.1</v>
      </c>
      <c r="N47" s="50">
        <v>12422.2</v>
      </c>
      <c r="O47" s="50">
        <v>11697.6</v>
      </c>
      <c r="P47" s="50">
        <v>11628.5</v>
      </c>
      <c r="Q47" s="50">
        <v>11594</v>
      </c>
      <c r="R47" s="50">
        <v>11663</v>
      </c>
      <c r="S47" s="50">
        <v>12491.2</v>
      </c>
      <c r="T47" s="50">
        <v>11387</v>
      </c>
      <c r="U47" s="50">
        <v>12249.7</v>
      </c>
      <c r="V47" s="50">
        <v>11421.5</v>
      </c>
      <c r="W47" s="50">
        <v>12284.2</v>
      </c>
      <c r="X47" s="50">
        <v>12456.7</v>
      </c>
      <c r="Y47" s="50">
        <v>11939.1</v>
      </c>
      <c r="Z47" s="50">
        <v>11973.6</v>
      </c>
      <c r="AA47" s="50">
        <v>11490.5</v>
      </c>
      <c r="AB47" s="50">
        <v>11456</v>
      </c>
      <c r="AC47" s="50">
        <v>12353.2</v>
      </c>
      <c r="AD47" s="50">
        <v>11904.6</v>
      </c>
      <c r="AE47" s="50">
        <v>11870.1</v>
      </c>
      <c r="AF47" s="50">
        <v>11559.5</v>
      </c>
      <c r="AG47" s="50">
        <v>11835.6</v>
      </c>
      <c r="AH47" s="50">
        <v>11766.6</v>
      </c>
      <c r="AI47" s="50">
        <v>12008.1</v>
      </c>
      <c r="AJ47" s="50">
        <v>11801.1</v>
      </c>
      <c r="AK47" s="50">
        <v>11525</v>
      </c>
      <c r="AM47" t="s">
        <v>93</v>
      </c>
      <c r="AN47" t="s">
        <v>113</v>
      </c>
      <c r="AO47" t="s">
        <v>115</v>
      </c>
      <c r="AP47" t="s">
        <v>115</v>
      </c>
      <c r="AQ47" t="s">
        <v>113</v>
      </c>
      <c r="AR47" t="s">
        <v>111</v>
      </c>
      <c r="AS47" t="s">
        <v>108</v>
      </c>
      <c r="AT47" t="s">
        <v>111</v>
      </c>
      <c r="AU47" t="s">
        <v>110</v>
      </c>
      <c r="AV47" t="s">
        <v>115</v>
      </c>
      <c r="AW47" t="s">
        <v>113</v>
      </c>
      <c r="AX47" t="s">
        <v>113</v>
      </c>
      <c r="AY47" t="s">
        <v>113</v>
      </c>
      <c r="AZ47" t="s">
        <v>116</v>
      </c>
      <c r="BA47" t="s">
        <v>114</v>
      </c>
      <c r="BB47" t="s">
        <v>109</v>
      </c>
      <c r="BC47" t="s">
        <v>112</v>
      </c>
      <c r="BD47" t="s">
        <v>110</v>
      </c>
      <c r="BE47" t="s">
        <v>108</v>
      </c>
      <c r="BF47" t="s">
        <v>115</v>
      </c>
      <c r="BG47" t="s">
        <v>115</v>
      </c>
      <c r="BH47" t="s">
        <v>114</v>
      </c>
      <c r="BI47" t="s">
        <v>109</v>
      </c>
      <c r="BJ47" t="s">
        <v>109</v>
      </c>
      <c r="BK47" t="s">
        <v>110</v>
      </c>
      <c r="BL47" t="s">
        <v>115</v>
      </c>
      <c r="BM47" t="s">
        <v>111</v>
      </c>
      <c r="BN47" t="s">
        <v>112</v>
      </c>
      <c r="BO47" t="s">
        <v>112</v>
      </c>
      <c r="BP47" t="s">
        <v>112</v>
      </c>
      <c r="BQ47" t="s">
        <v>108</v>
      </c>
      <c r="BR47" t="s">
        <v>110</v>
      </c>
      <c r="BS47" t="s">
        <v>112</v>
      </c>
      <c r="BT47" t="s">
        <v>111</v>
      </c>
      <c r="BU47" t="s">
        <v>108</v>
      </c>
    </row>
    <row r="48" spans="1:73" x14ac:dyDescent="0.35">
      <c r="B48" s="69"/>
      <c r="C48" t="s">
        <v>94</v>
      </c>
      <c r="D48" s="32">
        <v>9584.2999999999993</v>
      </c>
      <c r="E48" s="32">
        <v>9425.9</v>
      </c>
      <c r="F48" s="32">
        <v>9320.2999999999993</v>
      </c>
      <c r="G48" s="32">
        <v>9293.9</v>
      </c>
      <c r="H48" s="32">
        <v>9214.7000000000007</v>
      </c>
      <c r="I48" s="32">
        <v>9267.5</v>
      </c>
      <c r="J48" s="32">
        <v>9241.1</v>
      </c>
      <c r="K48" s="32">
        <v>8977</v>
      </c>
      <c r="L48" s="32">
        <v>9478.7000000000007</v>
      </c>
      <c r="M48" s="32">
        <v>9346.7000000000007</v>
      </c>
      <c r="N48" s="32">
        <v>9505.1</v>
      </c>
      <c r="O48" s="32">
        <v>8950.6</v>
      </c>
      <c r="P48" s="32">
        <v>8897.7999999999993</v>
      </c>
      <c r="Q48" s="32">
        <v>8871.4</v>
      </c>
      <c r="R48" s="32">
        <v>8924.2000000000007</v>
      </c>
      <c r="S48" s="32">
        <v>9557.9</v>
      </c>
      <c r="T48" s="32">
        <v>8713</v>
      </c>
      <c r="U48" s="32">
        <v>9373.1</v>
      </c>
      <c r="V48" s="32">
        <v>8739.4</v>
      </c>
      <c r="W48" s="32">
        <v>9399.5</v>
      </c>
      <c r="X48" s="32">
        <v>9531.5</v>
      </c>
      <c r="Y48" s="32">
        <v>9135.4</v>
      </c>
      <c r="Z48" s="32">
        <v>9161.9</v>
      </c>
      <c r="AA48" s="32">
        <v>8792.2000000000007</v>
      </c>
      <c r="AB48" s="32">
        <v>8765.7999999999993</v>
      </c>
      <c r="AC48" s="32">
        <v>9452.2999999999993</v>
      </c>
      <c r="AD48" s="32">
        <v>9109</v>
      </c>
      <c r="AE48" s="32">
        <v>9082.6</v>
      </c>
      <c r="AF48" s="32">
        <v>8845</v>
      </c>
      <c r="AG48" s="32">
        <v>9056.2000000000007</v>
      </c>
      <c r="AH48" s="32">
        <v>9003.4</v>
      </c>
      <c r="AI48" s="32">
        <v>9188.2999999999993</v>
      </c>
      <c r="AJ48" s="32">
        <v>9029.7999999999993</v>
      </c>
      <c r="AK48" s="32">
        <v>8818.6</v>
      </c>
      <c r="AM48" t="s">
        <v>94</v>
      </c>
      <c r="AN48" t="s">
        <v>111</v>
      </c>
      <c r="AO48" t="s">
        <v>109</v>
      </c>
      <c r="AP48" t="s">
        <v>114</v>
      </c>
      <c r="AQ48" t="s">
        <v>113</v>
      </c>
      <c r="AR48" t="s">
        <v>115</v>
      </c>
      <c r="AS48" t="s">
        <v>111</v>
      </c>
      <c r="AT48" t="s">
        <v>111</v>
      </c>
      <c r="AU48" t="s">
        <v>115</v>
      </c>
      <c r="AV48" t="s">
        <v>110</v>
      </c>
      <c r="AW48" t="s">
        <v>111</v>
      </c>
      <c r="AX48" t="s">
        <v>115</v>
      </c>
      <c r="AY48" t="s">
        <v>113</v>
      </c>
      <c r="AZ48" t="s">
        <v>113</v>
      </c>
      <c r="BA48" t="s">
        <v>115</v>
      </c>
      <c r="BB48" t="s">
        <v>115</v>
      </c>
      <c r="BC48" t="s">
        <v>111</v>
      </c>
      <c r="BD48" t="s">
        <v>110</v>
      </c>
      <c r="BE48" t="s">
        <v>110</v>
      </c>
      <c r="BF48" t="s">
        <v>113</v>
      </c>
      <c r="BG48" t="s">
        <v>115</v>
      </c>
      <c r="BH48" t="s">
        <v>113</v>
      </c>
      <c r="BI48" t="s">
        <v>112</v>
      </c>
      <c r="BJ48" t="s">
        <v>108</v>
      </c>
      <c r="BK48" t="s">
        <v>114</v>
      </c>
      <c r="BL48" t="s">
        <v>111</v>
      </c>
      <c r="BM48" t="s">
        <v>109</v>
      </c>
      <c r="BN48" t="s">
        <v>116</v>
      </c>
      <c r="BO48" t="s">
        <v>115</v>
      </c>
      <c r="BP48" t="s">
        <v>110</v>
      </c>
      <c r="BQ48" t="s">
        <v>111</v>
      </c>
      <c r="BR48" t="s">
        <v>109</v>
      </c>
      <c r="BS48" t="s">
        <v>113</v>
      </c>
      <c r="BT48" t="s">
        <v>112</v>
      </c>
      <c r="BU48" t="s">
        <v>116</v>
      </c>
    </row>
    <row r="49" spans="1:73" x14ac:dyDescent="0.35">
      <c r="B49" s="69"/>
      <c r="C49" t="s">
        <v>95</v>
      </c>
      <c r="D49" s="32">
        <v>9166.2999999999993</v>
      </c>
      <c r="E49" s="32">
        <v>9014.7999999999993</v>
      </c>
      <c r="F49" s="32">
        <v>8913.7999999999993</v>
      </c>
      <c r="G49" s="32">
        <v>8888.5</v>
      </c>
      <c r="H49" s="32">
        <v>8812.7999999999993</v>
      </c>
      <c r="I49" s="32">
        <v>8863.2999999999993</v>
      </c>
      <c r="J49" s="32">
        <v>8838</v>
      </c>
      <c r="K49" s="32">
        <v>8585.5</v>
      </c>
      <c r="L49" s="32">
        <v>9065.2999999999993</v>
      </c>
      <c r="M49" s="32">
        <v>8939</v>
      </c>
      <c r="N49" s="32">
        <v>9090.5</v>
      </c>
      <c r="O49" s="32">
        <v>8560.2999999999993</v>
      </c>
      <c r="P49" s="32">
        <v>8509.7999999999993</v>
      </c>
      <c r="Q49" s="32">
        <v>8484.5</v>
      </c>
      <c r="R49" s="32">
        <v>8535</v>
      </c>
      <c r="S49" s="32">
        <v>9141</v>
      </c>
      <c r="T49" s="32">
        <v>8333</v>
      </c>
      <c r="U49" s="32">
        <v>8964.2999999999993</v>
      </c>
      <c r="V49" s="32">
        <v>8358.2999999999993</v>
      </c>
      <c r="W49" s="32">
        <v>8989.5</v>
      </c>
      <c r="X49" s="32">
        <v>9115.7999999999993</v>
      </c>
      <c r="Y49" s="32">
        <v>8737</v>
      </c>
      <c r="Z49" s="32">
        <v>8762.2999999999993</v>
      </c>
      <c r="AA49" s="32">
        <v>8408.7999999999993</v>
      </c>
      <c r="AB49" s="32">
        <v>8383.5</v>
      </c>
      <c r="AC49" s="32">
        <v>9040</v>
      </c>
      <c r="AD49" s="32">
        <v>8711.7999999999993</v>
      </c>
      <c r="AE49" s="32">
        <v>8686.5</v>
      </c>
      <c r="AF49" s="32">
        <v>8459.2999999999993</v>
      </c>
      <c r="AG49" s="32">
        <v>8661.2999999999993</v>
      </c>
      <c r="AH49" s="32">
        <v>8610.7999999999993</v>
      </c>
      <c r="AI49" s="32">
        <v>8787.5</v>
      </c>
      <c r="AJ49" s="32">
        <v>8636</v>
      </c>
      <c r="AK49" s="32">
        <v>8434</v>
      </c>
      <c r="AM49" t="s">
        <v>95</v>
      </c>
      <c r="AN49" t="s">
        <v>115</v>
      </c>
      <c r="AO49" t="s">
        <v>114</v>
      </c>
      <c r="AP49" t="s">
        <v>114</v>
      </c>
      <c r="AQ49" t="s">
        <v>110</v>
      </c>
      <c r="AR49" t="s">
        <v>115</v>
      </c>
      <c r="AS49" t="s">
        <v>115</v>
      </c>
      <c r="AT49" t="s">
        <v>109</v>
      </c>
      <c r="AU49" t="s">
        <v>114</v>
      </c>
      <c r="AV49" t="s">
        <v>111</v>
      </c>
      <c r="AW49" t="s">
        <v>108</v>
      </c>
      <c r="AX49" t="s">
        <v>116</v>
      </c>
      <c r="AY49" t="s">
        <v>115</v>
      </c>
      <c r="AZ49" t="s">
        <v>109</v>
      </c>
      <c r="BA49" t="s">
        <v>108</v>
      </c>
      <c r="BB49" t="s">
        <v>110</v>
      </c>
      <c r="BC49" t="s">
        <v>111</v>
      </c>
      <c r="BD49" t="s">
        <v>116</v>
      </c>
      <c r="BE49" t="s">
        <v>114</v>
      </c>
      <c r="BF49" t="s">
        <v>109</v>
      </c>
      <c r="BG49" t="s">
        <v>114</v>
      </c>
      <c r="BH49" t="s">
        <v>113</v>
      </c>
      <c r="BI49" t="s">
        <v>109</v>
      </c>
      <c r="BJ49" t="s">
        <v>114</v>
      </c>
      <c r="BK49" t="s">
        <v>110</v>
      </c>
      <c r="BL49" t="s">
        <v>111</v>
      </c>
      <c r="BM49" t="s">
        <v>108</v>
      </c>
      <c r="BN49" t="s">
        <v>114</v>
      </c>
      <c r="BO49" t="s">
        <v>110</v>
      </c>
      <c r="BP49" t="s">
        <v>112</v>
      </c>
      <c r="BQ49" t="s">
        <v>116</v>
      </c>
      <c r="BR49" t="s">
        <v>112</v>
      </c>
      <c r="BS49" t="s">
        <v>112</v>
      </c>
      <c r="BT49" t="s">
        <v>112</v>
      </c>
      <c r="BU49" t="s">
        <v>115</v>
      </c>
    </row>
    <row r="50" spans="1:73" x14ac:dyDescent="0.35">
      <c r="B50" s="69"/>
      <c r="C50" t="s">
        <v>96</v>
      </c>
      <c r="D50" s="32">
        <v>10022.1</v>
      </c>
      <c r="E50" s="32">
        <v>9856.4</v>
      </c>
      <c r="F50" s="32">
        <v>9746</v>
      </c>
      <c r="G50" s="32">
        <v>9718.4</v>
      </c>
      <c r="H50" s="32">
        <v>9635.6</v>
      </c>
      <c r="I50" s="32">
        <v>9690.7999999999993</v>
      </c>
      <c r="J50" s="32">
        <v>9663.2000000000007</v>
      </c>
      <c r="K50" s="32">
        <v>9387.1</v>
      </c>
      <c r="L50" s="32">
        <v>9911.7000000000007</v>
      </c>
      <c r="M50" s="32">
        <v>9773.6</v>
      </c>
      <c r="N50" s="32">
        <v>9939.2999999999993</v>
      </c>
      <c r="O50" s="32">
        <v>9359.5</v>
      </c>
      <c r="P50" s="32">
        <v>9304.2999999999993</v>
      </c>
      <c r="Q50" s="32">
        <v>9276.7000000000007</v>
      </c>
      <c r="R50" s="32">
        <v>9331.9</v>
      </c>
      <c r="S50" s="32">
        <v>9994.5</v>
      </c>
      <c r="T50" s="32">
        <v>9111</v>
      </c>
      <c r="U50" s="32">
        <v>9801.2000000000007</v>
      </c>
      <c r="V50" s="32">
        <v>9138.6</v>
      </c>
      <c r="W50" s="32">
        <v>9828.7999999999993</v>
      </c>
      <c r="X50" s="32">
        <v>9966.9</v>
      </c>
      <c r="Y50" s="32">
        <v>9552.7000000000007</v>
      </c>
      <c r="Z50" s="32">
        <v>9580.4</v>
      </c>
      <c r="AA50" s="32">
        <v>9193.7999999999993</v>
      </c>
      <c r="AB50" s="32">
        <v>9166.2000000000007</v>
      </c>
      <c r="AC50" s="32">
        <v>9884.1</v>
      </c>
      <c r="AD50" s="32">
        <v>9525.1</v>
      </c>
      <c r="AE50" s="32">
        <v>9497.5</v>
      </c>
      <c r="AF50" s="32">
        <v>9249</v>
      </c>
      <c r="AG50" s="32">
        <v>9469.9</v>
      </c>
      <c r="AH50" s="32">
        <v>9414.7000000000007</v>
      </c>
      <c r="AI50" s="32">
        <v>9608</v>
      </c>
      <c r="AJ50" s="32">
        <v>9442.2999999999993</v>
      </c>
      <c r="AK50" s="32">
        <v>9221.4</v>
      </c>
      <c r="AM50" t="s">
        <v>96</v>
      </c>
      <c r="AN50" t="s">
        <v>112</v>
      </c>
      <c r="AO50" t="s">
        <v>116</v>
      </c>
      <c r="AP50" t="s">
        <v>111</v>
      </c>
      <c r="AQ50" t="s">
        <v>114</v>
      </c>
      <c r="AR50" t="s">
        <v>113</v>
      </c>
      <c r="AS50" t="s">
        <v>115</v>
      </c>
      <c r="AT50" t="s">
        <v>116</v>
      </c>
      <c r="AU50" t="s">
        <v>115</v>
      </c>
      <c r="AV50" t="s">
        <v>108</v>
      </c>
      <c r="AW50" t="s">
        <v>114</v>
      </c>
      <c r="AX50" t="s">
        <v>114</v>
      </c>
      <c r="AY50" t="s">
        <v>108</v>
      </c>
      <c r="AZ50" t="s">
        <v>108</v>
      </c>
      <c r="BA50" t="s">
        <v>113</v>
      </c>
      <c r="BB50" t="s">
        <v>114</v>
      </c>
      <c r="BC50" t="s">
        <v>113</v>
      </c>
      <c r="BD50" t="s">
        <v>109</v>
      </c>
      <c r="BE50" t="s">
        <v>114</v>
      </c>
      <c r="BF50" t="s">
        <v>110</v>
      </c>
      <c r="BG50" t="s">
        <v>111</v>
      </c>
      <c r="BH50" t="s">
        <v>112</v>
      </c>
      <c r="BI50" t="s">
        <v>108</v>
      </c>
      <c r="BJ50" t="s">
        <v>116</v>
      </c>
      <c r="BK50" t="s">
        <v>113</v>
      </c>
      <c r="BL50" t="s">
        <v>110</v>
      </c>
      <c r="BM50" t="s">
        <v>113</v>
      </c>
      <c r="BN50" t="s">
        <v>110</v>
      </c>
      <c r="BO50" t="s">
        <v>111</v>
      </c>
      <c r="BP50" t="s">
        <v>110</v>
      </c>
      <c r="BQ50" t="s">
        <v>114</v>
      </c>
      <c r="BR50" t="s">
        <v>115</v>
      </c>
      <c r="BS50" t="s">
        <v>111</v>
      </c>
      <c r="BT50" t="s">
        <v>115</v>
      </c>
      <c r="BU50" t="s">
        <v>113</v>
      </c>
    </row>
    <row r="51" spans="1:73" x14ac:dyDescent="0.35">
      <c r="B51" s="69"/>
      <c r="C51" t="s">
        <v>97</v>
      </c>
      <c r="D51" s="32">
        <v>13095.5</v>
      </c>
      <c r="E51" s="32">
        <v>12879</v>
      </c>
      <c r="F51" s="32">
        <v>12734.7</v>
      </c>
      <c r="G51" s="32">
        <v>12698.7</v>
      </c>
      <c r="H51" s="32">
        <v>12590.4</v>
      </c>
      <c r="I51" s="32">
        <v>12662.6</v>
      </c>
      <c r="J51" s="32">
        <v>12626.5</v>
      </c>
      <c r="K51" s="32">
        <v>12265.8</v>
      </c>
      <c r="L51" s="32">
        <v>12951.2</v>
      </c>
      <c r="M51" s="32">
        <v>12770.8</v>
      </c>
      <c r="N51" s="32">
        <v>12987.3</v>
      </c>
      <c r="O51" s="32">
        <v>12229.7</v>
      </c>
      <c r="P51" s="32">
        <v>12157.5</v>
      </c>
      <c r="Q51" s="32">
        <v>12121.5</v>
      </c>
      <c r="R51" s="32">
        <v>12193.6</v>
      </c>
      <c r="S51" s="32">
        <v>13059.4</v>
      </c>
      <c r="T51" s="32">
        <v>11905</v>
      </c>
      <c r="U51" s="32">
        <v>12806.9</v>
      </c>
      <c r="V51" s="32">
        <v>11941.1</v>
      </c>
      <c r="W51" s="32">
        <v>12843</v>
      </c>
      <c r="X51" s="32">
        <v>13023.3</v>
      </c>
      <c r="Y51" s="32">
        <v>12482.2</v>
      </c>
      <c r="Z51" s="32">
        <v>12518.3</v>
      </c>
      <c r="AA51" s="32">
        <v>12013.2</v>
      </c>
      <c r="AB51" s="32">
        <v>11977.2</v>
      </c>
      <c r="AC51" s="32">
        <v>12915.1</v>
      </c>
      <c r="AD51" s="32">
        <v>12446.1</v>
      </c>
      <c r="AE51" s="32">
        <v>12410.1</v>
      </c>
      <c r="AF51" s="32">
        <v>12085.4</v>
      </c>
      <c r="AG51" s="32">
        <v>12374</v>
      </c>
      <c r="AH51" s="32">
        <v>12301.8</v>
      </c>
      <c r="AI51" s="32">
        <v>12554.4</v>
      </c>
      <c r="AJ51" s="32">
        <v>12337.9</v>
      </c>
      <c r="AK51" s="32">
        <v>12049.3</v>
      </c>
      <c r="AM51" t="s">
        <v>97</v>
      </c>
      <c r="AN51" t="s">
        <v>108</v>
      </c>
      <c r="AO51" t="s">
        <v>116</v>
      </c>
      <c r="AP51" t="s">
        <v>116</v>
      </c>
      <c r="AQ51" t="s">
        <v>109</v>
      </c>
      <c r="AR51" t="s">
        <v>110</v>
      </c>
      <c r="AS51" t="s">
        <v>115</v>
      </c>
      <c r="AT51" t="s">
        <v>112</v>
      </c>
      <c r="AU51" t="s">
        <v>108</v>
      </c>
      <c r="AV51" t="s">
        <v>111</v>
      </c>
      <c r="AW51" t="s">
        <v>113</v>
      </c>
      <c r="AX51" t="s">
        <v>111</v>
      </c>
      <c r="AY51" t="s">
        <v>116</v>
      </c>
      <c r="AZ51" t="s">
        <v>112</v>
      </c>
      <c r="BA51" t="s">
        <v>110</v>
      </c>
      <c r="BB51" t="s">
        <v>109</v>
      </c>
      <c r="BC51" t="s">
        <v>109</v>
      </c>
      <c r="BD51" t="s">
        <v>115</v>
      </c>
      <c r="BE51" t="s">
        <v>115</v>
      </c>
      <c r="BF51" t="s">
        <v>115</v>
      </c>
      <c r="BG51" t="s">
        <v>112</v>
      </c>
      <c r="BH51" t="s">
        <v>113</v>
      </c>
      <c r="BI51" t="s">
        <v>113</v>
      </c>
      <c r="BJ51" t="s">
        <v>109</v>
      </c>
      <c r="BK51" t="s">
        <v>108</v>
      </c>
      <c r="BL51" t="s">
        <v>116</v>
      </c>
      <c r="BM51" t="s">
        <v>115</v>
      </c>
      <c r="BN51" t="s">
        <v>115</v>
      </c>
      <c r="BO51" t="s">
        <v>113</v>
      </c>
      <c r="BP51" t="s">
        <v>115</v>
      </c>
      <c r="BQ51" t="s">
        <v>109</v>
      </c>
      <c r="BR51" t="s">
        <v>111</v>
      </c>
      <c r="BS51" t="s">
        <v>114</v>
      </c>
      <c r="BT51" t="s">
        <v>110</v>
      </c>
      <c r="BU51" t="s">
        <v>108</v>
      </c>
    </row>
    <row r="52" spans="1:73" x14ac:dyDescent="0.35">
      <c r="B52" s="69"/>
      <c r="C52" t="s">
        <v>98</v>
      </c>
      <c r="D52" s="32">
        <v>9955</v>
      </c>
      <c r="E52" s="32">
        <v>9790.5</v>
      </c>
      <c r="F52" s="32">
        <v>9680.7999999999993</v>
      </c>
      <c r="G52" s="32">
        <v>9653.2999999999993</v>
      </c>
      <c r="H52" s="32">
        <v>9571.1</v>
      </c>
      <c r="I52" s="32">
        <v>9625.9</v>
      </c>
      <c r="J52" s="32">
        <v>9598.5</v>
      </c>
      <c r="K52" s="32">
        <v>9324.2000000000007</v>
      </c>
      <c r="L52" s="32">
        <v>9845.2999999999993</v>
      </c>
      <c r="M52" s="32">
        <v>9708.2000000000007</v>
      </c>
      <c r="N52" s="32">
        <v>9872.7000000000007</v>
      </c>
      <c r="O52" s="32">
        <v>9296.7999999999993</v>
      </c>
      <c r="P52" s="32">
        <v>9242</v>
      </c>
      <c r="Q52" s="32">
        <v>9214.5</v>
      </c>
      <c r="R52" s="32">
        <v>9269.4</v>
      </c>
      <c r="S52" s="32">
        <v>9927.6</v>
      </c>
      <c r="T52" s="32">
        <v>9050</v>
      </c>
      <c r="U52" s="32">
        <v>9735.6</v>
      </c>
      <c r="V52" s="32">
        <v>9077.4</v>
      </c>
      <c r="W52" s="32">
        <v>9763</v>
      </c>
      <c r="X52" s="32">
        <v>9900.2000000000007</v>
      </c>
      <c r="Y52" s="32">
        <v>9488.7999999999993</v>
      </c>
      <c r="Z52" s="32">
        <v>9516.2000000000007</v>
      </c>
      <c r="AA52" s="32">
        <v>9132.2999999999993</v>
      </c>
      <c r="AB52" s="32">
        <v>9104.7999999999993</v>
      </c>
      <c r="AC52" s="32">
        <v>9817.9</v>
      </c>
      <c r="AD52" s="32">
        <v>9461.4</v>
      </c>
      <c r="AE52" s="32">
        <v>9433.9</v>
      </c>
      <c r="AF52" s="32">
        <v>9187.1</v>
      </c>
      <c r="AG52" s="32">
        <v>9406.5</v>
      </c>
      <c r="AH52" s="32">
        <v>9351.7000000000007</v>
      </c>
      <c r="AI52" s="32">
        <v>9543.6</v>
      </c>
      <c r="AJ52" s="32">
        <v>9379.1</v>
      </c>
      <c r="AK52" s="32">
        <v>9159.7000000000007</v>
      </c>
      <c r="AM52" t="s">
        <v>98</v>
      </c>
      <c r="AN52" t="s">
        <v>116</v>
      </c>
      <c r="AO52" t="s">
        <v>111</v>
      </c>
      <c r="AP52" t="s">
        <v>116</v>
      </c>
      <c r="AQ52" t="s">
        <v>111</v>
      </c>
      <c r="AR52" t="s">
        <v>108</v>
      </c>
      <c r="AS52" t="s">
        <v>108</v>
      </c>
      <c r="AT52" t="s">
        <v>109</v>
      </c>
      <c r="AU52" t="s">
        <v>112</v>
      </c>
      <c r="AV52" t="s">
        <v>108</v>
      </c>
      <c r="AW52" t="s">
        <v>116</v>
      </c>
      <c r="AX52" t="s">
        <v>114</v>
      </c>
      <c r="AY52" t="s">
        <v>115</v>
      </c>
      <c r="AZ52" t="s">
        <v>113</v>
      </c>
      <c r="BA52" t="s">
        <v>112</v>
      </c>
      <c r="BB52" t="s">
        <v>115</v>
      </c>
      <c r="BC52" t="s">
        <v>113</v>
      </c>
      <c r="BD52" t="s">
        <v>110</v>
      </c>
      <c r="BE52" t="s">
        <v>115</v>
      </c>
      <c r="BF52" t="s">
        <v>108</v>
      </c>
      <c r="BG52" t="s">
        <v>108</v>
      </c>
      <c r="BH52" t="s">
        <v>115</v>
      </c>
      <c r="BI52" t="s">
        <v>112</v>
      </c>
      <c r="BJ52" t="s">
        <v>116</v>
      </c>
      <c r="BK52" t="s">
        <v>115</v>
      </c>
      <c r="BL52" t="s">
        <v>114</v>
      </c>
      <c r="BM52" t="s">
        <v>112</v>
      </c>
      <c r="BN52" t="s">
        <v>108</v>
      </c>
      <c r="BO52" t="s">
        <v>110</v>
      </c>
      <c r="BP52" t="s">
        <v>114</v>
      </c>
      <c r="BQ52" t="s">
        <v>111</v>
      </c>
      <c r="BR52" t="s">
        <v>109</v>
      </c>
      <c r="BS52" t="s">
        <v>111</v>
      </c>
      <c r="BT52" t="s">
        <v>108</v>
      </c>
      <c r="BU52" t="s">
        <v>114</v>
      </c>
    </row>
    <row r="53" spans="1:73" x14ac:dyDescent="0.35">
      <c r="B53" s="69"/>
      <c r="C53" s="4"/>
      <c r="AM53" s="4"/>
    </row>
    <row r="54" spans="1:73" x14ac:dyDescent="0.35">
      <c r="B54" s="69"/>
      <c r="C54" s="4" t="s">
        <v>99</v>
      </c>
      <c r="AM54" s="4" t="s">
        <v>99</v>
      </c>
    </row>
    <row r="55" spans="1:73" x14ac:dyDescent="0.35">
      <c r="B55" s="69">
        <f>B400</f>
        <v>260438.63649994647</v>
      </c>
      <c r="C55" s="4" t="s">
        <v>84</v>
      </c>
      <c r="D55" s="50">
        <v>15052.4</v>
      </c>
      <c r="E55" s="50">
        <v>14803.6</v>
      </c>
      <c r="F55" s="50">
        <v>14637.7</v>
      </c>
      <c r="G55" s="50">
        <v>14596.3</v>
      </c>
      <c r="H55" s="50">
        <v>14471.9</v>
      </c>
      <c r="I55" s="50">
        <v>14554.8</v>
      </c>
      <c r="J55" s="50">
        <v>14513.3</v>
      </c>
      <c r="K55" s="50">
        <v>14098.7</v>
      </c>
      <c r="L55" s="50">
        <v>14886.5</v>
      </c>
      <c r="M55" s="50">
        <v>14679.2</v>
      </c>
      <c r="N55" s="50">
        <v>14928</v>
      </c>
      <c r="O55" s="50">
        <v>14057.2</v>
      </c>
      <c r="P55" s="50">
        <v>13974.3</v>
      </c>
      <c r="Q55" s="50">
        <v>13932.8</v>
      </c>
      <c r="R55" s="50">
        <v>14015.7</v>
      </c>
      <c r="S55" s="50">
        <v>15010.9</v>
      </c>
      <c r="T55" s="50">
        <v>13684</v>
      </c>
      <c r="U55" s="50">
        <v>14720.7</v>
      </c>
      <c r="V55" s="50">
        <v>13725.5</v>
      </c>
      <c r="W55" s="50">
        <v>14762.1</v>
      </c>
      <c r="X55" s="50">
        <v>14969.5</v>
      </c>
      <c r="Y55" s="50">
        <v>14347.5</v>
      </c>
      <c r="Z55" s="50">
        <v>14388.9</v>
      </c>
      <c r="AA55" s="50">
        <v>13808.4</v>
      </c>
      <c r="AB55" s="50">
        <v>13766.9</v>
      </c>
      <c r="AC55" s="50">
        <v>14845.1</v>
      </c>
      <c r="AD55" s="50">
        <v>14306</v>
      </c>
      <c r="AE55" s="50">
        <v>14264.5</v>
      </c>
      <c r="AF55" s="50">
        <v>13891.3</v>
      </c>
      <c r="AG55" s="50">
        <v>14223.1</v>
      </c>
      <c r="AH55" s="50">
        <v>14140.1</v>
      </c>
      <c r="AI55" s="50">
        <v>14430.4</v>
      </c>
      <c r="AJ55" s="50">
        <v>14181.6</v>
      </c>
      <c r="AK55" s="50">
        <v>13849.9</v>
      </c>
      <c r="AM55" s="4" t="s">
        <v>84</v>
      </c>
      <c r="AN55" t="s">
        <v>110</v>
      </c>
      <c r="AO55" t="s">
        <v>112</v>
      </c>
      <c r="AP55" t="s">
        <v>112</v>
      </c>
      <c r="AQ55" t="s">
        <v>113</v>
      </c>
      <c r="AR55" t="s">
        <v>114</v>
      </c>
      <c r="AS55" t="s">
        <v>109</v>
      </c>
      <c r="AT55" t="s">
        <v>115</v>
      </c>
      <c r="AU55" t="s">
        <v>113</v>
      </c>
      <c r="AV55" t="s">
        <v>115</v>
      </c>
      <c r="AW55" t="s">
        <v>116</v>
      </c>
      <c r="AX55" t="s">
        <v>109</v>
      </c>
      <c r="AY55" t="s">
        <v>115</v>
      </c>
      <c r="AZ55" t="s">
        <v>108</v>
      </c>
      <c r="BA55" t="s">
        <v>113</v>
      </c>
      <c r="BB55" t="s">
        <v>114</v>
      </c>
      <c r="BC55" t="s">
        <v>108</v>
      </c>
      <c r="BD55" t="s">
        <v>112</v>
      </c>
      <c r="BE55" t="s">
        <v>110</v>
      </c>
      <c r="BF55" t="s">
        <v>109</v>
      </c>
      <c r="BG55" t="s">
        <v>108</v>
      </c>
      <c r="BH55" t="s">
        <v>113</v>
      </c>
      <c r="BI55" t="s">
        <v>109</v>
      </c>
      <c r="BJ55" t="s">
        <v>113</v>
      </c>
      <c r="BK55" t="s">
        <v>109</v>
      </c>
      <c r="BL55" t="s">
        <v>109</v>
      </c>
      <c r="BM55" t="s">
        <v>115</v>
      </c>
      <c r="BN55" t="s">
        <v>108</v>
      </c>
      <c r="BO55" t="s">
        <v>111</v>
      </c>
      <c r="BP55" t="s">
        <v>109</v>
      </c>
      <c r="BQ55" t="s">
        <v>112</v>
      </c>
      <c r="BR55" t="s">
        <v>109</v>
      </c>
      <c r="BS55" t="s">
        <v>112</v>
      </c>
      <c r="BT55" t="s">
        <v>115</v>
      </c>
      <c r="BU55" t="s">
        <v>108</v>
      </c>
    </row>
    <row r="56" spans="1:73" x14ac:dyDescent="0.35">
      <c r="B56" s="69">
        <f t="shared" ref="B56:B68" si="4">B401</f>
        <v>228337.12668583862</v>
      </c>
      <c r="C56" s="37" t="s">
        <v>100</v>
      </c>
      <c r="D56" s="32">
        <v>12410.493609796431</v>
      </c>
      <c r="E56" s="32">
        <v>12165.046481475098</v>
      </c>
      <c r="F56" s="32">
        <v>12027.608369123416</v>
      </c>
      <c r="G56" s="32">
        <v>11971.406414362205</v>
      </c>
      <c r="H56" s="32">
        <v>11931.887466427988</v>
      </c>
      <c r="I56" s="32">
        <v>12017.602105723801</v>
      </c>
      <c r="J56" s="32">
        <v>11977.986159800221</v>
      </c>
      <c r="K56" s="32">
        <v>11691.239007509983</v>
      </c>
      <c r="L56" s="32">
        <v>12205.797843840433</v>
      </c>
      <c r="M56" s="32">
        <v>12108.78898451424</v>
      </c>
      <c r="N56" s="32">
        <v>12196.412602783907</v>
      </c>
      <c r="O56" s="32">
        <v>11641.0715143736</v>
      </c>
      <c r="P56" s="32">
        <v>11460.12679328832</v>
      </c>
      <c r="Q56" s="32">
        <v>11513.320093003147</v>
      </c>
      <c r="R56" s="32">
        <v>11536.137645428445</v>
      </c>
      <c r="S56" s="32">
        <v>12395.542328621856</v>
      </c>
      <c r="T56" s="32">
        <v>11225.96145013264</v>
      </c>
      <c r="U56" s="32">
        <v>12096.459557808763</v>
      </c>
      <c r="V56" s="32">
        <v>11315.93053219077</v>
      </c>
      <c r="W56" s="32">
        <v>12146.233470805286</v>
      </c>
      <c r="X56" s="32">
        <v>12360.069126193735</v>
      </c>
      <c r="Y56" s="32">
        <v>11838.18288132303</v>
      </c>
      <c r="Z56" s="32">
        <v>11852.816078142971</v>
      </c>
      <c r="AA56" s="32">
        <v>11383.702859126332</v>
      </c>
      <c r="AB56" s="32">
        <v>11394.978007118747</v>
      </c>
      <c r="AC56" s="32">
        <v>12168.672769254703</v>
      </c>
      <c r="AD56" s="32">
        <v>11782.792120274968</v>
      </c>
      <c r="AE56" s="32">
        <v>11769.189518601092</v>
      </c>
      <c r="AF56" s="32">
        <v>11477.320227509113</v>
      </c>
      <c r="AG56" s="32">
        <v>11703.930972511727</v>
      </c>
      <c r="AH56" s="32">
        <v>11664.122249794927</v>
      </c>
      <c r="AI56" s="32">
        <v>11843.665941134481</v>
      </c>
      <c r="AJ56" s="32">
        <v>11667.924284606563</v>
      </c>
      <c r="AK56" s="32">
        <v>11456.735813729925</v>
      </c>
      <c r="AM56" s="37" t="s">
        <v>100</v>
      </c>
      <c r="AN56" t="s">
        <v>115</v>
      </c>
      <c r="AO56" t="s">
        <v>111</v>
      </c>
      <c r="AP56" t="s">
        <v>113</v>
      </c>
      <c r="AQ56" t="s">
        <v>115</v>
      </c>
      <c r="AR56" t="s">
        <v>111</v>
      </c>
      <c r="AS56" t="s">
        <v>115</v>
      </c>
      <c r="AT56" t="s">
        <v>115</v>
      </c>
      <c r="AU56" t="s">
        <v>112</v>
      </c>
      <c r="AV56" t="s">
        <v>112</v>
      </c>
      <c r="AW56" t="s">
        <v>114</v>
      </c>
      <c r="AX56" t="s">
        <v>109</v>
      </c>
      <c r="AY56" t="s">
        <v>110</v>
      </c>
      <c r="AZ56" t="s">
        <v>115</v>
      </c>
      <c r="BA56" t="s">
        <v>108</v>
      </c>
      <c r="BB56" t="s">
        <v>111</v>
      </c>
      <c r="BC56" t="s">
        <v>112</v>
      </c>
      <c r="BD56" t="s">
        <v>109</v>
      </c>
      <c r="BE56" t="s">
        <v>112</v>
      </c>
      <c r="BF56" t="s">
        <v>115</v>
      </c>
      <c r="BG56" t="s">
        <v>111</v>
      </c>
      <c r="BH56" t="s">
        <v>113</v>
      </c>
      <c r="BI56" t="s">
        <v>108</v>
      </c>
      <c r="BJ56" t="s">
        <v>116</v>
      </c>
      <c r="BK56" t="s">
        <v>108</v>
      </c>
      <c r="BL56" t="s">
        <v>116</v>
      </c>
      <c r="BM56" t="s">
        <v>115</v>
      </c>
      <c r="BN56" t="s">
        <v>110</v>
      </c>
      <c r="BO56" t="s">
        <v>112</v>
      </c>
      <c r="BP56" t="s">
        <v>113</v>
      </c>
      <c r="BQ56" t="s">
        <v>110</v>
      </c>
      <c r="BR56" t="s">
        <v>112</v>
      </c>
      <c r="BS56" t="s">
        <v>110</v>
      </c>
      <c r="BT56" t="s">
        <v>113</v>
      </c>
      <c r="BU56" t="s">
        <v>112</v>
      </c>
    </row>
    <row r="57" spans="1:73" x14ac:dyDescent="0.35">
      <c r="A57" s="3">
        <v>0.999</v>
      </c>
      <c r="B57" s="69">
        <f t="shared" si="4"/>
        <v>93256.745106262693</v>
      </c>
      <c r="C57" s="39" t="s">
        <v>77</v>
      </c>
      <c r="D57" s="32">
        <v>10742.496961453329</v>
      </c>
      <c r="E57" s="32">
        <v>10508.497470407015</v>
      </c>
      <c r="F57" s="32">
        <v>10317.231090006931</v>
      </c>
      <c r="G57" s="32">
        <v>10383.181290308596</v>
      </c>
      <c r="H57" s="32">
        <v>10349.364880583109</v>
      </c>
      <c r="I57" s="32">
        <v>10752.542493950745</v>
      </c>
      <c r="J57" s="32">
        <v>10536.40290823035</v>
      </c>
      <c r="K57" s="32">
        <v>10243.121584408029</v>
      </c>
      <c r="L57" s="32">
        <v>10823.02485181116</v>
      </c>
      <c r="M57" s="32">
        <v>10769.293893167416</v>
      </c>
      <c r="N57" s="32">
        <v>10793.112354192759</v>
      </c>
      <c r="O57" s="32">
        <v>10270.820469142627</v>
      </c>
      <c r="P57" s="32">
        <v>10040.552673482998</v>
      </c>
      <c r="Q57" s="32">
        <v>10168.269180704341</v>
      </c>
      <c r="R57" s="32">
        <v>10198.597121148472</v>
      </c>
      <c r="S57" s="32">
        <v>10860.107219877851</v>
      </c>
      <c r="T57" s="32">
        <v>10004.144303248702</v>
      </c>
      <c r="U57" s="32">
        <v>10598.106131338531</v>
      </c>
      <c r="V57" s="32">
        <v>9924.2046367380644</v>
      </c>
      <c r="W57" s="32">
        <v>10759.507172903663</v>
      </c>
      <c r="X57" s="32">
        <v>10948.836806492118</v>
      </c>
      <c r="Y57" s="32">
        <v>10402.978353586297</v>
      </c>
      <c r="Z57" s="32">
        <v>10384.649209923031</v>
      </c>
      <c r="AA57" s="32">
        <v>10033.687477420932</v>
      </c>
      <c r="AB57" s="32">
        <v>10053.730011055404</v>
      </c>
      <c r="AC57" s="32">
        <v>10844.265121937127</v>
      </c>
      <c r="AD57" s="32">
        <v>10323.243057246778</v>
      </c>
      <c r="AE57" s="32">
        <v>10394.239075231619</v>
      </c>
      <c r="AF57" s="32">
        <v>10126.310359120886</v>
      </c>
      <c r="AG57" s="32">
        <v>10336.576317392699</v>
      </c>
      <c r="AH57" s="32">
        <v>10394.614984381124</v>
      </c>
      <c r="AI57" s="32">
        <v>10387.047326897446</v>
      </c>
      <c r="AJ57" s="32">
        <v>10346.14533151166</v>
      </c>
      <c r="AK57" s="32">
        <v>10098.087534985787</v>
      </c>
      <c r="AM57" s="39" t="s">
        <v>77</v>
      </c>
      <c r="AN57" t="s">
        <v>114</v>
      </c>
      <c r="AO57" t="s">
        <v>112</v>
      </c>
      <c r="AP57" t="s">
        <v>108</v>
      </c>
      <c r="AQ57" t="s">
        <v>115</v>
      </c>
      <c r="AR57" t="s">
        <v>114</v>
      </c>
      <c r="AS57" t="s">
        <v>108</v>
      </c>
      <c r="AT57" t="s">
        <v>111</v>
      </c>
      <c r="AU57" t="s">
        <v>115</v>
      </c>
      <c r="AV57" t="s">
        <v>112</v>
      </c>
      <c r="AW57" t="s">
        <v>112</v>
      </c>
      <c r="AX57" t="s">
        <v>108</v>
      </c>
      <c r="AY57" t="s">
        <v>109</v>
      </c>
      <c r="AZ57" t="s">
        <v>114</v>
      </c>
      <c r="BA57" t="s">
        <v>109</v>
      </c>
      <c r="BB57" t="s">
        <v>113</v>
      </c>
      <c r="BC57" t="s">
        <v>114</v>
      </c>
      <c r="BD57" t="s">
        <v>113</v>
      </c>
      <c r="BE57" t="s">
        <v>114</v>
      </c>
      <c r="BF57" t="s">
        <v>111</v>
      </c>
      <c r="BG57" t="s">
        <v>108</v>
      </c>
      <c r="BH57" t="s">
        <v>113</v>
      </c>
      <c r="BI57" t="s">
        <v>108</v>
      </c>
      <c r="BJ57" t="s">
        <v>110</v>
      </c>
      <c r="BK57" t="s">
        <v>114</v>
      </c>
      <c r="BL57" t="s">
        <v>115</v>
      </c>
      <c r="BM57" t="s">
        <v>113</v>
      </c>
      <c r="BN57" t="s">
        <v>108</v>
      </c>
      <c r="BO57" t="s">
        <v>111</v>
      </c>
      <c r="BP57" t="s">
        <v>114</v>
      </c>
      <c r="BQ57" t="s">
        <v>116</v>
      </c>
      <c r="BR57" t="s">
        <v>112</v>
      </c>
      <c r="BS57" t="s">
        <v>108</v>
      </c>
      <c r="BT57" t="s">
        <v>111</v>
      </c>
      <c r="BU57" t="s">
        <v>116</v>
      </c>
    </row>
    <row r="58" spans="1:73" x14ac:dyDescent="0.35">
      <c r="B58" s="69">
        <f t="shared" si="4"/>
        <v>80873.633762604135</v>
      </c>
      <c r="C58" s="39" t="s">
        <v>78</v>
      </c>
      <c r="D58" s="32">
        <v>14305.185566593709</v>
      </c>
      <c r="E58" s="32">
        <v>13993.641994600579</v>
      </c>
      <c r="F58" s="32">
        <v>13738.923489281709</v>
      </c>
      <c r="G58" s="32">
        <v>13826.644980280224</v>
      </c>
      <c r="H58" s="32">
        <v>13781.695306385933</v>
      </c>
      <c r="I58" s="32">
        <v>14318.58205807131</v>
      </c>
      <c r="J58" s="32">
        <v>14030.762217077941</v>
      </c>
      <c r="K58" s="32">
        <v>13640.153077603461</v>
      </c>
      <c r="L58" s="32">
        <v>14412.400192193129</v>
      </c>
      <c r="M58" s="32">
        <v>14340.910469872728</v>
      </c>
      <c r="N58" s="32">
        <v>14372.565942995547</v>
      </c>
      <c r="O58" s="32">
        <v>13677.039469783411</v>
      </c>
      <c r="P58" s="32">
        <v>13370.486255563099</v>
      </c>
      <c r="Q58" s="32">
        <v>13540.456144292786</v>
      </c>
      <c r="R58" s="32">
        <v>13580.944213873287</v>
      </c>
      <c r="S58" s="32">
        <v>14461.80215606218</v>
      </c>
      <c r="T58" s="32">
        <v>13321.962408411307</v>
      </c>
      <c r="U58" s="32">
        <v>14112.868946758947</v>
      </c>
      <c r="V58" s="32">
        <v>13215.50965139413</v>
      </c>
      <c r="W58" s="32">
        <v>14327.795684326637</v>
      </c>
      <c r="X58" s="32">
        <v>14580.039234531247</v>
      </c>
      <c r="Y58" s="32">
        <v>13853.06830229934</v>
      </c>
      <c r="Z58" s="32">
        <v>13828.658850245358</v>
      </c>
      <c r="AA58" s="32">
        <v>13361.324843126196</v>
      </c>
      <c r="AB58" s="32">
        <v>13387.91068920006</v>
      </c>
      <c r="AC58" s="32">
        <v>14440.765289542307</v>
      </c>
      <c r="AD58" s="32">
        <v>13746.890787662049</v>
      </c>
      <c r="AE58" s="32">
        <v>13841.407639572022</v>
      </c>
      <c r="AF58" s="32">
        <v>13484.583550654897</v>
      </c>
      <c r="AG58" s="32">
        <v>13764.622970190994</v>
      </c>
      <c r="AH58" s="32">
        <v>13841.992388831832</v>
      </c>
      <c r="AI58" s="32">
        <v>13831.850747811059</v>
      </c>
      <c r="AJ58" s="32">
        <v>13777.366978661978</v>
      </c>
      <c r="AK58" s="32">
        <v>13447.081326557565</v>
      </c>
      <c r="AM58" s="39" t="s">
        <v>78</v>
      </c>
      <c r="AN58" t="s">
        <v>112</v>
      </c>
      <c r="AO58" t="s">
        <v>112</v>
      </c>
      <c r="AP58" t="s">
        <v>112</v>
      </c>
      <c r="AQ58" t="s">
        <v>115</v>
      </c>
      <c r="AR58" t="s">
        <v>113</v>
      </c>
      <c r="AS58" t="s">
        <v>108</v>
      </c>
      <c r="AT58" t="s">
        <v>111</v>
      </c>
      <c r="AU58" t="s">
        <v>108</v>
      </c>
      <c r="AV58" t="s">
        <v>110</v>
      </c>
      <c r="AW58" t="s">
        <v>115</v>
      </c>
      <c r="AX58" t="s">
        <v>114</v>
      </c>
      <c r="AY58" t="s">
        <v>112</v>
      </c>
      <c r="AZ58" t="s">
        <v>114</v>
      </c>
      <c r="BA58" t="s">
        <v>115</v>
      </c>
      <c r="BB58" t="s">
        <v>113</v>
      </c>
      <c r="BC58" t="s">
        <v>113</v>
      </c>
      <c r="BD58" t="s">
        <v>116</v>
      </c>
      <c r="BE58" t="s">
        <v>108</v>
      </c>
      <c r="BF58" t="s">
        <v>113</v>
      </c>
      <c r="BG58" t="s">
        <v>109</v>
      </c>
      <c r="BH58" t="s">
        <v>110</v>
      </c>
      <c r="BI58" t="s">
        <v>108</v>
      </c>
      <c r="BJ58" t="s">
        <v>110</v>
      </c>
      <c r="BK58" t="s">
        <v>108</v>
      </c>
      <c r="BL58" t="s">
        <v>111</v>
      </c>
      <c r="BM58" t="s">
        <v>110</v>
      </c>
      <c r="BN58" t="s">
        <v>111</v>
      </c>
      <c r="BO58" t="s">
        <v>110</v>
      </c>
      <c r="BP58" t="s">
        <v>110</v>
      </c>
      <c r="BQ58" t="s">
        <v>109</v>
      </c>
      <c r="BR58" t="s">
        <v>115</v>
      </c>
      <c r="BS58" t="s">
        <v>109</v>
      </c>
      <c r="BT58" t="s">
        <v>115</v>
      </c>
      <c r="BU58" t="s">
        <v>114</v>
      </c>
    </row>
    <row r="59" spans="1:73" x14ac:dyDescent="0.35">
      <c r="B59" s="69">
        <f t="shared" si="4"/>
        <v>54206.747816971721</v>
      </c>
      <c r="C59" s="39" t="s">
        <v>79</v>
      </c>
      <c r="D59" s="32">
        <v>9214.1724392673041</v>
      </c>
      <c r="E59" s="32">
        <v>9013.4798273000233</v>
      </c>
      <c r="F59" s="32">
        <v>8849.4388271446405</v>
      </c>
      <c r="G59" s="32">
        <v>8905.9799114675243</v>
      </c>
      <c r="H59" s="32">
        <v>8877.0158351233804</v>
      </c>
      <c r="I59" s="32">
        <v>9222.7534592842385</v>
      </c>
      <c r="J59" s="32">
        <v>9037.4046398172341</v>
      </c>
      <c r="K59" s="32">
        <v>8785.8116815717058</v>
      </c>
      <c r="L59" s="32">
        <v>9283.2583659072516</v>
      </c>
      <c r="M59" s="32">
        <v>9237.1477163165218</v>
      </c>
      <c r="N59" s="32">
        <v>9257.5613857720673</v>
      </c>
      <c r="O59" s="32">
        <v>8809.6101430636772</v>
      </c>
      <c r="P59" s="32">
        <v>8612.1038746622744</v>
      </c>
      <c r="Q59" s="32">
        <v>8721.6230323660002</v>
      </c>
      <c r="R59" s="32">
        <v>8747.6233508437817</v>
      </c>
      <c r="S59" s="32">
        <v>9315.0904505954477</v>
      </c>
      <c r="T59" s="32">
        <v>8580.8644906496975</v>
      </c>
      <c r="U59" s="32">
        <v>9090.3529860776416</v>
      </c>
      <c r="V59" s="32">
        <v>8512.2577369314149</v>
      </c>
      <c r="W59" s="32">
        <v>9228.7516720750336</v>
      </c>
      <c r="X59" s="32">
        <v>9391.1582543515524</v>
      </c>
      <c r="Y59" s="32">
        <v>8922.9768799472058</v>
      </c>
      <c r="Z59" s="32">
        <v>8907.2153613139981</v>
      </c>
      <c r="AA59" s="32">
        <v>8606.2301579268751</v>
      </c>
      <c r="AB59" s="32">
        <v>8623.3939533429366</v>
      </c>
      <c r="AC59" s="32">
        <v>9301.4381713933344</v>
      </c>
      <c r="AD59" s="32">
        <v>8854.6252953711646</v>
      </c>
      <c r="AE59" s="32">
        <v>8915.4150498625804</v>
      </c>
      <c r="AF59" s="32">
        <v>8685.6740229351326</v>
      </c>
      <c r="AG59" s="32">
        <v>8865.9962673015925</v>
      </c>
      <c r="AH59" s="32">
        <v>8915.7795136105597</v>
      </c>
      <c r="AI59" s="32">
        <v>8909.2325078881822</v>
      </c>
      <c r="AJ59" s="32">
        <v>8874.2442711177755</v>
      </c>
      <c r="AK59" s="32">
        <v>8661.4278085574788</v>
      </c>
      <c r="AM59" s="39" t="s">
        <v>79</v>
      </c>
      <c r="AN59" t="s">
        <v>115</v>
      </c>
      <c r="AO59" t="s">
        <v>111</v>
      </c>
      <c r="AP59" t="s">
        <v>109</v>
      </c>
      <c r="AQ59" t="s">
        <v>114</v>
      </c>
      <c r="AR59" t="s">
        <v>109</v>
      </c>
      <c r="AS59" t="s">
        <v>115</v>
      </c>
      <c r="AT59" t="s">
        <v>110</v>
      </c>
      <c r="AU59" t="s">
        <v>108</v>
      </c>
      <c r="AV59" t="s">
        <v>116</v>
      </c>
      <c r="AW59" t="s">
        <v>116</v>
      </c>
      <c r="AX59" t="s">
        <v>109</v>
      </c>
      <c r="AY59" t="s">
        <v>111</v>
      </c>
      <c r="AZ59" t="s">
        <v>114</v>
      </c>
      <c r="BA59" t="s">
        <v>108</v>
      </c>
      <c r="BB59" t="s">
        <v>112</v>
      </c>
      <c r="BC59" t="s">
        <v>111</v>
      </c>
      <c r="BD59" t="s">
        <v>112</v>
      </c>
      <c r="BE59" t="s">
        <v>111</v>
      </c>
      <c r="BF59" t="s">
        <v>116</v>
      </c>
      <c r="BG59" t="s">
        <v>114</v>
      </c>
      <c r="BH59" t="s">
        <v>114</v>
      </c>
      <c r="BI59" t="s">
        <v>108</v>
      </c>
      <c r="BJ59" t="s">
        <v>108</v>
      </c>
      <c r="BK59" t="s">
        <v>113</v>
      </c>
      <c r="BL59" t="s">
        <v>115</v>
      </c>
      <c r="BM59" t="s">
        <v>108</v>
      </c>
      <c r="BN59" t="s">
        <v>115</v>
      </c>
      <c r="BO59" t="s">
        <v>109</v>
      </c>
      <c r="BP59" t="s">
        <v>110</v>
      </c>
      <c r="BQ59" t="s">
        <v>113</v>
      </c>
      <c r="BR59" t="s">
        <v>109</v>
      </c>
      <c r="BS59" t="s">
        <v>114</v>
      </c>
      <c r="BT59" t="s">
        <v>110</v>
      </c>
      <c r="BU59" t="s">
        <v>111</v>
      </c>
    </row>
    <row r="60" spans="1:73" x14ac:dyDescent="0.35">
      <c r="B60" s="69">
        <f t="shared" si="4"/>
        <v>8999.3535257545955</v>
      </c>
      <c r="C60" s="37" t="s">
        <v>101</v>
      </c>
      <c r="D60" s="32">
        <v>12677.032515571629</v>
      </c>
      <c r="E60" s="32">
        <v>12526.211447008543</v>
      </c>
      <c r="F60" s="32">
        <v>12298.201592931107</v>
      </c>
      <c r="G60" s="32">
        <v>12252.953860253077</v>
      </c>
      <c r="H60" s="32">
        <v>12090.98987520827</v>
      </c>
      <c r="I60" s="32">
        <v>12436.398908115676</v>
      </c>
      <c r="J60" s="32">
        <v>12186.409974342881</v>
      </c>
      <c r="K60" s="32">
        <v>11847.146348647932</v>
      </c>
      <c r="L60" s="32">
        <v>12517.878565232842</v>
      </c>
      <c r="M60" s="32">
        <v>12455.791259282416</v>
      </c>
      <c r="N60" s="32">
        <v>12483.283686399576</v>
      </c>
      <c r="O60" s="32">
        <v>11879.180849185859</v>
      </c>
      <c r="P60" s="32">
        <v>11612.928333456764</v>
      </c>
      <c r="Q60" s="32">
        <v>11760.552439237728</v>
      </c>
      <c r="R60" s="32">
        <v>11795.724611443649</v>
      </c>
      <c r="S60" s="32">
        <v>12560.785682737524</v>
      </c>
      <c r="T60" s="32">
        <v>11570.781737483994</v>
      </c>
      <c r="U60" s="32">
        <v>12257.718744491574</v>
      </c>
      <c r="V60" s="32">
        <v>11478.32538526309</v>
      </c>
      <c r="W60" s="32">
        <v>12444.396313349411</v>
      </c>
      <c r="X60" s="32">
        <v>12663.487645324631</v>
      </c>
      <c r="Y60" s="32">
        <v>12032.071849780819</v>
      </c>
      <c r="Z60" s="32">
        <v>12010.874157913038</v>
      </c>
      <c r="AA60" s="32">
        <v>11604.969013686385</v>
      </c>
      <c r="AB60" s="32">
        <v>11628.056976729429</v>
      </c>
      <c r="AC60" s="32">
        <v>12542.522292068928</v>
      </c>
      <c r="AD60" s="32">
        <v>11939.848332336007</v>
      </c>
      <c r="AE60" s="32">
        <v>12021.948068937028</v>
      </c>
      <c r="AF60" s="32">
        <v>11712.021190952597</v>
      </c>
      <c r="AG60" s="32">
        <v>11955.25365168027</v>
      </c>
      <c r="AH60" s="32">
        <v>12022.456926464718</v>
      </c>
      <c r="AI60" s="32">
        <v>12013.649580589285</v>
      </c>
      <c r="AJ60" s="32">
        <v>11966.319301173626</v>
      </c>
      <c r="AK60" s="32">
        <v>11679.455894513749</v>
      </c>
      <c r="AM60" s="37" t="s">
        <v>101</v>
      </c>
      <c r="AN60" t="s">
        <v>110</v>
      </c>
      <c r="AO60" t="s">
        <v>112</v>
      </c>
      <c r="AP60" t="s">
        <v>110</v>
      </c>
      <c r="AQ60" t="s">
        <v>115</v>
      </c>
      <c r="AR60" t="s">
        <v>112</v>
      </c>
      <c r="AS60" t="s">
        <v>108</v>
      </c>
      <c r="AT60" t="s">
        <v>114</v>
      </c>
      <c r="AU60" t="s">
        <v>114</v>
      </c>
      <c r="AV60" t="s">
        <v>109</v>
      </c>
      <c r="AW60" t="s">
        <v>109</v>
      </c>
      <c r="AX60" t="s">
        <v>112</v>
      </c>
      <c r="AY60" t="s">
        <v>116</v>
      </c>
      <c r="AZ60" t="s">
        <v>115</v>
      </c>
      <c r="BA60" t="s">
        <v>112</v>
      </c>
      <c r="BB60" t="s">
        <v>110</v>
      </c>
      <c r="BC60" t="s">
        <v>111</v>
      </c>
      <c r="BD60" t="s">
        <v>110</v>
      </c>
      <c r="BE60" t="s">
        <v>109</v>
      </c>
      <c r="BF60" t="s">
        <v>116</v>
      </c>
      <c r="BG60" t="s">
        <v>113</v>
      </c>
      <c r="BH60" t="s">
        <v>108</v>
      </c>
      <c r="BI60" t="s">
        <v>116</v>
      </c>
      <c r="BJ60" t="s">
        <v>108</v>
      </c>
      <c r="BK60" t="s">
        <v>112</v>
      </c>
      <c r="BL60" t="s">
        <v>112</v>
      </c>
      <c r="BM60" t="s">
        <v>110</v>
      </c>
      <c r="BN60" t="s">
        <v>116</v>
      </c>
      <c r="BO60" t="s">
        <v>111</v>
      </c>
      <c r="BP60" t="s">
        <v>108</v>
      </c>
      <c r="BQ60" t="s">
        <v>115</v>
      </c>
      <c r="BR60" t="s">
        <v>111</v>
      </c>
      <c r="BS60" t="s">
        <v>116</v>
      </c>
      <c r="BT60" t="s">
        <v>113</v>
      </c>
      <c r="BU60" t="s">
        <v>109</v>
      </c>
    </row>
    <row r="61" spans="1:73" x14ac:dyDescent="0.35">
      <c r="B61" s="69">
        <f t="shared" si="4"/>
        <v>23102.156288353239</v>
      </c>
      <c r="C61" s="37" t="s">
        <v>102</v>
      </c>
      <c r="D61" s="32">
        <v>15774.917797287742</v>
      </c>
      <c r="E61" s="32">
        <v>15587.244281711231</v>
      </c>
      <c r="F61" s="32">
        <v>15303.498270716331</v>
      </c>
      <c r="G61" s="32">
        <v>15247.213484574855</v>
      </c>
      <c r="H61" s="32">
        <v>15045.711292728953</v>
      </c>
      <c r="I61" s="32">
        <v>15475.407981848091</v>
      </c>
      <c r="J61" s="32">
        <v>15164.42930564012</v>
      </c>
      <c r="K61" s="32">
        <v>14742.246151301249</v>
      </c>
      <c r="L61" s="32">
        <v>15576.854012214788</v>
      </c>
      <c r="M61" s="32">
        <v>15499.577636243654</v>
      </c>
      <c r="N61" s="32">
        <v>15533.785240426523</v>
      </c>
      <c r="O61" s="32">
        <v>14782.129251061206</v>
      </c>
      <c r="P61" s="32">
        <v>14450.755038192585</v>
      </c>
      <c r="Q61" s="32">
        <v>14634.473893353157</v>
      </c>
      <c r="R61" s="32">
        <v>14678.200755700471</v>
      </c>
      <c r="S61" s="32">
        <v>15630.28379143464</v>
      </c>
      <c r="T61" s="32">
        <v>14398.332617271662</v>
      </c>
      <c r="U61" s="32">
        <v>15253.179897238197</v>
      </c>
      <c r="V61" s="32">
        <v>14283.26267171393</v>
      </c>
      <c r="W61" s="32">
        <v>15485.4561814714</v>
      </c>
      <c r="X61" s="32">
        <v>15758.004915481593</v>
      </c>
      <c r="Y61" s="32">
        <v>14972.35820187386</v>
      </c>
      <c r="Z61" s="32">
        <v>14945.96037949086</v>
      </c>
      <c r="AA61" s="32">
        <v>14440.91176638994</v>
      </c>
      <c r="AB61" s="32">
        <v>14469.662164232006</v>
      </c>
      <c r="AC61" s="32">
        <v>15607.520751551387</v>
      </c>
      <c r="AD61" s="32">
        <v>14857.617986678812</v>
      </c>
      <c r="AE61" s="32">
        <v>14959.702688062795</v>
      </c>
      <c r="AF61" s="32">
        <v>14574.103279523375</v>
      </c>
      <c r="AG61" s="32">
        <v>14876.730433920353</v>
      </c>
      <c r="AH61" s="32">
        <v>14960.377143855301</v>
      </c>
      <c r="AI61" s="32">
        <v>14949.394105481982</v>
      </c>
      <c r="AJ61" s="32">
        <v>14890.599349152648</v>
      </c>
      <c r="AK61" s="32">
        <v>14533.580916233257</v>
      </c>
      <c r="AM61" s="37" t="s">
        <v>102</v>
      </c>
      <c r="AN61" t="s">
        <v>114</v>
      </c>
      <c r="AO61" t="s">
        <v>113</v>
      </c>
      <c r="AP61" t="s">
        <v>111</v>
      </c>
      <c r="AQ61" t="s">
        <v>113</v>
      </c>
      <c r="AR61" t="s">
        <v>110</v>
      </c>
      <c r="AS61" t="s">
        <v>115</v>
      </c>
      <c r="AT61" t="s">
        <v>114</v>
      </c>
      <c r="AU61" t="s">
        <v>109</v>
      </c>
      <c r="AV61" t="s">
        <v>115</v>
      </c>
      <c r="AW61" t="s">
        <v>110</v>
      </c>
      <c r="AX61" t="s">
        <v>111</v>
      </c>
      <c r="AY61" t="s">
        <v>110</v>
      </c>
      <c r="AZ61" t="s">
        <v>113</v>
      </c>
      <c r="BA61" t="s">
        <v>109</v>
      </c>
      <c r="BB61" t="s">
        <v>114</v>
      </c>
      <c r="BC61" t="s">
        <v>109</v>
      </c>
      <c r="BD61" t="s">
        <v>110</v>
      </c>
      <c r="BE61" t="s">
        <v>113</v>
      </c>
      <c r="BF61" t="s">
        <v>116</v>
      </c>
      <c r="BG61" t="s">
        <v>116</v>
      </c>
      <c r="BH61" t="s">
        <v>111</v>
      </c>
      <c r="BI61" t="s">
        <v>115</v>
      </c>
      <c r="BJ61" t="s">
        <v>113</v>
      </c>
      <c r="BK61" t="s">
        <v>108</v>
      </c>
      <c r="BL61" t="s">
        <v>110</v>
      </c>
      <c r="BM61" t="s">
        <v>112</v>
      </c>
      <c r="BN61" t="s">
        <v>109</v>
      </c>
      <c r="BO61" t="s">
        <v>115</v>
      </c>
      <c r="BP61" t="s">
        <v>116</v>
      </c>
      <c r="BQ61" t="s">
        <v>112</v>
      </c>
      <c r="BR61" t="s">
        <v>112</v>
      </c>
      <c r="BS61" t="s">
        <v>112</v>
      </c>
      <c r="BT61" t="s">
        <v>114</v>
      </c>
      <c r="BU61" t="s">
        <v>111</v>
      </c>
    </row>
    <row r="62" spans="1:73" x14ac:dyDescent="0.35">
      <c r="B62" s="69">
        <f t="shared" si="4"/>
        <v>133546.66745234933</v>
      </c>
      <c r="C62" s="4" t="s">
        <v>83</v>
      </c>
      <c r="D62" s="50">
        <v>3049.0027500786159</v>
      </c>
      <c r="E62" s="50">
        <v>2949.9788495320422</v>
      </c>
      <c r="F62" s="50">
        <v>2935.9704948388894</v>
      </c>
      <c r="G62" s="50">
        <v>2945.2418173628125</v>
      </c>
      <c r="H62" s="50">
        <v>2951.2493629970086</v>
      </c>
      <c r="I62" s="50">
        <v>3009.064213729614</v>
      </c>
      <c r="J62" s="50">
        <v>3004.0127000669168</v>
      </c>
      <c r="K62" s="50">
        <v>2937.036229591235</v>
      </c>
      <c r="L62" s="50">
        <v>3078.9417242143072</v>
      </c>
      <c r="M62" s="50">
        <v>3020.1333262731873</v>
      </c>
      <c r="N62" s="50">
        <v>3077.7613881445891</v>
      </c>
      <c r="O62" s="50">
        <v>2906.4008459773299</v>
      </c>
      <c r="P62" s="50">
        <v>2889.6956609051326</v>
      </c>
      <c r="Q62" s="50">
        <v>2871.5936825072567</v>
      </c>
      <c r="R62" s="50">
        <v>2889.9708853601132</v>
      </c>
      <c r="S62" s="50">
        <v>3114.8985776297154</v>
      </c>
      <c r="T62" s="50">
        <v>2818.7739914794329</v>
      </c>
      <c r="U62" s="50">
        <v>3055.0515112468479</v>
      </c>
      <c r="V62" s="50">
        <v>2839.1337666830682</v>
      </c>
      <c r="W62" s="50">
        <v>3038.5725937340899</v>
      </c>
      <c r="X62" s="50">
        <v>3096.1045253742932</v>
      </c>
      <c r="Y62" s="50">
        <v>2956.5121116032365</v>
      </c>
      <c r="Z62" s="50">
        <v>2987.4830466173848</v>
      </c>
      <c r="AA62" s="50">
        <v>2873.3239820944118</v>
      </c>
      <c r="AB62" s="50">
        <v>2859.4941647373616</v>
      </c>
      <c r="AC62" s="50">
        <v>3047.8390290831235</v>
      </c>
      <c r="AD62" s="50">
        <v>2964.7914167461595</v>
      </c>
      <c r="AE62" s="50">
        <v>2953.1320094788175</v>
      </c>
      <c r="AF62" s="50">
        <v>2881.6154640519935</v>
      </c>
      <c r="AG62" s="50">
        <v>2932.9006456696138</v>
      </c>
      <c r="AH62" s="50">
        <v>2906.6251157158581</v>
      </c>
      <c r="AI62" s="50">
        <v>2981.3397361939678</v>
      </c>
      <c r="AJ62" s="50">
        <v>2927.1609273841482</v>
      </c>
      <c r="AK62" s="50">
        <v>2868.0972409575957</v>
      </c>
      <c r="AM62" s="4" t="s">
        <v>83</v>
      </c>
      <c r="AN62" t="s">
        <v>112</v>
      </c>
      <c r="AO62" t="s">
        <v>113</v>
      </c>
      <c r="AP62" t="s">
        <v>113</v>
      </c>
      <c r="AQ62" t="s">
        <v>109</v>
      </c>
      <c r="AR62" t="s">
        <v>111</v>
      </c>
      <c r="AS62" t="s">
        <v>110</v>
      </c>
      <c r="AT62" t="s">
        <v>114</v>
      </c>
      <c r="AU62" t="s">
        <v>113</v>
      </c>
      <c r="AV62" t="s">
        <v>114</v>
      </c>
      <c r="AW62" t="s">
        <v>114</v>
      </c>
      <c r="AX62" t="s">
        <v>108</v>
      </c>
      <c r="AY62" t="s">
        <v>111</v>
      </c>
      <c r="AZ62" t="s">
        <v>114</v>
      </c>
      <c r="BA62" t="s">
        <v>116</v>
      </c>
      <c r="BB62" t="s">
        <v>108</v>
      </c>
      <c r="BC62" t="s">
        <v>108</v>
      </c>
      <c r="BD62" t="s">
        <v>111</v>
      </c>
      <c r="BE62" t="s">
        <v>110</v>
      </c>
      <c r="BF62" t="s">
        <v>111</v>
      </c>
      <c r="BG62" t="s">
        <v>112</v>
      </c>
      <c r="BH62" t="s">
        <v>113</v>
      </c>
      <c r="BI62" t="s">
        <v>113</v>
      </c>
      <c r="BJ62" t="s">
        <v>115</v>
      </c>
      <c r="BK62" t="s">
        <v>116</v>
      </c>
      <c r="BL62" t="s">
        <v>109</v>
      </c>
      <c r="BM62" t="s">
        <v>115</v>
      </c>
      <c r="BN62" t="s">
        <v>112</v>
      </c>
      <c r="BO62" t="s">
        <v>111</v>
      </c>
      <c r="BP62" t="s">
        <v>109</v>
      </c>
      <c r="BQ62" t="s">
        <v>108</v>
      </c>
      <c r="BR62" t="s">
        <v>113</v>
      </c>
      <c r="BS62" t="s">
        <v>111</v>
      </c>
      <c r="BT62" t="s">
        <v>113</v>
      </c>
      <c r="BU62" t="s">
        <v>110</v>
      </c>
    </row>
    <row r="63" spans="1:73" x14ac:dyDescent="0.35">
      <c r="B63" s="69">
        <f t="shared" si="4"/>
        <v>123166.82340875886</v>
      </c>
      <c r="C63" s="37" t="s">
        <v>103</v>
      </c>
      <c r="D63" s="32">
        <v>3082.9716526444936</v>
      </c>
      <c r="E63" s="32">
        <v>2999.1306665738066</v>
      </c>
      <c r="F63" s="32">
        <v>3019.1315070721043</v>
      </c>
      <c r="G63" s="32">
        <v>2987.927651722267</v>
      </c>
      <c r="H63" s="32">
        <v>2936.9281735097775</v>
      </c>
      <c r="I63" s="32">
        <v>2979.4118808086546</v>
      </c>
      <c r="J63" s="32">
        <v>2979.7100932775456</v>
      </c>
      <c r="K63" s="32">
        <v>2917.6505616921982</v>
      </c>
      <c r="L63" s="32">
        <v>3085.9862037222292</v>
      </c>
      <c r="M63" s="32">
        <v>2969.1373402902655</v>
      </c>
      <c r="N63" s="32">
        <v>3088.4801869289399</v>
      </c>
      <c r="O63" s="32">
        <v>2862.5192104704947</v>
      </c>
      <c r="P63" s="32">
        <v>2894.2525317618538</v>
      </c>
      <c r="Q63" s="32">
        <v>2830.7761978255794</v>
      </c>
      <c r="R63" s="32">
        <v>2862.0614568248993</v>
      </c>
      <c r="S63" s="32">
        <v>3096.2252523981056</v>
      </c>
      <c r="T63" s="32">
        <v>2803.5344594597186</v>
      </c>
      <c r="U63" s="32">
        <v>3064.1172978780642</v>
      </c>
      <c r="V63" s="32">
        <v>2814.4551607671219</v>
      </c>
      <c r="W63" s="32">
        <v>3001.9731176831424</v>
      </c>
      <c r="X63" s="32">
        <v>3054.4886809952995</v>
      </c>
      <c r="Y63" s="32">
        <v>2908.6618931798653</v>
      </c>
      <c r="Z63" s="32">
        <v>2980.2456601433046</v>
      </c>
      <c r="AA63" s="32">
        <v>2879.0251642816111</v>
      </c>
      <c r="AB63" s="32">
        <v>2849.1926779775877</v>
      </c>
      <c r="AC63" s="32">
        <v>3015.6816298233007</v>
      </c>
      <c r="AD63" s="32">
        <v>2953.5235835333706</v>
      </c>
      <c r="AE63" s="32">
        <v>2930.3976600259689</v>
      </c>
      <c r="AF63" s="32">
        <v>2862.8409804247181</v>
      </c>
      <c r="AG63" s="32">
        <v>2904.5321705817119</v>
      </c>
      <c r="AH63" s="32">
        <v>2851.5450563771392</v>
      </c>
      <c r="AI63" s="32">
        <v>2970.52478724209</v>
      </c>
      <c r="AJ63" s="32">
        <v>2904.0117906476048</v>
      </c>
      <c r="AK63" s="32">
        <v>2837.4930605606355</v>
      </c>
      <c r="AM63" s="37" t="s">
        <v>103</v>
      </c>
      <c r="AN63" t="s">
        <v>112</v>
      </c>
      <c r="AO63" t="s">
        <v>112</v>
      </c>
      <c r="AP63" t="s">
        <v>116</v>
      </c>
      <c r="AQ63" t="s">
        <v>108</v>
      </c>
      <c r="AR63" t="s">
        <v>108</v>
      </c>
      <c r="AS63" t="s">
        <v>110</v>
      </c>
      <c r="AT63" t="s">
        <v>111</v>
      </c>
      <c r="AU63" t="s">
        <v>115</v>
      </c>
      <c r="AV63" t="s">
        <v>109</v>
      </c>
      <c r="AW63" t="s">
        <v>108</v>
      </c>
      <c r="AX63" t="s">
        <v>114</v>
      </c>
      <c r="AY63" t="s">
        <v>108</v>
      </c>
      <c r="AZ63" t="s">
        <v>113</v>
      </c>
      <c r="BA63" t="s">
        <v>116</v>
      </c>
      <c r="BB63" t="s">
        <v>116</v>
      </c>
      <c r="BC63" t="s">
        <v>113</v>
      </c>
      <c r="BD63" t="s">
        <v>112</v>
      </c>
      <c r="BE63" t="s">
        <v>112</v>
      </c>
      <c r="BF63" t="s">
        <v>116</v>
      </c>
      <c r="BG63" t="s">
        <v>109</v>
      </c>
      <c r="BH63" t="s">
        <v>116</v>
      </c>
      <c r="BI63" t="s">
        <v>108</v>
      </c>
      <c r="BJ63" t="s">
        <v>113</v>
      </c>
      <c r="BK63" t="s">
        <v>111</v>
      </c>
      <c r="BL63" t="s">
        <v>109</v>
      </c>
      <c r="BM63" t="s">
        <v>109</v>
      </c>
      <c r="BN63" t="s">
        <v>112</v>
      </c>
      <c r="BO63" t="s">
        <v>110</v>
      </c>
      <c r="BP63" t="s">
        <v>108</v>
      </c>
      <c r="BQ63" t="s">
        <v>116</v>
      </c>
      <c r="BR63" t="s">
        <v>110</v>
      </c>
      <c r="BS63" t="s">
        <v>115</v>
      </c>
      <c r="BT63" t="s">
        <v>113</v>
      </c>
      <c r="BU63" t="s">
        <v>112</v>
      </c>
    </row>
    <row r="64" spans="1:73" x14ac:dyDescent="0.35">
      <c r="B64" s="69">
        <f t="shared" si="4"/>
        <v>78590.395354709515</v>
      </c>
      <c r="C64" s="39" t="s">
        <v>80</v>
      </c>
      <c r="D64" s="32">
        <v>2765.5195596601484</v>
      </c>
      <c r="E64" s="32">
        <v>2660.7127841734491</v>
      </c>
      <c r="F64" s="32">
        <v>2689.181158272163</v>
      </c>
      <c r="G64" s="32">
        <v>2693.6460265948854</v>
      </c>
      <c r="H64" s="32">
        <v>2663.8014076885866</v>
      </c>
      <c r="I64" s="32">
        <v>2699.77153590629</v>
      </c>
      <c r="J64" s="32">
        <v>2740.859504991005</v>
      </c>
      <c r="K64" s="32">
        <v>2667.7417427654141</v>
      </c>
      <c r="L64" s="32">
        <v>2832.9036593026835</v>
      </c>
      <c r="M64" s="32">
        <v>2717.521642435614</v>
      </c>
      <c r="N64" s="32">
        <v>2858.0663609816015</v>
      </c>
      <c r="O64" s="32">
        <v>2598.9801169338293</v>
      </c>
      <c r="P64" s="32">
        <v>2699.8273978253769</v>
      </c>
      <c r="Q64" s="32">
        <v>2562.5262700750022</v>
      </c>
      <c r="R64" s="32">
        <v>2606.3670267318271</v>
      </c>
      <c r="S64" s="32">
        <v>2845.1558353404612</v>
      </c>
      <c r="T64" s="32">
        <v>2545.4620005645188</v>
      </c>
      <c r="U64" s="32">
        <v>2849.7165211924248</v>
      </c>
      <c r="V64" s="32">
        <v>2563.0676309071341</v>
      </c>
      <c r="W64" s="32">
        <v>2744.7477364506913</v>
      </c>
      <c r="X64" s="32">
        <v>2809.6044627386182</v>
      </c>
      <c r="Y64" s="32">
        <v>2633.0022828495839</v>
      </c>
      <c r="Z64" s="32">
        <v>2719.4716440544535</v>
      </c>
      <c r="AA64" s="32">
        <v>2656.1122680237045</v>
      </c>
      <c r="AB64" s="32">
        <v>2652.4565518495233</v>
      </c>
      <c r="AC64" s="32">
        <v>2751.7873655559251</v>
      </c>
      <c r="AD64" s="32">
        <v>2724.9136621558541</v>
      </c>
      <c r="AE64" s="32">
        <v>2671.3038984021605</v>
      </c>
      <c r="AF64" s="32">
        <v>2628.0991063983615</v>
      </c>
      <c r="AG64" s="32">
        <v>2637.1416126592571</v>
      </c>
      <c r="AH64" s="32">
        <v>2604.6996029031111</v>
      </c>
      <c r="AI64" s="32">
        <v>2716.039501974888</v>
      </c>
      <c r="AJ64" s="32">
        <v>2641.9416393736537</v>
      </c>
      <c r="AK64" s="32">
        <v>2638.9218134996736</v>
      </c>
      <c r="AM64" s="39" t="s">
        <v>80</v>
      </c>
      <c r="AN64" t="s">
        <v>108</v>
      </c>
      <c r="AO64" t="s">
        <v>115</v>
      </c>
      <c r="AP64" t="s">
        <v>109</v>
      </c>
      <c r="AQ64" t="s">
        <v>114</v>
      </c>
      <c r="AR64" t="s">
        <v>115</v>
      </c>
      <c r="AS64" t="s">
        <v>110</v>
      </c>
      <c r="AT64" t="s">
        <v>109</v>
      </c>
      <c r="AU64" t="s">
        <v>111</v>
      </c>
      <c r="AV64" t="s">
        <v>112</v>
      </c>
      <c r="AW64" t="s">
        <v>113</v>
      </c>
      <c r="AX64" t="s">
        <v>111</v>
      </c>
      <c r="AY64" t="s">
        <v>110</v>
      </c>
      <c r="AZ64" t="s">
        <v>109</v>
      </c>
      <c r="BA64" t="s">
        <v>110</v>
      </c>
      <c r="BB64" t="s">
        <v>116</v>
      </c>
      <c r="BC64" t="s">
        <v>113</v>
      </c>
      <c r="BD64" t="s">
        <v>110</v>
      </c>
      <c r="BE64" t="s">
        <v>109</v>
      </c>
      <c r="BF64" t="s">
        <v>112</v>
      </c>
      <c r="BG64" t="s">
        <v>114</v>
      </c>
      <c r="BH64" t="s">
        <v>111</v>
      </c>
      <c r="BI64" t="s">
        <v>108</v>
      </c>
      <c r="BJ64" t="s">
        <v>109</v>
      </c>
      <c r="BK64" t="s">
        <v>111</v>
      </c>
      <c r="BL64" t="s">
        <v>111</v>
      </c>
      <c r="BM64" t="s">
        <v>112</v>
      </c>
      <c r="BN64" t="s">
        <v>110</v>
      </c>
      <c r="BO64" t="s">
        <v>114</v>
      </c>
      <c r="BP64" t="s">
        <v>112</v>
      </c>
      <c r="BQ64" t="s">
        <v>113</v>
      </c>
      <c r="BR64" t="s">
        <v>113</v>
      </c>
      <c r="BS64" t="s">
        <v>115</v>
      </c>
      <c r="BT64" t="s">
        <v>112</v>
      </c>
      <c r="BU64" t="s">
        <v>108</v>
      </c>
    </row>
    <row r="65" spans="1:73" x14ac:dyDescent="0.35">
      <c r="B65" s="69">
        <f t="shared" si="4"/>
        <v>27218.993236920884</v>
      </c>
      <c r="C65" s="39" t="s">
        <v>81</v>
      </c>
      <c r="D65" s="32">
        <v>3650.9479640633049</v>
      </c>
      <c r="E65" s="32">
        <v>3512.619138325319</v>
      </c>
      <c r="F65" s="32">
        <v>3550.2156225114095</v>
      </c>
      <c r="G65" s="32">
        <v>3556.0731254427055</v>
      </c>
      <c r="H65" s="32">
        <v>3516.6272911024967</v>
      </c>
      <c r="I65" s="32">
        <v>3564.091738396321</v>
      </c>
      <c r="J65" s="32">
        <v>3618.393875617825</v>
      </c>
      <c r="K65" s="32">
        <v>3521.8163902115107</v>
      </c>
      <c r="L65" s="32">
        <v>3739.9194203508882</v>
      </c>
      <c r="M65" s="32">
        <v>3587.5711454465973</v>
      </c>
      <c r="N65" s="32">
        <v>3773.0774407611193</v>
      </c>
      <c r="O65" s="32">
        <v>3431.0996012819087</v>
      </c>
      <c r="P65" s="32">
        <v>3564.1255956192995</v>
      </c>
      <c r="Q65" s="32">
        <v>3382.9284848556258</v>
      </c>
      <c r="R65" s="32">
        <v>3440.9109037649509</v>
      </c>
      <c r="S65" s="32">
        <v>3756.1415766148639</v>
      </c>
      <c r="T65" s="32">
        <v>3360.4352122910291</v>
      </c>
      <c r="U65" s="32">
        <v>3762.0282392567851</v>
      </c>
      <c r="V65" s="32">
        <v>3383.618059506899</v>
      </c>
      <c r="W65" s="32">
        <v>3623.6197496537252</v>
      </c>
      <c r="X65" s="32">
        <v>3709.1695203845429</v>
      </c>
      <c r="Y65" s="32">
        <v>3475.9216212718875</v>
      </c>
      <c r="Z65" s="32">
        <v>3590.2408459811545</v>
      </c>
      <c r="AA65" s="32">
        <v>3506.5600479204886</v>
      </c>
      <c r="AB65" s="32">
        <v>3501.6631964790413</v>
      </c>
      <c r="AC65" s="32">
        <v>3632.7947685110048</v>
      </c>
      <c r="AD65" s="32">
        <v>3597.3176329692237</v>
      </c>
      <c r="AE65" s="32">
        <v>3526.6038823405952</v>
      </c>
      <c r="AF65" s="32">
        <v>3469.5549091802473</v>
      </c>
      <c r="AG65" s="32">
        <v>3481.4663398898801</v>
      </c>
      <c r="AH65" s="32">
        <v>3438.6285297220224</v>
      </c>
      <c r="AI65" s="32">
        <v>3585.6494988256045</v>
      </c>
      <c r="AJ65" s="32">
        <v>3487.8625578772485</v>
      </c>
      <c r="AK65" s="32">
        <v>3483.8045825633985</v>
      </c>
      <c r="AM65" s="39" t="s">
        <v>81</v>
      </c>
      <c r="AN65" t="s">
        <v>115</v>
      </c>
      <c r="AO65" t="s">
        <v>108</v>
      </c>
      <c r="AP65" t="s">
        <v>108</v>
      </c>
      <c r="AQ65" t="s">
        <v>111</v>
      </c>
      <c r="AR65" t="s">
        <v>111</v>
      </c>
      <c r="AS65" t="s">
        <v>108</v>
      </c>
      <c r="AT65" t="s">
        <v>113</v>
      </c>
      <c r="AU65" t="s">
        <v>115</v>
      </c>
      <c r="AV65" t="s">
        <v>112</v>
      </c>
      <c r="AW65" t="s">
        <v>114</v>
      </c>
      <c r="AX65" t="s">
        <v>109</v>
      </c>
      <c r="AY65" t="s">
        <v>110</v>
      </c>
      <c r="AZ65" t="s">
        <v>110</v>
      </c>
      <c r="BA65" t="s">
        <v>111</v>
      </c>
      <c r="BB65" t="s">
        <v>110</v>
      </c>
      <c r="BC65" t="s">
        <v>114</v>
      </c>
      <c r="BD65" t="s">
        <v>109</v>
      </c>
      <c r="BE65" t="s">
        <v>116</v>
      </c>
      <c r="BF65" t="s">
        <v>115</v>
      </c>
      <c r="BG65" t="s">
        <v>112</v>
      </c>
      <c r="BH65" t="s">
        <v>110</v>
      </c>
      <c r="BI65" t="s">
        <v>109</v>
      </c>
      <c r="BJ65" t="s">
        <v>108</v>
      </c>
      <c r="BK65" t="s">
        <v>115</v>
      </c>
      <c r="BL65" t="s">
        <v>116</v>
      </c>
      <c r="BM65" t="s">
        <v>113</v>
      </c>
      <c r="BN65" t="s">
        <v>108</v>
      </c>
      <c r="BO65" t="s">
        <v>111</v>
      </c>
      <c r="BP65" t="s">
        <v>110</v>
      </c>
      <c r="BQ65" t="s">
        <v>114</v>
      </c>
      <c r="BR65" t="s">
        <v>109</v>
      </c>
      <c r="BS65" t="s">
        <v>112</v>
      </c>
      <c r="BT65" t="s">
        <v>111</v>
      </c>
      <c r="BU65" t="s">
        <v>109</v>
      </c>
    </row>
    <row r="66" spans="1:73" x14ac:dyDescent="0.35">
      <c r="B66" s="69">
        <f t="shared" si="4"/>
        <v>17357.434817128418</v>
      </c>
      <c r="C66" s="39" t="s">
        <v>104</v>
      </c>
      <c r="D66" s="32">
        <v>6583.470034162473</v>
      </c>
      <c r="E66" s="32">
        <v>6333.9984717467059</v>
      </c>
      <c r="F66" s="32">
        <v>6401.8074731400757</v>
      </c>
      <c r="G66" s="32">
        <v>6412.4792484282361</v>
      </c>
      <c r="H66" s="32">
        <v>6341.3320230650224</v>
      </c>
      <c r="I66" s="32">
        <v>6426.8752598491883</v>
      </c>
      <c r="J66" s="32">
        <v>6524.7296079745383</v>
      </c>
      <c r="K66" s="32">
        <v>6350.6374965367168</v>
      </c>
      <c r="L66" s="32">
        <v>6743.8219075733596</v>
      </c>
      <c r="M66" s="32">
        <v>6469.2312875102907</v>
      </c>
      <c r="N66" s="32">
        <v>6803.6785138281612</v>
      </c>
      <c r="O66" s="32">
        <v>6186.9909327585101</v>
      </c>
      <c r="P66" s="32">
        <v>6427.0129694225325</v>
      </c>
      <c r="Q66" s="32">
        <v>6100.206145555102</v>
      </c>
      <c r="R66" s="32">
        <v>6204.7153335873354</v>
      </c>
      <c r="S66" s="32">
        <v>6773.0923008807804</v>
      </c>
      <c r="T66" s="32">
        <v>6059.6110214730024</v>
      </c>
      <c r="U66" s="32">
        <v>6783.7841338380613</v>
      </c>
      <c r="V66" s="32">
        <v>6101.4790592628415</v>
      </c>
      <c r="W66" s="32">
        <v>6534.0921153120207</v>
      </c>
      <c r="X66" s="32">
        <v>6688.5032392827679</v>
      </c>
      <c r="Y66" s="32">
        <v>6267.9131027127742</v>
      </c>
      <c r="Z66" s="32">
        <v>6473.9455532754737</v>
      </c>
      <c r="AA66" s="32">
        <v>6323.1247300425002</v>
      </c>
      <c r="AB66" s="32">
        <v>6314.2283940970528</v>
      </c>
      <c r="AC66" s="32">
        <v>6550.7645036784688</v>
      </c>
      <c r="AD66" s="32">
        <v>6486.7536370621965</v>
      </c>
      <c r="AE66" s="32">
        <v>6359.1767922796225</v>
      </c>
      <c r="AF66" s="32">
        <v>6256.3487650165562</v>
      </c>
      <c r="AG66" s="32">
        <v>6277.894505175499</v>
      </c>
      <c r="AH66" s="32">
        <v>6200.5214856083312</v>
      </c>
      <c r="AI66" s="32">
        <v>6465.7312915449957</v>
      </c>
      <c r="AJ66" s="32">
        <v>6289.3644208624319</v>
      </c>
      <c r="AK66" s="32">
        <v>6282.1569232773973</v>
      </c>
      <c r="AM66" s="39" t="s">
        <v>104</v>
      </c>
      <c r="AN66" t="s">
        <v>113</v>
      </c>
      <c r="AO66" t="s">
        <v>111</v>
      </c>
      <c r="AP66" t="s">
        <v>109</v>
      </c>
      <c r="AQ66" t="s">
        <v>115</v>
      </c>
      <c r="AR66" t="s">
        <v>110</v>
      </c>
      <c r="AS66" t="s">
        <v>112</v>
      </c>
      <c r="AT66" t="s">
        <v>114</v>
      </c>
      <c r="AU66" t="s">
        <v>111</v>
      </c>
      <c r="AV66" t="s">
        <v>114</v>
      </c>
      <c r="AW66" t="s">
        <v>113</v>
      </c>
      <c r="AX66" t="s">
        <v>110</v>
      </c>
      <c r="AY66" t="s">
        <v>108</v>
      </c>
      <c r="AZ66" t="s">
        <v>109</v>
      </c>
      <c r="BA66" t="s">
        <v>109</v>
      </c>
      <c r="BB66" t="s">
        <v>112</v>
      </c>
      <c r="BC66" t="s">
        <v>108</v>
      </c>
      <c r="BD66" t="s">
        <v>109</v>
      </c>
      <c r="BE66" t="s">
        <v>114</v>
      </c>
      <c r="BF66" t="s">
        <v>116</v>
      </c>
      <c r="BG66" t="s">
        <v>109</v>
      </c>
      <c r="BH66" t="s">
        <v>116</v>
      </c>
      <c r="BI66" t="s">
        <v>116</v>
      </c>
      <c r="BJ66" t="s">
        <v>114</v>
      </c>
      <c r="BK66" t="s">
        <v>115</v>
      </c>
      <c r="BL66" t="s">
        <v>113</v>
      </c>
      <c r="BM66" t="s">
        <v>109</v>
      </c>
      <c r="BN66" t="s">
        <v>116</v>
      </c>
      <c r="BO66" t="s">
        <v>110</v>
      </c>
      <c r="BP66" t="s">
        <v>112</v>
      </c>
      <c r="BQ66" t="s">
        <v>116</v>
      </c>
      <c r="BR66" t="s">
        <v>115</v>
      </c>
      <c r="BS66" t="s">
        <v>113</v>
      </c>
      <c r="BT66" t="s">
        <v>112</v>
      </c>
      <c r="BU66" t="s">
        <v>109</v>
      </c>
    </row>
    <row r="67" spans="1:73" x14ac:dyDescent="0.35">
      <c r="B67" s="69">
        <f t="shared" si="4"/>
        <v>4494.934215054107</v>
      </c>
      <c r="C67" s="37" t="s">
        <v>105</v>
      </c>
      <c r="D67" s="32">
        <v>4795.661553048144</v>
      </c>
      <c r="E67" s="32">
        <v>4660.5319451410278</v>
      </c>
      <c r="F67" s="32">
        <v>4710.413959395737</v>
      </c>
      <c r="G67" s="32">
        <v>4671.0491527508648</v>
      </c>
      <c r="H67" s="32">
        <v>4573.1222017516893</v>
      </c>
      <c r="I67" s="32">
        <v>4588.4355340308366</v>
      </c>
      <c r="J67" s="32">
        <v>4658.2637622961774</v>
      </c>
      <c r="K67" s="32">
        <v>4534.020229723621</v>
      </c>
      <c r="L67" s="32">
        <v>4814.7691958466867</v>
      </c>
      <c r="M67" s="32">
        <v>4618.6803485615737</v>
      </c>
      <c r="N67" s="32">
        <v>4857.4392010304955</v>
      </c>
      <c r="O67" s="32">
        <v>4417.1515814643626</v>
      </c>
      <c r="P67" s="32">
        <v>4588.471577716603</v>
      </c>
      <c r="Q67" s="32">
        <v>4355.2145536833641</v>
      </c>
      <c r="R67" s="32">
        <v>4429.799490887468</v>
      </c>
      <c r="S67" s="32">
        <v>4835.5729945306111</v>
      </c>
      <c r="T67" s="32">
        <v>4326.2219720950379</v>
      </c>
      <c r="U67" s="32">
        <v>4843.2604882684391</v>
      </c>
      <c r="V67" s="32">
        <v>4356.147432067306</v>
      </c>
      <c r="W67" s="32">
        <v>4665.0275216481341</v>
      </c>
      <c r="X67" s="32">
        <v>4775.244831056013</v>
      </c>
      <c r="Y67" s="32">
        <v>4474.9689249575267</v>
      </c>
      <c r="Z67" s="32">
        <v>4622.0016691101018</v>
      </c>
      <c r="AA67" s="32">
        <v>4514.3611610202288</v>
      </c>
      <c r="AB67" s="32">
        <v>4507.9745723222895</v>
      </c>
      <c r="AC67" s="32">
        <v>4676.9017376993224</v>
      </c>
      <c r="AD67" s="32">
        <v>4631.1752377774355</v>
      </c>
      <c r="AE67" s="32">
        <v>4540.0584491078826</v>
      </c>
      <c r="AF67" s="32">
        <v>4466.6574209833716</v>
      </c>
      <c r="AG67" s="32">
        <v>4482.0903946219951</v>
      </c>
      <c r="AH67" s="32">
        <v>4426.8788237814451</v>
      </c>
      <c r="AI67" s="32">
        <v>4616.1715817077456</v>
      </c>
      <c r="AJ67" s="32">
        <v>4490.2454432232107</v>
      </c>
      <c r="AK67" s="32">
        <v>4485.0480985037757</v>
      </c>
      <c r="AM67" s="37" t="s">
        <v>105</v>
      </c>
      <c r="AN67" t="s">
        <v>108</v>
      </c>
      <c r="AO67" t="s">
        <v>114</v>
      </c>
      <c r="AP67" t="s">
        <v>116</v>
      </c>
      <c r="AQ67" t="s">
        <v>112</v>
      </c>
      <c r="AR67" t="s">
        <v>111</v>
      </c>
      <c r="AS67" t="s">
        <v>115</v>
      </c>
      <c r="AT67" t="s">
        <v>112</v>
      </c>
      <c r="AU67" t="s">
        <v>109</v>
      </c>
      <c r="AV67" t="s">
        <v>108</v>
      </c>
      <c r="AW67" t="s">
        <v>110</v>
      </c>
      <c r="AX67" t="s">
        <v>115</v>
      </c>
      <c r="AY67" t="s">
        <v>110</v>
      </c>
      <c r="AZ67" t="s">
        <v>109</v>
      </c>
      <c r="BA67" t="s">
        <v>115</v>
      </c>
      <c r="BB67" t="s">
        <v>112</v>
      </c>
      <c r="BC67" t="s">
        <v>108</v>
      </c>
      <c r="BD67" t="s">
        <v>114</v>
      </c>
      <c r="BE67" t="s">
        <v>111</v>
      </c>
      <c r="BF67" t="s">
        <v>113</v>
      </c>
      <c r="BG67" t="s">
        <v>116</v>
      </c>
      <c r="BH67" t="s">
        <v>116</v>
      </c>
      <c r="BI67" t="s">
        <v>116</v>
      </c>
      <c r="BJ67" t="s">
        <v>109</v>
      </c>
      <c r="BK67" t="s">
        <v>109</v>
      </c>
      <c r="BL67" t="s">
        <v>108</v>
      </c>
      <c r="BM67" t="s">
        <v>108</v>
      </c>
      <c r="BN67" t="s">
        <v>110</v>
      </c>
      <c r="BO67" t="s">
        <v>113</v>
      </c>
      <c r="BP67" t="s">
        <v>113</v>
      </c>
      <c r="BQ67" t="s">
        <v>110</v>
      </c>
      <c r="BR67" t="s">
        <v>115</v>
      </c>
      <c r="BS67" t="s">
        <v>114</v>
      </c>
      <c r="BT67" t="s">
        <v>111</v>
      </c>
      <c r="BU67" t="s">
        <v>116</v>
      </c>
    </row>
    <row r="68" spans="1:73" x14ac:dyDescent="0.35">
      <c r="B68" s="69">
        <f t="shared" si="4"/>
        <v>5884.9098285363507</v>
      </c>
      <c r="C68" s="37" t="s">
        <v>106</v>
      </c>
      <c r="D68" s="32">
        <v>4034.7856418382717</v>
      </c>
      <c r="E68" s="32">
        <v>3921.0812857737715</v>
      </c>
      <c r="F68" s="32">
        <v>3963.04940150627</v>
      </c>
      <c r="G68" s="32">
        <v>3929.9715914456465</v>
      </c>
      <c r="H68" s="32">
        <v>3847.5411462663751</v>
      </c>
      <c r="I68" s="32">
        <v>3860.4245849783347</v>
      </c>
      <c r="J68" s="32">
        <v>3919.2151311788571</v>
      </c>
      <c r="K68" s="32">
        <v>3814.6700804929701</v>
      </c>
      <c r="L68" s="32">
        <v>4050.8623439945013</v>
      </c>
      <c r="M68" s="32">
        <v>3885.8298493428783</v>
      </c>
      <c r="N68" s="32">
        <v>4086.8040539130088</v>
      </c>
      <c r="O68" s="32">
        <v>3716.3839833869301</v>
      </c>
      <c r="P68" s="32">
        <v>3860.525256386918</v>
      </c>
      <c r="Q68" s="32">
        <v>3664.2338230939336</v>
      </c>
      <c r="R68" s="32">
        <v>3726.9850063727176</v>
      </c>
      <c r="S68" s="32">
        <v>4068.4063689850918</v>
      </c>
      <c r="T68" s="32">
        <v>3639.8269776397328</v>
      </c>
      <c r="U68" s="32">
        <v>4074.8179537982601</v>
      </c>
      <c r="V68" s="32">
        <v>3664.9634991888333</v>
      </c>
      <c r="W68" s="32">
        <v>3924.8230553330932</v>
      </c>
      <c r="X68" s="32">
        <v>4017.6085479573471</v>
      </c>
      <c r="Y68" s="32">
        <v>3764.9061873976625</v>
      </c>
      <c r="Z68" s="32">
        <v>3888.7481899918976</v>
      </c>
      <c r="AA68" s="32">
        <v>3798.0735927869541</v>
      </c>
      <c r="AB68" s="32">
        <v>3792.7425168348909</v>
      </c>
      <c r="AC68" s="32">
        <v>3934.9094995845035</v>
      </c>
      <c r="AD68" s="32">
        <v>3896.3681714722475</v>
      </c>
      <c r="AE68" s="32">
        <v>3819.749484482445</v>
      </c>
      <c r="AF68" s="32">
        <v>3757.9388621551579</v>
      </c>
      <c r="AG68" s="32">
        <v>3770.9380907002878</v>
      </c>
      <c r="AH68" s="32">
        <v>3724.4868439777083</v>
      </c>
      <c r="AI68" s="32">
        <v>3883.8014977458442</v>
      </c>
      <c r="AJ68" s="32">
        <v>3777.8400273654302</v>
      </c>
      <c r="AK68" s="32">
        <v>3773.4532111981121</v>
      </c>
      <c r="AM68" s="37" t="s">
        <v>106</v>
      </c>
      <c r="AN68" t="s">
        <v>113</v>
      </c>
      <c r="AO68" t="s">
        <v>111</v>
      </c>
      <c r="AP68" t="s">
        <v>113</v>
      </c>
      <c r="AQ68" t="s">
        <v>109</v>
      </c>
      <c r="AR68" t="s">
        <v>115</v>
      </c>
      <c r="AS68" t="s">
        <v>113</v>
      </c>
      <c r="AT68" t="s">
        <v>110</v>
      </c>
      <c r="AU68" t="s">
        <v>116</v>
      </c>
      <c r="AV68" t="s">
        <v>111</v>
      </c>
      <c r="AW68" t="s">
        <v>111</v>
      </c>
      <c r="AX68" t="s">
        <v>109</v>
      </c>
      <c r="AY68" t="s">
        <v>114</v>
      </c>
      <c r="AZ68" t="s">
        <v>116</v>
      </c>
      <c r="BA68" t="s">
        <v>113</v>
      </c>
      <c r="BB68" t="s">
        <v>110</v>
      </c>
      <c r="BC68" t="s">
        <v>113</v>
      </c>
      <c r="BD68" t="s">
        <v>115</v>
      </c>
      <c r="BE68" t="s">
        <v>110</v>
      </c>
      <c r="BF68" t="s">
        <v>108</v>
      </c>
      <c r="BG68" t="s">
        <v>113</v>
      </c>
      <c r="BH68" t="s">
        <v>116</v>
      </c>
      <c r="BI68" t="s">
        <v>108</v>
      </c>
      <c r="BJ68" t="s">
        <v>112</v>
      </c>
      <c r="BK68" t="s">
        <v>113</v>
      </c>
      <c r="BL68" t="s">
        <v>109</v>
      </c>
      <c r="BM68" t="s">
        <v>110</v>
      </c>
      <c r="BN68" t="s">
        <v>109</v>
      </c>
      <c r="BO68" t="s">
        <v>116</v>
      </c>
      <c r="BP68" t="s">
        <v>112</v>
      </c>
      <c r="BQ68" t="s">
        <v>113</v>
      </c>
      <c r="BR68" t="s">
        <v>111</v>
      </c>
      <c r="BS68" t="s">
        <v>113</v>
      </c>
      <c r="BT68" t="s">
        <v>110</v>
      </c>
      <c r="BU68" t="s">
        <v>115</v>
      </c>
    </row>
    <row r="69" spans="1:73" x14ac:dyDescent="0.35">
      <c r="B69" s="69"/>
    </row>
    <row r="70" spans="1:73" x14ac:dyDescent="0.35">
      <c r="B70" s="69">
        <f>B415</f>
        <v>400350.64125378925</v>
      </c>
      <c r="C70" s="4" t="s">
        <v>107</v>
      </c>
      <c r="AM70" s="4" t="s">
        <v>107</v>
      </c>
    </row>
    <row r="71" spans="1:73" x14ac:dyDescent="0.35">
      <c r="B71" s="69">
        <f t="shared" ref="B71:B114" si="5">B416</f>
        <v>263320.23585941788</v>
      </c>
      <c r="C71" s="40" t="s">
        <v>84</v>
      </c>
      <c r="D71" s="50">
        <f>D301/D416*10^6</f>
        <v>12020.58444067436</v>
      </c>
      <c r="E71" s="50">
        <f t="shared" ref="E71:AK71" si="6">E301/E416*10^6</f>
        <v>11796.81244821045</v>
      </c>
      <c r="F71" s="50">
        <f t="shared" si="6"/>
        <v>11656.147516438868</v>
      </c>
      <c r="G71" s="50">
        <f t="shared" si="6"/>
        <v>11689.059193577896</v>
      </c>
      <c r="H71" s="50">
        <f t="shared" si="6"/>
        <v>11532.378399830139</v>
      </c>
      <c r="I71" s="50">
        <f t="shared" si="6"/>
        <v>11608.063049590795</v>
      </c>
      <c r="J71" s="50">
        <f t="shared" si="6"/>
        <v>11580.958606554197</v>
      </c>
      <c r="K71" s="50">
        <f t="shared" si="6"/>
        <v>11261.091211572842</v>
      </c>
      <c r="L71" s="50">
        <f t="shared" si="6"/>
        <v>11888.982908151089</v>
      </c>
      <c r="M71" s="50">
        <f t="shared" si="6"/>
        <v>11702.774568652907</v>
      </c>
      <c r="N71" s="50">
        <f t="shared" si="6"/>
        <v>11870.767817245078</v>
      </c>
      <c r="O71" s="50">
        <f t="shared" si="6"/>
        <v>11221.294428186153</v>
      </c>
      <c r="P71" s="50">
        <f t="shared" si="6"/>
        <v>11139.64951287964</v>
      </c>
      <c r="Q71" s="50">
        <f t="shared" si="6"/>
        <v>11137.86766178644</v>
      </c>
      <c r="R71" s="50">
        <f t="shared" si="6"/>
        <v>11195.365580828686</v>
      </c>
      <c r="S71" s="50">
        <f t="shared" si="6"/>
        <v>11954.295546889971</v>
      </c>
      <c r="T71" s="50">
        <f t="shared" si="6"/>
        <v>10905.727494755045</v>
      </c>
      <c r="U71" s="50">
        <f t="shared" si="6"/>
        <v>11747.936406558701</v>
      </c>
      <c r="V71" s="50">
        <f t="shared" si="6"/>
        <v>10945.011657479605</v>
      </c>
      <c r="W71" s="50">
        <f t="shared" si="6"/>
        <v>11808.065788500207</v>
      </c>
      <c r="X71" s="50">
        <f t="shared" si="6"/>
        <v>11955.232852076275</v>
      </c>
      <c r="Y71" s="50">
        <f t="shared" si="6"/>
        <v>11471.078766648425</v>
      </c>
      <c r="Z71" s="50">
        <f t="shared" si="6"/>
        <v>11473.389902134157</v>
      </c>
      <c r="AA71" s="50">
        <f t="shared" si="6"/>
        <v>11008.296599413403</v>
      </c>
      <c r="AB71" s="50">
        <f t="shared" si="6"/>
        <v>10981.536090694721</v>
      </c>
      <c r="AC71" s="50">
        <f t="shared" si="6"/>
        <v>11839.404325502657</v>
      </c>
      <c r="AD71" s="50">
        <f t="shared" si="6"/>
        <v>11405.859328410505</v>
      </c>
      <c r="AE71" s="50">
        <f t="shared" si="6"/>
        <v>11372.178661426535</v>
      </c>
      <c r="AF71" s="50">
        <f t="shared" si="6"/>
        <v>11043.769589547692</v>
      </c>
      <c r="AG71" s="50">
        <f t="shared" si="6"/>
        <v>11332.183812268091</v>
      </c>
      <c r="AH71" s="50">
        <f t="shared" si="6"/>
        <v>11319.982091034477</v>
      </c>
      <c r="AI71" s="50">
        <f t="shared" si="6"/>
        <v>11486.743139452767</v>
      </c>
      <c r="AJ71" s="50">
        <f t="shared" si="6"/>
        <v>11320.404868337913</v>
      </c>
      <c r="AK71" s="50">
        <f t="shared" si="6"/>
        <v>11039.463985592796</v>
      </c>
      <c r="AM71" s="40" t="s">
        <v>84</v>
      </c>
      <c r="AN71" t="s">
        <v>111</v>
      </c>
      <c r="AO71" t="s">
        <v>110</v>
      </c>
      <c r="AP71" t="s">
        <v>111</v>
      </c>
      <c r="AQ71" t="s">
        <v>112</v>
      </c>
      <c r="AR71" t="s">
        <v>109</v>
      </c>
      <c r="AS71" t="s">
        <v>109</v>
      </c>
      <c r="AT71" t="s">
        <v>113</v>
      </c>
      <c r="AU71" t="s">
        <v>114</v>
      </c>
      <c r="AV71" t="s">
        <v>110</v>
      </c>
      <c r="AW71" t="s">
        <v>112</v>
      </c>
      <c r="AX71" t="s">
        <v>108</v>
      </c>
      <c r="AY71" t="s">
        <v>113</v>
      </c>
      <c r="AZ71" t="s">
        <v>108</v>
      </c>
      <c r="BA71" t="s">
        <v>115</v>
      </c>
      <c r="BB71" t="s">
        <v>114</v>
      </c>
      <c r="BC71" t="s">
        <v>112</v>
      </c>
      <c r="BD71" t="s">
        <v>116</v>
      </c>
      <c r="BE71" t="s">
        <v>108</v>
      </c>
      <c r="BF71" t="s">
        <v>115</v>
      </c>
      <c r="BG71" t="s">
        <v>109</v>
      </c>
      <c r="BH71" t="s">
        <v>115</v>
      </c>
      <c r="BI71" t="s">
        <v>113</v>
      </c>
      <c r="BJ71" t="s">
        <v>111</v>
      </c>
      <c r="BK71" t="s">
        <v>115</v>
      </c>
      <c r="BL71" t="s">
        <v>109</v>
      </c>
      <c r="BM71" t="s">
        <v>108</v>
      </c>
      <c r="BN71" t="s">
        <v>110</v>
      </c>
      <c r="BO71" t="s">
        <v>113</v>
      </c>
      <c r="BP71" t="s">
        <v>111</v>
      </c>
      <c r="BQ71" t="s">
        <v>116</v>
      </c>
      <c r="BR71" t="s">
        <v>114</v>
      </c>
      <c r="BS71" t="s">
        <v>112</v>
      </c>
      <c r="BT71" t="s">
        <v>114</v>
      </c>
      <c r="BU71" t="s">
        <v>114</v>
      </c>
    </row>
    <row r="72" spans="1:73" x14ac:dyDescent="0.35">
      <c r="B72" s="69">
        <f t="shared" si="5"/>
        <v>100444.30838001192</v>
      </c>
      <c r="C72" s="37" t="s">
        <v>77</v>
      </c>
      <c r="D72" s="50">
        <f>D29</f>
        <v>11711.937023195615</v>
      </c>
      <c r="E72" s="50">
        <f t="shared" ref="E72:AK72" si="7">E29</f>
        <v>11518.312971675325</v>
      </c>
      <c r="F72" s="50">
        <f t="shared" si="7"/>
        <v>11389.258368768247</v>
      </c>
      <c r="G72" s="50">
        <f t="shared" si="7"/>
        <v>11357.057938780985</v>
      </c>
      <c r="H72" s="50">
        <f t="shared" si="7"/>
        <v>11260.203765861173</v>
      </c>
      <c r="I72" s="50">
        <f t="shared" si="7"/>
        <v>11324.77321447438</v>
      </c>
      <c r="J72" s="50">
        <f t="shared" si="7"/>
        <v>11292.488490167774</v>
      </c>
      <c r="K72" s="50">
        <f t="shared" si="7"/>
        <v>10969.894130059745</v>
      </c>
      <c r="L72" s="50">
        <f t="shared" si="7"/>
        <v>11582.882420288539</v>
      </c>
      <c r="M72" s="50">
        <f t="shared" si="7"/>
        <v>11421.543093074853</v>
      </c>
      <c r="N72" s="50">
        <f t="shared" si="7"/>
        <v>11615.167144595142</v>
      </c>
      <c r="O72" s="50">
        <f t="shared" si="7"/>
        <v>10937.609405753143</v>
      </c>
      <c r="P72" s="50">
        <f t="shared" si="7"/>
        <v>10873.039957139928</v>
      </c>
      <c r="Q72" s="50">
        <f t="shared" si="7"/>
        <v>10840.839527152668</v>
      </c>
      <c r="R72" s="50">
        <f t="shared" si="7"/>
        <v>10905.32468144654</v>
      </c>
      <c r="S72" s="50">
        <f t="shared" si="7"/>
        <v>11679.652298889012</v>
      </c>
      <c r="T72" s="50">
        <f t="shared" si="7"/>
        <v>10647.21547563238</v>
      </c>
      <c r="U72" s="50">
        <f t="shared" si="7"/>
        <v>11453.827817381454</v>
      </c>
      <c r="V72" s="50">
        <f t="shared" si="7"/>
        <v>10679.500199938984</v>
      </c>
      <c r="W72" s="50">
        <f t="shared" si="7"/>
        <v>11486.11254168806</v>
      </c>
      <c r="X72" s="50">
        <f t="shared" si="7"/>
        <v>11647.367574582411</v>
      </c>
      <c r="Y72" s="50">
        <f t="shared" si="7"/>
        <v>11163.433887260695</v>
      </c>
      <c r="Z72" s="50">
        <f t="shared" si="7"/>
        <v>11195.718611567301</v>
      </c>
      <c r="AA72" s="50">
        <f t="shared" si="7"/>
        <v>10743.985354232851</v>
      </c>
      <c r="AB72" s="50">
        <f t="shared" si="7"/>
        <v>10711.78492424559</v>
      </c>
      <c r="AC72" s="50">
        <f t="shared" si="7"/>
        <v>11550.597695981936</v>
      </c>
      <c r="AD72" s="50">
        <f t="shared" si="7"/>
        <v>11131.149162954089</v>
      </c>
      <c r="AE72" s="50">
        <f t="shared" si="7"/>
        <v>11098.948732966823</v>
      </c>
      <c r="AF72" s="50">
        <f t="shared" si="7"/>
        <v>10808.554802846062</v>
      </c>
      <c r="AG72" s="50">
        <f t="shared" si="7"/>
        <v>11066.664008660222</v>
      </c>
      <c r="AH72" s="50">
        <f t="shared" si="7"/>
        <v>11002.094560047011</v>
      </c>
      <c r="AI72" s="50">
        <f t="shared" si="7"/>
        <v>11228.003335873904</v>
      </c>
      <c r="AJ72" s="50">
        <f t="shared" si="7"/>
        <v>11034.379284353612</v>
      </c>
      <c r="AK72" s="50">
        <f t="shared" si="7"/>
        <v>10776.270078539457</v>
      </c>
      <c r="AM72" s="37" t="s">
        <v>77</v>
      </c>
      <c r="AN72" t="s">
        <v>108</v>
      </c>
      <c r="AO72" t="s">
        <v>115</v>
      </c>
      <c r="AP72" t="s">
        <v>111</v>
      </c>
      <c r="AQ72" t="s">
        <v>114</v>
      </c>
      <c r="AR72" t="s">
        <v>116</v>
      </c>
      <c r="AS72" t="s">
        <v>110</v>
      </c>
      <c r="AT72" t="s">
        <v>112</v>
      </c>
      <c r="AU72" t="s">
        <v>115</v>
      </c>
      <c r="AV72" t="s">
        <v>110</v>
      </c>
      <c r="AW72" t="s">
        <v>116</v>
      </c>
      <c r="AX72" t="s">
        <v>116</v>
      </c>
      <c r="AY72" t="s">
        <v>115</v>
      </c>
      <c r="AZ72" t="s">
        <v>112</v>
      </c>
      <c r="BA72" t="s">
        <v>112</v>
      </c>
      <c r="BB72" t="s">
        <v>110</v>
      </c>
      <c r="BC72" t="s">
        <v>108</v>
      </c>
      <c r="BD72" t="s">
        <v>115</v>
      </c>
      <c r="BE72" t="s">
        <v>110</v>
      </c>
      <c r="BF72" t="s">
        <v>115</v>
      </c>
      <c r="BG72" t="s">
        <v>111</v>
      </c>
      <c r="BH72" t="s">
        <v>116</v>
      </c>
      <c r="BI72" t="s">
        <v>115</v>
      </c>
      <c r="BJ72" t="s">
        <v>112</v>
      </c>
      <c r="BK72" t="s">
        <v>112</v>
      </c>
      <c r="BL72" t="s">
        <v>113</v>
      </c>
      <c r="BM72" t="s">
        <v>108</v>
      </c>
      <c r="BN72" t="s">
        <v>111</v>
      </c>
      <c r="BO72" t="s">
        <v>115</v>
      </c>
      <c r="BP72" t="s">
        <v>114</v>
      </c>
      <c r="BQ72" t="s">
        <v>113</v>
      </c>
      <c r="BR72" t="s">
        <v>115</v>
      </c>
      <c r="BS72" t="s">
        <v>112</v>
      </c>
      <c r="BT72" t="s">
        <v>109</v>
      </c>
      <c r="BU72" t="s">
        <v>113</v>
      </c>
    </row>
    <row r="73" spans="1:73" x14ac:dyDescent="0.35">
      <c r="A73" s="3"/>
      <c r="B73" s="69">
        <f t="shared" si="5"/>
        <v>54843.816299152502</v>
      </c>
      <c r="C73" s="39" t="s">
        <v>93</v>
      </c>
      <c r="D73" s="32">
        <v>12572.613840212487</v>
      </c>
      <c r="E73" s="32">
        <v>12364.831191403962</v>
      </c>
      <c r="F73" s="32">
        <v>12226.229262472669</v>
      </c>
      <c r="G73" s="32">
        <v>12191.598821004574</v>
      </c>
      <c r="H73" s="32">
        <v>12087.707496600318</v>
      </c>
      <c r="I73" s="32">
        <v>12156.968379536493</v>
      </c>
      <c r="J73" s="32">
        <v>12122.337938068404</v>
      </c>
      <c r="K73" s="32">
        <v>11776.033523387532</v>
      </c>
      <c r="L73" s="32">
        <v>12434.092074340138</v>
      </c>
      <c r="M73" s="32">
        <v>12260.859703940749</v>
      </c>
      <c r="N73" s="32">
        <v>12468.722515808226</v>
      </c>
      <c r="O73" s="32">
        <v>11741.403081919447</v>
      </c>
      <c r="P73" s="32">
        <v>11672.062035924322</v>
      </c>
      <c r="Q73" s="32">
        <v>11637.43159445624</v>
      </c>
      <c r="R73" s="32">
        <v>11706.692477392409</v>
      </c>
      <c r="S73" s="32">
        <v>12537.983398744396</v>
      </c>
      <c r="T73" s="32">
        <v>11429.648945647712</v>
      </c>
      <c r="U73" s="32">
        <v>12295.570308467793</v>
      </c>
      <c r="V73" s="32">
        <v>11464.279387115805</v>
      </c>
      <c r="W73" s="32">
        <v>12330.200749935882</v>
      </c>
      <c r="X73" s="32">
        <v>12503.352957276311</v>
      </c>
      <c r="Y73" s="32">
        <v>11983.816172196057</v>
      </c>
      <c r="Z73" s="32">
        <v>12018.446613664149</v>
      </c>
      <c r="AA73" s="32">
        <v>11533.540270051981</v>
      </c>
      <c r="AB73" s="32">
        <v>11498.909828583888</v>
      </c>
      <c r="AC73" s="32">
        <v>12399.461632872055</v>
      </c>
      <c r="AD73" s="32">
        <v>11949.185730727972</v>
      </c>
      <c r="AE73" s="32">
        <v>11914.555289259881</v>
      </c>
      <c r="AF73" s="32">
        <v>11602.80115298815</v>
      </c>
      <c r="AG73" s="32">
        <v>11879.924847791797</v>
      </c>
      <c r="AH73" s="32">
        <v>11810.663964855625</v>
      </c>
      <c r="AI73" s="32">
        <v>12053.077055132231</v>
      </c>
      <c r="AJ73" s="32">
        <v>11845.294406323712</v>
      </c>
      <c r="AK73" s="32">
        <v>11568.170711520059</v>
      </c>
      <c r="AM73" s="39" t="s">
        <v>93</v>
      </c>
      <c r="AN73" t="s">
        <v>111</v>
      </c>
      <c r="AO73" t="s">
        <v>114</v>
      </c>
      <c r="AP73" t="s">
        <v>116</v>
      </c>
      <c r="AQ73" t="s">
        <v>115</v>
      </c>
      <c r="AR73" t="s">
        <v>116</v>
      </c>
      <c r="AS73" t="s">
        <v>114</v>
      </c>
      <c r="AT73" t="s">
        <v>111</v>
      </c>
      <c r="AU73" t="s">
        <v>112</v>
      </c>
      <c r="AV73" t="s">
        <v>111</v>
      </c>
      <c r="AW73" t="s">
        <v>116</v>
      </c>
      <c r="AX73" t="s">
        <v>112</v>
      </c>
      <c r="AY73" t="s">
        <v>112</v>
      </c>
      <c r="AZ73" t="s">
        <v>108</v>
      </c>
      <c r="BA73" t="s">
        <v>112</v>
      </c>
      <c r="BB73" t="s">
        <v>116</v>
      </c>
      <c r="BC73" t="s">
        <v>108</v>
      </c>
      <c r="BD73" t="s">
        <v>116</v>
      </c>
      <c r="BE73" t="s">
        <v>114</v>
      </c>
      <c r="BF73" t="s">
        <v>112</v>
      </c>
      <c r="BG73" t="s">
        <v>111</v>
      </c>
      <c r="BH73" t="s">
        <v>112</v>
      </c>
      <c r="BI73" t="s">
        <v>111</v>
      </c>
      <c r="BJ73" t="s">
        <v>111</v>
      </c>
      <c r="BK73" t="s">
        <v>116</v>
      </c>
      <c r="BL73" t="s">
        <v>114</v>
      </c>
      <c r="BM73" t="s">
        <v>116</v>
      </c>
      <c r="BN73" t="s">
        <v>113</v>
      </c>
      <c r="BO73" t="s">
        <v>116</v>
      </c>
      <c r="BP73" t="s">
        <v>109</v>
      </c>
      <c r="BQ73" t="s">
        <v>111</v>
      </c>
      <c r="BR73" t="s">
        <v>109</v>
      </c>
      <c r="BS73" t="s">
        <v>113</v>
      </c>
      <c r="BT73" t="s">
        <v>111</v>
      </c>
      <c r="BU73" t="s">
        <v>114</v>
      </c>
    </row>
    <row r="74" spans="1:73" x14ac:dyDescent="0.35">
      <c r="B74" s="69">
        <f t="shared" si="5"/>
        <v>14145.121883686437</v>
      </c>
      <c r="C74" s="39" t="s">
        <v>94</v>
      </c>
      <c r="D74" s="32">
        <v>10774.636590935363</v>
      </c>
      <c r="E74" s="32">
        <v>10596.514273939789</v>
      </c>
      <c r="F74" s="32">
        <v>10477.792783629053</v>
      </c>
      <c r="G74" s="32">
        <v>10448.132451816113</v>
      </c>
      <c r="H74" s="32">
        <v>10359.071293318319</v>
      </c>
      <c r="I74" s="32">
        <v>10418.472120003167</v>
      </c>
      <c r="J74" s="32">
        <v>10388.731625131266</v>
      </c>
      <c r="K74" s="32">
        <v>10091.967980883908</v>
      </c>
      <c r="L74" s="32">
        <v>10655.915100624627</v>
      </c>
      <c r="M74" s="32">
        <v>10507.533278500954</v>
      </c>
      <c r="N74" s="32">
        <v>10685.57543243757</v>
      </c>
      <c r="O74" s="32">
        <v>10062.227486012014</v>
      </c>
      <c r="P74" s="32">
        <v>10002.906822386121</v>
      </c>
      <c r="Q74" s="32">
        <v>9973.2464905731795</v>
      </c>
      <c r="R74" s="32">
        <v>10032.567154199072</v>
      </c>
      <c r="S74" s="32">
        <v>10744.976259122417</v>
      </c>
      <c r="T74" s="32">
        <v>9795.1241735776002</v>
      </c>
      <c r="U74" s="32">
        <v>10537.193610313898</v>
      </c>
      <c r="V74" s="32">
        <v>9824.7845053905494</v>
      </c>
      <c r="W74" s="32">
        <v>10566.85394212684</v>
      </c>
      <c r="X74" s="32">
        <v>10715.235764250516</v>
      </c>
      <c r="Y74" s="32">
        <v>10270.010134820528</v>
      </c>
      <c r="Z74" s="32">
        <v>10299.750629692428</v>
      </c>
      <c r="AA74" s="32">
        <v>9884.1853320753908</v>
      </c>
      <c r="AB74" s="32">
        <v>9854.5250002624452</v>
      </c>
      <c r="AC74" s="32">
        <v>10626.254768811679</v>
      </c>
      <c r="AD74" s="32">
        <v>10240.349803007586</v>
      </c>
      <c r="AE74" s="32">
        <v>10210.689471194642</v>
      </c>
      <c r="AF74" s="32">
        <v>9943.5059957012818</v>
      </c>
      <c r="AG74" s="32">
        <v>10181.029139381695</v>
      </c>
      <c r="AH74" s="32">
        <v>10121.628312696856</v>
      </c>
      <c r="AI74" s="32">
        <v>10329.410961505377</v>
      </c>
      <c r="AJ74" s="32">
        <v>10151.288644509801</v>
      </c>
      <c r="AK74" s="32">
        <v>9913.8456638883308</v>
      </c>
      <c r="AM74" s="39" t="s">
        <v>94</v>
      </c>
      <c r="AN74" t="s">
        <v>112</v>
      </c>
      <c r="AO74" t="s">
        <v>110</v>
      </c>
      <c r="AP74" t="s">
        <v>112</v>
      </c>
      <c r="AQ74" t="s">
        <v>112</v>
      </c>
      <c r="AR74" t="s">
        <v>108</v>
      </c>
      <c r="AS74" t="s">
        <v>112</v>
      </c>
      <c r="AT74" t="s">
        <v>113</v>
      </c>
      <c r="AU74" t="s">
        <v>113</v>
      </c>
      <c r="AV74" t="s">
        <v>115</v>
      </c>
      <c r="AW74" t="s">
        <v>115</v>
      </c>
      <c r="AX74" t="s">
        <v>109</v>
      </c>
      <c r="AY74" t="s">
        <v>116</v>
      </c>
      <c r="AZ74" t="s">
        <v>109</v>
      </c>
      <c r="BA74" t="s">
        <v>111</v>
      </c>
      <c r="BB74" t="s">
        <v>113</v>
      </c>
      <c r="BC74" t="s">
        <v>116</v>
      </c>
      <c r="BD74" t="s">
        <v>109</v>
      </c>
      <c r="BE74" t="s">
        <v>112</v>
      </c>
      <c r="BF74" t="s">
        <v>111</v>
      </c>
      <c r="BG74" t="s">
        <v>114</v>
      </c>
      <c r="BH74" t="s">
        <v>116</v>
      </c>
      <c r="BI74" t="s">
        <v>115</v>
      </c>
      <c r="BJ74" t="s">
        <v>114</v>
      </c>
      <c r="BK74" t="s">
        <v>112</v>
      </c>
      <c r="BL74" t="s">
        <v>116</v>
      </c>
      <c r="BM74" t="s">
        <v>110</v>
      </c>
      <c r="BN74" t="s">
        <v>113</v>
      </c>
      <c r="BO74" t="s">
        <v>114</v>
      </c>
      <c r="BP74" t="s">
        <v>114</v>
      </c>
      <c r="BQ74" t="s">
        <v>111</v>
      </c>
      <c r="BR74" t="s">
        <v>114</v>
      </c>
      <c r="BS74" t="s">
        <v>110</v>
      </c>
      <c r="BT74" t="s">
        <v>115</v>
      </c>
      <c r="BU74" t="s">
        <v>112</v>
      </c>
    </row>
    <row r="75" spans="1:73" x14ac:dyDescent="0.35">
      <c r="B75" s="69">
        <f t="shared" si="5"/>
        <v>10899.393363914691</v>
      </c>
      <c r="C75" s="39" t="s">
        <v>95</v>
      </c>
      <c r="D75" s="32">
        <v>11181.143462890614</v>
      </c>
      <c r="E75" s="32">
        <v>10996.367612001861</v>
      </c>
      <c r="F75" s="32">
        <v>10873.156990389713</v>
      </c>
      <c r="G75" s="32">
        <v>10842.294212692455</v>
      </c>
      <c r="H75" s="32">
        <v>10749.946368777557</v>
      </c>
      <c r="I75" s="32">
        <v>10811.511598054154</v>
      </c>
      <c r="J75" s="32">
        <v>10780.728983415856</v>
      </c>
      <c r="K75" s="32">
        <v>10472.662347856001</v>
      </c>
      <c r="L75" s="32">
        <v>11057.932841278462</v>
      </c>
      <c r="M75" s="32">
        <v>10903.93960502801</v>
      </c>
      <c r="N75" s="32">
        <v>11088.715455916761</v>
      </c>
      <c r="O75" s="32">
        <v>10441.879733217704</v>
      </c>
      <c r="P75" s="32">
        <v>10380.314503941103</v>
      </c>
      <c r="Q75" s="32">
        <v>10349.451726243849</v>
      </c>
      <c r="R75" s="32">
        <v>10411.097118579404</v>
      </c>
      <c r="S75" s="32">
        <v>11150.360848252312</v>
      </c>
      <c r="T75" s="32">
        <v>10164.6758753551</v>
      </c>
      <c r="U75" s="32">
        <v>10934.722219666304</v>
      </c>
      <c r="V75" s="32">
        <v>10195.458489993402</v>
      </c>
      <c r="W75" s="32">
        <v>10965.504834304607</v>
      </c>
      <c r="X75" s="32">
        <v>11119.578233614011</v>
      </c>
      <c r="Y75" s="32">
        <v>10657.518361803706</v>
      </c>
      <c r="Z75" s="32">
        <v>10688.300976442009</v>
      </c>
      <c r="AA75" s="32">
        <v>10257.103882328953</v>
      </c>
      <c r="AB75" s="32">
        <v>10226.241104631701</v>
      </c>
      <c r="AC75" s="32">
        <v>11027.150226640164</v>
      </c>
      <c r="AD75" s="32">
        <v>10626.735747165407</v>
      </c>
      <c r="AE75" s="32">
        <v>10595.872969468153</v>
      </c>
      <c r="AF75" s="32">
        <v>10318.669111605546</v>
      </c>
      <c r="AG75" s="32">
        <v>10565.090354829852</v>
      </c>
      <c r="AH75" s="32">
        <v>10503.525125553258</v>
      </c>
      <c r="AI75" s="32">
        <v>10719.083591080302</v>
      </c>
      <c r="AJ75" s="32">
        <v>10534.307740191554</v>
      </c>
      <c r="AK75" s="32">
        <v>10287.886496967258</v>
      </c>
      <c r="AM75" s="39" t="s">
        <v>95</v>
      </c>
      <c r="AN75" t="s">
        <v>113</v>
      </c>
      <c r="AO75" t="s">
        <v>116</v>
      </c>
      <c r="AP75" t="s">
        <v>113</v>
      </c>
      <c r="AQ75" t="s">
        <v>109</v>
      </c>
      <c r="AR75" t="s">
        <v>111</v>
      </c>
      <c r="AS75" t="s">
        <v>113</v>
      </c>
      <c r="AT75" t="s">
        <v>111</v>
      </c>
      <c r="AU75" t="s">
        <v>111</v>
      </c>
      <c r="AV75" t="s">
        <v>111</v>
      </c>
      <c r="AW75" t="s">
        <v>112</v>
      </c>
      <c r="AX75" t="s">
        <v>110</v>
      </c>
      <c r="AY75" t="s">
        <v>115</v>
      </c>
      <c r="AZ75" t="s">
        <v>114</v>
      </c>
      <c r="BA75" t="s">
        <v>115</v>
      </c>
      <c r="BB75" t="s">
        <v>115</v>
      </c>
      <c r="BC75" t="s">
        <v>116</v>
      </c>
      <c r="BD75" t="s">
        <v>111</v>
      </c>
      <c r="BE75" t="s">
        <v>113</v>
      </c>
      <c r="BF75" t="s">
        <v>110</v>
      </c>
      <c r="BG75" t="s">
        <v>110</v>
      </c>
      <c r="BH75" t="s">
        <v>108</v>
      </c>
      <c r="BI75" t="s">
        <v>108</v>
      </c>
      <c r="BJ75" t="s">
        <v>116</v>
      </c>
      <c r="BK75" t="s">
        <v>108</v>
      </c>
      <c r="BL75" t="s">
        <v>109</v>
      </c>
      <c r="BM75" t="s">
        <v>111</v>
      </c>
      <c r="BN75" t="s">
        <v>110</v>
      </c>
      <c r="BO75" t="s">
        <v>108</v>
      </c>
      <c r="BP75" t="s">
        <v>115</v>
      </c>
      <c r="BQ75" t="s">
        <v>113</v>
      </c>
      <c r="BR75" t="s">
        <v>108</v>
      </c>
      <c r="BS75" t="s">
        <v>114</v>
      </c>
      <c r="BT75" t="s">
        <v>109</v>
      </c>
      <c r="BU75" t="s">
        <v>116</v>
      </c>
    </row>
    <row r="76" spans="1:73" x14ac:dyDescent="0.35">
      <c r="B76" s="69">
        <f t="shared" si="5"/>
        <v>5972.7081805719454</v>
      </c>
      <c r="C76" s="39" t="s">
        <v>96</v>
      </c>
      <c r="D76" s="32">
        <v>11400.710081365354</v>
      </c>
      <c r="E76" s="32">
        <v>11212.246729764724</v>
      </c>
      <c r="F76" s="32">
        <v>11086.631216383958</v>
      </c>
      <c r="G76" s="32">
        <v>11055.207297274032</v>
      </c>
      <c r="H76" s="32">
        <v>10961.01570300319</v>
      </c>
      <c r="I76" s="32">
        <v>11023.863541223047</v>
      </c>
      <c r="J76" s="32">
        <v>10992.439622113119</v>
      </c>
      <c r="K76" s="32">
        <v>10678.360757131719</v>
      </c>
      <c r="L76" s="32">
        <v>11275.094567984588</v>
      </c>
      <c r="M76" s="32">
        <v>11118.055135493891</v>
      </c>
      <c r="N76" s="32">
        <v>11306.518487094518</v>
      </c>
      <c r="O76" s="32">
        <v>10646.936838021791</v>
      </c>
      <c r="P76" s="32">
        <v>10584.169162860886</v>
      </c>
      <c r="Q76" s="32">
        <v>10552.745243750956</v>
      </c>
      <c r="R76" s="32">
        <v>10615.512918911862</v>
      </c>
      <c r="S76" s="32">
        <v>11369.286162255428</v>
      </c>
      <c r="T76" s="32">
        <v>10364.281892150322</v>
      </c>
      <c r="U76" s="32">
        <v>11149.479054603818</v>
      </c>
      <c r="V76" s="32">
        <v>10395.705811260254</v>
      </c>
      <c r="W76" s="32">
        <v>11180.822810654796</v>
      </c>
      <c r="X76" s="32">
        <v>11337.862243145491</v>
      </c>
      <c r="Y76" s="32">
        <v>10866.824108732353</v>
      </c>
      <c r="Z76" s="32">
        <v>10898.167864783327</v>
      </c>
      <c r="AA76" s="32">
        <v>10458.47348642116</v>
      </c>
      <c r="AB76" s="32">
        <v>10427.129730370183</v>
      </c>
      <c r="AC76" s="32">
        <v>11243.670648874655</v>
      </c>
      <c r="AD76" s="32">
        <v>10835.400189622422</v>
      </c>
      <c r="AE76" s="32">
        <v>10803.97627051249</v>
      </c>
      <c r="AF76" s="32">
        <v>10521.321324641023</v>
      </c>
      <c r="AG76" s="32">
        <v>10772.552351402557</v>
      </c>
      <c r="AH76" s="32">
        <v>10709.784676241654</v>
      </c>
      <c r="AI76" s="32">
        <v>10929.591783893256</v>
      </c>
      <c r="AJ76" s="32">
        <v>10741.128432292631</v>
      </c>
      <c r="AK76" s="32">
        <v>10489.897405531092</v>
      </c>
      <c r="AM76" s="39" t="s">
        <v>96</v>
      </c>
      <c r="AN76" t="s">
        <v>111</v>
      </c>
      <c r="AO76" t="s">
        <v>108</v>
      </c>
      <c r="AP76" t="s">
        <v>111</v>
      </c>
      <c r="AQ76" t="s">
        <v>108</v>
      </c>
      <c r="AR76" t="s">
        <v>109</v>
      </c>
      <c r="AS76" t="s">
        <v>111</v>
      </c>
      <c r="AT76" t="s">
        <v>116</v>
      </c>
      <c r="AU76" t="s">
        <v>114</v>
      </c>
      <c r="AV76" t="s">
        <v>111</v>
      </c>
      <c r="AW76" t="s">
        <v>109</v>
      </c>
      <c r="AX76" t="s">
        <v>112</v>
      </c>
      <c r="AY76" t="s">
        <v>116</v>
      </c>
      <c r="AZ76" t="s">
        <v>109</v>
      </c>
      <c r="BA76" t="s">
        <v>116</v>
      </c>
      <c r="BB76" t="s">
        <v>114</v>
      </c>
      <c r="BC76" t="s">
        <v>114</v>
      </c>
      <c r="BD76" t="s">
        <v>109</v>
      </c>
      <c r="BE76" t="s">
        <v>111</v>
      </c>
      <c r="BF76" t="s">
        <v>111</v>
      </c>
      <c r="BG76" t="s">
        <v>109</v>
      </c>
      <c r="BH76" t="s">
        <v>112</v>
      </c>
      <c r="BI76" t="s">
        <v>111</v>
      </c>
      <c r="BJ76" t="s">
        <v>110</v>
      </c>
      <c r="BK76" t="s">
        <v>116</v>
      </c>
      <c r="BL76" t="s">
        <v>109</v>
      </c>
      <c r="BM76" t="s">
        <v>114</v>
      </c>
      <c r="BN76" t="s">
        <v>115</v>
      </c>
      <c r="BO76" t="s">
        <v>111</v>
      </c>
      <c r="BP76" t="s">
        <v>114</v>
      </c>
      <c r="BQ76" t="s">
        <v>108</v>
      </c>
      <c r="BR76" t="s">
        <v>114</v>
      </c>
      <c r="BS76" t="s">
        <v>116</v>
      </c>
      <c r="BT76" t="s">
        <v>116</v>
      </c>
      <c r="BU76" t="s">
        <v>111</v>
      </c>
    </row>
    <row r="77" spans="1:73" x14ac:dyDescent="0.35">
      <c r="B77" s="69">
        <f t="shared" si="5"/>
        <v>7947.5907545339278</v>
      </c>
      <c r="C77" s="39" t="s">
        <v>97</v>
      </c>
      <c r="D77" s="32">
        <v>14064.608693462555</v>
      </c>
      <c r="E77" s="32">
        <v>13832.135822496237</v>
      </c>
      <c r="F77" s="32">
        <v>13677.180629538341</v>
      </c>
      <c r="G77" s="32">
        <v>13638.381709004645</v>
      </c>
      <c r="H77" s="32">
        <v>13522.145273521488</v>
      </c>
      <c r="I77" s="32">
        <v>13599.662951529912</v>
      </c>
      <c r="J77" s="32">
        <v>13560.944194055179</v>
      </c>
      <c r="K77" s="32">
        <v>13173.435967072002</v>
      </c>
      <c r="L77" s="32">
        <v>13909.653500504663</v>
      </c>
      <c r="M77" s="32">
        <v>13715.89938701308</v>
      </c>
      <c r="N77" s="32">
        <v>13948.372257979396</v>
      </c>
      <c r="O77" s="32">
        <v>13134.717209597266</v>
      </c>
      <c r="P77" s="32">
        <v>13057.199531588842</v>
      </c>
      <c r="Q77" s="32">
        <v>13018.480774114103</v>
      </c>
      <c r="R77" s="32">
        <v>13095.998452122531</v>
      </c>
      <c r="S77" s="32">
        <v>14025.889935987825</v>
      </c>
      <c r="T77" s="32">
        <v>12786.007903147782</v>
      </c>
      <c r="U77" s="32">
        <v>13754.618144487806</v>
      </c>
      <c r="V77" s="32">
        <v>12824.72666062252</v>
      </c>
      <c r="W77" s="32">
        <v>13793.417065021502</v>
      </c>
      <c r="X77" s="32">
        <v>13987.091015454131</v>
      </c>
      <c r="Y77" s="32">
        <v>13405.908838038327</v>
      </c>
      <c r="Z77" s="32">
        <v>13444.707758572014</v>
      </c>
      <c r="AA77" s="32">
        <v>12902.244338630942</v>
      </c>
      <c r="AB77" s="32">
        <v>12863.525581156209</v>
      </c>
      <c r="AC77" s="32">
        <v>13870.854579970968</v>
      </c>
      <c r="AD77" s="32">
        <v>13367.190080563587</v>
      </c>
      <c r="AE77" s="32">
        <v>13328.47132308885</v>
      </c>
      <c r="AF77" s="32">
        <v>12979.762016639372</v>
      </c>
      <c r="AG77" s="32">
        <v>13289.672402555165</v>
      </c>
      <c r="AH77" s="32">
        <v>13212.234887605691</v>
      </c>
      <c r="AI77" s="32">
        <v>13483.426516046753</v>
      </c>
      <c r="AJ77" s="32">
        <v>13250.953645080426</v>
      </c>
      <c r="AK77" s="32">
        <v>12940.963096105679</v>
      </c>
      <c r="AM77" s="39" t="s">
        <v>97</v>
      </c>
      <c r="AN77" t="s">
        <v>110</v>
      </c>
      <c r="AO77" t="s">
        <v>115</v>
      </c>
      <c r="AP77" t="s">
        <v>112</v>
      </c>
      <c r="AQ77" t="s">
        <v>111</v>
      </c>
      <c r="AR77" t="s">
        <v>112</v>
      </c>
      <c r="AS77" t="s">
        <v>108</v>
      </c>
      <c r="AT77" t="s">
        <v>116</v>
      </c>
      <c r="AU77" t="s">
        <v>113</v>
      </c>
      <c r="AV77" t="s">
        <v>114</v>
      </c>
      <c r="AW77" t="s">
        <v>115</v>
      </c>
      <c r="AX77" t="s">
        <v>115</v>
      </c>
      <c r="AY77" t="s">
        <v>108</v>
      </c>
      <c r="AZ77" t="s">
        <v>113</v>
      </c>
      <c r="BA77" t="s">
        <v>114</v>
      </c>
      <c r="BB77" t="s">
        <v>108</v>
      </c>
      <c r="BC77" t="s">
        <v>112</v>
      </c>
      <c r="BD77" t="s">
        <v>112</v>
      </c>
      <c r="BE77" t="s">
        <v>114</v>
      </c>
      <c r="BF77" t="s">
        <v>112</v>
      </c>
      <c r="BG77" t="s">
        <v>115</v>
      </c>
      <c r="BH77" t="s">
        <v>109</v>
      </c>
      <c r="BI77" t="s">
        <v>116</v>
      </c>
      <c r="BJ77" t="s">
        <v>114</v>
      </c>
      <c r="BK77" t="s">
        <v>108</v>
      </c>
      <c r="BL77" t="s">
        <v>112</v>
      </c>
      <c r="BM77" t="s">
        <v>110</v>
      </c>
      <c r="BN77" t="s">
        <v>112</v>
      </c>
      <c r="BO77" t="s">
        <v>114</v>
      </c>
      <c r="BP77" t="s">
        <v>113</v>
      </c>
      <c r="BQ77" t="s">
        <v>109</v>
      </c>
      <c r="BR77" t="s">
        <v>112</v>
      </c>
      <c r="BS77" t="s">
        <v>111</v>
      </c>
      <c r="BT77" t="s">
        <v>112</v>
      </c>
      <c r="BU77" t="s">
        <v>108</v>
      </c>
    </row>
    <row r="78" spans="1:73" x14ac:dyDescent="0.35">
      <c r="B78" s="69">
        <f t="shared" si="5"/>
        <v>6635.6778981523994</v>
      </c>
      <c r="C78" s="39" t="s">
        <v>98</v>
      </c>
      <c r="D78" s="32">
        <v>9406.0928484743035</v>
      </c>
      <c r="E78" s="32">
        <v>9250.6566771626804</v>
      </c>
      <c r="F78" s="32">
        <v>9147.0058419352845</v>
      </c>
      <c r="G78" s="32">
        <v>9121.0330108342132</v>
      </c>
      <c r="H78" s="32">
        <v>9043.3550067078831</v>
      </c>
      <c r="I78" s="32">
        <v>9095.140342792105</v>
      </c>
      <c r="J78" s="32">
        <v>9069.2476747499932</v>
      </c>
      <c r="K78" s="32">
        <v>8810.0805051520238</v>
      </c>
      <c r="L78" s="32">
        <v>9302.4420132469058</v>
      </c>
      <c r="M78" s="32">
        <v>9172.8985099773945</v>
      </c>
      <c r="N78" s="32">
        <v>9328.3346812890159</v>
      </c>
      <c r="O78" s="32">
        <v>8784.1878371099119</v>
      </c>
      <c r="P78" s="32">
        <v>8732.4025010256864</v>
      </c>
      <c r="Q78" s="32">
        <v>8706.4296699246206</v>
      </c>
      <c r="R78" s="32">
        <v>8758.2951690678037</v>
      </c>
      <c r="S78" s="32">
        <v>9380.2001804321917</v>
      </c>
      <c r="T78" s="32">
        <v>8550.9934986130011</v>
      </c>
      <c r="U78" s="32">
        <v>9198.7911780195045</v>
      </c>
      <c r="V78" s="32">
        <v>8576.8861666551147</v>
      </c>
      <c r="W78" s="32">
        <v>9224.6838460616182</v>
      </c>
      <c r="X78" s="32">
        <v>9354.3075123900799</v>
      </c>
      <c r="Y78" s="32">
        <v>8965.5968395225991</v>
      </c>
      <c r="Z78" s="32">
        <v>8991.4895075647037</v>
      </c>
      <c r="AA78" s="32">
        <v>8628.7516657982906</v>
      </c>
      <c r="AB78" s="32">
        <v>8602.7788346972247</v>
      </c>
      <c r="AC78" s="32">
        <v>9276.549345204794</v>
      </c>
      <c r="AD78" s="32">
        <v>8939.7041714804836</v>
      </c>
      <c r="AE78" s="32">
        <v>8913.7313403794233</v>
      </c>
      <c r="AF78" s="32">
        <v>8680.5370018825106</v>
      </c>
      <c r="AG78" s="32">
        <v>8887.8386723373114</v>
      </c>
      <c r="AH78" s="32">
        <v>8836.0533362530896</v>
      </c>
      <c r="AI78" s="32">
        <v>9017.3821756068228</v>
      </c>
      <c r="AJ78" s="32">
        <v>8861.946004295196</v>
      </c>
      <c r="AK78" s="32">
        <v>8654.6443338403969</v>
      </c>
      <c r="AM78" s="39" t="s">
        <v>98</v>
      </c>
      <c r="AN78" t="s">
        <v>110</v>
      </c>
      <c r="AO78" t="s">
        <v>112</v>
      </c>
      <c r="AP78" t="s">
        <v>116</v>
      </c>
      <c r="AQ78" t="s">
        <v>109</v>
      </c>
      <c r="AR78" t="s">
        <v>116</v>
      </c>
      <c r="AS78" t="s">
        <v>112</v>
      </c>
      <c r="AT78" t="s">
        <v>108</v>
      </c>
      <c r="AU78" t="s">
        <v>112</v>
      </c>
      <c r="AV78" t="s">
        <v>112</v>
      </c>
      <c r="AW78" t="s">
        <v>112</v>
      </c>
      <c r="AX78" t="s">
        <v>116</v>
      </c>
      <c r="AY78" t="s">
        <v>116</v>
      </c>
      <c r="AZ78" t="s">
        <v>109</v>
      </c>
      <c r="BA78" t="s">
        <v>115</v>
      </c>
      <c r="BB78" t="s">
        <v>110</v>
      </c>
      <c r="BC78" t="s">
        <v>116</v>
      </c>
      <c r="BD78" t="s">
        <v>108</v>
      </c>
      <c r="BE78" t="s">
        <v>116</v>
      </c>
      <c r="BF78" t="s">
        <v>108</v>
      </c>
      <c r="BG78" t="s">
        <v>112</v>
      </c>
      <c r="BH78" t="s">
        <v>114</v>
      </c>
      <c r="BI78" t="s">
        <v>113</v>
      </c>
      <c r="BJ78" t="s">
        <v>112</v>
      </c>
      <c r="BK78" t="s">
        <v>108</v>
      </c>
      <c r="BL78" t="s">
        <v>114</v>
      </c>
      <c r="BM78" t="s">
        <v>114</v>
      </c>
      <c r="BN78" t="s">
        <v>114</v>
      </c>
      <c r="BO78" t="s">
        <v>112</v>
      </c>
      <c r="BP78" t="s">
        <v>114</v>
      </c>
      <c r="BQ78" t="s">
        <v>111</v>
      </c>
      <c r="BR78" t="s">
        <v>115</v>
      </c>
      <c r="BS78" t="s">
        <v>108</v>
      </c>
      <c r="BT78" t="s">
        <v>108</v>
      </c>
      <c r="BU78" t="s">
        <v>116</v>
      </c>
    </row>
    <row r="79" spans="1:73" x14ac:dyDescent="0.35">
      <c r="B79" s="69">
        <f t="shared" si="5"/>
        <v>115413.81407231909</v>
      </c>
      <c r="C79" s="37" t="s">
        <v>78</v>
      </c>
      <c r="D79" s="50">
        <f>D30</f>
        <v>15596.134963989414</v>
      </c>
      <c r="E79" s="50">
        <f t="shared" ref="E79:AK79" si="8">E30</f>
        <v>15338.362935452604</v>
      </c>
      <c r="F79" s="50">
        <f t="shared" si="8"/>
        <v>15166.486818321624</v>
      </c>
      <c r="G79" s="50">
        <f t="shared" si="8"/>
        <v>15123.496715459047</v>
      </c>
      <c r="H79" s="50">
        <f t="shared" si="8"/>
        <v>14994.610701190642</v>
      </c>
      <c r="I79" s="50">
        <f t="shared" si="8"/>
        <v>15080.59090691581</v>
      </c>
      <c r="J79" s="50">
        <f t="shared" si="8"/>
        <v>15037.600804053227</v>
      </c>
      <c r="K79" s="50">
        <f t="shared" si="8"/>
        <v>14607.952658385437</v>
      </c>
      <c r="L79" s="50">
        <f t="shared" si="8"/>
        <v>15424.258846858429</v>
      </c>
      <c r="M79" s="50">
        <f t="shared" si="8"/>
        <v>15209.476921184203</v>
      </c>
      <c r="N79" s="50">
        <f t="shared" si="8"/>
        <v>15467.248949721006</v>
      </c>
      <c r="O79" s="50">
        <f t="shared" si="8"/>
        <v>14564.962555522852</v>
      </c>
      <c r="P79" s="50">
        <f t="shared" si="8"/>
        <v>14479.066644117034</v>
      </c>
      <c r="Q79" s="50">
        <f t="shared" si="8"/>
        <v>14436.076541254453</v>
      </c>
      <c r="R79" s="50">
        <f t="shared" si="8"/>
        <v>14522.056746979615</v>
      </c>
      <c r="S79" s="50">
        <f t="shared" si="8"/>
        <v>15553.14486112683</v>
      </c>
      <c r="T79" s="50">
        <f t="shared" si="8"/>
        <v>14178.30451271765</v>
      </c>
      <c r="U79" s="50">
        <f t="shared" si="8"/>
        <v>15252.382729727447</v>
      </c>
      <c r="V79" s="50">
        <f t="shared" si="8"/>
        <v>14221.294615580227</v>
      </c>
      <c r="W79" s="50">
        <f t="shared" si="8"/>
        <v>15295.372832590028</v>
      </c>
      <c r="X79" s="50">
        <f t="shared" si="8"/>
        <v>15510.239052583589</v>
      </c>
      <c r="Y79" s="50">
        <f t="shared" si="8"/>
        <v>14865.72468692224</v>
      </c>
      <c r="Z79" s="50">
        <f t="shared" si="8"/>
        <v>14908.714789784821</v>
      </c>
      <c r="AA79" s="50">
        <f t="shared" si="8"/>
        <v>14307.190526986051</v>
      </c>
      <c r="AB79" s="50">
        <f t="shared" si="8"/>
        <v>14264.200424123472</v>
      </c>
      <c r="AC79" s="50">
        <f t="shared" si="8"/>
        <v>15381.353038315192</v>
      </c>
      <c r="AD79" s="50">
        <f t="shared" si="8"/>
        <v>14822.734584059659</v>
      </c>
      <c r="AE79" s="50">
        <f t="shared" si="8"/>
        <v>14779.828775516416</v>
      </c>
      <c r="AF79" s="50">
        <f t="shared" si="8"/>
        <v>14393.086438391874</v>
      </c>
      <c r="AG79" s="50">
        <f t="shared" si="8"/>
        <v>14736.838672653832</v>
      </c>
      <c r="AH79" s="50">
        <f t="shared" si="8"/>
        <v>14650.942761248014</v>
      </c>
      <c r="AI79" s="50">
        <f t="shared" si="8"/>
        <v>14951.7048926474</v>
      </c>
      <c r="AJ79" s="50">
        <f t="shared" si="8"/>
        <v>14693.848569791257</v>
      </c>
      <c r="AK79" s="50">
        <f t="shared" si="8"/>
        <v>14350.180629848632</v>
      </c>
      <c r="AM79" s="37" t="s">
        <v>78</v>
      </c>
      <c r="AN79" t="s">
        <v>110</v>
      </c>
      <c r="AO79" t="s">
        <v>113</v>
      </c>
      <c r="AP79" t="s">
        <v>108</v>
      </c>
      <c r="AQ79" t="s">
        <v>116</v>
      </c>
      <c r="AR79" t="s">
        <v>110</v>
      </c>
      <c r="AS79" t="s">
        <v>114</v>
      </c>
      <c r="AT79" t="s">
        <v>114</v>
      </c>
      <c r="AU79" t="s">
        <v>113</v>
      </c>
      <c r="AV79" t="s">
        <v>111</v>
      </c>
      <c r="AW79" t="s">
        <v>110</v>
      </c>
      <c r="AX79" t="s">
        <v>111</v>
      </c>
      <c r="AY79" t="s">
        <v>110</v>
      </c>
      <c r="AZ79" t="s">
        <v>110</v>
      </c>
      <c r="BA79" t="s">
        <v>113</v>
      </c>
      <c r="BB79" t="s">
        <v>113</v>
      </c>
      <c r="BC79" t="s">
        <v>116</v>
      </c>
      <c r="BD79" t="s">
        <v>115</v>
      </c>
      <c r="BE79" t="s">
        <v>113</v>
      </c>
      <c r="BF79" t="s">
        <v>111</v>
      </c>
      <c r="BG79" t="s">
        <v>109</v>
      </c>
      <c r="BH79" t="s">
        <v>109</v>
      </c>
      <c r="BI79" t="s">
        <v>113</v>
      </c>
      <c r="BJ79" t="s">
        <v>115</v>
      </c>
      <c r="BK79" t="s">
        <v>108</v>
      </c>
      <c r="BL79" t="s">
        <v>109</v>
      </c>
      <c r="BM79" t="s">
        <v>110</v>
      </c>
      <c r="BN79" t="s">
        <v>109</v>
      </c>
      <c r="BO79" t="s">
        <v>111</v>
      </c>
      <c r="BP79" t="s">
        <v>111</v>
      </c>
      <c r="BQ79" t="s">
        <v>111</v>
      </c>
      <c r="BR79" t="s">
        <v>114</v>
      </c>
      <c r="BS79" t="s">
        <v>116</v>
      </c>
      <c r="BT79" t="s">
        <v>112</v>
      </c>
      <c r="BU79" t="s">
        <v>109</v>
      </c>
    </row>
    <row r="80" spans="1:73" x14ac:dyDescent="0.35">
      <c r="B80" s="69">
        <f t="shared" si="5"/>
        <v>63789.314083144323</v>
      </c>
      <c r="C80" s="39" t="s">
        <v>93</v>
      </c>
      <c r="D80" s="32">
        <v>12572.613840212487</v>
      </c>
      <c r="E80" s="32">
        <v>12364.831191403962</v>
      </c>
      <c r="F80" s="32">
        <v>12226.229262472669</v>
      </c>
      <c r="G80" s="32">
        <v>12191.598821004574</v>
      </c>
      <c r="H80" s="32">
        <v>12087.707496600318</v>
      </c>
      <c r="I80" s="32">
        <v>12156.968379536493</v>
      </c>
      <c r="J80" s="32">
        <v>12122.337938068404</v>
      </c>
      <c r="K80" s="32">
        <v>11776.033523387532</v>
      </c>
      <c r="L80" s="32">
        <v>12434.092074340138</v>
      </c>
      <c r="M80" s="32">
        <v>12260.859703940749</v>
      </c>
      <c r="N80" s="32">
        <v>12468.722515808226</v>
      </c>
      <c r="O80" s="32">
        <v>11741.403081919447</v>
      </c>
      <c r="P80" s="32">
        <v>11672.062035924322</v>
      </c>
      <c r="Q80" s="32">
        <v>11637.43159445624</v>
      </c>
      <c r="R80" s="32">
        <v>11706.692477392409</v>
      </c>
      <c r="S80" s="32">
        <v>12537.983398744396</v>
      </c>
      <c r="T80" s="32">
        <v>11429.648945647712</v>
      </c>
      <c r="U80" s="32">
        <v>12295.570308467793</v>
      </c>
      <c r="V80" s="32">
        <v>11464.279387115805</v>
      </c>
      <c r="W80" s="32">
        <v>12330.200749935882</v>
      </c>
      <c r="X80" s="32">
        <v>12503.352957276311</v>
      </c>
      <c r="Y80" s="32">
        <v>11983.816172196057</v>
      </c>
      <c r="Z80" s="32">
        <v>12018.446613664149</v>
      </c>
      <c r="AA80" s="32">
        <v>11533.540270051981</v>
      </c>
      <c r="AB80" s="32">
        <v>11498.909828583888</v>
      </c>
      <c r="AC80" s="32">
        <v>12399.461632872055</v>
      </c>
      <c r="AD80" s="32">
        <v>11949.185730727972</v>
      </c>
      <c r="AE80" s="32">
        <v>11914.555289259881</v>
      </c>
      <c r="AF80" s="32">
        <v>11602.80115298815</v>
      </c>
      <c r="AG80" s="32">
        <v>11879.924847791797</v>
      </c>
      <c r="AH80" s="32">
        <v>11810.663964855625</v>
      </c>
      <c r="AI80" s="32">
        <v>12053.077055132231</v>
      </c>
      <c r="AJ80" s="32">
        <v>11845.294406323712</v>
      </c>
      <c r="AK80" s="32">
        <v>11568.170711520059</v>
      </c>
      <c r="AM80" s="39" t="s">
        <v>93</v>
      </c>
      <c r="AN80" t="s">
        <v>113</v>
      </c>
      <c r="AO80" t="s">
        <v>115</v>
      </c>
      <c r="AP80" t="s">
        <v>114</v>
      </c>
      <c r="AQ80" t="s">
        <v>110</v>
      </c>
      <c r="AR80" t="s">
        <v>110</v>
      </c>
      <c r="AS80" t="s">
        <v>112</v>
      </c>
      <c r="AT80" t="s">
        <v>111</v>
      </c>
      <c r="AU80" t="s">
        <v>108</v>
      </c>
      <c r="AV80" t="s">
        <v>114</v>
      </c>
      <c r="AW80" t="s">
        <v>112</v>
      </c>
      <c r="AX80" t="s">
        <v>111</v>
      </c>
      <c r="AY80" t="s">
        <v>108</v>
      </c>
      <c r="AZ80" t="s">
        <v>110</v>
      </c>
      <c r="BA80" t="s">
        <v>108</v>
      </c>
      <c r="BB80" t="s">
        <v>109</v>
      </c>
      <c r="BC80" t="s">
        <v>115</v>
      </c>
      <c r="BD80" t="s">
        <v>112</v>
      </c>
      <c r="BE80" t="s">
        <v>111</v>
      </c>
      <c r="BF80" t="s">
        <v>110</v>
      </c>
      <c r="BG80" t="s">
        <v>112</v>
      </c>
      <c r="BH80" t="s">
        <v>112</v>
      </c>
      <c r="BI80" t="s">
        <v>114</v>
      </c>
      <c r="BJ80" t="s">
        <v>109</v>
      </c>
      <c r="BK80" t="s">
        <v>116</v>
      </c>
      <c r="BL80" t="s">
        <v>109</v>
      </c>
      <c r="BM80" t="s">
        <v>113</v>
      </c>
      <c r="BN80" t="s">
        <v>108</v>
      </c>
      <c r="BO80" t="s">
        <v>116</v>
      </c>
      <c r="BP80" t="s">
        <v>110</v>
      </c>
      <c r="BQ80" t="s">
        <v>108</v>
      </c>
      <c r="BR80" t="s">
        <v>112</v>
      </c>
      <c r="BS80" t="s">
        <v>109</v>
      </c>
      <c r="BT80" t="s">
        <v>116</v>
      </c>
      <c r="BU80" t="s">
        <v>108</v>
      </c>
    </row>
    <row r="81" spans="1:73" x14ac:dyDescent="0.35">
      <c r="B81" s="69">
        <f t="shared" si="5"/>
        <v>16566.699091199425</v>
      </c>
      <c r="C81" s="39" t="s">
        <v>94</v>
      </c>
      <c r="D81" s="32">
        <v>10774.636590935363</v>
      </c>
      <c r="E81" s="32">
        <v>10596.514273939789</v>
      </c>
      <c r="F81" s="32">
        <v>10477.792783629053</v>
      </c>
      <c r="G81" s="32">
        <v>10448.132451816113</v>
      </c>
      <c r="H81" s="32">
        <v>10359.071293318319</v>
      </c>
      <c r="I81" s="32">
        <v>10418.472120003167</v>
      </c>
      <c r="J81" s="32">
        <v>10388.731625131266</v>
      </c>
      <c r="K81" s="32">
        <v>10091.967980883908</v>
      </c>
      <c r="L81" s="32">
        <v>10655.915100624627</v>
      </c>
      <c r="M81" s="32">
        <v>10507.533278500954</v>
      </c>
      <c r="N81" s="32">
        <v>10685.57543243757</v>
      </c>
      <c r="O81" s="32">
        <v>10062.227486012014</v>
      </c>
      <c r="P81" s="32">
        <v>10002.906822386121</v>
      </c>
      <c r="Q81" s="32">
        <v>9973.2464905731795</v>
      </c>
      <c r="R81" s="32">
        <v>10032.567154199072</v>
      </c>
      <c r="S81" s="32">
        <v>10744.976259122417</v>
      </c>
      <c r="T81" s="32">
        <v>9795.1241735776002</v>
      </c>
      <c r="U81" s="32">
        <v>10537.193610313898</v>
      </c>
      <c r="V81" s="32">
        <v>9824.7845053905494</v>
      </c>
      <c r="W81" s="32">
        <v>10566.85394212684</v>
      </c>
      <c r="X81" s="32">
        <v>10715.235764250516</v>
      </c>
      <c r="Y81" s="32">
        <v>10270.010134820528</v>
      </c>
      <c r="Z81" s="32">
        <v>10299.750629692428</v>
      </c>
      <c r="AA81" s="32">
        <v>9884.1853320753908</v>
      </c>
      <c r="AB81" s="32">
        <v>9854.5250002624452</v>
      </c>
      <c r="AC81" s="32">
        <v>10626.254768811679</v>
      </c>
      <c r="AD81" s="32">
        <v>10240.349803007586</v>
      </c>
      <c r="AE81" s="32">
        <v>10210.689471194642</v>
      </c>
      <c r="AF81" s="32">
        <v>9943.5059957012818</v>
      </c>
      <c r="AG81" s="32">
        <v>10181.029139381695</v>
      </c>
      <c r="AH81" s="32">
        <v>10121.628312696856</v>
      </c>
      <c r="AI81" s="32">
        <v>10329.410961505377</v>
      </c>
      <c r="AJ81" s="32">
        <v>10151.288644509801</v>
      </c>
      <c r="AK81" s="32">
        <v>9913.8456638883308</v>
      </c>
      <c r="AM81" s="39" t="s">
        <v>94</v>
      </c>
      <c r="AN81" t="s">
        <v>112</v>
      </c>
      <c r="AO81" t="s">
        <v>108</v>
      </c>
      <c r="AP81" t="s">
        <v>111</v>
      </c>
      <c r="AQ81" t="s">
        <v>114</v>
      </c>
      <c r="AR81" t="s">
        <v>108</v>
      </c>
      <c r="AS81" t="s">
        <v>109</v>
      </c>
      <c r="AT81" t="s">
        <v>109</v>
      </c>
      <c r="AU81" t="s">
        <v>116</v>
      </c>
      <c r="AV81" t="s">
        <v>111</v>
      </c>
      <c r="AW81" t="s">
        <v>116</v>
      </c>
      <c r="AX81" t="s">
        <v>114</v>
      </c>
      <c r="AY81" t="s">
        <v>109</v>
      </c>
      <c r="AZ81" t="s">
        <v>111</v>
      </c>
      <c r="BA81" t="s">
        <v>114</v>
      </c>
      <c r="BB81" t="s">
        <v>108</v>
      </c>
      <c r="BC81" t="s">
        <v>111</v>
      </c>
      <c r="BD81" t="s">
        <v>108</v>
      </c>
      <c r="BE81" t="s">
        <v>114</v>
      </c>
      <c r="BF81" t="s">
        <v>110</v>
      </c>
      <c r="BG81" t="s">
        <v>112</v>
      </c>
      <c r="BH81" t="s">
        <v>112</v>
      </c>
      <c r="BI81" t="s">
        <v>111</v>
      </c>
      <c r="BJ81" t="s">
        <v>114</v>
      </c>
      <c r="BK81" t="s">
        <v>109</v>
      </c>
      <c r="BL81" t="s">
        <v>109</v>
      </c>
      <c r="BM81" t="s">
        <v>112</v>
      </c>
      <c r="BN81" t="s">
        <v>114</v>
      </c>
      <c r="BO81" t="s">
        <v>115</v>
      </c>
      <c r="BP81" t="s">
        <v>109</v>
      </c>
      <c r="BQ81" t="s">
        <v>111</v>
      </c>
      <c r="BR81" t="s">
        <v>115</v>
      </c>
      <c r="BS81" t="s">
        <v>114</v>
      </c>
      <c r="BT81" t="s">
        <v>108</v>
      </c>
      <c r="BU81" t="s">
        <v>110</v>
      </c>
    </row>
    <row r="82" spans="1:73" x14ac:dyDescent="0.35">
      <c r="B82" s="69">
        <f t="shared" si="5"/>
        <v>11957.090316027798</v>
      </c>
      <c r="C82" s="39" t="s">
        <v>95</v>
      </c>
      <c r="D82" s="32">
        <v>11181.143462890614</v>
      </c>
      <c r="E82" s="32">
        <v>10996.367612001861</v>
      </c>
      <c r="F82" s="32">
        <v>10873.156990389713</v>
      </c>
      <c r="G82" s="32">
        <v>10842.294212692455</v>
      </c>
      <c r="H82" s="32">
        <v>10749.946368777557</v>
      </c>
      <c r="I82" s="32">
        <v>10811.511598054154</v>
      </c>
      <c r="J82" s="32">
        <v>10780.728983415856</v>
      </c>
      <c r="K82" s="32">
        <v>10472.662347856001</v>
      </c>
      <c r="L82" s="32">
        <v>11057.932841278462</v>
      </c>
      <c r="M82" s="32">
        <v>10903.93960502801</v>
      </c>
      <c r="N82" s="32">
        <v>11088.715455916761</v>
      </c>
      <c r="O82" s="32">
        <v>10441.879733217704</v>
      </c>
      <c r="P82" s="32">
        <v>10380.314503941103</v>
      </c>
      <c r="Q82" s="32">
        <v>10349.451726243849</v>
      </c>
      <c r="R82" s="32">
        <v>10411.097118579404</v>
      </c>
      <c r="S82" s="32">
        <v>11150.360848252312</v>
      </c>
      <c r="T82" s="32">
        <v>10164.6758753551</v>
      </c>
      <c r="U82" s="32">
        <v>10934.722219666304</v>
      </c>
      <c r="V82" s="32">
        <v>10195.458489993402</v>
      </c>
      <c r="W82" s="32">
        <v>10965.504834304607</v>
      </c>
      <c r="X82" s="32">
        <v>11119.578233614011</v>
      </c>
      <c r="Y82" s="32">
        <v>10657.518361803706</v>
      </c>
      <c r="Z82" s="32">
        <v>10688.300976442009</v>
      </c>
      <c r="AA82" s="32">
        <v>10257.103882328953</v>
      </c>
      <c r="AB82" s="32">
        <v>10226.241104631701</v>
      </c>
      <c r="AC82" s="32">
        <v>11027.150226640164</v>
      </c>
      <c r="AD82" s="32">
        <v>10626.735747165407</v>
      </c>
      <c r="AE82" s="32">
        <v>10595.872969468153</v>
      </c>
      <c r="AF82" s="32">
        <v>10318.669111605546</v>
      </c>
      <c r="AG82" s="32">
        <v>10565.090354829852</v>
      </c>
      <c r="AH82" s="32">
        <v>10503.525125553258</v>
      </c>
      <c r="AI82" s="32">
        <v>10719.083591080302</v>
      </c>
      <c r="AJ82" s="32">
        <v>10534.307740191554</v>
      </c>
      <c r="AK82" s="32">
        <v>10287.886496967258</v>
      </c>
      <c r="AM82" s="39" t="s">
        <v>95</v>
      </c>
      <c r="AN82" t="s">
        <v>113</v>
      </c>
      <c r="AO82" t="s">
        <v>109</v>
      </c>
      <c r="AP82" t="s">
        <v>108</v>
      </c>
      <c r="AQ82" t="s">
        <v>116</v>
      </c>
      <c r="AR82" t="s">
        <v>114</v>
      </c>
      <c r="AS82" t="s">
        <v>112</v>
      </c>
      <c r="AT82" t="s">
        <v>108</v>
      </c>
      <c r="AU82" t="s">
        <v>113</v>
      </c>
      <c r="AV82" t="s">
        <v>113</v>
      </c>
      <c r="AW82" t="s">
        <v>108</v>
      </c>
      <c r="AX82" t="s">
        <v>108</v>
      </c>
      <c r="AY82" t="s">
        <v>115</v>
      </c>
      <c r="AZ82" t="s">
        <v>112</v>
      </c>
      <c r="BA82" t="s">
        <v>112</v>
      </c>
      <c r="BB82" t="s">
        <v>109</v>
      </c>
      <c r="BC82" t="s">
        <v>109</v>
      </c>
      <c r="BD82" t="s">
        <v>110</v>
      </c>
      <c r="BE82" t="s">
        <v>116</v>
      </c>
      <c r="BF82" t="s">
        <v>113</v>
      </c>
      <c r="BG82" t="s">
        <v>108</v>
      </c>
      <c r="BH82" t="s">
        <v>109</v>
      </c>
      <c r="BI82" t="s">
        <v>109</v>
      </c>
      <c r="BJ82" t="s">
        <v>114</v>
      </c>
      <c r="BK82" t="s">
        <v>112</v>
      </c>
      <c r="BL82" t="s">
        <v>110</v>
      </c>
      <c r="BM82" t="s">
        <v>114</v>
      </c>
      <c r="BN82" t="s">
        <v>110</v>
      </c>
      <c r="BO82" t="s">
        <v>112</v>
      </c>
      <c r="BP82" t="s">
        <v>115</v>
      </c>
      <c r="BQ82" t="s">
        <v>114</v>
      </c>
      <c r="BR82" t="s">
        <v>116</v>
      </c>
      <c r="BS82" t="s">
        <v>109</v>
      </c>
      <c r="BT82" t="s">
        <v>113</v>
      </c>
      <c r="BU82" t="s">
        <v>109</v>
      </c>
    </row>
    <row r="83" spans="1:73" x14ac:dyDescent="0.35">
      <c r="B83" s="69">
        <f t="shared" si="5"/>
        <v>7234.8784214366269</v>
      </c>
      <c r="C83" s="39" t="s">
        <v>96</v>
      </c>
      <c r="D83" s="32">
        <v>11400.710081365354</v>
      </c>
      <c r="E83" s="32">
        <v>11212.246729764724</v>
      </c>
      <c r="F83" s="32">
        <v>11086.631216383958</v>
      </c>
      <c r="G83" s="32">
        <v>11055.207297274032</v>
      </c>
      <c r="H83" s="32">
        <v>10961.01570300319</v>
      </c>
      <c r="I83" s="32">
        <v>11023.863541223047</v>
      </c>
      <c r="J83" s="32">
        <v>10992.439622113119</v>
      </c>
      <c r="K83" s="32">
        <v>10678.360757131719</v>
      </c>
      <c r="L83" s="32">
        <v>11275.094567984588</v>
      </c>
      <c r="M83" s="32">
        <v>11118.055135493891</v>
      </c>
      <c r="N83" s="32">
        <v>11306.518487094518</v>
      </c>
      <c r="O83" s="32">
        <v>10646.936838021791</v>
      </c>
      <c r="P83" s="32">
        <v>10584.169162860886</v>
      </c>
      <c r="Q83" s="32">
        <v>10552.745243750956</v>
      </c>
      <c r="R83" s="32">
        <v>10615.512918911862</v>
      </c>
      <c r="S83" s="32">
        <v>11369.286162255428</v>
      </c>
      <c r="T83" s="32">
        <v>10364.281892150322</v>
      </c>
      <c r="U83" s="32">
        <v>11149.479054603818</v>
      </c>
      <c r="V83" s="32">
        <v>10395.705811260254</v>
      </c>
      <c r="W83" s="32">
        <v>11180.822810654796</v>
      </c>
      <c r="X83" s="32">
        <v>11337.862243145491</v>
      </c>
      <c r="Y83" s="32">
        <v>10866.824108732353</v>
      </c>
      <c r="Z83" s="32">
        <v>10898.167864783327</v>
      </c>
      <c r="AA83" s="32">
        <v>10458.47348642116</v>
      </c>
      <c r="AB83" s="32">
        <v>10427.129730370183</v>
      </c>
      <c r="AC83" s="32">
        <v>11243.670648874655</v>
      </c>
      <c r="AD83" s="32">
        <v>10835.400189622422</v>
      </c>
      <c r="AE83" s="32">
        <v>10803.97627051249</v>
      </c>
      <c r="AF83" s="32">
        <v>10521.321324641023</v>
      </c>
      <c r="AG83" s="32">
        <v>10772.552351402557</v>
      </c>
      <c r="AH83" s="32">
        <v>10709.784676241654</v>
      </c>
      <c r="AI83" s="32">
        <v>10929.591783893256</v>
      </c>
      <c r="AJ83" s="32">
        <v>10741.128432292631</v>
      </c>
      <c r="AK83" s="32">
        <v>10489.897405531092</v>
      </c>
      <c r="AM83" s="39" t="s">
        <v>96</v>
      </c>
      <c r="AN83" t="s">
        <v>108</v>
      </c>
      <c r="AO83" t="s">
        <v>112</v>
      </c>
      <c r="AP83" t="s">
        <v>109</v>
      </c>
      <c r="AQ83" t="s">
        <v>112</v>
      </c>
      <c r="AR83" t="s">
        <v>112</v>
      </c>
      <c r="AS83" t="s">
        <v>115</v>
      </c>
      <c r="AT83" t="s">
        <v>110</v>
      </c>
      <c r="AU83" t="s">
        <v>109</v>
      </c>
      <c r="AV83" t="s">
        <v>116</v>
      </c>
      <c r="AW83" t="s">
        <v>116</v>
      </c>
      <c r="AX83" t="s">
        <v>113</v>
      </c>
      <c r="AY83" t="s">
        <v>114</v>
      </c>
      <c r="AZ83" t="s">
        <v>111</v>
      </c>
      <c r="BA83" t="s">
        <v>116</v>
      </c>
      <c r="BB83" t="s">
        <v>113</v>
      </c>
      <c r="BC83" t="s">
        <v>110</v>
      </c>
      <c r="BD83" t="s">
        <v>108</v>
      </c>
      <c r="BE83" t="s">
        <v>108</v>
      </c>
      <c r="BF83" t="s">
        <v>113</v>
      </c>
      <c r="BG83" t="s">
        <v>112</v>
      </c>
      <c r="BH83" t="s">
        <v>115</v>
      </c>
      <c r="BI83" t="s">
        <v>109</v>
      </c>
      <c r="BJ83" t="s">
        <v>113</v>
      </c>
      <c r="BK83" t="s">
        <v>111</v>
      </c>
      <c r="BL83" t="s">
        <v>115</v>
      </c>
      <c r="BM83" t="s">
        <v>115</v>
      </c>
      <c r="BN83" t="s">
        <v>112</v>
      </c>
      <c r="BO83" t="s">
        <v>108</v>
      </c>
      <c r="BP83" t="s">
        <v>115</v>
      </c>
      <c r="BQ83" t="s">
        <v>115</v>
      </c>
      <c r="BR83" t="s">
        <v>110</v>
      </c>
      <c r="BS83" t="s">
        <v>108</v>
      </c>
      <c r="BT83" t="s">
        <v>113</v>
      </c>
      <c r="BU83" t="s">
        <v>108</v>
      </c>
    </row>
    <row r="84" spans="1:73" x14ac:dyDescent="0.35">
      <c r="B84" s="69">
        <f t="shared" si="5"/>
        <v>8379.9418595476764</v>
      </c>
      <c r="C84" s="39" t="s">
        <v>97</v>
      </c>
      <c r="D84" s="32">
        <v>14064.608693462555</v>
      </c>
      <c r="E84" s="32">
        <v>13832.135822496237</v>
      </c>
      <c r="F84" s="32">
        <v>13677.180629538341</v>
      </c>
      <c r="G84" s="32">
        <v>13638.381709004645</v>
      </c>
      <c r="H84" s="32">
        <v>13522.145273521488</v>
      </c>
      <c r="I84" s="32">
        <v>13599.662951529912</v>
      </c>
      <c r="J84" s="32">
        <v>13560.944194055179</v>
      </c>
      <c r="K84" s="32">
        <v>13173.435967072002</v>
      </c>
      <c r="L84" s="32">
        <v>13909.653500504663</v>
      </c>
      <c r="M84" s="32">
        <v>13715.89938701308</v>
      </c>
      <c r="N84" s="32">
        <v>13948.372257979396</v>
      </c>
      <c r="O84" s="32">
        <v>13134.717209597266</v>
      </c>
      <c r="P84" s="32">
        <v>13057.199531588842</v>
      </c>
      <c r="Q84" s="32">
        <v>13018.480774114103</v>
      </c>
      <c r="R84" s="32">
        <v>13095.998452122531</v>
      </c>
      <c r="S84" s="32">
        <v>14025.889935987825</v>
      </c>
      <c r="T84" s="32">
        <v>12786.007903147782</v>
      </c>
      <c r="U84" s="32">
        <v>13754.618144487806</v>
      </c>
      <c r="V84" s="32">
        <v>12824.72666062252</v>
      </c>
      <c r="W84" s="32">
        <v>13793.417065021502</v>
      </c>
      <c r="X84" s="32">
        <v>13987.091015454131</v>
      </c>
      <c r="Y84" s="32">
        <v>13405.908838038327</v>
      </c>
      <c r="Z84" s="32">
        <v>13444.707758572014</v>
      </c>
      <c r="AA84" s="32">
        <v>12902.244338630942</v>
      </c>
      <c r="AB84" s="32">
        <v>12863.525581156209</v>
      </c>
      <c r="AC84" s="32">
        <v>13870.854579970968</v>
      </c>
      <c r="AD84" s="32">
        <v>13367.190080563587</v>
      </c>
      <c r="AE84" s="32">
        <v>13328.47132308885</v>
      </c>
      <c r="AF84" s="32">
        <v>12979.762016639372</v>
      </c>
      <c r="AG84" s="32">
        <v>13289.672402555165</v>
      </c>
      <c r="AH84" s="32">
        <v>13212.234887605691</v>
      </c>
      <c r="AI84" s="32">
        <v>13483.426516046753</v>
      </c>
      <c r="AJ84" s="32">
        <v>13250.953645080426</v>
      </c>
      <c r="AK84" s="32">
        <v>12940.963096105679</v>
      </c>
      <c r="AM84" s="39" t="s">
        <v>97</v>
      </c>
      <c r="AN84" t="s">
        <v>111</v>
      </c>
      <c r="AO84" t="s">
        <v>110</v>
      </c>
      <c r="AP84" t="s">
        <v>109</v>
      </c>
      <c r="AQ84" t="s">
        <v>112</v>
      </c>
      <c r="AR84" t="s">
        <v>115</v>
      </c>
      <c r="AS84" t="s">
        <v>112</v>
      </c>
      <c r="AT84" t="s">
        <v>115</v>
      </c>
      <c r="AU84" t="s">
        <v>110</v>
      </c>
      <c r="AV84" t="s">
        <v>108</v>
      </c>
      <c r="AW84" t="s">
        <v>111</v>
      </c>
      <c r="AX84" t="s">
        <v>111</v>
      </c>
      <c r="AY84" t="s">
        <v>111</v>
      </c>
      <c r="AZ84" t="s">
        <v>114</v>
      </c>
      <c r="BA84" t="s">
        <v>108</v>
      </c>
      <c r="BB84" t="s">
        <v>115</v>
      </c>
      <c r="BC84" t="s">
        <v>109</v>
      </c>
      <c r="BD84" t="s">
        <v>112</v>
      </c>
      <c r="BE84" t="s">
        <v>113</v>
      </c>
      <c r="BF84" t="s">
        <v>114</v>
      </c>
      <c r="BG84" t="s">
        <v>108</v>
      </c>
      <c r="BH84" t="s">
        <v>110</v>
      </c>
      <c r="BI84" t="s">
        <v>110</v>
      </c>
      <c r="BJ84" t="s">
        <v>111</v>
      </c>
      <c r="BK84" t="s">
        <v>109</v>
      </c>
      <c r="BL84" t="s">
        <v>114</v>
      </c>
      <c r="BM84" t="s">
        <v>115</v>
      </c>
      <c r="BN84" t="s">
        <v>111</v>
      </c>
      <c r="BO84" t="s">
        <v>110</v>
      </c>
      <c r="BP84" t="s">
        <v>112</v>
      </c>
      <c r="BQ84" t="s">
        <v>112</v>
      </c>
      <c r="BR84" t="s">
        <v>115</v>
      </c>
      <c r="BS84" t="s">
        <v>113</v>
      </c>
      <c r="BT84" t="s">
        <v>112</v>
      </c>
      <c r="BU84" t="s">
        <v>114</v>
      </c>
    </row>
    <row r="85" spans="1:73" x14ac:dyDescent="0.35">
      <c r="B85" s="69">
        <f t="shared" si="5"/>
        <v>7485.8903009632368</v>
      </c>
      <c r="C85" s="39" t="s">
        <v>98</v>
      </c>
      <c r="D85" s="32">
        <v>9406.0928484743035</v>
      </c>
      <c r="E85" s="32">
        <v>9250.6566771626804</v>
      </c>
      <c r="F85" s="32">
        <v>9147.0058419352845</v>
      </c>
      <c r="G85" s="32">
        <v>9121.0330108342132</v>
      </c>
      <c r="H85" s="32">
        <v>9043.3550067078831</v>
      </c>
      <c r="I85" s="32">
        <v>9095.140342792105</v>
      </c>
      <c r="J85" s="32">
        <v>9069.2476747499932</v>
      </c>
      <c r="K85" s="32">
        <v>8810.0805051520238</v>
      </c>
      <c r="L85" s="32">
        <v>9302.4420132469058</v>
      </c>
      <c r="M85" s="32">
        <v>9172.8985099773945</v>
      </c>
      <c r="N85" s="32">
        <v>9328.3346812890159</v>
      </c>
      <c r="O85" s="32">
        <v>8784.1878371099119</v>
      </c>
      <c r="P85" s="32">
        <v>8732.4025010256864</v>
      </c>
      <c r="Q85" s="32">
        <v>8706.4296699246206</v>
      </c>
      <c r="R85" s="32">
        <v>8758.2951690678037</v>
      </c>
      <c r="S85" s="32">
        <v>9380.2001804321917</v>
      </c>
      <c r="T85" s="32">
        <v>8550.9934986130011</v>
      </c>
      <c r="U85" s="32">
        <v>9198.7911780195045</v>
      </c>
      <c r="V85" s="32">
        <v>8576.8861666551147</v>
      </c>
      <c r="W85" s="32">
        <v>9224.6838460616182</v>
      </c>
      <c r="X85" s="32">
        <v>9354.3075123900799</v>
      </c>
      <c r="Y85" s="32">
        <v>8965.5968395225991</v>
      </c>
      <c r="Z85" s="32">
        <v>8991.4895075647037</v>
      </c>
      <c r="AA85" s="32">
        <v>8628.7516657982906</v>
      </c>
      <c r="AB85" s="32">
        <v>8602.7788346972247</v>
      </c>
      <c r="AC85" s="32">
        <v>9276.549345204794</v>
      </c>
      <c r="AD85" s="32">
        <v>8939.7041714804836</v>
      </c>
      <c r="AE85" s="32">
        <v>8913.7313403794233</v>
      </c>
      <c r="AF85" s="32">
        <v>8680.5370018825106</v>
      </c>
      <c r="AG85" s="32">
        <v>8887.8386723373114</v>
      </c>
      <c r="AH85" s="32">
        <v>8836.0533362530896</v>
      </c>
      <c r="AI85" s="32">
        <v>9017.3821756068228</v>
      </c>
      <c r="AJ85" s="32">
        <v>8861.946004295196</v>
      </c>
      <c r="AK85" s="32">
        <v>8654.6443338403969</v>
      </c>
      <c r="AM85" s="39" t="s">
        <v>98</v>
      </c>
      <c r="AN85" t="s">
        <v>109</v>
      </c>
      <c r="AO85" t="s">
        <v>114</v>
      </c>
      <c r="AP85" t="s">
        <v>111</v>
      </c>
      <c r="AQ85" t="s">
        <v>113</v>
      </c>
      <c r="AR85" t="s">
        <v>109</v>
      </c>
      <c r="AS85" t="s">
        <v>114</v>
      </c>
      <c r="AT85" t="s">
        <v>114</v>
      </c>
      <c r="AU85" t="s">
        <v>113</v>
      </c>
      <c r="AV85" t="s">
        <v>113</v>
      </c>
      <c r="AW85" t="s">
        <v>111</v>
      </c>
      <c r="AX85" t="s">
        <v>113</v>
      </c>
      <c r="AY85" t="s">
        <v>114</v>
      </c>
      <c r="AZ85" t="s">
        <v>113</v>
      </c>
      <c r="BA85" t="s">
        <v>112</v>
      </c>
      <c r="BB85" t="s">
        <v>110</v>
      </c>
      <c r="BC85" t="s">
        <v>116</v>
      </c>
      <c r="BD85" t="s">
        <v>110</v>
      </c>
      <c r="BE85" t="s">
        <v>108</v>
      </c>
      <c r="BF85" t="s">
        <v>113</v>
      </c>
      <c r="BG85" t="s">
        <v>112</v>
      </c>
      <c r="BH85" t="s">
        <v>109</v>
      </c>
      <c r="BI85" t="s">
        <v>113</v>
      </c>
      <c r="BJ85" t="s">
        <v>115</v>
      </c>
      <c r="BK85" t="s">
        <v>110</v>
      </c>
      <c r="BL85" t="s">
        <v>110</v>
      </c>
      <c r="BM85" t="s">
        <v>111</v>
      </c>
      <c r="BN85" t="s">
        <v>110</v>
      </c>
      <c r="BO85" t="s">
        <v>113</v>
      </c>
      <c r="BP85" t="s">
        <v>110</v>
      </c>
      <c r="BQ85" t="s">
        <v>114</v>
      </c>
      <c r="BR85" t="s">
        <v>111</v>
      </c>
      <c r="BS85" t="s">
        <v>115</v>
      </c>
      <c r="BT85" t="s">
        <v>112</v>
      </c>
      <c r="BU85" t="s">
        <v>114</v>
      </c>
    </row>
    <row r="86" spans="1:73" x14ac:dyDescent="0.35">
      <c r="B86" s="69">
        <f t="shared" si="5"/>
        <v>47462.113407086836</v>
      </c>
      <c r="C86" s="37" t="s">
        <v>79</v>
      </c>
      <c r="D86" s="50">
        <f>D31</f>
        <v>10045.691212833608</v>
      </c>
      <c r="E86" s="50">
        <f t="shared" ref="E86:AK86" si="9">E31</f>
        <v>9879.6314037369739</v>
      </c>
      <c r="F86" s="50">
        <f t="shared" si="9"/>
        <v>9768.9529624456645</v>
      </c>
      <c r="G86" s="50">
        <f t="shared" si="9"/>
        <v>9741.3044257026722</v>
      </c>
      <c r="H86" s="50">
        <f t="shared" si="9"/>
        <v>9658.2745211543552</v>
      </c>
      <c r="I86" s="50">
        <f t="shared" si="9"/>
        <v>9713.5715946403434</v>
      </c>
      <c r="J86" s="50">
        <f t="shared" si="9"/>
        <v>9685.9230578973511</v>
      </c>
      <c r="K86" s="50">
        <f t="shared" si="9"/>
        <v>9409.1848075094058</v>
      </c>
      <c r="L86" s="50">
        <f t="shared" si="9"/>
        <v>9935.0127715422987</v>
      </c>
      <c r="M86" s="50">
        <f t="shared" si="9"/>
        <v>9796.6014991886586</v>
      </c>
      <c r="N86" s="50">
        <f t="shared" si="9"/>
        <v>9962.6613082852946</v>
      </c>
      <c r="O86" s="50">
        <f t="shared" si="9"/>
        <v>9381.5362707664117</v>
      </c>
      <c r="P86" s="50">
        <f t="shared" si="9"/>
        <v>9326.1549029610869</v>
      </c>
      <c r="Q86" s="50">
        <f t="shared" si="9"/>
        <v>9298.5063662180964</v>
      </c>
      <c r="R86" s="50">
        <f t="shared" si="9"/>
        <v>9353.8034397040828</v>
      </c>
      <c r="S86" s="50">
        <f t="shared" si="9"/>
        <v>10018.042676090618</v>
      </c>
      <c r="T86" s="50">
        <f t="shared" si="9"/>
        <v>9132.4465571214605</v>
      </c>
      <c r="U86" s="50">
        <f t="shared" si="9"/>
        <v>9824.3343302509875</v>
      </c>
      <c r="V86" s="50">
        <f t="shared" si="9"/>
        <v>9160.0950938644546</v>
      </c>
      <c r="W86" s="50">
        <f t="shared" si="9"/>
        <v>9851.9828669939816</v>
      </c>
      <c r="X86" s="50">
        <f t="shared" si="9"/>
        <v>9990.3098450282832</v>
      </c>
      <c r="Y86" s="50">
        <f t="shared" si="9"/>
        <v>9575.2446166060381</v>
      </c>
      <c r="Z86" s="50">
        <f t="shared" si="9"/>
        <v>9602.8931533490286</v>
      </c>
      <c r="AA86" s="50">
        <f t="shared" si="9"/>
        <v>9215.4764616697776</v>
      </c>
      <c r="AB86" s="50">
        <f t="shared" si="9"/>
        <v>9187.8279249267853</v>
      </c>
      <c r="AC86" s="50">
        <f t="shared" si="9"/>
        <v>9907.2799404799698</v>
      </c>
      <c r="AD86" s="50">
        <f t="shared" si="9"/>
        <v>9547.5960798630458</v>
      </c>
      <c r="AE86" s="50">
        <f t="shared" si="9"/>
        <v>9519.8632488007152</v>
      </c>
      <c r="AF86" s="50">
        <f t="shared" si="9"/>
        <v>9270.8578294751078</v>
      </c>
      <c r="AG86" s="50">
        <f t="shared" si="9"/>
        <v>9492.214712057721</v>
      </c>
      <c r="AH86" s="50">
        <f t="shared" si="9"/>
        <v>9436.8333442523963</v>
      </c>
      <c r="AI86" s="50">
        <f t="shared" si="9"/>
        <v>9630.5416900920245</v>
      </c>
      <c r="AJ86" s="50">
        <f t="shared" si="9"/>
        <v>9464.5661753147288</v>
      </c>
      <c r="AK86" s="50">
        <f t="shared" si="9"/>
        <v>9243.1249984127735</v>
      </c>
      <c r="AM86" s="37" t="s">
        <v>79</v>
      </c>
      <c r="AN86" t="s">
        <v>108</v>
      </c>
      <c r="AO86" t="s">
        <v>114</v>
      </c>
      <c r="AP86" t="s">
        <v>108</v>
      </c>
      <c r="AQ86" t="s">
        <v>111</v>
      </c>
      <c r="AR86" t="s">
        <v>108</v>
      </c>
      <c r="AS86" t="s">
        <v>112</v>
      </c>
      <c r="AT86" t="s">
        <v>111</v>
      </c>
      <c r="AU86" t="s">
        <v>113</v>
      </c>
      <c r="AV86" t="s">
        <v>111</v>
      </c>
      <c r="AW86" t="s">
        <v>108</v>
      </c>
      <c r="AX86" t="s">
        <v>115</v>
      </c>
      <c r="AY86" t="s">
        <v>110</v>
      </c>
      <c r="AZ86" t="s">
        <v>111</v>
      </c>
      <c r="BA86" t="s">
        <v>115</v>
      </c>
      <c r="BB86" t="s">
        <v>116</v>
      </c>
      <c r="BC86" t="s">
        <v>112</v>
      </c>
      <c r="BD86" t="s">
        <v>115</v>
      </c>
      <c r="BE86" t="s">
        <v>109</v>
      </c>
      <c r="BF86" t="s">
        <v>114</v>
      </c>
      <c r="BG86" t="s">
        <v>109</v>
      </c>
      <c r="BH86" t="s">
        <v>113</v>
      </c>
      <c r="BI86" t="s">
        <v>110</v>
      </c>
      <c r="BJ86" t="s">
        <v>113</v>
      </c>
      <c r="BK86" t="s">
        <v>114</v>
      </c>
      <c r="BL86" t="s">
        <v>109</v>
      </c>
      <c r="BM86" t="s">
        <v>113</v>
      </c>
      <c r="BN86" t="s">
        <v>110</v>
      </c>
      <c r="BO86" t="s">
        <v>111</v>
      </c>
      <c r="BP86" t="s">
        <v>108</v>
      </c>
      <c r="BQ86" t="s">
        <v>109</v>
      </c>
      <c r="BR86" t="s">
        <v>111</v>
      </c>
      <c r="BS86" t="s">
        <v>116</v>
      </c>
      <c r="BT86" t="s">
        <v>115</v>
      </c>
      <c r="BU86" t="s">
        <v>108</v>
      </c>
    </row>
    <row r="87" spans="1:73" x14ac:dyDescent="0.35">
      <c r="B87" s="69">
        <f t="shared" si="5"/>
        <v>26391.585852303448</v>
      </c>
      <c r="C87" s="39" t="s">
        <v>93</v>
      </c>
      <c r="D87" s="32">
        <v>12572.613840212487</v>
      </c>
      <c r="E87" s="32">
        <v>12364.831191403962</v>
      </c>
      <c r="F87" s="32">
        <v>12226.229262472669</v>
      </c>
      <c r="G87" s="32">
        <v>12191.598821004574</v>
      </c>
      <c r="H87" s="32">
        <v>12087.707496600318</v>
      </c>
      <c r="I87" s="32">
        <v>12156.968379536493</v>
      </c>
      <c r="J87" s="32">
        <v>12122.337938068404</v>
      </c>
      <c r="K87" s="32">
        <v>11776.033523387532</v>
      </c>
      <c r="L87" s="32">
        <v>12434.092074340138</v>
      </c>
      <c r="M87" s="32">
        <v>12260.859703940749</v>
      </c>
      <c r="N87" s="32">
        <v>12468.722515808226</v>
      </c>
      <c r="O87" s="32">
        <v>11741.403081919447</v>
      </c>
      <c r="P87" s="32">
        <v>11672.062035924322</v>
      </c>
      <c r="Q87" s="32">
        <v>11637.43159445624</v>
      </c>
      <c r="R87" s="32">
        <v>11706.692477392409</v>
      </c>
      <c r="S87" s="32">
        <v>12537.983398744396</v>
      </c>
      <c r="T87" s="32">
        <v>11429.648945647712</v>
      </c>
      <c r="U87" s="32">
        <v>12295.570308467793</v>
      </c>
      <c r="V87" s="32">
        <v>11464.279387115805</v>
      </c>
      <c r="W87" s="32">
        <v>12330.200749935882</v>
      </c>
      <c r="X87" s="32">
        <v>12503.352957276311</v>
      </c>
      <c r="Y87" s="32">
        <v>11983.816172196057</v>
      </c>
      <c r="Z87" s="32">
        <v>12018.446613664149</v>
      </c>
      <c r="AA87" s="32">
        <v>11533.540270051981</v>
      </c>
      <c r="AB87" s="32">
        <v>11498.909828583888</v>
      </c>
      <c r="AC87" s="32">
        <v>12399.461632872055</v>
      </c>
      <c r="AD87" s="32">
        <v>11949.185730727972</v>
      </c>
      <c r="AE87" s="32">
        <v>11914.555289259881</v>
      </c>
      <c r="AF87" s="32">
        <v>11602.80115298815</v>
      </c>
      <c r="AG87" s="32">
        <v>11879.924847791797</v>
      </c>
      <c r="AH87" s="32">
        <v>11810.663964855625</v>
      </c>
      <c r="AI87" s="32">
        <v>12053.077055132231</v>
      </c>
      <c r="AJ87" s="32">
        <v>11845.294406323712</v>
      </c>
      <c r="AK87" s="32">
        <v>11568.170711520059</v>
      </c>
      <c r="AM87" s="39" t="s">
        <v>93</v>
      </c>
      <c r="AN87" t="s">
        <v>109</v>
      </c>
      <c r="AO87" t="s">
        <v>113</v>
      </c>
      <c r="AP87" t="s">
        <v>109</v>
      </c>
      <c r="AQ87" t="s">
        <v>116</v>
      </c>
      <c r="AR87" t="s">
        <v>109</v>
      </c>
      <c r="AS87" t="s">
        <v>115</v>
      </c>
      <c r="AT87" t="s">
        <v>116</v>
      </c>
      <c r="AU87" t="s">
        <v>109</v>
      </c>
      <c r="AV87" t="s">
        <v>109</v>
      </c>
      <c r="AW87" t="s">
        <v>113</v>
      </c>
      <c r="AX87" t="s">
        <v>109</v>
      </c>
      <c r="AY87" t="s">
        <v>109</v>
      </c>
      <c r="AZ87" t="s">
        <v>111</v>
      </c>
      <c r="BA87" t="s">
        <v>108</v>
      </c>
      <c r="BB87" t="s">
        <v>109</v>
      </c>
      <c r="BC87" t="s">
        <v>111</v>
      </c>
      <c r="BD87" t="s">
        <v>113</v>
      </c>
      <c r="BE87" t="s">
        <v>110</v>
      </c>
      <c r="BF87" t="s">
        <v>111</v>
      </c>
      <c r="BG87" t="s">
        <v>109</v>
      </c>
      <c r="BH87" t="s">
        <v>116</v>
      </c>
      <c r="BI87" t="s">
        <v>112</v>
      </c>
      <c r="BJ87" t="s">
        <v>111</v>
      </c>
      <c r="BK87" t="s">
        <v>109</v>
      </c>
      <c r="BL87" t="s">
        <v>114</v>
      </c>
      <c r="BM87" t="s">
        <v>114</v>
      </c>
      <c r="BN87" t="s">
        <v>114</v>
      </c>
      <c r="BO87" t="s">
        <v>112</v>
      </c>
      <c r="BP87" t="s">
        <v>108</v>
      </c>
      <c r="BQ87" t="s">
        <v>114</v>
      </c>
      <c r="BR87" t="s">
        <v>110</v>
      </c>
      <c r="BS87" t="s">
        <v>114</v>
      </c>
      <c r="BT87" t="s">
        <v>114</v>
      </c>
      <c r="BU87" t="s">
        <v>109</v>
      </c>
    </row>
    <row r="88" spans="1:73" x14ac:dyDescent="0.35">
      <c r="B88" s="69">
        <f t="shared" si="5"/>
        <v>6054.6845170076258</v>
      </c>
      <c r="C88" s="39" t="s">
        <v>94</v>
      </c>
      <c r="D88" s="32">
        <v>10774.636590935363</v>
      </c>
      <c r="E88" s="32">
        <v>10596.514273939789</v>
      </c>
      <c r="F88" s="32">
        <v>10477.792783629053</v>
      </c>
      <c r="G88" s="32">
        <v>10448.132451816113</v>
      </c>
      <c r="H88" s="32">
        <v>10359.071293318319</v>
      </c>
      <c r="I88" s="32">
        <v>10418.472120003167</v>
      </c>
      <c r="J88" s="32">
        <v>10388.731625131266</v>
      </c>
      <c r="K88" s="32">
        <v>10091.967980883908</v>
      </c>
      <c r="L88" s="32">
        <v>10655.915100624627</v>
      </c>
      <c r="M88" s="32">
        <v>10507.533278500954</v>
      </c>
      <c r="N88" s="32">
        <v>10685.57543243757</v>
      </c>
      <c r="O88" s="32">
        <v>10062.227486012014</v>
      </c>
      <c r="P88" s="32">
        <v>10002.906822386121</v>
      </c>
      <c r="Q88" s="32">
        <v>9973.2464905731795</v>
      </c>
      <c r="R88" s="32">
        <v>10032.567154199072</v>
      </c>
      <c r="S88" s="32">
        <v>10744.976259122417</v>
      </c>
      <c r="T88" s="32">
        <v>9795.1241735776002</v>
      </c>
      <c r="U88" s="32">
        <v>10537.193610313898</v>
      </c>
      <c r="V88" s="32">
        <v>9824.7845053905494</v>
      </c>
      <c r="W88" s="32">
        <v>10566.85394212684</v>
      </c>
      <c r="X88" s="32">
        <v>10715.235764250516</v>
      </c>
      <c r="Y88" s="32">
        <v>10270.010134820528</v>
      </c>
      <c r="Z88" s="32">
        <v>10299.750629692428</v>
      </c>
      <c r="AA88" s="32">
        <v>9884.1853320753908</v>
      </c>
      <c r="AB88" s="32">
        <v>9854.5250002624452</v>
      </c>
      <c r="AC88" s="32">
        <v>10626.254768811679</v>
      </c>
      <c r="AD88" s="32">
        <v>10240.349803007586</v>
      </c>
      <c r="AE88" s="32">
        <v>10210.689471194642</v>
      </c>
      <c r="AF88" s="32">
        <v>9943.5059957012818</v>
      </c>
      <c r="AG88" s="32">
        <v>10181.029139381695</v>
      </c>
      <c r="AH88" s="32">
        <v>10121.628312696856</v>
      </c>
      <c r="AI88" s="32">
        <v>10329.410961505377</v>
      </c>
      <c r="AJ88" s="32">
        <v>10151.288644509801</v>
      </c>
      <c r="AK88" s="32">
        <v>9913.8456638883308</v>
      </c>
      <c r="AM88" s="39" t="s">
        <v>94</v>
      </c>
      <c r="AN88" t="s">
        <v>115</v>
      </c>
      <c r="AO88" t="s">
        <v>109</v>
      </c>
      <c r="AP88" t="s">
        <v>116</v>
      </c>
      <c r="AQ88" t="s">
        <v>111</v>
      </c>
      <c r="AR88" t="s">
        <v>114</v>
      </c>
      <c r="AS88" t="s">
        <v>113</v>
      </c>
      <c r="AT88" t="s">
        <v>112</v>
      </c>
      <c r="AU88" t="s">
        <v>111</v>
      </c>
      <c r="AV88" t="s">
        <v>114</v>
      </c>
      <c r="AW88" t="s">
        <v>114</v>
      </c>
      <c r="AX88" t="s">
        <v>109</v>
      </c>
      <c r="AY88" t="s">
        <v>108</v>
      </c>
      <c r="AZ88" t="s">
        <v>112</v>
      </c>
      <c r="BA88" t="s">
        <v>114</v>
      </c>
      <c r="BB88" t="s">
        <v>110</v>
      </c>
      <c r="BC88" t="s">
        <v>116</v>
      </c>
      <c r="BD88" t="s">
        <v>111</v>
      </c>
      <c r="BE88" t="s">
        <v>110</v>
      </c>
      <c r="BF88" t="s">
        <v>115</v>
      </c>
      <c r="BG88" t="s">
        <v>110</v>
      </c>
      <c r="BH88" t="s">
        <v>108</v>
      </c>
      <c r="BI88" t="s">
        <v>109</v>
      </c>
      <c r="BJ88" t="s">
        <v>110</v>
      </c>
      <c r="BK88" t="s">
        <v>110</v>
      </c>
      <c r="BL88" t="s">
        <v>115</v>
      </c>
      <c r="BM88" t="s">
        <v>110</v>
      </c>
      <c r="BN88" t="s">
        <v>115</v>
      </c>
      <c r="BO88" t="s">
        <v>113</v>
      </c>
      <c r="BP88" t="s">
        <v>113</v>
      </c>
      <c r="BQ88" t="s">
        <v>112</v>
      </c>
      <c r="BR88" t="s">
        <v>115</v>
      </c>
      <c r="BS88" t="s">
        <v>112</v>
      </c>
      <c r="BT88" t="s">
        <v>110</v>
      </c>
      <c r="BU88" t="s">
        <v>111</v>
      </c>
    </row>
    <row r="89" spans="1:73" x14ac:dyDescent="0.35">
      <c r="B89" s="69">
        <f t="shared" si="5"/>
        <v>5210.7113085959372</v>
      </c>
      <c r="C89" s="39" t="s">
        <v>95</v>
      </c>
      <c r="D89" s="32">
        <v>11181.143462890614</v>
      </c>
      <c r="E89" s="32">
        <v>10996.367612001861</v>
      </c>
      <c r="F89" s="32">
        <v>10873.156990389713</v>
      </c>
      <c r="G89" s="32">
        <v>10842.294212692455</v>
      </c>
      <c r="H89" s="32">
        <v>10749.946368777557</v>
      </c>
      <c r="I89" s="32">
        <v>10811.511598054154</v>
      </c>
      <c r="J89" s="32">
        <v>10780.728983415856</v>
      </c>
      <c r="K89" s="32">
        <v>10472.662347856001</v>
      </c>
      <c r="L89" s="32">
        <v>11057.932841278462</v>
      </c>
      <c r="M89" s="32">
        <v>10903.93960502801</v>
      </c>
      <c r="N89" s="32">
        <v>11088.715455916761</v>
      </c>
      <c r="O89" s="32">
        <v>10441.879733217704</v>
      </c>
      <c r="P89" s="32">
        <v>10380.314503941103</v>
      </c>
      <c r="Q89" s="32">
        <v>10349.451726243849</v>
      </c>
      <c r="R89" s="32">
        <v>10411.097118579404</v>
      </c>
      <c r="S89" s="32">
        <v>11150.360848252312</v>
      </c>
      <c r="T89" s="32">
        <v>10164.6758753551</v>
      </c>
      <c r="U89" s="32">
        <v>10934.722219666304</v>
      </c>
      <c r="V89" s="32">
        <v>10195.458489993402</v>
      </c>
      <c r="W89" s="32">
        <v>10965.504834304607</v>
      </c>
      <c r="X89" s="32">
        <v>11119.578233614011</v>
      </c>
      <c r="Y89" s="32">
        <v>10657.518361803706</v>
      </c>
      <c r="Z89" s="32">
        <v>10688.300976442009</v>
      </c>
      <c r="AA89" s="32">
        <v>10257.103882328953</v>
      </c>
      <c r="AB89" s="32">
        <v>10226.241104631701</v>
      </c>
      <c r="AC89" s="32">
        <v>11027.150226640164</v>
      </c>
      <c r="AD89" s="32">
        <v>10626.735747165407</v>
      </c>
      <c r="AE89" s="32">
        <v>10595.872969468153</v>
      </c>
      <c r="AF89" s="32">
        <v>10318.669111605546</v>
      </c>
      <c r="AG89" s="32">
        <v>10565.090354829852</v>
      </c>
      <c r="AH89" s="32">
        <v>10503.525125553258</v>
      </c>
      <c r="AI89" s="32">
        <v>10719.083591080302</v>
      </c>
      <c r="AJ89" s="32">
        <v>10534.307740191554</v>
      </c>
      <c r="AK89" s="32">
        <v>10287.886496967258</v>
      </c>
      <c r="AM89" s="39" t="s">
        <v>95</v>
      </c>
      <c r="AN89" t="s">
        <v>115</v>
      </c>
      <c r="AO89" t="s">
        <v>110</v>
      </c>
      <c r="AP89" t="s">
        <v>112</v>
      </c>
      <c r="AQ89" t="s">
        <v>108</v>
      </c>
      <c r="AR89" t="s">
        <v>109</v>
      </c>
      <c r="AS89" t="s">
        <v>112</v>
      </c>
      <c r="AT89" t="s">
        <v>109</v>
      </c>
      <c r="AU89" t="s">
        <v>115</v>
      </c>
      <c r="AV89" t="s">
        <v>108</v>
      </c>
      <c r="AW89" t="s">
        <v>113</v>
      </c>
      <c r="AX89" t="s">
        <v>108</v>
      </c>
      <c r="AY89" t="s">
        <v>112</v>
      </c>
      <c r="AZ89" t="s">
        <v>116</v>
      </c>
      <c r="BA89" t="s">
        <v>114</v>
      </c>
      <c r="BB89" t="s">
        <v>108</v>
      </c>
      <c r="BC89" t="s">
        <v>111</v>
      </c>
      <c r="BD89" t="s">
        <v>112</v>
      </c>
      <c r="BE89" t="s">
        <v>112</v>
      </c>
      <c r="BF89" t="s">
        <v>112</v>
      </c>
      <c r="BG89" t="s">
        <v>109</v>
      </c>
      <c r="BH89" t="s">
        <v>110</v>
      </c>
      <c r="BI89" t="s">
        <v>115</v>
      </c>
      <c r="BJ89" t="s">
        <v>108</v>
      </c>
      <c r="BK89" t="s">
        <v>111</v>
      </c>
      <c r="BL89" t="s">
        <v>112</v>
      </c>
      <c r="BM89" t="s">
        <v>111</v>
      </c>
      <c r="BN89" t="s">
        <v>113</v>
      </c>
      <c r="BO89" t="s">
        <v>110</v>
      </c>
      <c r="BP89" t="s">
        <v>112</v>
      </c>
      <c r="BQ89" t="s">
        <v>112</v>
      </c>
      <c r="BR89" t="s">
        <v>115</v>
      </c>
      <c r="BS89" t="s">
        <v>114</v>
      </c>
      <c r="BT89" t="s">
        <v>112</v>
      </c>
      <c r="BU89" t="s">
        <v>108</v>
      </c>
    </row>
    <row r="90" spans="1:73" x14ac:dyDescent="0.35">
      <c r="B90" s="69">
        <f t="shared" si="5"/>
        <v>3006.2797136203185</v>
      </c>
      <c r="C90" s="39" t="s">
        <v>96</v>
      </c>
      <c r="D90" s="32">
        <v>11400.710081365354</v>
      </c>
      <c r="E90" s="32">
        <v>11212.246729764724</v>
      </c>
      <c r="F90" s="32">
        <v>11086.631216383958</v>
      </c>
      <c r="G90" s="32">
        <v>11055.207297274032</v>
      </c>
      <c r="H90" s="32">
        <v>10961.01570300319</v>
      </c>
      <c r="I90" s="32">
        <v>11023.863541223047</v>
      </c>
      <c r="J90" s="32">
        <v>10992.439622113119</v>
      </c>
      <c r="K90" s="32">
        <v>10678.360757131719</v>
      </c>
      <c r="L90" s="32">
        <v>11275.094567984588</v>
      </c>
      <c r="M90" s="32">
        <v>11118.055135493891</v>
      </c>
      <c r="N90" s="32">
        <v>11306.518487094518</v>
      </c>
      <c r="O90" s="32">
        <v>10646.936838021791</v>
      </c>
      <c r="P90" s="32">
        <v>10584.169162860886</v>
      </c>
      <c r="Q90" s="32">
        <v>10552.745243750956</v>
      </c>
      <c r="R90" s="32">
        <v>10615.512918911862</v>
      </c>
      <c r="S90" s="32">
        <v>11369.286162255428</v>
      </c>
      <c r="T90" s="32">
        <v>10364.281892150322</v>
      </c>
      <c r="U90" s="32">
        <v>11149.479054603818</v>
      </c>
      <c r="V90" s="32">
        <v>10395.705811260254</v>
      </c>
      <c r="W90" s="32">
        <v>11180.822810654796</v>
      </c>
      <c r="X90" s="32">
        <v>11337.862243145491</v>
      </c>
      <c r="Y90" s="32">
        <v>10866.824108732353</v>
      </c>
      <c r="Z90" s="32">
        <v>10898.167864783327</v>
      </c>
      <c r="AA90" s="32">
        <v>10458.47348642116</v>
      </c>
      <c r="AB90" s="32">
        <v>10427.129730370183</v>
      </c>
      <c r="AC90" s="32">
        <v>11243.670648874655</v>
      </c>
      <c r="AD90" s="32">
        <v>10835.400189622422</v>
      </c>
      <c r="AE90" s="32">
        <v>10803.97627051249</v>
      </c>
      <c r="AF90" s="32">
        <v>10521.321324641023</v>
      </c>
      <c r="AG90" s="32">
        <v>10772.552351402557</v>
      </c>
      <c r="AH90" s="32">
        <v>10709.784676241654</v>
      </c>
      <c r="AI90" s="32">
        <v>10929.591783893256</v>
      </c>
      <c r="AJ90" s="32">
        <v>10741.128432292631</v>
      </c>
      <c r="AK90" s="32">
        <v>10489.897405531092</v>
      </c>
      <c r="AM90" s="39" t="s">
        <v>96</v>
      </c>
      <c r="AN90" t="s">
        <v>110</v>
      </c>
      <c r="AO90" t="s">
        <v>108</v>
      </c>
      <c r="AP90" t="s">
        <v>114</v>
      </c>
      <c r="AQ90" t="s">
        <v>113</v>
      </c>
      <c r="AR90" t="s">
        <v>113</v>
      </c>
      <c r="AS90" t="s">
        <v>111</v>
      </c>
      <c r="AT90" t="s">
        <v>113</v>
      </c>
      <c r="AU90" t="s">
        <v>108</v>
      </c>
      <c r="AV90" t="s">
        <v>113</v>
      </c>
      <c r="AW90" t="s">
        <v>116</v>
      </c>
      <c r="AX90" t="s">
        <v>113</v>
      </c>
      <c r="AY90" t="s">
        <v>111</v>
      </c>
      <c r="AZ90" t="s">
        <v>111</v>
      </c>
      <c r="BA90" t="s">
        <v>111</v>
      </c>
      <c r="BB90" t="s">
        <v>115</v>
      </c>
      <c r="BC90" t="s">
        <v>115</v>
      </c>
      <c r="BD90" t="s">
        <v>112</v>
      </c>
      <c r="BE90" t="s">
        <v>114</v>
      </c>
      <c r="BF90" t="s">
        <v>116</v>
      </c>
      <c r="BG90" t="s">
        <v>112</v>
      </c>
      <c r="BH90" t="s">
        <v>112</v>
      </c>
      <c r="BI90" t="s">
        <v>113</v>
      </c>
      <c r="BJ90" t="s">
        <v>108</v>
      </c>
      <c r="BK90" t="s">
        <v>116</v>
      </c>
      <c r="BL90" t="s">
        <v>110</v>
      </c>
      <c r="BM90" t="s">
        <v>115</v>
      </c>
      <c r="BN90" t="s">
        <v>114</v>
      </c>
      <c r="BO90" t="s">
        <v>109</v>
      </c>
      <c r="BP90" t="s">
        <v>109</v>
      </c>
      <c r="BQ90" t="s">
        <v>115</v>
      </c>
      <c r="BR90" t="s">
        <v>115</v>
      </c>
      <c r="BS90" t="s">
        <v>115</v>
      </c>
      <c r="BT90" t="s">
        <v>111</v>
      </c>
      <c r="BU90" t="s">
        <v>114</v>
      </c>
    </row>
    <row r="91" spans="1:73" x14ac:dyDescent="0.35">
      <c r="B91" s="69">
        <f t="shared" si="5"/>
        <v>3792.1488915557024</v>
      </c>
      <c r="C91" s="39" t="s">
        <v>97</v>
      </c>
      <c r="D91" s="32">
        <v>14064.608693462555</v>
      </c>
      <c r="E91" s="32">
        <v>13832.135822496237</v>
      </c>
      <c r="F91" s="32">
        <v>13677.180629538341</v>
      </c>
      <c r="G91" s="32">
        <v>13638.381709004645</v>
      </c>
      <c r="H91" s="32">
        <v>13522.145273521488</v>
      </c>
      <c r="I91" s="32">
        <v>13599.662951529912</v>
      </c>
      <c r="J91" s="32">
        <v>13560.944194055179</v>
      </c>
      <c r="K91" s="32">
        <v>13173.435967072002</v>
      </c>
      <c r="L91" s="32">
        <v>13909.653500504663</v>
      </c>
      <c r="M91" s="32">
        <v>13715.89938701308</v>
      </c>
      <c r="N91" s="32">
        <v>13948.372257979396</v>
      </c>
      <c r="O91" s="32">
        <v>13134.717209597266</v>
      </c>
      <c r="P91" s="32">
        <v>13057.199531588842</v>
      </c>
      <c r="Q91" s="32">
        <v>13018.480774114103</v>
      </c>
      <c r="R91" s="32">
        <v>13095.998452122531</v>
      </c>
      <c r="S91" s="32">
        <v>14025.889935987825</v>
      </c>
      <c r="T91" s="32">
        <v>12786.007903147782</v>
      </c>
      <c r="U91" s="32">
        <v>13754.618144487806</v>
      </c>
      <c r="V91" s="32">
        <v>12824.72666062252</v>
      </c>
      <c r="W91" s="32">
        <v>13793.417065021502</v>
      </c>
      <c r="X91" s="32">
        <v>13987.091015454131</v>
      </c>
      <c r="Y91" s="32">
        <v>13405.908838038327</v>
      </c>
      <c r="Z91" s="32">
        <v>13444.707758572014</v>
      </c>
      <c r="AA91" s="32">
        <v>12902.244338630942</v>
      </c>
      <c r="AB91" s="32">
        <v>12863.525581156209</v>
      </c>
      <c r="AC91" s="32">
        <v>13870.854579970968</v>
      </c>
      <c r="AD91" s="32">
        <v>13367.190080563587</v>
      </c>
      <c r="AE91" s="32">
        <v>13328.47132308885</v>
      </c>
      <c r="AF91" s="32">
        <v>12979.762016639372</v>
      </c>
      <c r="AG91" s="32">
        <v>13289.672402555165</v>
      </c>
      <c r="AH91" s="32">
        <v>13212.234887605691</v>
      </c>
      <c r="AI91" s="32">
        <v>13483.426516046753</v>
      </c>
      <c r="AJ91" s="32">
        <v>13250.953645080426</v>
      </c>
      <c r="AK91" s="32">
        <v>12940.963096105679</v>
      </c>
      <c r="AM91" s="39" t="s">
        <v>97</v>
      </c>
      <c r="AN91" t="s">
        <v>111</v>
      </c>
      <c r="AO91" t="s">
        <v>112</v>
      </c>
      <c r="AP91" t="s">
        <v>110</v>
      </c>
      <c r="AQ91" t="s">
        <v>109</v>
      </c>
      <c r="AR91" t="s">
        <v>116</v>
      </c>
      <c r="AS91" t="s">
        <v>115</v>
      </c>
      <c r="AT91" t="s">
        <v>115</v>
      </c>
      <c r="AU91" t="s">
        <v>113</v>
      </c>
      <c r="AV91" t="s">
        <v>115</v>
      </c>
      <c r="AW91" t="s">
        <v>115</v>
      </c>
      <c r="AX91" t="s">
        <v>108</v>
      </c>
      <c r="AY91" t="s">
        <v>113</v>
      </c>
      <c r="AZ91" t="s">
        <v>112</v>
      </c>
      <c r="BA91" t="s">
        <v>112</v>
      </c>
      <c r="BB91" t="s">
        <v>113</v>
      </c>
      <c r="BC91" t="s">
        <v>113</v>
      </c>
      <c r="BD91" t="s">
        <v>110</v>
      </c>
      <c r="BE91" t="s">
        <v>111</v>
      </c>
      <c r="BF91" t="s">
        <v>110</v>
      </c>
      <c r="BG91" t="s">
        <v>114</v>
      </c>
      <c r="BH91" t="s">
        <v>112</v>
      </c>
      <c r="BI91" t="s">
        <v>114</v>
      </c>
      <c r="BJ91" t="s">
        <v>114</v>
      </c>
      <c r="BK91" t="s">
        <v>109</v>
      </c>
      <c r="BL91" t="s">
        <v>116</v>
      </c>
      <c r="BM91" t="s">
        <v>113</v>
      </c>
      <c r="BN91" t="s">
        <v>110</v>
      </c>
      <c r="BO91" t="s">
        <v>110</v>
      </c>
      <c r="BP91" t="s">
        <v>114</v>
      </c>
      <c r="BQ91" t="s">
        <v>113</v>
      </c>
      <c r="BR91" t="s">
        <v>110</v>
      </c>
      <c r="BS91" t="s">
        <v>114</v>
      </c>
      <c r="BT91" t="s">
        <v>111</v>
      </c>
      <c r="BU91" t="s">
        <v>114</v>
      </c>
    </row>
    <row r="92" spans="1:73" x14ac:dyDescent="0.35">
      <c r="B92" s="69">
        <f t="shared" si="5"/>
        <v>3006.7031240037991</v>
      </c>
      <c r="C92" s="39" t="s">
        <v>98</v>
      </c>
      <c r="D92" s="32">
        <v>9406.0928484743035</v>
      </c>
      <c r="E92" s="32">
        <v>9250.6566771626804</v>
      </c>
      <c r="F92" s="32">
        <v>9147.0058419352845</v>
      </c>
      <c r="G92" s="32">
        <v>9121.0330108342132</v>
      </c>
      <c r="H92" s="32">
        <v>9043.3550067078831</v>
      </c>
      <c r="I92" s="32">
        <v>9095.140342792105</v>
      </c>
      <c r="J92" s="32">
        <v>9069.2476747499932</v>
      </c>
      <c r="K92" s="32">
        <v>8810.0805051520238</v>
      </c>
      <c r="L92" s="32">
        <v>9302.4420132469058</v>
      </c>
      <c r="M92" s="32">
        <v>9172.8985099773945</v>
      </c>
      <c r="N92" s="32">
        <v>9328.3346812890159</v>
      </c>
      <c r="O92" s="32">
        <v>8784.1878371099119</v>
      </c>
      <c r="P92" s="32">
        <v>8732.4025010256864</v>
      </c>
      <c r="Q92" s="32">
        <v>8706.4296699246206</v>
      </c>
      <c r="R92" s="32">
        <v>8758.2951690678037</v>
      </c>
      <c r="S92" s="32">
        <v>9380.2001804321917</v>
      </c>
      <c r="T92" s="32">
        <v>8550.9934986130011</v>
      </c>
      <c r="U92" s="32">
        <v>9198.7911780195045</v>
      </c>
      <c r="V92" s="32">
        <v>8576.8861666551147</v>
      </c>
      <c r="W92" s="32">
        <v>9224.6838460616182</v>
      </c>
      <c r="X92" s="32">
        <v>9354.3075123900799</v>
      </c>
      <c r="Y92" s="32">
        <v>8965.5968395225991</v>
      </c>
      <c r="Z92" s="32">
        <v>8991.4895075647037</v>
      </c>
      <c r="AA92" s="32">
        <v>8628.7516657982906</v>
      </c>
      <c r="AB92" s="32">
        <v>8602.7788346972247</v>
      </c>
      <c r="AC92" s="32">
        <v>9276.549345204794</v>
      </c>
      <c r="AD92" s="32">
        <v>8939.7041714804836</v>
      </c>
      <c r="AE92" s="32">
        <v>8913.7313403794233</v>
      </c>
      <c r="AF92" s="32">
        <v>8680.5370018825106</v>
      </c>
      <c r="AG92" s="32">
        <v>8887.8386723373114</v>
      </c>
      <c r="AH92" s="32">
        <v>8836.0533362530896</v>
      </c>
      <c r="AI92" s="32">
        <v>9017.3821756068228</v>
      </c>
      <c r="AJ92" s="32">
        <v>8861.946004295196</v>
      </c>
      <c r="AK92" s="32">
        <v>8654.6443338403969</v>
      </c>
      <c r="AM92" s="39" t="s">
        <v>98</v>
      </c>
      <c r="AN92" t="s">
        <v>116</v>
      </c>
      <c r="AO92" t="s">
        <v>108</v>
      </c>
      <c r="AP92" t="s">
        <v>113</v>
      </c>
      <c r="AQ92" t="s">
        <v>116</v>
      </c>
      <c r="AR92" t="s">
        <v>111</v>
      </c>
      <c r="AS92" t="s">
        <v>111</v>
      </c>
      <c r="AT92" t="s">
        <v>109</v>
      </c>
      <c r="AU92" t="s">
        <v>113</v>
      </c>
      <c r="AV92" t="s">
        <v>113</v>
      </c>
      <c r="AW92" t="s">
        <v>114</v>
      </c>
      <c r="AX92" t="s">
        <v>112</v>
      </c>
      <c r="AY92" t="s">
        <v>110</v>
      </c>
      <c r="AZ92" t="s">
        <v>116</v>
      </c>
      <c r="BA92" t="s">
        <v>110</v>
      </c>
      <c r="BB92" t="s">
        <v>110</v>
      </c>
      <c r="BC92" t="s">
        <v>113</v>
      </c>
      <c r="BD92" t="s">
        <v>113</v>
      </c>
      <c r="BE92" t="s">
        <v>113</v>
      </c>
      <c r="BF92" t="s">
        <v>108</v>
      </c>
      <c r="BG92" t="s">
        <v>112</v>
      </c>
      <c r="BH92" t="s">
        <v>116</v>
      </c>
      <c r="BI92" t="s">
        <v>113</v>
      </c>
      <c r="BJ92" t="s">
        <v>110</v>
      </c>
      <c r="BK92" t="s">
        <v>115</v>
      </c>
      <c r="BL92" t="s">
        <v>108</v>
      </c>
      <c r="BM92" t="s">
        <v>109</v>
      </c>
      <c r="BN92" t="s">
        <v>114</v>
      </c>
      <c r="BO92" t="s">
        <v>112</v>
      </c>
      <c r="BP92" t="s">
        <v>113</v>
      </c>
      <c r="BQ92" t="s">
        <v>108</v>
      </c>
      <c r="BR92" t="s">
        <v>111</v>
      </c>
      <c r="BS92" t="s">
        <v>110</v>
      </c>
      <c r="BT92" t="s">
        <v>115</v>
      </c>
      <c r="BU92" t="s">
        <v>114</v>
      </c>
    </row>
    <row r="93" spans="1:73" x14ac:dyDescent="0.35">
      <c r="B93" s="69">
        <f t="shared" si="5"/>
        <v>137030.40539437137</v>
      </c>
      <c r="C93" s="40" t="s">
        <v>83</v>
      </c>
      <c r="D93" s="50">
        <f t="shared" ref="D93:AK93" si="10">D323/D438*10^6</f>
        <v>3515.0209183153656</v>
      </c>
      <c r="E93" s="50">
        <f t="shared" si="10"/>
        <v>3407.9147560381375</v>
      </c>
      <c r="F93" s="50">
        <f t="shared" si="10"/>
        <v>3400.5840735115789</v>
      </c>
      <c r="G93" s="50">
        <f t="shared" si="10"/>
        <v>3406.3067322099537</v>
      </c>
      <c r="H93" s="50">
        <f t="shared" si="10"/>
        <v>3394.7400741622246</v>
      </c>
      <c r="I93" s="50">
        <f t="shared" si="10"/>
        <v>3346.0959063951018</v>
      </c>
      <c r="J93" s="50">
        <f t="shared" si="10"/>
        <v>3397.1225498951844</v>
      </c>
      <c r="K93" s="50">
        <f t="shared" si="10"/>
        <v>3335.875159263544</v>
      </c>
      <c r="L93" s="50">
        <f t="shared" si="10"/>
        <v>3503.4994351228675</v>
      </c>
      <c r="M93" s="50">
        <f t="shared" si="10"/>
        <v>3387.7781487423285</v>
      </c>
      <c r="N93" s="50">
        <f t="shared" si="10"/>
        <v>3531.6732287008213</v>
      </c>
      <c r="O93" s="50">
        <f t="shared" si="10"/>
        <v>3242.472038246337</v>
      </c>
      <c r="P93" s="50">
        <f t="shared" si="10"/>
        <v>3302.2407902059695</v>
      </c>
      <c r="Q93" s="50">
        <f t="shared" si="10"/>
        <v>3220.8210603011071</v>
      </c>
      <c r="R93" s="50">
        <f t="shared" si="10"/>
        <v>3249.0915788460702</v>
      </c>
      <c r="S93" s="50">
        <f t="shared" si="10"/>
        <v>3508.2106062366156</v>
      </c>
      <c r="T93" s="50">
        <f t="shared" si="10"/>
        <v>3186.1351313135656</v>
      </c>
      <c r="U93" s="50">
        <f t="shared" si="10"/>
        <v>3516.2504679239237</v>
      </c>
      <c r="V93" s="50">
        <f t="shared" si="10"/>
        <v>3196.0699211149681</v>
      </c>
      <c r="W93" s="50">
        <f t="shared" si="10"/>
        <v>3440.0294960538904</v>
      </c>
      <c r="X93" s="50">
        <f t="shared" si="10"/>
        <v>3521.2017219793611</v>
      </c>
      <c r="Y93" s="50">
        <f t="shared" si="10"/>
        <v>3316.3269723730309</v>
      </c>
      <c r="Z93" s="50">
        <f t="shared" si="10"/>
        <v>3378.7022491329426</v>
      </c>
      <c r="AA93" s="50">
        <f t="shared" si="10"/>
        <v>3277.8336745057218</v>
      </c>
      <c r="AB93" s="50">
        <f t="shared" si="10"/>
        <v>3245.9183937675225</v>
      </c>
      <c r="AC93" s="50">
        <f t="shared" si="10"/>
        <v>3453.6906865109258</v>
      </c>
      <c r="AD93" s="50">
        <f t="shared" si="10"/>
        <v>3394.4963755617355</v>
      </c>
      <c r="AE93" s="50">
        <f t="shared" si="10"/>
        <v>3312.9549970493667</v>
      </c>
      <c r="AF93" s="50">
        <f t="shared" si="10"/>
        <v>3275.5743458188949</v>
      </c>
      <c r="AG93" s="50">
        <f t="shared" si="10"/>
        <v>3307.5426494542307</v>
      </c>
      <c r="AH93" s="50">
        <f t="shared" si="10"/>
        <v>3277.6131477662784</v>
      </c>
      <c r="AI93" s="50">
        <f t="shared" si="10"/>
        <v>3366.8968347530649</v>
      </c>
      <c r="AJ93" s="50">
        <f t="shared" si="10"/>
        <v>3296.4063363004375</v>
      </c>
      <c r="AK93" s="50">
        <f t="shared" si="10"/>
        <v>3271.5282204683804</v>
      </c>
      <c r="AM93" s="40" t="s">
        <v>83</v>
      </c>
      <c r="AN93" t="s">
        <v>116</v>
      </c>
      <c r="AO93" t="s">
        <v>116</v>
      </c>
      <c r="AP93" t="s">
        <v>111</v>
      </c>
      <c r="AQ93" t="s">
        <v>116</v>
      </c>
      <c r="AR93" t="s">
        <v>116</v>
      </c>
      <c r="AS93" t="s">
        <v>114</v>
      </c>
      <c r="AT93" t="s">
        <v>110</v>
      </c>
      <c r="AU93" t="s">
        <v>111</v>
      </c>
      <c r="AV93" t="s">
        <v>111</v>
      </c>
      <c r="AW93" t="s">
        <v>115</v>
      </c>
      <c r="AX93" t="s">
        <v>116</v>
      </c>
      <c r="AY93" t="s">
        <v>112</v>
      </c>
      <c r="AZ93" t="s">
        <v>113</v>
      </c>
      <c r="BA93" t="s">
        <v>110</v>
      </c>
      <c r="BB93" t="s">
        <v>108</v>
      </c>
      <c r="BC93" t="s">
        <v>109</v>
      </c>
      <c r="BD93" t="s">
        <v>115</v>
      </c>
      <c r="BE93" t="s">
        <v>116</v>
      </c>
      <c r="BF93" t="s">
        <v>113</v>
      </c>
      <c r="BG93" t="s">
        <v>114</v>
      </c>
      <c r="BH93" t="s">
        <v>111</v>
      </c>
      <c r="BI93" t="s">
        <v>109</v>
      </c>
      <c r="BJ93" t="s">
        <v>114</v>
      </c>
      <c r="BK93" t="s">
        <v>114</v>
      </c>
      <c r="BL93" t="s">
        <v>110</v>
      </c>
      <c r="BM93" t="s">
        <v>108</v>
      </c>
      <c r="BN93" t="s">
        <v>110</v>
      </c>
      <c r="BO93" t="s">
        <v>116</v>
      </c>
      <c r="BP93" t="s">
        <v>110</v>
      </c>
      <c r="BQ93" t="s">
        <v>112</v>
      </c>
      <c r="BR93" t="s">
        <v>113</v>
      </c>
      <c r="BS93" t="s">
        <v>113</v>
      </c>
      <c r="BT93" t="s">
        <v>114</v>
      </c>
      <c r="BU93" t="s">
        <v>109</v>
      </c>
    </row>
    <row r="94" spans="1:73" x14ac:dyDescent="0.35">
      <c r="B94" s="69">
        <f t="shared" si="5"/>
        <v>76322.846760501809</v>
      </c>
      <c r="C94" s="37" t="s">
        <v>80</v>
      </c>
      <c r="D94" s="50">
        <f>D33</f>
        <v>2441.416370997867</v>
      </c>
      <c r="E94" s="50">
        <f t="shared" ref="E94:AK94" si="11">E33</f>
        <v>2401.0393920347769</v>
      </c>
      <c r="F94" s="50">
        <f t="shared" si="11"/>
        <v>2374.1495041658295</v>
      </c>
      <c r="G94" s="50">
        <f t="shared" si="11"/>
        <v>2367.4059586187586</v>
      </c>
      <c r="H94" s="50">
        <f t="shared" si="11"/>
        <v>2347.2596162968821</v>
      </c>
      <c r="I94" s="50">
        <f t="shared" si="11"/>
        <v>2360.7467073910261</v>
      </c>
      <c r="J94" s="50">
        <f t="shared" si="11"/>
        <v>2354.0031618439534</v>
      </c>
      <c r="K94" s="50">
        <f t="shared" si="11"/>
        <v>2286.7362950119164</v>
      </c>
      <c r="L94" s="50">
        <f t="shared" si="11"/>
        <v>2414.5264831289205</v>
      </c>
      <c r="M94" s="50">
        <f t="shared" si="11"/>
        <v>2380.8930497129004</v>
      </c>
      <c r="N94" s="50">
        <f t="shared" si="11"/>
        <v>2421.2700286759909</v>
      </c>
      <c r="O94" s="50">
        <f t="shared" si="11"/>
        <v>2279.9927494648455</v>
      </c>
      <c r="P94" s="50">
        <f t="shared" si="11"/>
        <v>2266.5899526900403</v>
      </c>
      <c r="Q94" s="50">
        <f t="shared" si="11"/>
        <v>2259.8464071429685</v>
      </c>
      <c r="R94" s="50">
        <f t="shared" si="11"/>
        <v>2273.2492039177737</v>
      </c>
      <c r="S94" s="50">
        <f t="shared" si="11"/>
        <v>2434.6728254507966</v>
      </c>
      <c r="T94" s="50">
        <f t="shared" si="11"/>
        <v>2219.4694281798784</v>
      </c>
      <c r="U94" s="50">
        <f t="shared" si="11"/>
        <v>2387.6365952599726</v>
      </c>
      <c r="V94" s="50">
        <f t="shared" si="11"/>
        <v>2226.2129737269502</v>
      </c>
      <c r="W94" s="50">
        <f t="shared" si="11"/>
        <v>2394.2958464877056</v>
      </c>
      <c r="X94" s="50">
        <f t="shared" si="11"/>
        <v>2427.9292799037244</v>
      </c>
      <c r="Y94" s="50">
        <f t="shared" si="11"/>
        <v>2327.1132739750065</v>
      </c>
      <c r="Z94" s="50">
        <f t="shared" si="11"/>
        <v>2333.7725252027399</v>
      </c>
      <c r="AA94" s="50">
        <f t="shared" si="11"/>
        <v>2239.6157705017545</v>
      </c>
      <c r="AB94" s="50">
        <f t="shared" si="11"/>
        <v>2232.956519274022</v>
      </c>
      <c r="AC94" s="50">
        <f t="shared" si="11"/>
        <v>2407.7829375818483</v>
      </c>
      <c r="AD94" s="50">
        <f t="shared" si="11"/>
        <v>2320.3697284279351</v>
      </c>
      <c r="AE94" s="50">
        <f t="shared" si="11"/>
        <v>2313.6261828808629</v>
      </c>
      <c r="AF94" s="50">
        <f t="shared" si="11"/>
        <v>2253.102861595898</v>
      </c>
      <c r="AG94" s="50">
        <f t="shared" si="11"/>
        <v>2306.8826373337924</v>
      </c>
      <c r="AH94" s="50">
        <f t="shared" si="11"/>
        <v>2293.4798405589886</v>
      </c>
      <c r="AI94" s="50">
        <f t="shared" si="11"/>
        <v>2340.5160707498103</v>
      </c>
      <c r="AJ94" s="50">
        <f t="shared" si="11"/>
        <v>2300.1390917867216</v>
      </c>
      <c r="AK94" s="50">
        <f t="shared" si="11"/>
        <v>2246.3593160488263</v>
      </c>
      <c r="AM94" s="37" t="s">
        <v>80</v>
      </c>
      <c r="AN94" t="s">
        <v>108</v>
      </c>
      <c r="AO94" t="s">
        <v>116</v>
      </c>
      <c r="AP94" t="s">
        <v>109</v>
      </c>
      <c r="AQ94" t="s">
        <v>113</v>
      </c>
      <c r="AR94" t="s">
        <v>114</v>
      </c>
      <c r="AS94" t="s">
        <v>110</v>
      </c>
      <c r="AT94" t="s">
        <v>115</v>
      </c>
      <c r="AU94" t="s">
        <v>113</v>
      </c>
      <c r="AV94" t="s">
        <v>114</v>
      </c>
      <c r="AW94" t="s">
        <v>109</v>
      </c>
      <c r="AX94" t="s">
        <v>113</v>
      </c>
      <c r="AY94" t="s">
        <v>108</v>
      </c>
      <c r="AZ94" t="s">
        <v>111</v>
      </c>
      <c r="BA94" t="s">
        <v>110</v>
      </c>
      <c r="BB94" t="s">
        <v>108</v>
      </c>
      <c r="BC94" t="s">
        <v>110</v>
      </c>
      <c r="BD94" t="s">
        <v>114</v>
      </c>
      <c r="BE94" t="s">
        <v>108</v>
      </c>
      <c r="BF94" t="s">
        <v>108</v>
      </c>
      <c r="BG94" t="s">
        <v>109</v>
      </c>
      <c r="BH94" t="s">
        <v>108</v>
      </c>
      <c r="BI94" t="s">
        <v>115</v>
      </c>
      <c r="BJ94" t="s">
        <v>112</v>
      </c>
      <c r="BK94" t="s">
        <v>113</v>
      </c>
      <c r="BL94" t="s">
        <v>108</v>
      </c>
      <c r="BM94" t="s">
        <v>109</v>
      </c>
      <c r="BN94" t="s">
        <v>113</v>
      </c>
      <c r="BO94" t="s">
        <v>114</v>
      </c>
      <c r="BP94" t="s">
        <v>115</v>
      </c>
      <c r="BQ94" t="s">
        <v>111</v>
      </c>
      <c r="BR94" t="s">
        <v>109</v>
      </c>
      <c r="BS94" t="s">
        <v>114</v>
      </c>
      <c r="BT94" t="s">
        <v>110</v>
      </c>
      <c r="BU94" t="s">
        <v>114</v>
      </c>
    </row>
    <row r="95" spans="1:73" x14ac:dyDescent="0.35">
      <c r="B95" s="69">
        <f t="shared" si="5"/>
        <v>28380.676261091434</v>
      </c>
      <c r="C95" s="39" t="s">
        <v>93</v>
      </c>
      <c r="D95" s="32">
        <v>3141.5252623363044</v>
      </c>
      <c r="E95" s="32">
        <v>3089.5831088537393</v>
      </c>
      <c r="F95" s="32">
        <v>3055.0140988568105</v>
      </c>
      <c r="G95" s="32">
        <v>3046.3275271139928</v>
      </c>
      <c r="H95" s="32">
        <v>3020.3564503727107</v>
      </c>
      <c r="I95" s="32">
        <v>3037.6409553711756</v>
      </c>
      <c r="J95" s="32">
        <v>3029.0430221155275</v>
      </c>
      <c r="K95" s="32">
        <v>2942.443220148863</v>
      </c>
      <c r="L95" s="32">
        <v>3106.8676138522046</v>
      </c>
      <c r="M95" s="32">
        <v>3063.6120321124577</v>
      </c>
      <c r="N95" s="32">
        <v>3115.5541855950232</v>
      </c>
      <c r="O95" s="32">
        <v>2933.8452868932163</v>
      </c>
      <c r="P95" s="32">
        <v>2916.47214340758</v>
      </c>
      <c r="Q95" s="32">
        <v>2907.8742101519338</v>
      </c>
      <c r="R95" s="32">
        <v>2925.1587151503982</v>
      </c>
      <c r="S95" s="32">
        <v>3132.8386905934872</v>
      </c>
      <c r="T95" s="32">
        <v>2855.9320566693677</v>
      </c>
      <c r="U95" s="32">
        <v>3072.2986038552758</v>
      </c>
      <c r="V95" s="32">
        <v>2864.6186284121868</v>
      </c>
      <c r="W95" s="32">
        <v>3080.9851755980931</v>
      </c>
      <c r="X95" s="32">
        <v>3124.24075733784</v>
      </c>
      <c r="Y95" s="32">
        <v>2994.3853736314277</v>
      </c>
      <c r="Z95" s="32">
        <v>3003.0719453742458</v>
      </c>
      <c r="AA95" s="32">
        <v>2881.9031334106508</v>
      </c>
      <c r="AB95" s="32">
        <v>2873.2165616678326</v>
      </c>
      <c r="AC95" s="32">
        <v>3098.2696805965584</v>
      </c>
      <c r="AD95" s="32">
        <v>2985.787440375781</v>
      </c>
      <c r="AE95" s="32">
        <v>2977.1008686329633</v>
      </c>
      <c r="AF95" s="32">
        <v>2899.1876384091152</v>
      </c>
      <c r="AG95" s="32">
        <v>2968.4142968901447</v>
      </c>
      <c r="AH95" s="32">
        <v>2951.1297918916812</v>
      </c>
      <c r="AI95" s="32">
        <v>3011.6698786298921</v>
      </c>
      <c r="AJ95" s="32">
        <v>2959.816363634498</v>
      </c>
      <c r="AK95" s="32">
        <v>2890.5897051534689</v>
      </c>
      <c r="AM95" s="39" t="s">
        <v>93</v>
      </c>
      <c r="AN95" t="s">
        <v>112</v>
      </c>
      <c r="AO95" t="s">
        <v>114</v>
      </c>
      <c r="AP95" t="s">
        <v>109</v>
      </c>
      <c r="AQ95" t="s">
        <v>112</v>
      </c>
      <c r="AR95" t="s">
        <v>114</v>
      </c>
      <c r="AS95" t="s">
        <v>109</v>
      </c>
      <c r="AT95" t="s">
        <v>109</v>
      </c>
      <c r="AU95" t="s">
        <v>111</v>
      </c>
      <c r="AV95" t="s">
        <v>112</v>
      </c>
      <c r="AW95" t="s">
        <v>116</v>
      </c>
      <c r="AX95" t="s">
        <v>108</v>
      </c>
      <c r="AY95" t="s">
        <v>115</v>
      </c>
      <c r="AZ95" t="s">
        <v>113</v>
      </c>
      <c r="BA95" t="s">
        <v>114</v>
      </c>
      <c r="BB95" t="s">
        <v>114</v>
      </c>
      <c r="BC95" t="s">
        <v>116</v>
      </c>
      <c r="BD95" t="s">
        <v>108</v>
      </c>
      <c r="BE95" t="s">
        <v>111</v>
      </c>
      <c r="BF95" t="s">
        <v>114</v>
      </c>
      <c r="BG95" t="s">
        <v>113</v>
      </c>
      <c r="BH95" t="s">
        <v>113</v>
      </c>
      <c r="BI95" t="s">
        <v>112</v>
      </c>
      <c r="BJ95" t="s">
        <v>115</v>
      </c>
      <c r="BK95" t="s">
        <v>116</v>
      </c>
      <c r="BL95" t="s">
        <v>115</v>
      </c>
      <c r="BM95" t="s">
        <v>108</v>
      </c>
      <c r="BN95" t="s">
        <v>111</v>
      </c>
      <c r="BO95" t="s">
        <v>112</v>
      </c>
      <c r="BP95" t="s">
        <v>116</v>
      </c>
      <c r="BQ95" t="s">
        <v>116</v>
      </c>
      <c r="BR95" t="s">
        <v>116</v>
      </c>
      <c r="BS95" t="s">
        <v>112</v>
      </c>
      <c r="BT95" t="s">
        <v>108</v>
      </c>
      <c r="BU95" t="s">
        <v>114</v>
      </c>
    </row>
    <row r="96" spans="1:73" x14ac:dyDescent="0.35">
      <c r="A96" s="3">
        <v>0.99</v>
      </c>
      <c r="B96" s="69">
        <f t="shared" si="5"/>
        <v>15350.309874969065</v>
      </c>
      <c r="C96" s="39" t="s">
        <v>94</v>
      </c>
      <c r="D96" s="32">
        <v>2582.8368776936286</v>
      </c>
      <c r="E96" s="32">
        <v>2540.1131268769113</v>
      </c>
      <c r="F96" s="32">
        <v>2511.6601724948232</v>
      </c>
      <c r="G96" s="32">
        <v>2504.5690935210941</v>
      </c>
      <c r="H96" s="32">
        <v>2483.2072181127369</v>
      </c>
      <c r="I96" s="32">
        <v>2497.4780145473665</v>
      </c>
      <c r="J96" s="32">
        <v>2490.2982970864655</v>
      </c>
      <c r="K96" s="32">
        <v>2419.2102303748306</v>
      </c>
      <c r="L96" s="32">
        <v>2554.3839233115409</v>
      </c>
      <c r="M96" s="32">
        <v>2518.8398899557237</v>
      </c>
      <c r="N96" s="32">
        <v>2561.4750022852704</v>
      </c>
      <c r="O96" s="32">
        <v>2412.0305129139306</v>
      </c>
      <c r="P96" s="32">
        <v>2397.848354966472</v>
      </c>
      <c r="Q96" s="32">
        <v>2390.7572759927443</v>
      </c>
      <c r="R96" s="32">
        <v>2404.9394339402011</v>
      </c>
      <c r="S96" s="32">
        <v>2575.7457987199</v>
      </c>
      <c r="T96" s="32">
        <v>2348.0335251760262</v>
      </c>
      <c r="U96" s="32">
        <v>2525.9309689294537</v>
      </c>
      <c r="V96" s="32">
        <v>2355.1246041497552</v>
      </c>
      <c r="W96" s="32">
        <v>2533.0220479031827</v>
      </c>
      <c r="X96" s="32">
        <v>2568.5660812589995</v>
      </c>
      <c r="Y96" s="32">
        <v>2461.8453427043778</v>
      </c>
      <c r="Z96" s="32">
        <v>2469.0250601652779</v>
      </c>
      <c r="AA96" s="32">
        <v>2369.3954005843848</v>
      </c>
      <c r="AB96" s="32">
        <v>2362.3043216106562</v>
      </c>
      <c r="AC96" s="32">
        <v>2547.2928443378123</v>
      </c>
      <c r="AD96" s="32">
        <v>2454.7542637306478</v>
      </c>
      <c r="AE96" s="32">
        <v>2447.6631847569188</v>
      </c>
      <c r="AF96" s="32">
        <v>2383.5775585318434</v>
      </c>
      <c r="AG96" s="32">
        <v>2440.5721057831897</v>
      </c>
      <c r="AH96" s="32">
        <v>2426.3013093485602</v>
      </c>
      <c r="AI96" s="32">
        <v>2476.1161391390074</v>
      </c>
      <c r="AJ96" s="32">
        <v>2433.3923883222901</v>
      </c>
      <c r="AK96" s="32">
        <v>2376.4864795581143</v>
      </c>
      <c r="AM96" s="39" t="s">
        <v>94</v>
      </c>
      <c r="AN96" t="s">
        <v>114</v>
      </c>
      <c r="AO96" t="s">
        <v>116</v>
      </c>
      <c r="AP96" t="s">
        <v>115</v>
      </c>
      <c r="AQ96" t="s">
        <v>110</v>
      </c>
      <c r="AR96" t="s">
        <v>116</v>
      </c>
      <c r="AS96" t="s">
        <v>114</v>
      </c>
      <c r="AT96" t="s">
        <v>109</v>
      </c>
      <c r="AU96" t="s">
        <v>108</v>
      </c>
      <c r="AV96" t="s">
        <v>108</v>
      </c>
      <c r="AW96" t="s">
        <v>108</v>
      </c>
      <c r="AX96" t="s">
        <v>108</v>
      </c>
      <c r="AY96" t="s">
        <v>114</v>
      </c>
      <c r="AZ96" t="s">
        <v>116</v>
      </c>
      <c r="BA96" t="s">
        <v>116</v>
      </c>
      <c r="BB96" t="s">
        <v>111</v>
      </c>
      <c r="BC96" t="s">
        <v>109</v>
      </c>
      <c r="BD96" t="s">
        <v>116</v>
      </c>
      <c r="BE96" t="s">
        <v>108</v>
      </c>
      <c r="BF96" t="s">
        <v>112</v>
      </c>
      <c r="BG96" t="s">
        <v>109</v>
      </c>
      <c r="BH96" t="s">
        <v>114</v>
      </c>
      <c r="BI96" t="s">
        <v>112</v>
      </c>
      <c r="BJ96" t="s">
        <v>116</v>
      </c>
      <c r="BK96" t="s">
        <v>109</v>
      </c>
      <c r="BL96" t="s">
        <v>111</v>
      </c>
      <c r="BM96" t="s">
        <v>112</v>
      </c>
      <c r="BN96" t="s">
        <v>115</v>
      </c>
      <c r="BO96" t="s">
        <v>115</v>
      </c>
      <c r="BP96" t="s">
        <v>111</v>
      </c>
      <c r="BQ96" t="s">
        <v>114</v>
      </c>
      <c r="BR96" t="s">
        <v>109</v>
      </c>
      <c r="BS96" t="s">
        <v>110</v>
      </c>
      <c r="BT96" t="s">
        <v>112</v>
      </c>
      <c r="BU96" t="s">
        <v>115</v>
      </c>
    </row>
    <row r="97" spans="2:73" x14ac:dyDescent="0.35">
      <c r="B97" s="69">
        <f t="shared" si="5"/>
        <v>11143.009622409718</v>
      </c>
      <c r="C97" s="39" t="s">
        <v>95</v>
      </c>
      <c r="D97" s="32">
        <v>1892.5203396011075</v>
      </c>
      <c r="E97" s="32">
        <v>1861.2309536295279</v>
      </c>
      <c r="F97" s="32">
        <v>1840.4009091441994</v>
      </c>
      <c r="G97" s="32">
        <v>1835.1712384010737</v>
      </c>
      <c r="H97" s="32">
        <v>1819.5708646588701</v>
      </c>
      <c r="I97" s="32">
        <v>1829.941567657949</v>
      </c>
      <c r="J97" s="32">
        <v>1824.7118969148235</v>
      </c>
      <c r="K97" s="32">
        <v>1772.592466457915</v>
      </c>
      <c r="L97" s="32">
        <v>1871.6902951157781</v>
      </c>
      <c r="M97" s="32">
        <v>1845.6305798873241</v>
      </c>
      <c r="N97" s="32">
        <v>1876.9199658589032</v>
      </c>
      <c r="O97" s="32">
        <v>1767.3627957147899</v>
      </c>
      <c r="P97" s="32">
        <v>1756.9920927157114</v>
      </c>
      <c r="Q97" s="32">
        <v>1751.7624219725863</v>
      </c>
      <c r="R97" s="32">
        <v>1762.2217634588362</v>
      </c>
      <c r="S97" s="32">
        <v>1887.2906688579819</v>
      </c>
      <c r="T97" s="32">
        <v>1720.4730360010069</v>
      </c>
      <c r="U97" s="32">
        <v>1850.7716121432779</v>
      </c>
      <c r="V97" s="32">
        <v>1725.7027067441318</v>
      </c>
      <c r="W97" s="32">
        <v>1856.0012828864037</v>
      </c>
      <c r="X97" s="32">
        <v>1882.0609981148575</v>
      </c>
      <c r="Y97" s="32">
        <v>1803.8818524294941</v>
      </c>
      <c r="Z97" s="32">
        <v>1809.1115231726196</v>
      </c>
      <c r="AA97" s="32">
        <v>1736.0734097432105</v>
      </c>
      <c r="AB97" s="32">
        <v>1730.9323774872573</v>
      </c>
      <c r="AC97" s="32">
        <v>1866.460624372653</v>
      </c>
      <c r="AD97" s="32">
        <v>1798.6521816863697</v>
      </c>
      <c r="AE97" s="32">
        <v>1793.4225109432439</v>
      </c>
      <c r="AF97" s="32">
        <v>1746.5327512294614</v>
      </c>
      <c r="AG97" s="32">
        <v>1788.2814786872907</v>
      </c>
      <c r="AH97" s="32">
        <v>1777.8221372010401</v>
      </c>
      <c r="AI97" s="32">
        <v>1814.3411939157445</v>
      </c>
      <c r="AJ97" s="32">
        <v>1783.0518079441656</v>
      </c>
      <c r="AK97" s="32">
        <v>1741.3030804863361</v>
      </c>
      <c r="AM97" s="39" t="s">
        <v>95</v>
      </c>
      <c r="AN97" t="s">
        <v>116</v>
      </c>
      <c r="AO97" t="s">
        <v>108</v>
      </c>
      <c r="AP97" t="s">
        <v>111</v>
      </c>
      <c r="AQ97" t="s">
        <v>108</v>
      </c>
      <c r="AR97" t="s">
        <v>113</v>
      </c>
      <c r="AS97" t="s">
        <v>112</v>
      </c>
      <c r="AT97" t="s">
        <v>113</v>
      </c>
      <c r="AU97" t="s">
        <v>109</v>
      </c>
      <c r="AV97" t="s">
        <v>109</v>
      </c>
      <c r="AW97" t="s">
        <v>111</v>
      </c>
      <c r="AX97" t="s">
        <v>111</v>
      </c>
      <c r="AY97" t="s">
        <v>108</v>
      </c>
      <c r="AZ97" t="s">
        <v>115</v>
      </c>
      <c r="BA97" t="s">
        <v>111</v>
      </c>
      <c r="BB97" t="s">
        <v>109</v>
      </c>
      <c r="BC97" t="s">
        <v>110</v>
      </c>
      <c r="BD97" t="s">
        <v>112</v>
      </c>
      <c r="BE97" t="s">
        <v>109</v>
      </c>
      <c r="BF97" t="s">
        <v>110</v>
      </c>
      <c r="BG97" t="s">
        <v>112</v>
      </c>
      <c r="BH97" t="s">
        <v>111</v>
      </c>
      <c r="BI97" t="s">
        <v>108</v>
      </c>
      <c r="BJ97" t="s">
        <v>110</v>
      </c>
      <c r="BK97" t="s">
        <v>110</v>
      </c>
      <c r="BL97" t="s">
        <v>112</v>
      </c>
      <c r="BM97" t="s">
        <v>112</v>
      </c>
      <c r="BN97" t="s">
        <v>116</v>
      </c>
      <c r="BO97" t="s">
        <v>112</v>
      </c>
      <c r="BP97" t="s">
        <v>116</v>
      </c>
      <c r="BQ97" t="s">
        <v>115</v>
      </c>
      <c r="BR97" t="s">
        <v>116</v>
      </c>
      <c r="BS97" t="s">
        <v>110</v>
      </c>
      <c r="BT97" t="s">
        <v>116</v>
      </c>
      <c r="BU97" t="s">
        <v>108</v>
      </c>
    </row>
    <row r="98" spans="2:73" x14ac:dyDescent="0.35">
      <c r="B98" s="69">
        <f t="shared" si="5"/>
        <v>6269.9419455867292</v>
      </c>
      <c r="C98" s="39" t="s">
        <v>96</v>
      </c>
      <c r="D98" s="32">
        <v>2753.4659654989837</v>
      </c>
      <c r="E98" s="32">
        <v>2707.994421579946</v>
      </c>
      <c r="F98" s="32">
        <v>2677.5914204800833</v>
      </c>
      <c r="G98" s="32">
        <v>2670.0571490704961</v>
      </c>
      <c r="H98" s="32">
        <v>2647.2770578673908</v>
      </c>
      <c r="I98" s="32">
        <v>2662.4342391737373</v>
      </c>
      <c r="J98" s="32">
        <v>2654.89996776415</v>
      </c>
      <c r="K98" s="32">
        <v>2579.0254227452492</v>
      </c>
      <c r="L98" s="32">
        <v>2723.151602886292</v>
      </c>
      <c r="M98" s="32">
        <v>2685.2143303768426</v>
      </c>
      <c r="N98" s="32">
        <v>2730.6858742958784</v>
      </c>
      <c r="O98" s="32">
        <v>2571.4025128484905</v>
      </c>
      <c r="P98" s="32">
        <v>2556.2453315421449</v>
      </c>
      <c r="Q98" s="32">
        <v>2548.6224216453857</v>
      </c>
      <c r="R98" s="32">
        <v>2563.8682414389027</v>
      </c>
      <c r="S98" s="32">
        <v>2745.8430556022258</v>
      </c>
      <c r="T98" s="32">
        <v>2503.1508777263493</v>
      </c>
      <c r="U98" s="32">
        <v>2692.7486017864294</v>
      </c>
      <c r="V98" s="32">
        <v>2510.7737876231076</v>
      </c>
      <c r="W98" s="32">
        <v>2700.3715116831868</v>
      </c>
      <c r="X98" s="32">
        <v>2738.3087841926381</v>
      </c>
      <c r="Y98" s="32">
        <v>2624.4969666642869</v>
      </c>
      <c r="Z98" s="32">
        <v>2632.1198765610452</v>
      </c>
      <c r="AA98" s="32">
        <v>2525.9309689294537</v>
      </c>
      <c r="AB98" s="32">
        <v>2518.3080590326936</v>
      </c>
      <c r="AC98" s="32">
        <v>2715.5286929895333</v>
      </c>
      <c r="AD98" s="32">
        <v>2616.9626952547001</v>
      </c>
      <c r="AE98" s="32">
        <v>2609.3397853579413</v>
      </c>
      <c r="AF98" s="32">
        <v>2541.0881502357984</v>
      </c>
      <c r="AG98" s="32">
        <v>2601.7168754611816</v>
      </c>
      <c r="AH98" s="32">
        <v>2586.5596941548361</v>
      </c>
      <c r="AI98" s="32">
        <v>2639.6541479706334</v>
      </c>
      <c r="AJ98" s="32">
        <v>2594.1826040515948</v>
      </c>
      <c r="AK98" s="32">
        <v>2533.4652403390401</v>
      </c>
      <c r="AM98" s="39" t="s">
        <v>96</v>
      </c>
      <c r="AN98" t="s">
        <v>111</v>
      </c>
      <c r="AO98" t="s">
        <v>112</v>
      </c>
      <c r="AP98" t="s">
        <v>116</v>
      </c>
      <c r="AQ98" t="s">
        <v>111</v>
      </c>
      <c r="AR98" t="s">
        <v>114</v>
      </c>
      <c r="AS98" t="s">
        <v>113</v>
      </c>
      <c r="AT98" t="s">
        <v>113</v>
      </c>
      <c r="AU98" t="s">
        <v>115</v>
      </c>
      <c r="AV98" t="s">
        <v>114</v>
      </c>
      <c r="AW98" t="s">
        <v>116</v>
      </c>
      <c r="AX98" t="s">
        <v>114</v>
      </c>
      <c r="AY98" t="s">
        <v>115</v>
      </c>
      <c r="AZ98" t="s">
        <v>109</v>
      </c>
      <c r="BA98" t="s">
        <v>111</v>
      </c>
      <c r="BB98" t="s">
        <v>112</v>
      </c>
      <c r="BC98" t="s">
        <v>116</v>
      </c>
      <c r="BD98" t="s">
        <v>108</v>
      </c>
      <c r="BE98" t="s">
        <v>109</v>
      </c>
      <c r="BF98" t="s">
        <v>115</v>
      </c>
      <c r="BG98" t="s">
        <v>108</v>
      </c>
      <c r="BH98" t="s">
        <v>114</v>
      </c>
      <c r="BI98" t="s">
        <v>113</v>
      </c>
      <c r="BJ98" t="s">
        <v>108</v>
      </c>
      <c r="BK98" t="s">
        <v>108</v>
      </c>
      <c r="BL98" t="s">
        <v>112</v>
      </c>
      <c r="BM98" t="s">
        <v>114</v>
      </c>
      <c r="BN98" t="s">
        <v>110</v>
      </c>
      <c r="BO98" t="s">
        <v>114</v>
      </c>
      <c r="BP98" t="s">
        <v>112</v>
      </c>
      <c r="BQ98" t="s">
        <v>116</v>
      </c>
      <c r="BR98" t="s">
        <v>113</v>
      </c>
      <c r="BS98" t="s">
        <v>112</v>
      </c>
      <c r="BT98" t="s">
        <v>113</v>
      </c>
      <c r="BU98" t="s">
        <v>111</v>
      </c>
    </row>
    <row r="99" spans="2:73" x14ac:dyDescent="0.35">
      <c r="B99" s="69">
        <f t="shared" si="5"/>
        <v>13983.125699984494</v>
      </c>
      <c r="C99" s="39" t="s">
        <v>97</v>
      </c>
      <c r="D99" s="32">
        <v>4748.3637577833042</v>
      </c>
      <c r="E99" s="32">
        <v>4669.9186966364259</v>
      </c>
      <c r="F99" s="32">
        <v>4617.5333507180039</v>
      </c>
      <c r="G99" s="32">
        <v>4604.5034931037762</v>
      </c>
      <c r="H99" s="32">
        <v>4565.2366432867511</v>
      </c>
      <c r="I99" s="32">
        <v>4591.3849970023775</v>
      </c>
      <c r="J99" s="32">
        <v>4578.3551393881489</v>
      </c>
      <c r="K99" s="32">
        <v>4447.5247323228505</v>
      </c>
      <c r="L99" s="32">
        <v>4696.0670503520523</v>
      </c>
      <c r="M99" s="32">
        <v>4630.6518468194017</v>
      </c>
      <c r="N99" s="32">
        <v>4709.09690796628</v>
      </c>
      <c r="O99" s="32">
        <v>4434.4062362214518</v>
      </c>
      <c r="P99" s="32">
        <v>4408.2578825058245</v>
      </c>
      <c r="Q99" s="32">
        <v>4395.1393864044257</v>
      </c>
      <c r="R99" s="32">
        <v>4421.376378607225</v>
      </c>
      <c r="S99" s="32">
        <v>4735.2452616819046</v>
      </c>
      <c r="T99" s="32">
        <v>4316.6943252575484</v>
      </c>
      <c r="U99" s="32">
        <v>4643.6817044336285</v>
      </c>
      <c r="V99" s="32">
        <v>4329.812821358948</v>
      </c>
      <c r="W99" s="32">
        <v>4656.8002005350272</v>
      </c>
      <c r="X99" s="32">
        <v>4722.2154040676778</v>
      </c>
      <c r="Y99" s="32">
        <v>4525.9697934697269</v>
      </c>
      <c r="Z99" s="32">
        <v>4539.0882895711256</v>
      </c>
      <c r="AA99" s="32">
        <v>4355.9611750745744</v>
      </c>
      <c r="AB99" s="32">
        <v>4342.8426789731766</v>
      </c>
      <c r="AC99" s="32">
        <v>4682.9485542506536</v>
      </c>
      <c r="AD99" s="32">
        <v>4512.9399358555011</v>
      </c>
      <c r="AE99" s="32">
        <v>4499.8214397541014</v>
      </c>
      <c r="AF99" s="32">
        <v>4382.1095287901981</v>
      </c>
      <c r="AG99" s="32">
        <v>4486.7029436527018</v>
      </c>
      <c r="AH99" s="32">
        <v>4460.5545899370782</v>
      </c>
      <c r="AI99" s="32">
        <v>4552.1181471853524</v>
      </c>
      <c r="AJ99" s="32">
        <v>4473.673086038476</v>
      </c>
      <c r="AK99" s="32">
        <v>4368.9910326887994</v>
      </c>
      <c r="AM99" s="39" t="s">
        <v>97</v>
      </c>
      <c r="AN99" t="s">
        <v>109</v>
      </c>
      <c r="AO99" t="s">
        <v>115</v>
      </c>
      <c r="AP99" t="s">
        <v>108</v>
      </c>
      <c r="AQ99" t="s">
        <v>115</v>
      </c>
      <c r="AR99" t="s">
        <v>109</v>
      </c>
      <c r="AS99" t="s">
        <v>114</v>
      </c>
      <c r="AT99" t="s">
        <v>116</v>
      </c>
      <c r="AU99" t="s">
        <v>109</v>
      </c>
      <c r="AV99" t="s">
        <v>114</v>
      </c>
      <c r="AW99" t="s">
        <v>113</v>
      </c>
      <c r="AX99" t="s">
        <v>108</v>
      </c>
      <c r="AY99" t="s">
        <v>113</v>
      </c>
      <c r="AZ99" t="s">
        <v>109</v>
      </c>
      <c r="BA99" t="s">
        <v>110</v>
      </c>
      <c r="BB99" t="s">
        <v>109</v>
      </c>
      <c r="BC99" t="s">
        <v>108</v>
      </c>
      <c r="BD99" t="s">
        <v>111</v>
      </c>
      <c r="BE99" t="s">
        <v>116</v>
      </c>
      <c r="BF99" t="s">
        <v>111</v>
      </c>
      <c r="BG99" t="s">
        <v>111</v>
      </c>
      <c r="BH99" t="s">
        <v>116</v>
      </c>
      <c r="BI99" t="s">
        <v>110</v>
      </c>
      <c r="BJ99" t="s">
        <v>113</v>
      </c>
      <c r="BK99" t="s">
        <v>113</v>
      </c>
      <c r="BL99" t="s">
        <v>112</v>
      </c>
      <c r="BM99" t="s">
        <v>109</v>
      </c>
      <c r="BN99" t="s">
        <v>114</v>
      </c>
      <c r="BO99" t="s">
        <v>113</v>
      </c>
      <c r="BP99" t="s">
        <v>111</v>
      </c>
      <c r="BQ99" t="s">
        <v>110</v>
      </c>
      <c r="BR99" t="s">
        <v>112</v>
      </c>
      <c r="BS99" t="s">
        <v>108</v>
      </c>
      <c r="BT99" t="s">
        <v>108</v>
      </c>
      <c r="BU99" t="s">
        <v>114</v>
      </c>
    </row>
    <row r="100" spans="2:73" x14ac:dyDescent="0.35">
      <c r="B100" s="69">
        <f t="shared" si="5"/>
        <v>1195.7833564603702</v>
      </c>
      <c r="C100" s="39" t="s">
        <v>98</v>
      </c>
      <c r="D100" s="32">
        <v>6459.5297526312916</v>
      </c>
      <c r="E100" s="32">
        <v>6352.720375589498</v>
      </c>
      <c r="F100" s="32">
        <v>6281.5436703906926</v>
      </c>
      <c r="G100" s="32">
        <v>6263.8159729563695</v>
      </c>
      <c r="H100" s="32">
        <v>6210.3669651918863</v>
      </c>
      <c r="I100" s="32">
        <v>6245.9996370348763</v>
      </c>
      <c r="J100" s="32">
        <v>6228.1833011133813</v>
      </c>
      <c r="K100" s="32">
        <v>6050.2858573599542</v>
      </c>
      <c r="L100" s="32">
        <v>6388.3530474324862</v>
      </c>
      <c r="M100" s="32">
        <v>6299.3600063121867</v>
      </c>
      <c r="N100" s="32">
        <v>6406.1693833539803</v>
      </c>
      <c r="O100" s="32">
        <v>6032.4695214384619</v>
      </c>
      <c r="P100" s="32">
        <v>5996.8368495954728</v>
      </c>
      <c r="Q100" s="32">
        <v>5979.1091521611479</v>
      </c>
      <c r="R100" s="32">
        <v>6014.6531855169669</v>
      </c>
      <c r="S100" s="32">
        <v>6441.7134167097965</v>
      </c>
      <c r="T100" s="32">
        <v>5872.2997751193561</v>
      </c>
      <c r="U100" s="32">
        <v>6317.1763422336808</v>
      </c>
      <c r="V100" s="32">
        <v>5890.1161110408502</v>
      </c>
      <c r="W100" s="32">
        <v>6334.9926781551767</v>
      </c>
      <c r="X100" s="32">
        <v>6423.8970807883024</v>
      </c>
      <c r="Y100" s="32">
        <v>6157.0065959145768</v>
      </c>
      <c r="Z100" s="32">
        <v>6174.8229318360709</v>
      </c>
      <c r="AA100" s="32">
        <v>5925.6601443966665</v>
      </c>
      <c r="AB100" s="32">
        <v>5907.9324469623434</v>
      </c>
      <c r="AC100" s="32">
        <v>6370.5367115109912</v>
      </c>
      <c r="AD100" s="32">
        <v>6139.1902599930827</v>
      </c>
      <c r="AE100" s="32">
        <v>6121.4625625587614</v>
      </c>
      <c r="AF100" s="32">
        <v>5961.2928162396565</v>
      </c>
      <c r="AG100" s="32">
        <v>6103.6462266372646</v>
      </c>
      <c r="AH100" s="32">
        <v>6068.0135547942782</v>
      </c>
      <c r="AI100" s="32">
        <v>6192.6392677575641</v>
      </c>
      <c r="AJ100" s="32">
        <v>6085.8298907157714</v>
      </c>
      <c r="AK100" s="32">
        <v>5943.4764803181606</v>
      </c>
      <c r="AM100" s="39" t="s">
        <v>98</v>
      </c>
      <c r="AN100" t="s">
        <v>110</v>
      </c>
      <c r="AO100" t="s">
        <v>115</v>
      </c>
      <c r="AP100" t="s">
        <v>115</v>
      </c>
      <c r="AQ100" t="s">
        <v>111</v>
      </c>
      <c r="AR100" t="s">
        <v>108</v>
      </c>
      <c r="AS100" t="s">
        <v>111</v>
      </c>
      <c r="AT100" t="s">
        <v>115</v>
      </c>
      <c r="AU100" t="s">
        <v>108</v>
      </c>
      <c r="AV100" t="s">
        <v>114</v>
      </c>
      <c r="AW100" t="s">
        <v>112</v>
      </c>
      <c r="AX100" t="s">
        <v>115</v>
      </c>
      <c r="AY100" t="s">
        <v>111</v>
      </c>
      <c r="AZ100" t="s">
        <v>109</v>
      </c>
      <c r="BA100" t="s">
        <v>110</v>
      </c>
      <c r="BB100" t="s">
        <v>111</v>
      </c>
      <c r="BC100" t="s">
        <v>115</v>
      </c>
      <c r="BD100" t="s">
        <v>115</v>
      </c>
      <c r="BE100" t="s">
        <v>110</v>
      </c>
      <c r="BF100" t="s">
        <v>115</v>
      </c>
      <c r="BG100" t="s">
        <v>109</v>
      </c>
      <c r="BH100" t="s">
        <v>108</v>
      </c>
      <c r="BI100" t="s">
        <v>112</v>
      </c>
      <c r="BJ100" t="s">
        <v>112</v>
      </c>
      <c r="BK100" t="s">
        <v>115</v>
      </c>
      <c r="BL100" t="s">
        <v>113</v>
      </c>
      <c r="BM100" t="s">
        <v>114</v>
      </c>
      <c r="BN100" t="s">
        <v>109</v>
      </c>
      <c r="BO100" t="s">
        <v>115</v>
      </c>
      <c r="BP100" t="s">
        <v>111</v>
      </c>
      <c r="BQ100" t="s">
        <v>109</v>
      </c>
      <c r="BR100" t="s">
        <v>109</v>
      </c>
      <c r="BS100" t="s">
        <v>111</v>
      </c>
      <c r="BT100" t="s">
        <v>113</v>
      </c>
      <c r="BU100" t="s">
        <v>112</v>
      </c>
    </row>
    <row r="101" spans="2:73" x14ac:dyDescent="0.35">
      <c r="B101" s="69">
        <f t="shared" si="5"/>
        <v>39582.027023115857</v>
      </c>
      <c r="C101" s="37" t="s">
        <v>81</v>
      </c>
      <c r="D101" s="50">
        <f t="shared" ref="D101:AK101" si="12">((((((((((((((D331/D446*10^6)/0.99)*0.99)*0.99)*0.99)*0.99)*0.99)*0.99)*0.99)*0.99)*0.99)*0.99)*0.99)*0.99)*0.99</f>
        <v>2508.2769565156923</v>
      </c>
      <c r="E101" s="50">
        <f t="shared" si="12"/>
        <v>2440.8659877988084</v>
      </c>
      <c r="F101" s="50">
        <f t="shared" si="12"/>
        <v>2454.1255250776235</v>
      </c>
      <c r="G101" s="50">
        <f t="shared" si="12"/>
        <v>2433.0749017956559</v>
      </c>
      <c r="H101" s="50">
        <f t="shared" si="12"/>
        <v>2423.8094064527668</v>
      </c>
      <c r="I101" s="50">
        <f t="shared" si="12"/>
        <v>2410.9826145023403</v>
      </c>
      <c r="J101" s="50">
        <f t="shared" si="12"/>
        <v>2434.0706858938784</v>
      </c>
      <c r="K101" s="50">
        <f t="shared" si="12"/>
        <v>2397.3148527303933</v>
      </c>
      <c r="L101" s="50">
        <f t="shared" si="12"/>
        <v>2496.4741443849066</v>
      </c>
      <c r="M101" s="50">
        <f t="shared" si="12"/>
        <v>2410.785409948347</v>
      </c>
      <c r="N101" s="50">
        <f t="shared" si="12"/>
        <v>2512.0943338010766</v>
      </c>
      <c r="O101" s="50">
        <f t="shared" si="12"/>
        <v>2328.7674121527057</v>
      </c>
      <c r="P101" s="50">
        <f t="shared" si="12"/>
        <v>2322.7568636367864</v>
      </c>
      <c r="Q101" s="50">
        <f t="shared" si="12"/>
        <v>2296.3941720758007</v>
      </c>
      <c r="R101" s="50">
        <f t="shared" si="12"/>
        <v>2378.3446415810163</v>
      </c>
      <c r="S101" s="50">
        <f t="shared" si="12"/>
        <v>2525.5433598870982</v>
      </c>
      <c r="T101" s="50">
        <f t="shared" si="12"/>
        <v>2265.1233574049556</v>
      </c>
      <c r="U101" s="50">
        <f t="shared" si="12"/>
        <v>2476.6548635073536</v>
      </c>
      <c r="V101" s="50">
        <f t="shared" si="12"/>
        <v>2282.0690806300645</v>
      </c>
      <c r="W101" s="50">
        <f t="shared" si="12"/>
        <v>2463.0968636454591</v>
      </c>
      <c r="X101" s="50">
        <f t="shared" si="12"/>
        <v>2507.9084170410456</v>
      </c>
      <c r="Y101" s="50">
        <f t="shared" si="12"/>
        <v>2376.7552322166212</v>
      </c>
      <c r="Z101" s="50">
        <f t="shared" si="12"/>
        <v>2407.0633076034514</v>
      </c>
      <c r="AA101" s="50">
        <f t="shared" si="12"/>
        <v>2321.1033596074963</v>
      </c>
      <c r="AB101" s="50">
        <f t="shared" si="12"/>
        <v>2287.2007347737172</v>
      </c>
      <c r="AC101" s="50">
        <f t="shared" si="12"/>
        <v>2406.2092752496651</v>
      </c>
      <c r="AD101" s="50">
        <f t="shared" si="12"/>
        <v>2414.7203988185333</v>
      </c>
      <c r="AE101" s="50">
        <f t="shared" si="12"/>
        <v>2383.9420490130033</v>
      </c>
      <c r="AF101" s="50">
        <f t="shared" si="12"/>
        <v>2325.0302084748641</v>
      </c>
      <c r="AG101" s="50">
        <f t="shared" si="12"/>
        <v>2369.2971834780619</v>
      </c>
      <c r="AH101" s="50">
        <f t="shared" si="12"/>
        <v>2363.8163525621362</v>
      </c>
      <c r="AI101" s="50">
        <f t="shared" si="12"/>
        <v>2403.4174739235768</v>
      </c>
      <c r="AJ101" s="50">
        <f t="shared" si="12"/>
        <v>2391.7405169925923</v>
      </c>
      <c r="AK101" s="50">
        <f t="shared" si="12"/>
        <v>2341.2012376877442</v>
      </c>
      <c r="AM101" s="37" t="s">
        <v>81</v>
      </c>
      <c r="AN101" t="s">
        <v>110</v>
      </c>
      <c r="AO101" t="s">
        <v>116</v>
      </c>
      <c r="AP101" t="s">
        <v>116</v>
      </c>
      <c r="AQ101" t="s">
        <v>108</v>
      </c>
      <c r="AR101" t="s">
        <v>112</v>
      </c>
      <c r="AS101" t="s">
        <v>108</v>
      </c>
      <c r="AT101" t="s">
        <v>113</v>
      </c>
      <c r="AU101" t="s">
        <v>116</v>
      </c>
      <c r="AV101" t="s">
        <v>111</v>
      </c>
      <c r="AW101" t="s">
        <v>112</v>
      </c>
      <c r="AX101" t="s">
        <v>112</v>
      </c>
      <c r="AY101" t="s">
        <v>109</v>
      </c>
      <c r="AZ101" t="s">
        <v>111</v>
      </c>
      <c r="BA101" t="s">
        <v>115</v>
      </c>
      <c r="BB101" t="s">
        <v>116</v>
      </c>
      <c r="BC101" t="s">
        <v>112</v>
      </c>
      <c r="BD101" t="s">
        <v>108</v>
      </c>
      <c r="BE101" t="s">
        <v>113</v>
      </c>
      <c r="BF101" t="s">
        <v>109</v>
      </c>
      <c r="BG101" t="s">
        <v>115</v>
      </c>
      <c r="BH101" t="s">
        <v>108</v>
      </c>
      <c r="BI101" t="s">
        <v>110</v>
      </c>
      <c r="BJ101" t="s">
        <v>112</v>
      </c>
      <c r="BK101" t="s">
        <v>108</v>
      </c>
      <c r="BL101" t="s">
        <v>110</v>
      </c>
      <c r="BM101" t="s">
        <v>108</v>
      </c>
      <c r="BN101" t="s">
        <v>113</v>
      </c>
      <c r="BO101" t="s">
        <v>113</v>
      </c>
      <c r="BP101" t="s">
        <v>114</v>
      </c>
      <c r="BQ101" t="s">
        <v>113</v>
      </c>
      <c r="BR101" t="s">
        <v>116</v>
      </c>
      <c r="BS101" t="s">
        <v>109</v>
      </c>
      <c r="BT101" t="s">
        <v>109</v>
      </c>
      <c r="BU101" t="s">
        <v>110</v>
      </c>
    </row>
    <row r="102" spans="2:73" x14ac:dyDescent="0.35">
      <c r="B102" s="69">
        <f t="shared" si="5"/>
        <v>16547.822901391006</v>
      </c>
      <c r="C102" s="39" t="s">
        <v>93</v>
      </c>
      <c r="D102" s="32">
        <v>2586.7369711291803</v>
      </c>
      <c r="E102" s="32">
        <v>2544.0132203124622</v>
      </c>
      <c r="F102" s="32">
        <v>2515.4716274432035</v>
      </c>
      <c r="G102" s="32">
        <v>2508.3805484694744</v>
      </c>
      <c r="H102" s="32">
        <v>2486.9300345739434</v>
      </c>
      <c r="I102" s="32">
        <v>2501.2008310085725</v>
      </c>
      <c r="J102" s="32">
        <v>2494.1097520348444</v>
      </c>
      <c r="K102" s="32">
        <v>2422.8444083488675</v>
      </c>
      <c r="L102" s="32">
        <v>2558.1953782599207</v>
      </c>
      <c r="M102" s="32">
        <v>2522.5627064169325</v>
      </c>
      <c r="N102" s="32">
        <v>2565.3750957208213</v>
      </c>
      <c r="O102" s="32">
        <v>2415.7533293751385</v>
      </c>
      <c r="P102" s="32">
        <v>2401.4825329405089</v>
      </c>
      <c r="Q102" s="32">
        <v>2394.3028154796079</v>
      </c>
      <c r="R102" s="32">
        <v>2408.5736119142375</v>
      </c>
      <c r="S102" s="32">
        <v>2579.6458921554504</v>
      </c>
      <c r="T102" s="32">
        <v>2351.5790646628898</v>
      </c>
      <c r="U102" s="32">
        <v>2529.7424238778331</v>
      </c>
      <c r="V102" s="32">
        <v>2358.6701436366197</v>
      </c>
      <c r="W102" s="32">
        <v>2536.8335028515617</v>
      </c>
      <c r="X102" s="32">
        <v>2572.4661746945499</v>
      </c>
      <c r="Y102" s="32">
        <v>2465.5681591655853</v>
      </c>
      <c r="Z102" s="32">
        <v>2472.7478766264858</v>
      </c>
      <c r="AA102" s="32">
        <v>2372.9409400712493</v>
      </c>
      <c r="AB102" s="32">
        <v>2365.8498610975207</v>
      </c>
      <c r="AC102" s="32">
        <v>2551.1042992861917</v>
      </c>
      <c r="AD102" s="32">
        <v>2458.4770801918562</v>
      </c>
      <c r="AE102" s="32">
        <v>2451.3860012181262</v>
      </c>
      <c r="AF102" s="32">
        <v>2387.2117365058789</v>
      </c>
      <c r="AG102" s="32">
        <v>2444.2062837572262</v>
      </c>
      <c r="AH102" s="32">
        <v>2429.9354873225966</v>
      </c>
      <c r="AI102" s="32">
        <v>2479.8389556002139</v>
      </c>
      <c r="AJ102" s="32">
        <v>2437.115204783498</v>
      </c>
      <c r="AK102" s="32">
        <v>2380.1206575321498</v>
      </c>
      <c r="AM102" s="39" t="s">
        <v>93</v>
      </c>
      <c r="AN102" t="s">
        <v>108</v>
      </c>
      <c r="AO102" t="s">
        <v>112</v>
      </c>
      <c r="AP102" t="s">
        <v>111</v>
      </c>
      <c r="AQ102" t="s">
        <v>112</v>
      </c>
      <c r="AR102" t="s">
        <v>112</v>
      </c>
      <c r="AS102" t="s">
        <v>109</v>
      </c>
      <c r="AT102" t="s">
        <v>113</v>
      </c>
      <c r="AU102" t="s">
        <v>108</v>
      </c>
      <c r="AV102" t="s">
        <v>113</v>
      </c>
      <c r="AW102" t="s">
        <v>108</v>
      </c>
      <c r="AX102" t="s">
        <v>115</v>
      </c>
      <c r="AY102" t="s">
        <v>116</v>
      </c>
      <c r="AZ102" t="s">
        <v>114</v>
      </c>
      <c r="BA102" t="s">
        <v>110</v>
      </c>
      <c r="BB102" t="s">
        <v>114</v>
      </c>
      <c r="BC102" t="s">
        <v>109</v>
      </c>
      <c r="BD102" t="s">
        <v>109</v>
      </c>
      <c r="BE102" t="s">
        <v>111</v>
      </c>
      <c r="BF102" t="s">
        <v>110</v>
      </c>
      <c r="BG102" t="s">
        <v>114</v>
      </c>
      <c r="BH102" t="s">
        <v>114</v>
      </c>
      <c r="BI102" t="s">
        <v>112</v>
      </c>
      <c r="BJ102" t="s">
        <v>112</v>
      </c>
      <c r="BK102" t="s">
        <v>109</v>
      </c>
      <c r="BL102" t="s">
        <v>108</v>
      </c>
      <c r="BM102" t="s">
        <v>110</v>
      </c>
      <c r="BN102" t="s">
        <v>112</v>
      </c>
      <c r="BO102" t="s">
        <v>111</v>
      </c>
      <c r="BP102" t="s">
        <v>110</v>
      </c>
      <c r="BQ102" t="s">
        <v>111</v>
      </c>
      <c r="BR102" t="s">
        <v>116</v>
      </c>
      <c r="BS102" t="s">
        <v>116</v>
      </c>
      <c r="BT102" t="s">
        <v>114</v>
      </c>
      <c r="BU102" t="s">
        <v>109</v>
      </c>
    </row>
    <row r="103" spans="2:73" x14ac:dyDescent="0.35">
      <c r="B103" s="69">
        <f t="shared" si="5"/>
        <v>6499.9362702962435</v>
      </c>
      <c r="C103" s="39" t="s">
        <v>94</v>
      </c>
      <c r="D103" s="32">
        <v>2587.7119944880683</v>
      </c>
      <c r="E103" s="32">
        <v>2544.8996051841787</v>
      </c>
      <c r="F103" s="32">
        <v>2516.446650802091</v>
      </c>
      <c r="G103" s="32">
        <v>2509.2669333411905</v>
      </c>
      <c r="H103" s="32">
        <v>2487.9050579328318</v>
      </c>
      <c r="I103" s="32">
        <v>2502.1758543674609</v>
      </c>
      <c r="J103" s="32">
        <v>2494.99613690656</v>
      </c>
      <c r="K103" s="32">
        <v>2423.7307932205827</v>
      </c>
      <c r="L103" s="32">
        <v>2559.1704016188082</v>
      </c>
      <c r="M103" s="32">
        <v>2523.5377297758196</v>
      </c>
      <c r="N103" s="32">
        <v>2566.3501190797097</v>
      </c>
      <c r="O103" s="32">
        <v>2416.639714246855</v>
      </c>
      <c r="P103" s="32">
        <v>2402.3689178122254</v>
      </c>
      <c r="Q103" s="32">
        <v>2395.2778388384959</v>
      </c>
      <c r="R103" s="32">
        <v>2409.4599967859535</v>
      </c>
      <c r="S103" s="32">
        <v>2580.6209155143388</v>
      </c>
      <c r="T103" s="32">
        <v>2352.4654495346072</v>
      </c>
      <c r="U103" s="32">
        <v>2530.7174472367196</v>
      </c>
      <c r="V103" s="32">
        <v>2359.5565285083362</v>
      </c>
      <c r="W103" s="32">
        <v>2537.8085262104496</v>
      </c>
      <c r="X103" s="32">
        <v>2573.4411980534383</v>
      </c>
      <c r="Y103" s="32">
        <v>2466.5431825244718</v>
      </c>
      <c r="Z103" s="32">
        <v>2473.6342614982013</v>
      </c>
      <c r="AA103" s="32">
        <v>2373.8273249429658</v>
      </c>
      <c r="AB103" s="32">
        <v>2366.7362459692367</v>
      </c>
      <c r="AC103" s="32">
        <v>2552.0793226450783</v>
      </c>
      <c r="AD103" s="32">
        <v>2459.3634650635722</v>
      </c>
      <c r="AE103" s="32">
        <v>2452.2723860898427</v>
      </c>
      <c r="AF103" s="32">
        <v>2388.0981213775949</v>
      </c>
      <c r="AG103" s="32">
        <v>2445.1813071161132</v>
      </c>
      <c r="AH103" s="32">
        <v>2430.9105106814841</v>
      </c>
      <c r="AI103" s="32">
        <v>2480.8139789591028</v>
      </c>
      <c r="AJ103" s="32">
        <v>2438.0015896552131</v>
      </c>
      <c r="AK103" s="32">
        <v>2381.0070424038663</v>
      </c>
      <c r="AM103" s="39" t="s">
        <v>94</v>
      </c>
      <c r="AN103" t="s">
        <v>108</v>
      </c>
      <c r="AO103" t="s">
        <v>114</v>
      </c>
      <c r="AP103" t="s">
        <v>114</v>
      </c>
      <c r="AQ103" t="s">
        <v>110</v>
      </c>
      <c r="AR103" t="s">
        <v>116</v>
      </c>
      <c r="AS103" t="s">
        <v>110</v>
      </c>
      <c r="AT103" t="s">
        <v>109</v>
      </c>
      <c r="AU103" t="s">
        <v>114</v>
      </c>
      <c r="AV103" t="s">
        <v>116</v>
      </c>
      <c r="AW103" t="s">
        <v>111</v>
      </c>
      <c r="AX103" t="s">
        <v>111</v>
      </c>
      <c r="AY103" t="s">
        <v>114</v>
      </c>
      <c r="AZ103" t="s">
        <v>109</v>
      </c>
      <c r="BA103" t="s">
        <v>112</v>
      </c>
      <c r="BB103" t="s">
        <v>108</v>
      </c>
      <c r="BC103" t="s">
        <v>116</v>
      </c>
      <c r="BD103" t="s">
        <v>116</v>
      </c>
      <c r="BE103" t="s">
        <v>116</v>
      </c>
      <c r="BF103" t="s">
        <v>111</v>
      </c>
      <c r="BG103" t="s">
        <v>115</v>
      </c>
      <c r="BH103" t="s">
        <v>109</v>
      </c>
      <c r="BI103" t="s">
        <v>112</v>
      </c>
      <c r="BJ103" t="s">
        <v>112</v>
      </c>
      <c r="BK103" t="s">
        <v>108</v>
      </c>
      <c r="BL103" t="s">
        <v>113</v>
      </c>
      <c r="BM103" t="s">
        <v>108</v>
      </c>
      <c r="BN103" t="s">
        <v>111</v>
      </c>
      <c r="BO103" t="s">
        <v>116</v>
      </c>
      <c r="BP103" t="s">
        <v>113</v>
      </c>
      <c r="BQ103" t="s">
        <v>111</v>
      </c>
      <c r="BR103" t="s">
        <v>109</v>
      </c>
      <c r="BS103" t="s">
        <v>114</v>
      </c>
      <c r="BT103" t="s">
        <v>108</v>
      </c>
      <c r="BU103" t="s">
        <v>116</v>
      </c>
    </row>
    <row r="104" spans="2:73" x14ac:dyDescent="0.35">
      <c r="B104" s="69">
        <f t="shared" si="5"/>
        <v>6239.0503800139768</v>
      </c>
      <c r="C104" s="39" t="s">
        <v>95</v>
      </c>
      <c r="D104" s="32">
        <v>1412.8088470283381</v>
      </c>
      <c r="E104" s="32">
        <v>1389.496924902204</v>
      </c>
      <c r="F104" s="32">
        <v>1373.8965511600002</v>
      </c>
      <c r="G104" s="32">
        <v>1369.9964577244493</v>
      </c>
      <c r="H104" s="32">
        <v>1358.2961774177966</v>
      </c>
      <c r="I104" s="32">
        <v>1366.0963642888985</v>
      </c>
      <c r="J104" s="32">
        <v>1362.196270853347</v>
      </c>
      <c r="K104" s="32">
        <v>1323.2839749850091</v>
      </c>
      <c r="L104" s="32">
        <v>1397.2084732861344</v>
      </c>
      <c r="M104" s="32">
        <v>1377.7966445955515</v>
      </c>
      <c r="N104" s="32">
        <v>1401.1085667216855</v>
      </c>
      <c r="O104" s="32">
        <v>1319.3838815494585</v>
      </c>
      <c r="P104" s="32">
        <v>1311.5836946783566</v>
      </c>
      <c r="Q104" s="32">
        <v>1307.683601242805</v>
      </c>
      <c r="R104" s="32">
        <v>1315.4837881139069</v>
      </c>
      <c r="S104" s="32">
        <v>1408.9087535927874</v>
      </c>
      <c r="T104" s="32">
        <v>1284.371679116671</v>
      </c>
      <c r="U104" s="32">
        <v>1381.6967380311025</v>
      </c>
      <c r="V104" s="32">
        <v>1288.271772552222</v>
      </c>
      <c r="W104" s="32">
        <v>1385.5968314666529</v>
      </c>
      <c r="X104" s="32">
        <v>1405.0086601572364</v>
      </c>
      <c r="Y104" s="32">
        <v>1346.6845355983151</v>
      </c>
      <c r="Z104" s="32">
        <v>1350.4959905466944</v>
      </c>
      <c r="AA104" s="32">
        <v>1296.0719594233244</v>
      </c>
      <c r="AB104" s="32">
        <v>1292.1718659877729</v>
      </c>
      <c r="AC104" s="32">
        <v>1393.3083798505836</v>
      </c>
      <c r="AD104" s="32">
        <v>1342.784442162764</v>
      </c>
      <c r="AE104" s="32">
        <v>1338.8843487272129</v>
      </c>
      <c r="AF104" s="32">
        <v>1303.8721462944261</v>
      </c>
      <c r="AG104" s="32">
        <v>1334.9842552916621</v>
      </c>
      <c r="AH104" s="32">
        <v>1327.1840684205602</v>
      </c>
      <c r="AI104" s="32">
        <v>1354.3960839822457</v>
      </c>
      <c r="AJ104" s="32">
        <v>1331.0841618561112</v>
      </c>
      <c r="AK104" s="32">
        <v>1299.9720528588753</v>
      </c>
      <c r="AM104" s="39" t="s">
        <v>95</v>
      </c>
      <c r="AN104" t="s">
        <v>111</v>
      </c>
      <c r="AO104" t="s">
        <v>111</v>
      </c>
      <c r="AP104" t="s">
        <v>115</v>
      </c>
      <c r="AQ104" t="s">
        <v>113</v>
      </c>
      <c r="AR104" t="s">
        <v>114</v>
      </c>
      <c r="AS104" t="s">
        <v>112</v>
      </c>
      <c r="AT104" t="s">
        <v>111</v>
      </c>
      <c r="AU104" t="s">
        <v>109</v>
      </c>
      <c r="AV104" t="s">
        <v>114</v>
      </c>
      <c r="AW104" t="s">
        <v>109</v>
      </c>
      <c r="AX104" t="s">
        <v>114</v>
      </c>
      <c r="AY104" t="s">
        <v>113</v>
      </c>
      <c r="AZ104" t="s">
        <v>112</v>
      </c>
      <c r="BA104" t="s">
        <v>113</v>
      </c>
      <c r="BB104" t="s">
        <v>110</v>
      </c>
      <c r="BC104" t="s">
        <v>113</v>
      </c>
      <c r="BD104" t="s">
        <v>110</v>
      </c>
      <c r="BE104" t="s">
        <v>111</v>
      </c>
      <c r="BF104" t="s">
        <v>116</v>
      </c>
      <c r="BG104" t="s">
        <v>109</v>
      </c>
      <c r="BH104" t="s">
        <v>109</v>
      </c>
      <c r="BI104" t="s">
        <v>113</v>
      </c>
      <c r="BJ104" t="s">
        <v>115</v>
      </c>
      <c r="BK104" t="s">
        <v>110</v>
      </c>
      <c r="BL104" t="s">
        <v>112</v>
      </c>
      <c r="BM104" t="s">
        <v>112</v>
      </c>
      <c r="BN104" t="s">
        <v>114</v>
      </c>
      <c r="BO104" t="s">
        <v>112</v>
      </c>
      <c r="BP104" t="s">
        <v>112</v>
      </c>
      <c r="BQ104" t="s">
        <v>112</v>
      </c>
      <c r="BR104" t="s">
        <v>109</v>
      </c>
      <c r="BS104" t="s">
        <v>111</v>
      </c>
      <c r="BT104" t="s">
        <v>113</v>
      </c>
      <c r="BU104" t="s">
        <v>109</v>
      </c>
    </row>
    <row r="105" spans="2:73" x14ac:dyDescent="0.35">
      <c r="B105" s="69">
        <f t="shared" si="5"/>
        <v>3238.6142279851601</v>
      </c>
      <c r="C105" s="39" t="s">
        <v>96</v>
      </c>
      <c r="D105" s="32">
        <v>2639.3882325091176</v>
      </c>
      <c r="E105" s="32">
        <v>2595.7780968206844</v>
      </c>
      <c r="F105" s="32">
        <v>2566.7046730283951</v>
      </c>
      <c r="G105" s="32">
        <v>2559.4363170803235</v>
      </c>
      <c r="H105" s="32">
        <v>2537.6312492361076</v>
      </c>
      <c r="I105" s="32">
        <v>2552.1679611322506</v>
      </c>
      <c r="J105" s="32">
        <v>2544.8996051841787</v>
      </c>
      <c r="K105" s="32">
        <v>2472.1274072162846</v>
      </c>
      <c r="L105" s="32">
        <v>2610.3148087168297</v>
      </c>
      <c r="M105" s="32">
        <v>2573.9730289764675</v>
      </c>
      <c r="N105" s="32">
        <v>2617.5831646649012</v>
      </c>
      <c r="O105" s="32">
        <v>2464.8590512682126</v>
      </c>
      <c r="P105" s="32">
        <v>2450.3223393720668</v>
      </c>
      <c r="Q105" s="32">
        <v>2443.0539834239958</v>
      </c>
      <c r="R105" s="32">
        <v>2457.5906953201393</v>
      </c>
      <c r="S105" s="32">
        <v>2632.1198765610452</v>
      </c>
      <c r="T105" s="32">
        <v>2399.4438477355611</v>
      </c>
      <c r="U105" s="32">
        <v>2581.2413849245395</v>
      </c>
      <c r="V105" s="32">
        <v>2406.712203683634</v>
      </c>
      <c r="W105" s="32">
        <v>2588.5097408726124</v>
      </c>
      <c r="X105" s="32">
        <v>2624.8515206129737</v>
      </c>
      <c r="Y105" s="32">
        <v>2515.7375429047183</v>
      </c>
      <c r="Z105" s="32">
        <v>2523.0945373399613</v>
      </c>
      <c r="AA105" s="32">
        <v>2421.248915579778</v>
      </c>
      <c r="AB105" s="32">
        <v>2413.9805596317065</v>
      </c>
      <c r="AC105" s="32">
        <v>2603.0464527687559</v>
      </c>
      <c r="AD105" s="32">
        <v>2508.4691869566464</v>
      </c>
      <c r="AE105" s="32">
        <v>2501.2008310085725</v>
      </c>
      <c r="AF105" s="32">
        <v>2435.7856274759233</v>
      </c>
      <c r="AG105" s="32">
        <v>2493.932475060501</v>
      </c>
      <c r="AH105" s="32">
        <v>2479.3957631643557</v>
      </c>
      <c r="AI105" s="32">
        <v>2530.3628932880329</v>
      </c>
      <c r="AJ105" s="32">
        <v>2486.664119112429</v>
      </c>
      <c r="AK105" s="32">
        <v>2428.5172715278509</v>
      </c>
      <c r="AM105" s="39" t="s">
        <v>96</v>
      </c>
      <c r="AN105" t="s">
        <v>114</v>
      </c>
      <c r="AO105" t="s">
        <v>112</v>
      </c>
      <c r="AP105" t="s">
        <v>111</v>
      </c>
      <c r="AQ105" t="s">
        <v>114</v>
      </c>
      <c r="AR105" t="s">
        <v>109</v>
      </c>
      <c r="AS105" t="s">
        <v>115</v>
      </c>
      <c r="AT105" t="s">
        <v>108</v>
      </c>
      <c r="AU105" t="s">
        <v>112</v>
      </c>
      <c r="AV105" t="s">
        <v>114</v>
      </c>
      <c r="AW105" t="s">
        <v>112</v>
      </c>
      <c r="AX105" t="s">
        <v>116</v>
      </c>
      <c r="AY105" t="s">
        <v>108</v>
      </c>
      <c r="AZ105" t="s">
        <v>108</v>
      </c>
      <c r="BA105" t="s">
        <v>112</v>
      </c>
      <c r="BB105" t="s">
        <v>108</v>
      </c>
      <c r="BC105" t="s">
        <v>110</v>
      </c>
      <c r="BD105" t="s">
        <v>108</v>
      </c>
      <c r="BE105" t="s">
        <v>111</v>
      </c>
      <c r="BF105" t="s">
        <v>110</v>
      </c>
      <c r="BG105" t="s">
        <v>112</v>
      </c>
      <c r="BH105" t="s">
        <v>116</v>
      </c>
      <c r="BI105" t="s">
        <v>109</v>
      </c>
      <c r="BJ105" t="s">
        <v>112</v>
      </c>
      <c r="BK105" t="s">
        <v>108</v>
      </c>
      <c r="BL105" t="s">
        <v>115</v>
      </c>
      <c r="BM105" t="s">
        <v>110</v>
      </c>
      <c r="BN105" t="s">
        <v>108</v>
      </c>
      <c r="BO105" t="s">
        <v>108</v>
      </c>
      <c r="BP105" t="s">
        <v>116</v>
      </c>
      <c r="BQ105" t="s">
        <v>115</v>
      </c>
      <c r="BR105" t="s">
        <v>113</v>
      </c>
      <c r="BS105" t="s">
        <v>115</v>
      </c>
      <c r="BT105" t="s">
        <v>108</v>
      </c>
      <c r="BU105" t="s">
        <v>111</v>
      </c>
    </row>
    <row r="106" spans="2:73" x14ac:dyDescent="0.35">
      <c r="B106" s="69">
        <f t="shared" si="5"/>
        <v>4140.3085394827967</v>
      </c>
      <c r="C106" s="39" t="s">
        <v>97</v>
      </c>
      <c r="D106" s="32">
        <v>7790.4366375130612</v>
      </c>
      <c r="E106" s="32">
        <v>7661.6449156527069</v>
      </c>
      <c r="F106" s="32">
        <v>7575.8428600705847</v>
      </c>
      <c r="G106" s="32">
        <v>7554.3923461750546</v>
      </c>
      <c r="H106" s="32">
        <v>7489.9521660012915</v>
      </c>
      <c r="I106" s="32">
        <v>7532.9418322795227</v>
      </c>
      <c r="J106" s="32">
        <v>7511.4026798968234</v>
      </c>
      <c r="K106" s="32">
        <v>7296.8089024543469</v>
      </c>
      <c r="L106" s="32">
        <v>7704.6345819309381</v>
      </c>
      <c r="M106" s="32">
        <v>7597.2933739661166</v>
      </c>
      <c r="N106" s="32">
        <v>7726.08509582647</v>
      </c>
      <c r="O106" s="32">
        <v>7275.3583885588168</v>
      </c>
      <c r="P106" s="32">
        <v>7232.4573607677576</v>
      </c>
      <c r="Q106" s="32">
        <v>7211.0068468722257</v>
      </c>
      <c r="R106" s="32">
        <v>7253.9078746632858</v>
      </c>
      <c r="S106" s="32">
        <v>7768.9861236175284</v>
      </c>
      <c r="T106" s="32">
        <v>7082.2151250118732</v>
      </c>
      <c r="U106" s="32">
        <v>7618.7438878616449</v>
      </c>
      <c r="V106" s="32">
        <v>7103.6656389074024</v>
      </c>
      <c r="W106" s="32">
        <v>7640.1944017571777</v>
      </c>
      <c r="X106" s="32">
        <v>7747.5356097219974</v>
      </c>
      <c r="Y106" s="32">
        <v>7425.6006243147012</v>
      </c>
      <c r="Z106" s="32">
        <v>7447.0511382102322</v>
      </c>
      <c r="AA106" s="32">
        <v>7146.5666666984625</v>
      </c>
      <c r="AB106" s="32">
        <v>7125.1161528029324</v>
      </c>
      <c r="AC106" s="32">
        <v>7683.0954295482388</v>
      </c>
      <c r="AD106" s="32">
        <v>7404.1501104191721</v>
      </c>
      <c r="AE106" s="32">
        <v>7382.6995965236383</v>
      </c>
      <c r="AF106" s="32">
        <v>7189.5563329766956</v>
      </c>
      <c r="AG106" s="32">
        <v>7361.2490826281082</v>
      </c>
      <c r="AH106" s="32">
        <v>7318.259416349877</v>
      </c>
      <c r="AI106" s="32">
        <v>7468.5016521057614</v>
      </c>
      <c r="AJ106" s="32">
        <v>7339.7099302454071</v>
      </c>
      <c r="AK106" s="32">
        <v>7168.0171805939935</v>
      </c>
      <c r="AM106" s="39" t="s">
        <v>97</v>
      </c>
      <c r="AN106" t="s">
        <v>111</v>
      </c>
      <c r="AO106" t="s">
        <v>115</v>
      </c>
      <c r="AP106" t="s">
        <v>111</v>
      </c>
      <c r="AQ106" t="s">
        <v>115</v>
      </c>
      <c r="AR106" t="s">
        <v>112</v>
      </c>
      <c r="AS106" t="s">
        <v>112</v>
      </c>
      <c r="AT106" t="s">
        <v>109</v>
      </c>
      <c r="AU106" t="s">
        <v>111</v>
      </c>
      <c r="AV106" t="s">
        <v>109</v>
      </c>
      <c r="AW106" t="s">
        <v>114</v>
      </c>
      <c r="AX106" t="s">
        <v>113</v>
      </c>
      <c r="AY106" t="s">
        <v>115</v>
      </c>
      <c r="AZ106" t="s">
        <v>110</v>
      </c>
      <c r="BA106" t="s">
        <v>114</v>
      </c>
      <c r="BB106" t="s">
        <v>113</v>
      </c>
      <c r="BC106" t="s">
        <v>108</v>
      </c>
      <c r="BD106" t="s">
        <v>114</v>
      </c>
      <c r="BE106" t="s">
        <v>109</v>
      </c>
      <c r="BF106" t="s">
        <v>114</v>
      </c>
      <c r="BG106" t="s">
        <v>116</v>
      </c>
      <c r="BH106" t="s">
        <v>114</v>
      </c>
      <c r="BI106" t="s">
        <v>111</v>
      </c>
      <c r="BJ106" t="s">
        <v>115</v>
      </c>
      <c r="BK106" t="s">
        <v>116</v>
      </c>
      <c r="BL106" t="s">
        <v>114</v>
      </c>
      <c r="BM106" t="s">
        <v>116</v>
      </c>
      <c r="BN106" t="s">
        <v>116</v>
      </c>
      <c r="BO106" t="s">
        <v>109</v>
      </c>
      <c r="BP106" t="s">
        <v>108</v>
      </c>
      <c r="BQ106" t="s">
        <v>113</v>
      </c>
      <c r="BR106" t="s">
        <v>116</v>
      </c>
      <c r="BS106" t="s">
        <v>110</v>
      </c>
      <c r="BT106" t="s">
        <v>114</v>
      </c>
      <c r="BU106" t="s">
        <v>110</v>
      </c>
    </row>
    <row r="107" spans="2:73" x14ac:dyDescent="0.35">
      <c r="B107" s="69">
        <f t="shared" si="5"/>
        <v>2916.2947039466835</v>
      </c>
      <c r="C107" s="39" t="s">
        <v>98</v>
      </c>
      <c r="D107" s="32">
        <v>1005.2490830132622</v>
      </c>
      <c r="E107" s="32">
        <v>988.67368591217075</v>
      </c>
      <c r="F107" s="32">
        <v>977.59387501571916</v>
      </c>
      <c r="G107" s="32">
        <v>974.75744342622716</v>
      </c>
      <c r="H107" s="32">
        <v>966.51406411926735</v>
      </c>
      <c r="I107" s="32">
        <v>972.00965032390684</v>
      </c>
      <c r="J107" s="32">
        <v>969.26185722158709</v>
      </c>
      <c r="K107" s="32">
        <v>941.51801073687238</v>
      </c>
      <c r="L107" s="32">
        <v>994.16927211681036</v>
      </c>
      <c r="M107" s="32">
        <v>980.34166811803914</v>
      </c>
      <c r="N107" s="32">
        <v>996.91706521913056</v>
      </c>
      <c r="O107" s="32">
        <v>938.77021763455241</v>
      </c>
      <c r="P107" s="32">
        <v>933.27463142991257</v>
      </c>
      <c r="Q107" s="32">
        <v>930.43819984042068</v>
      </c>
      <c r="R107" s="32">
        <v>936.02242453223232</v>
      </c>
      <c r="S107" s="32">
        <v>1002.5012899109421</v>
      </c>
      <c r="T107" s="32">
        <v>913.86280273932925</v>
      </c>
      <c r="U107" s="32">
        <v>983.08946122035866</v>
      </c>
      <c r="V107" s="32">
        <v>916.61059584164934</v>
      </c>
      <c r="W107" s="32">
        <v>985.83725432267897</v>
      </c>
      <c r="X107" s="32">
        <v>999.75349680862212</v>
      </c>
      <c r="Y107" s="32">
        <v>958.18204632513562</v>
      </c>
      <c r="Z107" s="32">
        <v>960.92983942745514</v>
      </c>
      <c r="AA107" s="32">
        <v>922.19482053346087</v>
      </c>
      <c r="AB107" s="32">
        <v>919.35838894396932</v>
      </c>
      <c r="AC107" s="32">
        <v>991.42147901449096</v>
      </c>
      <c r="AD107" s="32">
        <v>955.43425322281576</v>
      </c>
      <c r="AE107" s="32">
        <v>952.59782163332397</v>
      </c>
      <c r="AF107" s="32">
        <v>927.69040673810082</v>
      </c>
      <c r="AG107" s="32">
        <v>949.85002853100389</v>
      </c>
      <c r="AH107" s="32">
        <v>944.35444232636394</v>
      </c>
      <c r="AI107" s="32">
        <v>963.67763252977556</v>
      </c>
      <c r="AJ107" s="32">
        <v>947.10223542868403</v>
      </c>
      <c r="AK107" s="32">
        <v>924.94261363578096</v>
      </c>
      <c r="AM107" s="39" t="s">
        <v>98</v>
      </c>
      <c r="AN107" t="s">
        <v>112</v>
      </c>
      <c r="AO107" t="s">
        <v>113</v>
      </c>
      <c r="AP107" t="s">
        <v>112</v>
      </c>
      <c r="AQ107" t="s">
        <v>112</v>
      </c>
      <c r="AR107" t="s">
        <v>111</v>
      </c>
      <c r="AS107" t="s">
        <v>110</v>
      </c>
      <c r="AT107" t="s">
        <v>113</v>
      </c>
      <c r="AU107" t="s">
        <v>108</v>
      </c>
      <c r="AV107" t="s">
        <v>114</v>
      </c>
      <c r="AW107" t="s">
        <v>111</v>
      </c>
      <c r="AX107" t="s">
        <v>116</v>
      </c>
      <c r="AY107" t="s">
        <v>108</v>
      </c>
      <c r="AZ107" t="s">
        <v>115</v>
      </c>
      <c r="BA107" t="s">
        <v>114</v>
      </c>
      <c r="BB107" t="s">
        <v>109</v>
      </c>
      <c r="BC107" t="s">
        <v>113</v>
      </c>
      <c r="BD107" t="s">
        <v>116</v>
      </c>
      <c r="BE107" t="s">
        <v>116</v>
      </c>
      <c r="BF107" t="s">
        <v>109</v>
      </c>
      <c r="BG107" t="s">
        <v>114</v>
      </c>
      <c r="BH107" t="s">
        <v>113</v>
      </c>
      <c r="BI107" t="s">
        <v>111</v>
      </c>
      <c r="BJ107" t="s">
        <v>115</v>
      </c>
      <c r="BK107" t="s">
        <v>110</v>
      </c>
      <c r="BL107" t="s">
        <v>109</v>
      </c>
      <c r="BM107" t="s">
        <v>114</v>
      </c>
      <c r="BN107" t="s">
        <v>115</v>
      </c>
      <c r="BO107" t="s">
        <v>115</v>
      </c>
      <c r="BP107" t="s">
        <v>116</v>
      </c>
      <c r="BQ107" t="s">
        <v>114</v>
      </c>
      <c r="BR107" t="s">
        <v>110</v>
      </c>
      <c r="BS107" t="s">
        <v>114</v>
      </c>
      <c r="BT107" t="s">
        <v>110</v>
      </c>
      <c r="BU107" t="s">
        <v>114</v>
      </c>
    </row>
    <row r="108" spans="2:73" x14ac:dyDescent="0.35">
      <c r="B108" s="69">
        <f t="shared" si="5"/>
        <v>21125.531610753751</v>
      </c>
      <c r="C108" s="37" t="s">
        <v>82</v>
      </c>
      <c r="D108" s="50">
        <f t="shared" ref="D108:AK108" si="13">((((((((((((((D338/D453*10^6)/0.99)*0.99)*0.99)*0.99)*0.99)*0.99)*0.99)*0.99)*0.99)*0.99)*0.99)*0.99)*0.99)*0.99</f>
        <v>5382.4874896221654</v>
      </c>
      <c r="E108" s="50">
        <f t="shared" si="13"/>
        <v>5361.7095592284295</v>
      </c>
      <c r="F108" s="50">
        <f t="shared" si="13"/>
        <v>5158.0943448453427</v>
      </c>
      <c r="G108" s="50">
        <f t="shared" si="13"/>
        <v>5395.8170919352624</v>
      </c>
      <c r="H108" s="50">
        <f t="shared" si="13"/>
        <v>5092.045252280489</v>
      </c>
      <c r="I108" s="50">
        <f t="shared" si="13"/>
        <v>5075.553321789549</v>
      </c>
      <c r="J108" s="50">
        <f t="shared" si="13"/>
        <v>5244.6670041031402</v>
      </c>
      <c r="K108" s="50">
        <f t="shared" si="13"/>
        <v>5006.9994882726314</v>
      </c>
      <c r="L108" s="50">
        <f t="shared" si="13"/>
        <v>5267.6530930957597</v>
      </c>
      <c r="M108" s="50">
        <f t="shared" si="13"/>
        <v>5152.0764417304899</v>
      </c>
      <c r="N108" s="50">
        <f t="shared" si="13"/>
        <v>5373.9393468512362</v>
      </c>
      <c r="O108" s="50">
        <f t="shared" si="13"/>
        <v>5037.2548118856648</v>
      </c>
      <c r="P108" s="50">
        <f t="shared" si="13"/>
        <v>4961.5233432012019</v>
      </c>
      <c r="Q108" s="50">
        <f t="shared" si="13"/>
        <v>4946.6242029699415</v>
      </c>
      <c r="R108" s="50">
        <f t="shared" si="13"/>
        <v>4947.0972245891044</v>
      </c>
      <c r="S108" s="50">
        <f t="shared" si="13"/>
        <v>5391.9695926158101</v>
      </c>
      <c r="T108" s="50">
        <f t="shared" si="13"/>
        <v>4833.3132598727061</v>
      </c>
      <c r="U108" s="50">
        <f t="shared" si="13"/>
        <v>5370.7403297820447</v>
      </c>
      <c r="V108" s="50">
        <f t="shared" si="13"/>
        <v>4881.7299553911562</v>
      </c>
      <c r="W108" s="50">
        <f t="shared" si="13"/>
        <v>5343.4336558368977</v>
      </c>
      <c r="X108" s="50">
        <f t="shared" si="13"/>
        <v>5247.3513758570143</v>
      </c>
      <c r="Y108" s="50">
        <f t="shared" si="13"/>
        <v>5054.0489571669123</v>
      </c>
      <c r="Z108" s="50">
        <f t="shared" si="13"/>
        <v>5121.4472844424345</v>
      </c>
      <c r="AA108" s="50">
        <f t="shared" si="13"/>
        <v>5001.1729528255546</v>
      </c>
      <c r="AB108" s="50">
        <f t="shared" si="13"/>
        <v>4841.5671459783907</v>
      </c>
      <c r="AC108" s="50">
        <f t="shared" si="13"/>
        <v>5447.9129804509594</v>
      </c>
      <c r="AD108" s="50">
        <f t="shared" si="13"/>
        <v>4960.3138958856189</v>
      </c>
      <c r="AE108" s="50">
        <f t="shared" si="13"/>
        <v>5047.2359409212067</v>
      </c>
      <c r="AF108" s="50">
        <f t="shared" si="13"/>
        <v>4995.1207899562387</v>
      </c>
      <c r="AG108" s="50">
        <f t="shared" si="13"/>
        <v>5008.1180156191012</v>
      </c>
      <c r="AH108" s="50">
        <f t="shared" si="13"/>
        <v>4979.1034010072726</v>
      </c>
      <c r="AI108" s="50">
        <f t="shared" si="13"/>
        <v>5153.6140994846046</v>
      </c>
      <c r="AJ108" s="50">
        <f t="shared" si="13"/>
        <v>5073.6570541033816</v>
      </c>
      <c r="AK108" s="50">
        <f t="shared" si="13"/>
        <v>5126.1102145823761</v>
      </c>
      <c r="AM108" s="37" t="s">
        <v>82</v>
      </c>
      <c r="AN108" t="s">
        <v>113</v>
      </c>
      <c r="AO108" t="s">
        <v>115</v>
      </c>
      <c r="AP108" t="s">
        <v>110</v>
      </c>
      <c r="AQ108" t="s">
        <v>115</v>
      </c>
      <c r="AR108" t="s">
        <v>109</v>
      </c>
      <c r="AS108" t="s">
        <v>112</v>
      </c>
      <c r="AT108" t="s">
        <v>110</v>
      </c>
      <c r="AU108" t="s">
        <v>108</v>
      </c>
      <c r="AV108" t="s">
        <v>110</v>
      </c>
      <c r="AW108" t="s">
        <v>108</v>
      </c>
      <c r="AX108" t="s">
        <v>112</v>
      </c>
      <c r="AY108" t="s">
        <v>115</v>
      </c>
      <c r="AZ108" t="s">
        <v>108</v>
      </c>
      <c r="BA108" t="s">
        <v>111</v>
      </c>
      <c r="BB108" t="s">
        <v>108</v>
      </c>
      <c r="BC108" t="s">
        <v>110</v>
      </c>
      <c r="BD108" t="s">
        <v>116</v>
      </c>
      <c r="BE108" t="s">
        <v>110</v>
      </c>
      <c r="BF108" t="s">
        <v>115</v>
      </c>
      <c r="BG108" t="s">
        <v>111</v>
      </c>
      <c r="BH108" t="s">
        <v>114</v>
      </c>
      <c r="BI108" t="s">
        <v>108</v>
      </c>
      <c r="BJ108" t="s">
        <v>112</v>
      </c>
      <c r="BK108" t="s">
        <v>109</v>
      </c>
      <c r="BL108" t="s">
        <v>112</v>
      </c>
      <c r="BM108" t="s">
        <v>112</v>
      </c>
      <c r="BN108" t="s">
        <v>109</v>
      </c>
      <c r="BO108" t="s">
        <v>114</v>
      </c>
      <c r="BP108" t="s">
        <v>115</v>
      </c>
      <c r="BQ108" t="s">
        <v>110</v>
      </c>
      <c r="BR108" t="s">
        <v>114</v>
      </c>
      <c r="BS108" t="s">
        <v>116</v>
      </c>
      <c r="BT108" t="s">
        <v>109</v>
      </c>
      <c r="BU108" t="s">
        <v>108</v>
      </c>
    </row>
    <row r="109" spans="2:73" x14ac:dyDescent="0.35">
      <c r="B109" s="69">
        <f t="shared" si="5"/>
        <v>8199.3036343022868</v>
      </c>
      <c r="C109" s="39" t="s">
        <v>93</v>
      </c>
      <c r="D109" s="32">
        <v>5569.3334259667836</v>
      </c>
      <c r="E109" s="32">
        <v>5477.2380377954769</v>
      </c>
      <c r="F109" s="32">
        <v>5415.9002046727219</v>
      </c>
      <c r="G109" s="32">
        <v>5400.5657463920325</v>
      </c>
      <c r="H109" s="32">
        <v>5354.562371549966</v>
      </c>
      <c r="I109" s="32">
        <v>5385.2312881113412</v>
      </c>
      <c r="J109" s="32">
        <v>5369.8968298306527</v>
      </c>
      <c r="K109" s="32">
        <v>5216.4636085365919</v>
      </c>
      <c r="L109" s="32">
        <v>5507.9955928440259</v>
      </c>
      <c r="M109" s="32">
        <v>5431.2346629534077</v>
      </c>
      <c r="N109" s="32">
        <v>5523.3300511247162</v>
      </c>
      <c r="O109" s="32">
        <v>5201.1291502559025</v>
      </c>
      <c r="P109" s="32">
        <v>5170.4602336945245</v>
      </c>
      <c r="Q109" s="32">
        <v>5155.125775413836</v>
      </c>
      <c r="R109" s="32">
        <v>5185.7946919752139</v>
      </c>
      <c r="S109" s="32">
        <v>5553.9989676860951</v>
      </c>
      <c r="T109" s="32">
        <v>5063.0303872425293</v>
      </c>
      <c r="U109" s="32">
        <v>5446.5691212340998</v>
      </c>
      <c r="V109" s="32">
        <v>5078.3648455232187</v>
      </c>
      <c r="W109" s="32">
        <v>5461.9035795147865</v>
      </c>
      <c r="X109" s="32">
        <v>5538.6645094054056</v>
      </c>
      <c r="Y109" s="32">
        <v>5308.4703582207258</v>
      </c>
      <c r="Z109" s="32">
        <v>5323.8934549885862</v>
      </c>
      <c r="AA109" s="32">
        <v>5109.0337620845967</v>
      </c>
      <c r="AB109" s="32">
        <v>5093.6993038039082</v>
      </c>
      <c r="AC109" s="32">
        <v>5492.6611345633382</v>
      </c>
      <c r="AD109" s="32">
        <v>5293.1358999400363</v>
      </c>
      <c r="AE109" s="32">
        <v>5277.8014416593505</v>
      </c>
      <c r="AF109" s="32">
        <v>5139.7026786459746</v>
      </c>
      <c r="AG109" s="32">
        <v>5262.4669833786575</v>
      </c>
      <c r="AH109" s="32">
        <v>5231.7980668172804</v>
      </c>
      <c r="AI109" s="32">
        <v>5339.2279132692756</v>
      </c>
      <c r="AJ109" s="32">
        <v>5247.1325250979708</v>
      </c>
      <c r="AK109" s="32">
        <v>5124.3682203652861</v>
      </c>
      <c r="AM109" s="39" t="s">
        <v>93</v>
      </c>
      <c r="AN109" t="s">
        <v>108</v>
      </c>
      <c r="AO109" t="s">
        <v>110</v>
      </c>
      <c r="AP109" t="s">
        <v>108</v>
      </c>
      <c r="AQ109" t="s">
        <v>111</v>
      </c>
      <c r="AR109" t="s">
        <v>112</v>
      </c>
      <c r="AS109" t="s">
        <v>114</v>
      </c>
      <c r="AT109" t="s">
        <v>109</v>
      </c>
      <c r="AU109" t="s">
        <v>110</v>
      </c>
      <c r="AV109" t="s">
        <v>109</v>
      </c>
      <c r="AW109" t="s">
        <v>116</v>
      </c>
      <c r="AX109" t="s">
        <v>115</v>
      </c>
      <c r="AY109" t="s">
        <v>116</v>
      </c>
      <c r="AZ109" t="s">
        <v>112</v>
      </c>
      <c r="BA109" t="s">
        <v>116</v>
      </c>
      <c r="BB109" t="s">
        <v>115</v>
      </c>
      <c r="BC109" t="s">
        <v>116</v>
      </c>
      <c r="BD109" t="s">
        <v>116</v>
      </c>
      <c r="BE109" t="s">
        <v>114</v>
      </c>
      <c r="BF109" t="s">
        <v>110</v>
      </c>
      <c r="BG109" t="s">
        <v>114</v>
      </c>
      <c r="BH109" t="s">
        <v>111</v>
      </c>
      <c r="BI109" t="s">
        <v>111</v>
      </c>
      <c r="BJ109" t="s">
        <v>109</v>
      </c>
      <c r="BK109" t="s">
        <v>110</v>
      </c>
      <c r="BL109" t="s">
        <v>115</v>
      </c>
      <c r="BM109" t="s">
        <v>116</v>
      </c>
      <c r="BN109" t="s">
        <v>108</v>
      </c>
      <c r="BO109" t="s">
        <v>116</v>
      </c>
      <c r="BP109" t="s">
        <v>109</v>
      </c>
      <c r="BQ109" t="s">
        <v>115</v>
      </c>
      <c r="BR109" t="s">
        <v>110</v>
      </c>
      <c r="BS109" t="s">
        <v>111</v>
      </c>
      <c r="BT109" t="s">
        <v>114</v>
      </c>
      <c r="BU109" t="s">
        <v>112</v>
      </c>
    </row>
    <row r="110" spans="2:73" x14ac:dyDescent="0.35">
      <c r="B110" s="69">
        <f t="shared" si="5"/>
        <v>3615.9578382036793</v>
      </c>
      <c r="C110" s="39" t="s">
        <v>94</v>
      </c>
      <c r="D110" s="32">
        <v>5611.2594303989545</v>
      </c>
      <c r="E110" s="32">
        <v>5518.5435728174498</v>
      </c>
      <c r="F110" s="32">
        <v>5456.6739087716633</v>
      </c>
      <c r="G110" s="32">
        <v>5441.250812003801</v>
      </c>
      <c r="H110" s="32">
        <v>5394.8042447258786</v>
      </c>
      <c r="I110" s="32">
        <v>5425.7390767487705</v>
      </c>
      <c r="J110" s="32">
        <v>5410.3159799809091</v>
      </c>
      <c r="K110" s="32">
        <v>5255.7304583536179</v>
      </c>
      <c r="L110" s="32">
        <v>5549.3897663531707</v>
      </c>
      <c r="M110" s="32">
        <v>5472.0970055395246</v>
      </c>
      <c r="N110" s="32">
        <v>5564.9015016082021</v>
      </c>
      <c r="O110" s="32">
        <v>5240.3073615857556</v>
      </c>
      <c r="P110" s="32">
        <v>5209.3725295628637</v>
      </c>
      <c r="Q110" s="32">
        <v>5193.8607943078305</v>
      </c>
      <c r="R110" s="32">
        <v>5224.7956263307251</v>
      </c>
      <c r="S110" s="32">
        <v>5595.8363336310949</v>
      </c>
      <c r="T110" s="32">
        <v>5101.1449367263222</v>
      </c>
      <c r="U110" s="32">
        <v>5487.6087407945552</v>
      </c>
      <c r="V110" s="32">
        <v>5116.5680334941835</v>
      </c>
      <c r="W110" s="32">
        <v>5503.0318375624165</v>
      </c>
      <c r="X110" s="32">
        <v>5580.3245983760644</v>
      </c>
      <c r="Y110" s="32">
        <v>5348.4463159351235</v>
      </c>
      <c r="Z110" s="32">
        <v>5363.9580511901549</v>
      </c>
      <c r="AA110" s="32">
        <v>5147.5028655170763</v>
      </c>
      <c r="AB110" s="32">
        <v>5132.079768749215</v>
      </c>
      <c r="AC110" s="32">
        <v>5533.9666695853093</v>
      </c>
      <c r="AD110" s="32">
        <v>5333.0232191672621</v>
      </c>
      <c r="AE110" s="32">
        <v>5317.6001223994026</v>
      </c>
      <c r="AF110" s="32">
        <v>5178.4376975399691</v>
      </c>
      <c r="AG110" s="32">
        <v>5302.0883871443712</v>
      </c>
      <c r="AH110" s="32">
        <v>5271.1535551214783</v>
      </c>
      <c r="AI110" s="32">
        <v>5379.3811479580163</v>
      </c>
      <c r="AJ110" s="32">
        <v>5286.6652903765098</v>
      </c>
      <c r="AK110" s="32">
        <v>5163.0146007721087</v>
      </c>
      <c r="AM110" s="39" t="s">
        <v>94</v>
      </c>
      <c r="AN110" t="s">
        <v>114</v>
      </c>
      <c r="AO110" t="s">
        <v>115</v>
      </c>
      <c r="AP110" t="s">
        <v>113</v>
      </c>
      <c r="AQ110" t="s">
        <v>116</v>
      </c>
      <c r="AR110" t="s">
        <v>109</v>
      </c>
      <c r="AS110" t="s">
        <v>111</v>
      </c>
      <c r="AT110" t="s">
        <v>116</v>
      </c>
      <c r="AU110" t="s">
        <v>109</v>
      </c>
      <c r="AV110" t="s">
        <v>112</v>
      </c>
      <c r="AW110" t="s">
        <v>109</v>
      </c>
      <c r="AX110" t="s">
        <v>109</v>
      </c>
      <c r="AY110" t="s">
        <v>109</v>
      </c>
      <c r="AZ110" t="s">
        <v>116</v>
      </c>
      <c r="BA110" t="s">
        <v>109</v>
      </c>
      <c r="BB110" t="s">
        <v>112</v>
      </c>
      <c r="BC110" t="s">
        <v>114</v>
      </c>
      <c r="BD110" t="s">
        <v>111</v>
      </c>
      <c r="BE110" t="s">
        <v>111</v>
      </c>
      <c r="BF110" t="s">
        <v>115</v>
      </c>
      <c r="BG110" t="s">
        <v>112</v>
      </c>
      <c r="BH110" t="s">
        <v>112</v>
      </c>
      <c r="BI110" t="s">
        <v>112</v>
      </c>
      <c r="BJ110" t="s">
        <v>112</v>
      </c>
      <c r="BK110" t="s">
        <v>110</v>
      </c>
      <c r="BL110" t="s">
        <v>114</v>
      </c>
      <c r="BM110" t="s">
        <v>110</v>
      </c>
      <c r="BN110" t="s">
        <v>109</v>
      </c>
      <c r="BO110" t="s">
        <v>116</v>
      </c>
      <c r="BP110" t="s">
        <v>108</v>
      </c>
      <c r="BQ110" t="s">
        <v>109</v>
      </c>
      <c r="BR110" t="s">
        <v>113</v>
      </c>
      <c r="BS110" t="s">
        <v>113</v>
      </c>
      <c r="BT110" t="s">
        <v>108</v>
      </c>
      <c r="BU110" t="s">
        <v>111</v>
      </c>
    </row>
    <row r="111" spans="2:73" x14ac:dyDescent="0.35">
      <c r="B111" s="69">
        <f t="shared" si="5"/>
        <v>3763.628343339808</v>
      </c>
      <c r="C111" s="39" t="s">
        <v>95</v>
      </c>
      <c r="D111" s="32">
        <v>3108.3744681341218</v>
      </c>
      <c r="E111" s="32">
        <v>3056.9641455745868</v>
      </c>
      <c r="F111" s="32">
        <v>3022.7496895263439</v>
      </c>
      <c r="G111" s="32">
        <v>3014.1517562706977</v>
      </c>
      <c r="H111" s="32">
        <v>2988.535233478101</v>
      </c>
      <c r="I111" s="32">
        <v>3005.642461502222</v>
      </c>
      <c r="J111" s="32">
        <v>2997.0445282465762</v>
      </c>
      <c r="K111" s="32">
        <v>2911.4197496387974</v>
      </c>
      <c r="L111" s="32">
        <v>3074.1600120858789</v>
      </c>
      <c r="M111" s="32">
        <v>3031.3476227819901</v>
      </c>
      <c r="N111" s="32">
        <v>3082.6693068543536</v>
      </c>
      <c r="O111" s="32">
        <v>2902.8218163831511</v>
      </c>
      <c r="P111" s="32">
        <v>2885.7145883590306</v>
      </c>
      <c r="Q111" s="32">
        <v>2877.2052935905549</v>
      </c>
      <c r="R111" s="32">
        <v>2894.3125216146764</v>
      </c>
      <c r="S111" s="32">
        <v>3099.7765348784756</v>
      </c>
      <c r="T111" s="32">
        <v>2825.7949710310195</v>
      </c>
      <c r="U111" s="32">
        <v>3039.8569175504658</v>
      </c>
      <c r="V111" s="32">
        <v>2834.3929042866662</v>
      </c>
      <c r="W111" s="32">
        <v>3048.4548508061116</v>
      </c>
      <c r="X111" s="32">
        <v>3091.2672401100003</v>
      </c>
      <c r="Y111" s="32">
        <v>2962.8300721983333</v>
      </c>
      <c r="Z111" s="32">
        <v>2971.3393669668085</v>
      </c>
      <c r="AA111" s="32">
        <v>2851.5001323107876</v>
      </c>
      <c r="AB111" s="32">
        <v>2842.902199055141</v>
      </c>
      <c r="AC111" s="32">
        <v>3065.5620788302326</v>
      </c>
      <c r="AD111" s="32">
        <v>2954.2321389426866</v>
      </c>
      <c r="AE111" s="32">
        <v>2945.6342056870403</v>
      </c>
      <c r="AF111" s="32">
        <v>2868.6073603349091</v>
      </c>
      <c r="AG111" s="32">
        <v>2937.124910918566</v>
      </c>
      <c r="AH111" s="32">
        <v>2920.017682894445</v>
      </c>
      <c r="AI111" s="32">
        <v>2979.9373002224538</v>
      </c>
      <c r="AJ111" s="32">
        <v>2928.5269776629189</v>
      </c>
      <c r="AK111" s="32">
        <v>2860.0094270792629</v>
      </c>
      <c r="AM111" s="39" t="s">
        <v>95</v>
      </c>
      <c r="AN111" t="s">
        <v>110</v>
      </c>
      <c r="AO111" t="s">
        <v>116</v>
      </c>
      <c r="AP111" t="s">
        <v>114</v>
      </c>
      <c r="AQ111" t="s">
        <v>109</v>
      </c>
      <c r="AR111" t="s">
        <v>113</v>
      </c>
      <c r="AS111" t="s">
        <v>110</v>
      </c>
      <c r="AT111" t="s">
        <v>113</v>
      </c>
      <c r="AU111" t="s">
        <v>113</v>
      </c>
      <c r="AV111" t="s">
        <v>113</v>
      </c>
      <c r="AW111" t="s">
        <v>108</v>
      </c>
      <c r="AX111" t="s">
        <v>113</v>
      </c>
      <c r="AY111" t="s">
        <v>114</v>
      </c>
      <c r="AZ111" t="s">
        <v>110</v>
      </c>
      <c r="BA111" t="s">
        <v>109</v>
      </c>
      <c r="BB111" t="s">
        <v>115</v>
      </c>
      <c r="BC111" t="s">
        <v>116</v>
      </c>
      <c r="BD111" t="s">
        <v>112</v>
      </c>
      <c r="BE111" t="s">
        <v>115</v>
      </c>
      <c r="BF111" t="s">
        <v>115</v>
      </c>
      <c r="BG111" t="s">
        <v>110</v>
      </c>
      <c r="BH111" t="s">
        <v>108</v>
      </c>
      <c r="BI111" t="s">
        <v>111</v>
      </c>
      <c r="BJ111" t="s">
        <v>112</v>
      </c>
      <c r="BK111" t="s">
        <v>111</v>
      </c>
      <c r="BL111" t="s">
        <v>112</v>
      </c>
      <c r="BM111" t="s">
        <v>109</v>
      </c>
      <c r="BN111" t="s">
        <v>110</v>
      </c>
      <c r="BO111" t="s">
        <v>111</v>
      </c>
      <c r="BP111" t="s">
        <v>110</v>
      </c>
      <c r="BQ111" t="s">
        <v>108</v>
      </c>
      <c r="BR111" t="s">
        <v>111</v>
      </c>
      <c r="BS111" t="s">
        <v>116</v>
      </c>
      <c r="BT111" t="s">
        <v>113</v>
      </c>
      <c r="BU111" t="s">
        <v>109</v>
      </c>
    </row>
    <row r="112" spans="2:73" x14ac:dyDescent="0.35">
      <c r="B112" s="69">
        <f t="shared" si="5"/>
        <v>1568.2210883481027</v>
      </c>
      <c r="C112" s="39" t="s">
        <v>96</v>
      </c>
      <c r="D112" s="32">
        <v>5716.5619531588309</v>
      </c>
      <c r="E112" s="32">
        <v>5622.0733258338933</v>
      </c>
      <c r="F112" s="32">
        <v>5559.0513614548754</v>
      </c>
      <c r="G112" s="32">
        <v>5543.362349225501</v>
      </c>
      <c r="H112" s="32">
        <v>5496.1180355630313</v>
      </c>
      <c r="I112" s="32">
        <v>5527.5846985089556</v>
      </c>
      <c r="J112" s="32">
        <v>5511.8070477924075</v>
      </c>
      <c r="K112" s="32">
        <v>5354.3850945756212</v>
      </c>
      <c r="L112" s="32">
        <v>5653.5399887798139</v>
      </c>
      <c r="M112" s="32">
        <v>5574.8290121714226</v>
      </c>
      <c r="N112" s="32">
        <v>5669.317639496363</v>
      </c>
      <c r="O112" s="32">
        <v>5338.6074438590731</v>
      </c>
      <c r="P112" s="32">
        <v>5307.1407809131515</v>
      </c>
      <c r="Q112" s="32">
        <v>5291.3631301966061</v>
      </c>
      <c r="R112" s="32">
        <v>5322.8297931425277</v>
      </c>
      <c r="S112" s="32">
        <v>5700.7843024422837</v>
      </c>
      <c r="T112" s="32">
        <v>5196.8745028716658</v>
      </c>
      <c r="U112" s="32">
        <v>5590.6066628879707</v>
      </c>
      <c r="V112" s="32">
        <v>5212.6521535882121</v>
      </c>
      <c r="W112" s="32">
        <v>5606.2956751173451</v>
      </c>
      <c r="X112" s="32">
        <v>5685.0952902129102</v>
      </c>
      <c r="Y112" s="32">
        <v>5448.8737219005616</v>
      </c>
      <c r="Z112" s="32">
        <v>5464.562734129936</v>
      </c>
      <c r="AA112" s="32">
        <v>5244.1188165341355</v>
      </c>
      <c r="AB112" s="32">
        <v>5228.3411658175883</v>
      </c>
      <c r="AC112" s="32">
        <v>5637.8509765504396</v>
      </c>
      <c r="AD112" s="32">
        <v>5433.0960711840135</v>
      </c>
      <c r="AE112" s="32">
        <v>5417.3184204674653</v>
      </c>
      <c r="AF112" s="32">
        <v>5275.5854794800598</v>
      </c>
      <c r="AG112" s="32">
        <v>5401.62940823809</v>
      </c>
      <c r="AH112" s="32">
        <v>5370.0741068049965</v>
      </c>
      <c r="AI112" s="32">
        <v>5480.3403848464841</v>
      </c>
      <c r="AJ112" s="32">
        <v>5385.8517575215446</v>
      </c>
      <c r="AK112" s="32">
        <v>5259.8964672506818</v>
      </c>
      <c r="AM112" s="39" t="s">
        <v>96</v>
      </c>
      <c r="AN112" t="s">
        <v>109</v>
      </c>
      <c r="AO112" t="s">
        <v>116</v>
      </c>
      <c r="AP112" t="s">
        <v>112</v>
      </c>
      <c r="AQ112" t="s">
        <v>108</v>
      </c>
      <c r="AR112" t="s">
        <v>113</v>
      </c>
      <c r="AS112" t="s">
        <v>110</v>
      </c>
      <c r="AT112" t="s">
        <v>108</v>
      </c>
      <c r="AU112" t="s">
        <v>109</v>
      </c>
      <c r="AV112" t="s">
        <v>113</v>
      </c>
      <c r="AW112" t="s">
        <v>110</v>
      </c>
      <c r="AX112" t="s">
        <v>108</v>
      </c>
      <c r="AY112" t="s">
        <v>115</v>
      </c>
      <c r="AZ112" t="s">
        <v>109</v>
      </c>
      <c r="BA112" t="s">
        <v>112</v>
      </c>
      <c r="BB112" t="s">
        <v>115</v>
      </c>
      <c r="BC112" t="s">
        <v>109</v>
      </c>
      <c r="BD112" t="s">
        <v>108</v>
      </c>
      <c r="BE112" t="s">
        <v>108</v>
      </c>
      <c r="BF112" t="s">
        <v>112</v>
      </c>
      <c r="BG112" t="s">
        <v>108</v>
      </c>
      <c r="BH112" t="s">
        <v>109</v>
      </c>
      <c r="BI112" t="s">
        <v>110</v>
      </c>
      <c r="BJ112" t="s">
        <v>110</v>
      </c>
      <c r="BK112" t="s">
        <v>108</v>
      </c>
      <c r="BL112" t="s">
        <v>114</v>
      </c>
      <c r="BM112" t="s">
        <v>112</v>
      </c>
      <c r="BN112" t="s">
        <v>112</v>
      </c>
      <c r="BO112" t="s">
        <v>111</v>
      </c>
      <c r="BP112" t="s">
        <v>112</v>
      </c>
      <c r="BQ112" t="s">
        <v>113</v>
      </c>
      <c r="BR112" t="s">
        <v>108</v>
      </c>
      <c r="BS112" t="s">
        <v>108</v>
      </c>
      <c r="BT112" t="s">
        <v>108</v>
      </c>
      <c r="BU112" t="s">
        <v>109</v>
      </c>
    </row>
    <row r="113" spans="2:73" x14ac:dyDescent="0.35">
      <c r="B113" s="69">
        <f t="shared" si="5"/>
        <v>2218.8063094090035</v>
      </c>
      <c r="C113" s="39" t="s">
        <v>97</v>
      </c>
      <c r="D113" s="32">
        <v>16964.431421287831</v>
      </c>
      <c r="E113" s="32">
        <v>16684.067886364013</v>
      </c>
      <c r="F113" s="32">
        <v>16497.129316919087</v>
      </c>
      <c r="G113" s="32">
        <v>16450.328195692473</v>
      </c>
      <c r="H113" s="32">
        <v>16310.190747474147</v>
      </c>
      <c r="I113" s="32">
        <v>16403.615712953026</v>
      </c>
      <c r="J113" s="32">
        <v>16356.903230213587</v>
      </c>
      <c r="K113" s="32">
        <v>15889.512487357675</v>
      </c>
      <c r="L113" s="32">
        <v>16777.492851842893</v>
      </c>
      <c r="M113" s="32">
        <v>16543.84179965853</v>
      </c>
      <c r="N113" s="32">
        <v>16824.20533458233</v>
      </c>
      <c r="O113" s="32">
        <v>15842.800004618233</v>
      </c>
      <c r="P113" s="32">
        <v>15749.37503913935</v>
      </c>
      <c r="Q113" s="32">
        <v>15702.573917912743</v>
      </c>
      <c r="R113" s="32">
        <v>15796.087521878797</v>
      </c>
      <c r="S113" s="32">
        <v>16917.718938548387</v>
      </c>
      <c r="T113" s="32">
        <v>15422.210382988924</v>
      </c>
      <c r="U113" s="32">
        <v>16590.554282397963</v>
      </c>
      <c r="V113" s="32">
        <v>15468.922865728371</v>
      </c>
      <c r="W113" s="32">
        <v>16637.266765137407</v>
      </c>
      <c r="X113" s="32">
        <v>16871.006455808951</v>
      </c>
      <c r="Y113" s="32">
        <v>16169.964660768655</v>
      </c>
      <c r="Z113" s="32">
        <v>16216.677143508099</v>
      </c>
      <c r="AA113" s="32">
        <v>15562.436469694427</v>
      </c>
      <c r="AB113" s="32">
        <v>15515.635348467806</v>
      </c>
      <c r="AC113" s="32">
        <v>16730.780369103453</v>
      </c>
      <c r="AD113" s="32">
        <v>16123.252178029215</v>
      </c>
      <c r="AE113" s="32">
        <v>16076.451056802605</v>
      </c>
      <c r="AF113" s="32">
        <v>15655.861435173299</v>
      </c>
      <c r="AG113" s="32">
        <v>16029.738574063165</v>
      </c>
      <c r="AH113" s="32">
        <v>15936.313608584283</v>
      </c>
      <c r="AI113" s="32">
        <v>16263.389626247543</v>
      </c>
      <c r="AJ113" s="32">
        <v>15983.026091323722</v>
      </c>
      <c r="AK113" s="32">
        <v>15609.148952433863</v>
      </c>
      <c r="AM113" s="39" t="s">
        <v>97</v>
      </c>
      <c r="AN113" t="s">
        <v>116</v>
      </c>
      <c r="AO113" t="s">
        <v>115</v>
      </c>
      <c r="AP113" t="s">
        <v>110</v>
      </c>
      <c r="AQ113" t="s">
        <v>113</v>
      </c>
      <c r="AR113" t="s">
        <v>116</v>
      </c>
      <c r="AS113" t="s">
        <v>113</v>
      </c>
      <c r="AT113" t="s">
        <v>113</v>
      </c>
      <c r="AU113" t="s">
        <v>113</v>
      </c>
      <c r="AV113" t="s">
        <v>108</v>
      </c>
      <c r="AW113" t="s">
        <v>113</v>
      </c>
      <c r="AX113" t="s">
        <v>116</v>
      </c>
      <c r="AY113" t="s">
        <v>115</v>
      </c>
      <c r="AZ113" t="s">
        <v>110</v>
      </c>
      <c r="BA113" t="s">
        <v>115</v>
      </c>
      <c r="BB113" t="s">
        <v>113</v>
      </c>
      <c r="BC113" t="s">
        <v>111</v>
      </c>
      <c r="BD113" t="s">
        <v>113</v>
      </c>
      <c r="BE113" t="s">
        <v>115</v>
      </c>
      <c r="BF113" t="s">
        <v>110</v>
      </c>
      <c r="BG113" t="s">
        <v>109</v>
      </c>
      <c r="BH113" t="s">
        <v>112</v>
      </c>
      <c r="BI113" t="s">
        <v>114</v>
      </c>
      <c r="BJ113" t="s">
        <v>114</v>
      </c>
      <c r="BK113" t="s">
        <v>109</v>
      </c>
      <c r="BL113" t="s">
        <v>110</v>
      </c>
      <c r="BM113" t="s">
        <v>114</v>
      </c>
      <c r="BN113" t="s">
        <v>108</v>
      </c>
      <c r="BO113" t="s">
        <v>109</v>
      </c>
      <c r="BP113" t="s">
        <v>111</v>
      </c>
      <c r="BQ113" t="s">
        <v>111</v>
      </c>
      <c r="BR113" t="s">
        <v>116</v>
      </c>
      <c r="BS113" t="s">
        <v>108</v>
      </c>
      <c r="BT113" t="s">
        <v>112</v>
      </c>
      <c r="BU113" t="s">
        <v>114</v>
      </c>
    </row>
    <row r="114" spans="2:73" x14ac:dyDescent="0.35">
      <c r="B114" s="69">
        <f t="shared" si="5"/>
        <v>1759.6143971508707</v>
      </c>
      <c r="C114" s="39" t="s">
        <v>98</v>
      </c>
      <c r="D114" s="32">
        <v>2184.0523239085428</v>
      </c>
      <c r="E114" s="32">
        <v>2147.9764596296959</v>
      </c>
      <c r="F114" s="32">
        <v>2123.8667911190164</v>
      </c>
      <c r="G114" s="32">
        <v>2117.8393739913477</v>
      </c>
      <c r="H114" s="32">
        <v>2099.8457610955102</v>
      </c>
      <c r="I114" s="32">
        <v>2111.811956863678</v>
      </c>
      <c r="J114" s="32">
        <v>2105.8731782231803</v>
      </c>
      <c r="K114" s="32">
        <v>2045.6876454336548</v>
      </c>
      <c r="L114" s="32">
        <v>2159.9426553978637</v>
      </c>
      <c r="M114" s="32">
        <v>2129.8942082466874</v>
      </c>
      <c r="N114" s="32">
        <v>2165.9700725255329</v>
      </c>
      <c r="O114" s="32">
        <v>2039.6602283059849</v>
      </c>
      <c r="P114" s="32">
        <v>2027.6053940506454</v>
      </c>
      <c r="Q114" s="32">
        <v>2021.577976922975</v>
      </c>
      <c r="R114" s="32">
        <v>2033.632811178315</v>
      </c>
      <c r="S114" s="32">
        <v>2178.0249067808722</v>
      </c>
      <c r="T114" s="32">
        <v>1985.5021126441295</v>
      </c>
      <c r="U114" s="32">
        <v>2135.9216253743557</v>
      </c>
      <c r="V114" s="32">
        <v>1991.5295297717994</v>
      </c>
      <c r="W114" s="32">
        <v>2141.9490425020258</v>
      </c>
      <c r="X114" s="32">
        <v>2171.9974896532035</v>
      </c>
      <c r="Y114" s="32">
        <v>2081.7635097125021</v>
      </c>
      <c r="Z114" s="32">
        <v>2087.7909268401704</v>
      </c>
      <c r="AA114" s="32">
        <v>2003.5843640271391</v>
      </c>
      <c r="AB114" s="32">
        <v>1997.5569468994686</v>
      </c>
      <c r="AC114" s="32">
        <v>2154.0038767573651</v>
      </c>
      <c r="AD114" s="32">
        <v>2075.7360925848311</v>
      </c>
      <c r="AE114" s="32">
        <v>2069.7086754571619</v>
      </c>
      <c r="AF114" s="32">
        <v>2015.5505597953063</v>
      </c>
      <c r="AG114" s="32">
        <v>2063.6812583294918</v>
      </c>
      <c r="AH114" s="32">
        <v>2051.7150625613231</v>
      </c>
      <c r="AI114" s="32">
        <v>2093.8183439678405</v>
      </c>
      <c r="AJ114" s="32">
        <v>2057.7424796889941</v>
      </c>
      <c r="AK114" s="32">
        <v>2009.6117811548086</v>
      </c>
      <c r="AM114" s="39" t="s">
        <v>98</v>
      </c>
      <c r="AN114" t="s">
        <v>110</v>
      </c>
      <c r="AO114" t="s">
        <v>108</v>
      </c>
      <c r="AP114" t="s">
        <v>116</v>
      </c>
      <c r="AQ114" t="s">
        <v>110</v>
      </c>
      <c r="AR114" t="s">
        <v>116</v>
      </c>
      <c r="AS114" t="s">
        <v>111</v>
      </c>
      <c r="AT114" t="s">
        <v>116</v>
      </c>
      <c r="AU114" t="s">
        <v>113</v>
      </c>
      <c r="AV114" t="s">
        <v>112</v>
      </c>
      <c r="AW114" t="s">
        <v>113</v>
      </c>
      <c r="AX114" t="s">
        <v>110</v>
      </c>
      <c r="AY114" t="s">
        <v>110</v>
      </c>
      <c r="AZ114" t="s">
        <v>114</v>
      </c>
      <c r="BA114" t="s">
        <v>109</v>
      </c>
      <c r="BB114" t="s">
        <v>108</v>
      </c>
      <c r="BC114" t="s">
        <v>109</v>
      </c>
      <c r="BD114" t="s">
        <v>112</v>
      </c>
      <c r="BE114" t="s">
        <v>114</v>
      </c>
      <c r="BF114" t="s">
        <v>113</v>
      </c>
      <c r="BG114" t="s">
        <v>108</v>
      </c>
      <c r="BH114" t="s">
        <v>115</v>
      </c>
      <c r="BI114" t="s">
        <v>115</v>
      </c>
      <c r="BJ114" t="s">
        <v>115</v>
      </c>
      <c r="BK114" t="s">
        <v>111</v>
      </c>
      <c r="BL114" t="s">
        <v>114</v>
      </c>
      <c r="BM114" t="s">
        <v>116</v>
      </c>
      <c r="BN114" t="s">
        <v>111</v>
      </c>
      <c r="BO114" t="s">
        <v>109</v>
      </c>
      <c r="BP114" t="s">
        <v>108</v>
      </c>
      <c r="BQ114" t="s">
        <v>108</v>
      </c>
      <c r="BR114" t="s">
        <v>113</v>
      </c>
      <c r="BS114" t="s">
        <v>116</v>
      </c>
      <c r="BT114" t="s">
        <v>114</v>
      </c>
      <c r="BU114" t="s">
        <v>116</v>
      </c>
    </row>
    <row r="115" spans="2:73" x14ac:dyDescent="0.35"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</row>
    <row r="117" spans="2:73" x14ac:dyDescent="0.35">
      <c r="D117" s="71" t="s">
        <v>127</v>
      </c>
    </row>
    <row r="118" spans="2:73" x14ac:dyDescent="0.35">
      <c r="C118" t="s">
        <v>3</v>
      </c>
      <c r="D118" s="14" t="s">
        <v>18</v>
      </c>
      <c r="E118" s="14" t="s">
        <v>5</v>
      </c>
      <c r="F118" s="14" t="s">
        <v>33</v>
      </c>
      <c r="G118" s="14" t="s">
        <v>34</v>
      </c>
      <c r="H118" s="14" t="s">
        <v>10</v>
      </c>
      <c r="I118" s="14" t="s">
        <v>9</v>
      </c>
      <c r="J118" s="14" t="s">
        <v>31</v>
      </c>
      <c r="K118" s="14" t="s">
        <v>19</v>
      </c>
      <c r="L118" s="21" t="s">
        <v>51</v>
      </c>
      <c r="M118" s="14" t="s">
        <v>52</v>
      </c>
      <c r="N118" s="14" t="s">
        <v>53</v>
      </c>
      <c r="O118" s="14" t="s">
        <v>54</v>
      </c>
      <c r="P118" s="14" t="s">
        <v>55</v>
      </c>
      <c r="Q118" s="14" t="s">
        <v>56</v>
      </c>
      <c r="R118" s="14" t="s">
        <v>57</v>
      </c>
      <c r="S118" s="14" t="s">
        <v>20</v>
      </c>
      <c r="T118" s="14" t="s">
        <v>11</v>
      </c>
      <c r="U118" s="14" t="s">
        <v>12</v>
      </c>
      <c r="V118" s="14" t="s">
        <v>13</v>
      </c>
      <c r="W118" s="14" t="s">
        <v>26</v>
      </c>
      <c r="X118" s="14" t="s">
        <v>58</v>
      </c>
      <c r="Y118" s="14" t="s">
        <v>59</v>
      </c>
      <c r="Z118" s="14" t="s">
        <v>60</v>
      </c>
      <c r="AA118" s="14" t="s">
        <v>61</v>
      </c>
      <c r="AB118" s="14" t="s">
        <v>62</v>
      </c>
      <c r="AC118" s="14" t="s">
        <v>36</v>
      </c>
      <c r="AD118" s="14" t="s">
        <v>37</v>
      </c>
      <c r="AE118" s="14" t="s">
        <v>29</v>
      </c>
      <c r="AF118" s="14" t="s">
        <v>23</v>
      </c>
      <c r="AG118" s="14" t="s">
        <v>7</v>
      </c>
      <c r="AH118" s="14" t="s">
        <v>8</v>
      </c>
      <c r="AI118" s="14" t="s">
        <v>32</v>
      </c>
      <c r="AJ118" s="14" t="s">
        <v>14</v>
      </c>
      <c r="AK118" s="14" t="s">
        <v>38</v>
      </c>
    </row>
    <row r="119" spans="2:73" x14ac:dyDescent="0.35">
      <c r="C119" s="4" t="s">
        <v>63</v>
      </c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13"/>
      <c r="AA119" s="2"/>
      <c r="AB119" s="2"/>
      <c r="AC119" s="2"/>
      <c r="AD119" s="2"/>
      <c r="AE119" s="2"/>
      <c r="AF119" s="2"/>
      <c r="AG119" s="12"/>
      <c r="AH119" s="2"/>
      <c r="AI119" s="2"/>
      <c r="AJ119" s="2"/>
      <c r="AK119" s="2"/>
    </row>
    <row r="120" spans="2:73" x14ac:dyDescent="0.35">
      <c r="C120" s="41" t="s">
        <v>64</v>
      </c>
      <c r="D120" s="46">
        <f>1-SUM(D132,D138)</f>
        <v>0.50201611272576763</v>
      </c>
      <c r="E120" s="46">
        <f t="shared" ref="E120:AK120" si="14">1-SUM(E132,E138)</f>
        <v>0.51108622979394736</v>
      </c>
      <c r="F120" s="46">
        <f t="shared" si="14"/>
        <v>0.52036581492489875</v>
      </c>
      <c r="G120" s="46">
        <f t="shared" si="14"/>
        <v>0.4723204051862695</v>
      </c>
      <c r="H120" s="46">
        <f t="shared" si="14"/>
        <v>0.49468867382506732</v>
      </c>
      <c r="I120" s="46">
        <f t="shared" si="14"/>
        <v>0.51170775372062538</v>
      </c>
      <c r="J120" s="46">
        <f t="shared" si="14"/>
        <v>0.48019089194032583</v>
      </c>
      <c r="K120" s="46">
        <f t="shared" si="14"/>
        <v>0.5081164824116442</v>
      </c>
      <c r="L120" s="46">
        <f t="shared" si="14"/>
        <v>0.49854747440109359</v>
      </c>
      <c r="M120" s="46">
        <f t="shared" si="14"/>
        <v>0.48919421911321348</v>
      </c>
      <c r="N120" s="46">
        <f t="shared" si="14"/>
        <v>0.52656766335428085</v>
      </c>
      <c r="O120" s="46">
        <f t="shared" si="14"/>
        <v>0.50826581492489875</v>
      </c>
      <c r="P120" s="46">
        <f t="shared" si="14"/>
        <v>0.50018142387755415</v>
      </c>
      <c r="Q120" s="46">
        <f t="shared" si="14"/>
        <v>0.48513393979368158</v>
      </c>
      <c r="R120" s="46">
        <f t="shared" si="14"/>
        <v>0.47857920576229573</v>
      </c>
      <c r="S120" s="46">
        <f t="shared" si="14"/>
        <v>0.50981833084102601</v>
      </c>
      <c r="T120" s="46">
        <f t="shared" si="14"/>
        <v>0.49776100900850551</v>
      </c>
      <c r="U120" s="46">
        <f t="shared" si="14"/>
        <v>0.51892313675741941</v>
      </c>
      <c r="V120" s="46">
        <f t="shared" si="14"/>
        <v>0.53214466068409738</v>
      </c>
      <c r="W120" s="46">
        <f t="shared" si="14"/>
        <v>0.512909232464131</v>
      </c>
      <c r="X120" s="46">
        <f t="shared" si="14"/>
        <v>0.52713334419194369</v>
      </c>
      <c r="Y120" s="46">
        <f t="shared" si="14"/>
        <v>0.49221537335401488</v>
      </c>
      <c r="Z120" s="46">
        <f t="shared" si="14"/>
        <v>0.49503578822306371</v>
      </c>
      <c r="AA120" s="46">
        <f t="shared" si="14"/>
        <v>0.52298401167868913</v>
      </c>
      <c r="AB120" s="46">
        <f t="shared" si="14"/>
        <v>0.47855620309211222</v>
      </c>
      <c r="AC120" s="46">
        <f t="shared" si="14"/>
        <v>0.52839791597197738</v>
      </c>
      <c r="AD120" s="46">
        <f t="shared" si="14"/>
        <v>0.53698008890406368</v>
      </c>
      <c r="AE120" s="46">
        <f t="shared" si="14"/>
        <v>0.52074133351120966</v>
      </c>
      <c r="AF120" s="46">
        <f t="shared" si="14"/>
        <v>0.47537772701879011</v>
      </c>
      <c r="AG120" s="46">
        <f t="shared" si="14"/>
        <v>0.50547750110292877</v>
      </c>
      <c r="AH120" s="46">
        <f t="shared" si="14"/>
        <v>0.49644133351120967</v>
      </c>
      <c r="AI120" s="46">
        <f t="shared" si="14"/>
        <v>0.52330013408723597</v>
      </c>
      <c r="AJ120" s="46">
        <f t="shared" si="14"/>
        <v>0.51629532817084267</v>
      </c>
      <c r="AK120" s="46">
        <f t="shared" si="14"/>
        <v>0.48160036000309714</v>
      </c>
    </row>
    <row r="121" spans="2:73" x14ac:dyDescent="0.35">
      <c r="C121" s="37" t="s">
        <v>65</v>
      </c>
      <c r="D121" s="47">
        <f>1-SUM(D125:D131)</f>
        <v>0.21041162831036242</v>
      </c>
      <c r="E121" s="47">
        <f t="shared" ref="E121:AK121" si="15">1-SUM(E125:E131)</f>
        <v>0.17891162831036256</v>
      </c>
      <c r="F121" s="47">
        <f t="shared" si="15"/>
        <v>0.21171162831036239</v>
      </c>
      <c r="G121" s="47">
        <f t="shared" si="15"/>
        <v>0.23071162831036229</v>
      </c>
      <c r="H121" s="47">
        <f t="shared" si="15"/>
        <v>0.2459116283103624</v>
      </c>
      <c r="I121" s="47">
        <f t="shared" si="15"/>
        <v>0.24771162831036242</v>
      </c>
      <c r="J121" s="47">
        <f t="shared" si="15"/>
        <v>0.18281162831036246</v>
      </c>
      <c r="K121" s="47">
        <f t="shared" si="15"/>
        <v>0.16791162831036244</v>
      </c>
      <c r="L121" s="47">
        <f t="shared" si="15"/>
        <v>0.22831162831036245</v>
      </c>
      <c r="M121" s="47">
        <f t="shared" si="15"/>
        <v>0.22731162831036245</v>
      </c>
      <c r="N121" s="47">
        <f t="shared" si="15"/>
        <v>0.22521162831036245</v>
      </c>
      <c r="O121" s="47">
        <f t="shared" si="15"/>
        <v>0.22461162831036241</v>
      </c>
      <c r="P121" s="47">
        <f t="shared" si="15"/>
        <v>0.16791162831036244</v>
      </c>
      <c r="Q121" s="47">
        <f t="shared" si="15"/>
        <v>0.2297116283103624</v>
      </c>
      <c r="R121" s="47">
        <f t="shared" si="15"/>
        <v>0.24301162831036249</v>
      </c>
      <c r="S121" s="47">
        <f t="shared" si="15"/>
        <v>0.22331162831036244</v>
      </c>
      <c r="T121" s="47">
        <f t="shared" si="15"/>
        <v>0.19671162831036249</v>
      </c>
      <c r="U121" s="47">
        <f t="shared" si="15"/>
        <v>0.1723116283103624</v>
      </c>
      <c r="V121" s="47">
        <f t="shared" si="15"/>
        <v>0.23941162831036245</v>
      </c>
      <c r="W121" s="47">
        <f t="shared" si="15"/>
        <v>0.16181162831036244</v>
      </c>
      <c r="X121" s="47">
        <f t="shared" si="15"/>
        <v>0.2026116283103625</v>
      </c>
      <c r="Y121" s="47">
        <f t="shared" si="15"/>
        <v>0.17251162831036237</v>
      </c>
      <c r="Z121" s="47">
        <f t="shared" si="15"/>
        <v>0.23931162831036246</v>
      </c>
      <c r="AA121" s="47">
        <f t="shared" si="15"/>
        <v>0.19521162831036243</v>
      </c>
      <c r="AB121" s="47">
        <f t="shared" si="15"/>
        <v>0.20381162831036237</v>
      </c>
      <c r="AC121" s="47">
        <f t="shared" si="15"/>
        <v>0.22931162831036245</v>
      </c>
      <c r="AD121" s="47">
        <f t="shared" si="15"/>
        <v>0.2360116283103626</v>
      </c>
      <c r="AE121" s="47">
        <f t="shared" si="15"/>
        <v>0.16761162831036247</v>
      </c>
      <c r="AF121" s="47">
        <f t="shared" si="15"/>
        <v>0.19431162831036242</v>
      </c>
      <c r="AG121" s="47">
        <f t="shared" si="15"/>
        <v>0.22731162831036256</v>
      </c>
      <c r="AH121" s="47">
        <f t="shared" si="15"/>
        <v>0.19381162831036258</v>
      </c>
      <c r="AI121" s="47">
        <f t="shared" si="15"/>
        <v>0.2358116283103624</v>
      </c>
      <c r="AJ121" s="47">
        <f t="shared" si="15"/>
        <v>0.21731162831036255</v>
      </c>
      <c r="AK121" s="47">
        <f t="shared" si="15"/>
        <v>0.18281162831036246</v>
      </c>
    </row>
    <row r="122" spans="2:73" x14ac:dyDescent="0.35">
      <c r="C122" s="38" t="s">
        <v>66</v>
      </c>
      <c r="D122" s="47">
        <f>1-SUM(D123:D124)</f>
        <v>0.25346900030930364</v>
      </c>
      <c r="E122" s="47">
        <f t="shared" ref="E122:AK122" si="16">1-SUM(E123:E124)</f>
        <v>0.23326900030930364</v>
      </c>
      <c r="F122" s="47">
        <f t="shared" si="16"/>
        <v>0.23586900030930358</v>
      </c>
      <c r="G122" s="47">
        <f t="shared" si="16"/>
        <v>0.24916900030930367</v>
      </c>
      <c r="H122" s="47">
        <f t="shared" si="16"/>
        <v>0.23116900030930365</v>
      </c>
      <c r="I122" s="47">
        <f t="shared" si="16"/>
        <v>0.24966900030930361</v>
      </c>
      <c r="J122" s="47">
        <f t="shared" si="16"/>
        <v>0.24746900030930363</v>
      </c>
      <c r="K122" s="47">
        <f t="shared" si="16"/>
        <v>0.23616900030930366</v>
      </c>
      <c r="L122" s="47">
        <f t="shared" si="16"/>
        <v>0.25126900030930366</v>
      </c>
      <c r="M122" s="47">
        <f t="shared" si="16"/>
        <v>0.25436900030930365</v>
      </c>
      <c r="N122" s="47">
        <f t="shared" si="16"/>
        <v>0.24926900030930366</v>
      </c>
      <c r="O122" s="47">
        <f t="shared" si="16"/>
        <v>0.25616900030930356</v>
      </c>
      <c r="P122" s="47">
        <f t="shared" si="16"/>
        <v>0.23896900030930368</v>
      </c>
      <c r="Q122" s="47">
        <f t="shared" si="16"/>
        <v>0.23626900030930365</v>
      </c>
      <c r="R122" s="47">
        <f t="shared" si="16"/>
        <v>0.25456900030930363</v>
      </c>
      <c r="S122" s="47">
        <f t="shared" si="16"/>
        <v>0.24266900030930361</v>
      </c>
      <c r="T122" s="47">
        <f t="shared" si="16"/>
        <v>0.26206900030930358</v>
      </c>
      <c r="U122" s="47">
        <f t="shared" si="16"/>
        <v>0.25936900030930365</v>
      </c>
      <c r="V122" s="47">
        <f t="shared" si="16"/>
        <v>0.25256900030930363</v>
      </c>
      <c r="W122" s="47">
        <f t="shared" si="16"/>
        <v>0.26016900030930357</v>
      </c>
      <c r="X122" s="47">
        <f t="shared" si="16"/>
        <v>0.23086900030930357</v>
      </c>
      <c r="Y122" s="47">
        <f t="shared" si="16"/>
        <v>0.24906900030930368</v>
      </c>
      <c r="Z122" s="47">
        <f t="shared" si="16"/>
        <v>0.23336900030930363</v>
      </c>
      <c r="AA122" s="47">
        <f t="shared" si="16"/>
        <v>0.25386900030930359</v>
      </c>
      <c r="AB122" s="47">
        <f t="shared" si="16"/>
        <v>0.24986900030930359</v>
      </c>
      <c r="AC122" s="47">
        <f t="shared" si="16"/>
        <v>0.24646900030930363</v>
      </c>
      <c r="AD122" s="47">
        <f t="shared" si="16"/>
        <v>0.25726900030930355</v>
      </c>
      <c r="AE122" s="47">
        <f t="shared" si="16"/>
        <v>0.25146900030930353</v>
      </c>
      <c r="AF122" s="47">
        <f t="shared" si="16"/>
        <v>0.2629690003093037</v>
      </c>
      <c r="AG122" s="47">
        <f t="shared" si="16"/>
        <v>0.25446900030930353</v>
      </c>
      <c r="AH122" s="47">
        <f t="shared" si="16"/>
        <v>0.24586900030930359</v>
      </c>
      <c r="AI122" s="47">
        <f t="shared" si="16"/>
        <v>0.26266900030930362</v>
      </c>
      <c r="AJ122" s="47">
        <f t="shared" si="16"/>
        <v>0.26406900030930358</v>
      </c>
      <c r="AK122" s="47">
        <f t="shared" si="16"/>
        <v>0.22606900030930355</v>
      </c>
    </row>
    <row r="123" spans="2:73" x14ac:dyDescent="0.35">
      <c r="C123" s="38" t="s">
        <v>67</v>
      </c>
      <c r="D123" s="47">
        <v>0.66682665130814112</v>
      </c>
      <c r="E123" s="15">
        <v>0.68392665130814112</v>
      </c>
      <c r="F123" s="15">
        <v>0.67372665130814113</v>
      </c>
      <c r="G123" s="15">
        <v>0.66402665130814109</v>
      </c>
      <c r="H123" s="15">
        <v>0.68242665130814106</v>
      </c>
      <c r="I123" s="15">
        <v>0.67942665130814106</v>
      </c>
      <c r="J123" s="15">
        <v>0.66162665130814113</v>
      </c>
      <c r="K123" s="15">
        <v>0.67912665130814109</v>
      </c>
      <c r="L123" s="15">
        <v>0.65812665130814108</v>
      </c>
      <c r="M123" s="15">
        <v>0.67132665130814106</v>
      </c>
      <c r="N123" s="15">
        <v>0.68082665130814113</v>
      </c>
      <c r="O123" s="15">
        <v>0.67442665130814117</v>
      </c>
      <c r="P123" s="15">
        <v>0.67232665130814107</v>
      </c>
      <c r="Q123" s="15">
        <v>0.67182665130814112</v>
      </c>
      <c r="R123" s="15">
        <v>0.66312665130814108</v>
      </c>
      <c r="S123" s="15">
        <v>0.67362665130814114</v>
      </c>
      <c r="T123" s="15">
        <v>0.66232665130814117</v>
      </c>
      <c r="U123" s="15">
        <v>0.66922665130814107</v>
      </c>
      <c r="V123" s="15">
        <v>0.66732665130814106</v>
      </c>
      <c r="W123" s="15">
        <v>0.66542665130814116</v>
      </c>
      <c r="X123" s="15">
        <v>0.67782665130814113</v>
      </c>
      <c r="Y123" s="15">
        <v>0.66522665130814107</v>
      </c>
      <c r="Z123" s="15">
        <v>0.68152665130814116</v>
      </c>
      <c r="AA123" s="15">
        <v>0.65662665130814113</v>
      </c>
      <c r="AB123" s="15">
        <v>0.68002665130814111</v>
      </c>
      <c r="AC123" s="15">
        <v>0.67942665130814106</v>
      </c>
      <c r="AD123" s="15">
        <v>0.67342665130814117</v>
      </c>
      <c r="AE123" s="15">
        <v>0.66642665130814116</v>
      </c>
      <c r="AF123" s="15">
        <v>0.65202665130814108</v>
      </c>
      <c r="AG123" s="15">
        <v>0.65742665130814115</v>
      </c>
      <c r="AH123" s="15">
        <v>0.66282665130814111</v>
      </c>
      <c r="AI123" s="15">
        <v>0.66912665130814108</v>
      </c>
      <c r="AJ123" s="15">
        <v>0.65422665130814117</v>
      </c>
      <c r="AK123" s="15">
        <v>0.68382665130814113</v>
      </c>
    </row>
    <row r="124" spans="2:73" x14ac:dyDescent="0.35">
      <c r="C124" s="38" t="s">
        <v>117</v>
      </c>
      <c r="D124" s="47">
        <v>7.9704348382555273E-2</v>
      </c>
      <c r="E124" s="15">
        <v>8.2804348382555279E-2</v>
      </c>
      <c r="F124" s="15">
        <v>9.0404348382555275E-2</v>
      </c>
      <c r="G124" s="15">
        <v>8.6804348382555269E-2</v>
      </c>
      <c r="H124" s="15">
        <v>8.6404348382555271E-2</v>
      </c>
      <c r="I124" s="15">
        <v>7.0904348382555271E-2</v>
      </c>
      <c r="J124" s="15">
        <v>9.0904348382555275E-2</v>
      </c>
      <c r="K124" s="15">
        <v>8.4704348382555264E-2</v>
      </c>
      <c r="L124" s="15">
        <v>9.0604348382555266E-2</v>
      </c>
      <c r="M124" s="15">
        <v>7.4304348382555285E-2</v>
      </c>
      <c r="N124" s="15">
        <v>6.990434838255527E-2</v>
      </c>
      <c r="O124" s="15">
        <v>6.940434838255527E-2</v>
      </c>
      <c r="P124" s="15">
        <v>8.8704348382555268E-2</v>
      </c>
      <c r="Q124" s="15">
        <v>9.1904348382555276E-2</v>
      </c>
      <c r="R124" s="15">
        <v>8.2304348382555279E-2</v>
      </c>
      <c r="S124" s="15">
        <v>8.3704348382555277E-2</v>
      </c>
      <c r="T124" s="15">
        <v>7.5604348382555281E-2</v>
      </c>
      <c r="U124" s="15">
        <v>7.1404348382555272E-2</v>
      </c>
      <c r="V124" s="15">
        <v>8.0104348382555271E-2</v>
      </c>
      <c r="W124" s="15">
        <v>7.4404348382555274E-2</v>
      </c>
      <c r="X124" s="15">
        <v>9.1304348382555273E-2</v>
      </c>
      <c r="Y124" s="15">
        <v>8.5704348382555265E-2</v>
      </c>
      <c r="Z124" s="15">
        <v>8.5104348382555262E-2</v>
      </c>
      <c r="AA124" s="15">
        <v>8.9504348382555263E-2</v>
      </c>
      <c r="AB124" s="15">
        <v>7.0104348382555276E-2</v>
      </c>
      <c r="AC124" s="15">
        <v>7.410434838255528E-2</v>
      </c>
      <c r="AD124" s="15">
        <v>6.9304348382555281E-2</v>
      </c>
      <c r="AE124" s="15">
        <v>8.2104348382555273E-2</v>
      </c>
      <c r="AF124" s="15">
        <v>8.5004348382555273E-2</v>
      </c>
      <c r="AG124" s="15">
        <v>8.8104348382555278E-2</v>
      </c>
      <c r="AH124" s="15">
        <v>9.1304348382555273E-2</v>
      </c>
      <c r="AI124" s="15">
        <v>6.8204348382555277E-2</v>
      </c>
      <c r="AJ124" s="15">
        <v>8.1704348382555275E-2</v>
      </c>
      <c r="AK124" s="15">
        <v>9.0104348382555266E-2</v>
      </c>
    </row>
    <row r="125" spans="2:73" x14ac:dyDescent="0.35">
      <c r="C125" s="37" t="s">
        <v>118</v>
      </c>
      <c r="D125" s="47">
        <v>9.3461816818822485E-2</v>
      </c>
      <c r="E125" s="15">
        <v>0.10436181681882248</v>
      </c>
      <c r="F125" s="15">
        <v>9.8761816818822484E-2</v>
      </c>
      <c r="G125" s="15">
        <v>7.9961816818822487E-2</v>
      </c>
      <c r="H125" s="15">
        <v>0.10046181681882249</v>
      </c>
      <c r="I125" s="15">
        <v>8.9661816818822487E-2</v>
      </c>
      <c r="J125" s="15">
        <v>0.11056181681882249</v>
      </c>
      <c r="K125" s="15">
        <v>0.10566181681882249</v>
      </c>
      <c r="L125" s="15">
        <v>8.7361816818822491E-2</v>
      </c>
      <c r="M125" s="15">
        <v>0.10236181681882249</v>
      </c>
      <c r="N125" s="15">
        <v>9.0461816818822482E-2</v>
      </c>
      <c r="O125" s="15">
        <v>8.2761816818822484E-2</v>
      </c>
      <c r="P125" s="15">
        <v>8.8561816818822484E-2</v>
      </c>
      <c r="Q125" s="15">
        <v>8.2061816818822492E-2</v>
      </c>
      <c r="R125" s="15">
        <v>9.426181681882248E-2</v>
      </c>
      <c r="S125" s="15">
        <v>9.8161816818822481E-2</v>
      </c>
      <c r="T125" s="15">
        <v>9.0761816818822491E-2</v>
      </c>
      <c r="U125" s="15">
        <v>8.3061816818822493E-2</v>
      </c>
      <c r="V125" s="15">
        <v>8.8561816818822484E-2</v>
      </c>
      <c r="W125" s="15">
        <v>0.10126181681882249</v>
      </c>
      <c r="X125" s="15">
        <v>8.7061816818822482E-2</v>
      </c>
      <c r="Y125" s="15">
        <v>7.9961816818822487E-2</v>
      </c>
      <c r="Z125" s="15">
        <v>8.5661816818822484E-2</v>
      </c>
      <c r="AA125" s="15">
        <v>0.10266181681882248</v>
      </c>
      <c r="AB125" s="15">
        <v>0.10996181681882249</v>
      </c>
      <c r="AC125" s="15">
        <v>7.7961816818822485E-2</v>
      </c>
      <c r="AD125" s="15">
        <v>9.5461816818822487E-2</v>
      </c>
      <c r="AE125" s="15">
        <v>0.10686181681882248</v>
      </c>
      <c r="AF125" s="15">
        <v>8.8461816818822481E-2</v>
      </c>
      <c r="AG125" s="15">
        <v>8.2661816818822481E-2</v>
      </c>
      <c r="AH125" s="15">
        <v>0.10126181681882249</v>
      </c>
      <c r="AI125" s="15">
        <v>7.9761816818822481E-2</v>
      </c>
      <c r="AJ125" s="15">
        <v>8.926181681882249E-2</v>
      </c>
      <c r="AK125" s="15">
        <v>9.376181681882248E-2</v>
      </c>
    </row>
    <row r="126" spans="2:73" x14ac:dyDescent="0.35">
      <c r="C126" s="37" t="s">
        <v>119</v>
      </c>
      <c r="D126" s="18">
        <v>5.3710556274410841E-2</v>
      </c>
      <c r="E126" s="15">
        <v>6.941055627441084E-2</v>
      </c>
      <c r="F126" s="15">
        <v>5.901055627441084E-2</v>
      </c>
      <c r="G126" s="15">
        <v>4.3710556274410839E-2</v>
      </c>
      <c r="H126" s="15">
        <v>3.7510556274410842E-2</v>
      </c>
      <c r="I126" s="15">
        <v>5.7510556274410839E-2</v>
      </c>
      <c r="J126" s="15">
        <v>5.3610556274410838E-2</v>
      </c>
      <c r="K126" s="15">
        <v>6.6810556274410848E-2</v>
      </c>
      <c r="L126" s="15">
        <v>4.131055627441084E-2</v>
      </c>
      <c r="M126" s="15">
        <v>4.4910556274410839E-2</v>
      </c>
      <c r="N126" s="15">
        <v>3.8510556274410843E-2</v>
      </c>
      <c r="O126" s="15">
        <v>5.8210556274410838E-2</v>
      </c>
      <c r="P126" s="15">
        <v>5.151055627441084E-2</v>
      </c>
      <c r="Q126" s="15">
        <v>5.271055627441084E-2</v>
      </c>
      <c r="R126" s="15">
        <v>6.5510556274410839E-2</v>
      </c>
      <c r="S126" s="15">
        <v>6.3010556274410837E-2</v>
      </c>
      <c r="T126" s="15">
        <v>6.4710556274410844E-2</v>
      </c>
      <c r="U126" s="15">
        <v>6.1110556274410838E-2</v>
      </c>
      <c r="V126" s="15">
        <v>3.7510556274410842E-2</v>
      </c>
      <c r="W126" s="15">
        <v>6.9310556274410837E-2</v>
      </c>
      <c r="X126" s="15">
        <v>4.3810556274410842E-2</v>
      </c>
      <c r="Y126" s="15">
        <v>5.7510556274410839E-2</v>
      </c>
      <c r="Z126" s="15">
        <v>4.8210556274410843E-2</v>
      </c>
      <c r="AA126" s="15">
        <v>4.4410556274410845E-2</v>
      </c>
      <c r="AB126" s="15">
        <v>6.1810556274410844E-2</v>
      </c>
      <c r="AC126" s="15">
        <v>6.2610556274410839E-2</v>
      </c>
      <c r="AD126" s="15">
        <v>4.0810556274410839E-2</v>
      </c>
      <c r="AE126" s="15">
        <v>5.3810556274410844E-2</v>
      </c>
      <c r="AF126" s="15">
        <v>5.8010556274410839E-2</v>
      </c>
      <c r="AG126" s="15">
        <v>5.1310556274410841E-2</v>
      </c>
      <c r="AH126" s="15">
        <v>5.391055627441084E-2</v>
      </c>
      <c r="AI126" s="15">
        <v>4.181055627441084E-2</v>
      </c>
      <c r="AJ126" s="15">
        <v>6.2510556274410836E-2</v>
      </c>
      <c r="AK126" s="15">
        <v>6.5310556274410847E-2</v>
      </c>
    </row>
    <row r="127" spans="2:73" x14ac:dyDescent="0.35">
      <c r="C127" s="37" t="s">
        <v>120</v>
      </c>
      <c r="D127" s="47">
        <v>0.2291998708054126</v>
      </c>
      <c r="E127" s="15">
        <v>0.21569987080541259</v>
      </c>
      <c r="F127" s="15">
        <v>0.2258998708054126</v>
      </c>
      <c r="G127" s="15">
        <v>0.23809987080541259</v>
      </c>
      <c r="H127" s="15">
        <v>0.2147998708054126</v>
      </c>
      <c r="I127" s="15">
        <v>0.2407998708054126</v>
      </c>
      <c r="J127" s="15">
        <v>0.23639987080541261</v>
      </c>
      <c r="K127" s="15">
        <v>0.2160998708054126</v>
      </c>
      <c r="L127" s="15">
        <v>0.2225998708054126</v>
      </c>
      <c r="M127" s="15">
        <v>0.2366998708054126</v>
      </c>
      <c r="N127" s="15">
        <v>0.24539987080541259</v>
      </c>
      <c r="O127" s="15">
        <v>0.2339998708054126</v>
      </c>
      <c r="P127" s="15">
        <v>0.23099987080541259</v>
      </c>
      <c r="Q127" s="15">
        <v>0.2286998708054126</v>
      </c>
      <c r="R127" s="15">
        <v>0.22529987080541261</v>
      </c>
      <c r="S127" s="15">
        <v>0.21749987080541261</v>
      </c>
      <c r="T127" s="15">
        <v>0.2278998708054126</v>
      </c>
      <c r="U127" s="15">
        <v>0.2200998708054126</v>
      </c>
      <c r="V127" s="15">
        <v>0.2150998708054126</v>
      </c>
      <c r="W127" s="15">
        <v>0.22829987080541259</v>
      </c>
      <c r="X127" s="15">
        <v>0.23459987080541259</v>
      </c>
      <c r="Y127" s="15">
        <v>0.23229987080541259</v>
      </c>
      <c r="Z127" s="15">
        <v>0.24539987080541259</v>
      </c>
      <c r="AA127" s="15">
        <v>0.24569987080541261</v>
      </c>
      <c r="AB127" s="15">
        <v>0.2235998708054126</v>
      </c>
      <c r="AC127" s="15">
        <v>0.2258998708054126</v>
      </c>
      <c r="AD127" s="15">
        <v>0.21819987080541259</v>
      </c>
      <c r="AE127" s="15">
        <v>0.24439987080541259</v>
      </c>
      <c r="AF127" s="15">
        <v>0.23839987080541258</v>
      </c>
      <c r="AG127" s="15">
        <v>0.23529987080541259</v>
      </c>
      <c r="AH127" s="15">
        <v>0.2228998708054126</v>
      </c>
      <c r="AI127" s="15">
        <v>0.23009987080541261</v>
      </c>
      <c r="AJ127" s="15">
        <v>0.2276998708054126</v>
      </c>
      <c r="AK127" s="15">
        <v>0.22379987080541261</v>
      </c>
    </row>
    <row r="128" spans="2:73" x14ac:dyDescent="0.35">
      <c r="C128" s="37" t="s">
        <v>121</v>
      </c>
      <c r="D128" s="47">
        <v>5.1866343414365662E-2</v>
      </c>
      <c r="E128" s="15">
        <v>5.3666343414365665E-2</v>
      </c>
      <c r="F128" s="15">
        <v>4.6666343414365666E-2</v>
      </c>
      <c r="G128" s="15">
        <v>5.1466343414365665E-2</v>
      </c>
      <c r="H128" s="15">
        <v>3.6366343414365662E-2</v>
      </c>
      <c r="I128" s="15">
        <v>4.1966343414365663E-2</v>
      </c>
      <c r="J128" s="15">
        <v>4.2166343414365662E-2</v>
      </c>
      <c r="K128" s="15">
        <v>6.0466343414365659E-2</v>
      </c>
      <c r="L128" s="15">
        <v>5.736634341436566E-2</v>
      </c>
      <c r="M128" s="15">
        <v>5.0866343414365661E-2</v>
      </c>
      <c r="N128" s="15">
        <v>6.7366343414365662E-2</v>
      </c>
      <c r="O128" s="15">
        <v>4.986634341436566E-2</v>
      </c>
      <c r="P128" s="15">
        <v>6.6166343414365669E-2</v>
      </c>
      <c r="Q128" s="15">
        <v>3.7866343414365664E-2</v>
      </c>
      <c r="R128" s="15">
        <v>5.3766343414365661E-2</v>
      </c>
      <c r="S128" s="15">
        <v>3.6566343414365661E-2</v>
      </c>
      <c r="T128" s="15">
        <v>4.6866343414365665E-2</v>
      </c>
      <c r="U128" s="15">
        <v>6.6366343414365661E-2</v>
      </c>
      <c r="V128" s="15">
        <v>3.9266343414365662E-2</v>
      </c>
      <c r="W128" s="15">
        <v>6.776634341436566E-2</v>
      </c>
      <c r="X128" s="15">
        <v>6.076634341436566E-2</v>
      </c>
      <c r="Y128" s="15">
        <v>6.5166343414365668E-2</v>
      </c>
      <c r="Z128" s="15">
        <v>4.526634341436566E-2</v>
      </c>
      <c r="AA128" s="15">
        <v>4.8866343414365659E-2</v>
      </c>
      <c r="AB128" s="15">
        <v>4.0366343414365666E-2</v>
      </c>
      <c r="AC128" s="15">
        <v>4.186634341436566E-2</v>
      </c>
      <c r="AD128" s="15">
        <v>5.1666343414365663E-2</v>
      </c>
      <c r="AE128" s="15">
        <v>6.3666343414365667E-2</v>
      </c>
      <c r="AF128" s="15">
        <v>6.2766343414365655E-2</v>
      </c>
      <c r="AG128" s="15">
        <v>5.6666343414365661E-2</v>
      </c>
      <c r="AH128" s="15">
        <v>6.8166343414365657E-2</v>
      </c>
      <c r="AI128" s="15">
        <v>5.5066343414365664E-2</v>
      </c>
      <c r="AJ128" s="15">
        <v>4.4666343414365664E-2</v>
      </c>
      <c r="AK128" s="15">
        <v>5.6766343414365664E-2</v>
      </c>
    </row>
    <row r="129" spans="3:37" x14ac:dyDescent="0.35">
      <c r="C129" s="37" t="s">
        <v>122</v>
      </c>
      <c r="D129" s="47">
        <v>0.1929894989522877</v>
      </c>
      <c r="E129" s="15">
        <v>0.19238949895228771</v>
      </c>
      <c r="F129" s="15">
        <v>0.17768949895228769</v>
      </c>
      <c r="G129" s="15">
        <v>0.20478949895228771</v>
      </c>
      <c r="H129" s="15">
        <v>0.2060894989522877</v>
      </c>
      <c r="I129" s="15">
        <v>0.17928949895228771</v>
      </c>
      <c r="J129" s="15">
        <v>0.20288949895228769</v>
      </c>
      <c r="K129" s="15">
        <v>0.20238949895228769</v>
      </c>
      <c r="L129" s="15">
        <v>0.1803894989522877</v>
      </c>
      <c r="M129" s="15">
        <v>0.18388949895228771</v>
      </c>
      <c r="N129" s="15">
        <v>0.1841894989522877</v>
      </c>
      <c r="O129" s="15">
        <v>0.19118949895228771</v>
      </c>
      <c r="P129" s="15">
        <v>0.1995894989522877</v>
      </c>
      <c r="Q129" s="15">
        <v>0.2010894989522877</v>
      </c>
      <c r="R129" s="15">
        <v>0.17718949895228769</v>
      </c>
      <c r="S129" s="15">
        <v>0.18958949895228772</v>
      </c>
      <c r="T129" s="15">
        <v>0.18938949895228771</v>
      </c>
      <c r="U129" s="15">
        <v>0.20188949895228769</v>
      </c>
      <c r="V129" s="15">
        <v>0.1939894989522877</v>
      </c>
      <c r="W129" s="15">
        <v>0.20898949895228769</v>
      </c>
      <c r="X129" s="15">
        <v>0.19158949895228769</v>
      </c>
      <c r="Y129" s="15">
        <v>0.19338949895228771</v>
      </c>
      <c r="Z129" s="15">
        <v>0.18608949895228771</v>
      </c>
      <c r="AA129" s="15">
        <v>0.19558949895228769</v>
      </c>
      <c r="AB129" s="15">
        <v>0.1904894989522877</v>
      </c>
      <c r="AC129" s="15">
        <v>0.17778949895228771</v>
      </c>
      <c r="AD129" s="15">
        <v>0.19108949895228769</v>
      </c>
      <c r="AE129" s="15">
        <v>0.19318949895228771</v>
      </c>
      <c r="AF129" s="15">
        <v>0.18708949895228771</v>
      </c>
      <c r="AG129" s="15">
        <v>0.18358949895228771</v>
      </c>
      <c r="AH129" s="15">
        <v>0.1871894989522877</v>
      </c>
      <c r="AI129" s="15">
        <v>0.1985894989522877</v>
      </c>
      <c r="AJ129" s="15">
        <v>0.1912894989522877</v>
      </c>
      <c r="AK129" s="15">
        <v>0.1919894989522877</v>
      </c>
    </row>
    <row r="130" spans="3:37" x14ac:dyDescent="0.35">
      <c r="C130" s="37" t="s">
        <v>123</v>
      </c>
      <c r="D130" s="47">
        <v>6.5035020106904484E-2</v>
      </c>
      <c r="E130" s="15">
        <v>7.8035020106904482E-2</v>
      </c>
      <c r="F130" s="15">
        <v>7.0535020106904489E-2</v>
      </c>
      <c r="G130" s="15">
        <v>6.2335020106904483E-2</v>
      </c>
      <c r="H130" s="15">
        <v>7.0335020106904483E-2</v>
      </c>
      <c r="I130" s="15">
        <v>4.9035020106904484E-2</v>
      </c>
      <c r="J130" s="15">
        <v>7.7235020106904487E-2</v>
      </c>
      <c r="K130" s="15">
        <v>6.1035020106904481E-2</v>
      </c>
      <c r="L130" s="15">
        <v>8.1335020106904479E-2</v>
      </c>
      <c r="M130" s="15">
        <v>5.2735020106904486E-2</v>
      </c>
      <c r="N130" s="15">
        <v>4.9235020106904483E-2</v>
      </c>
      <c r="O130" s="15">
        <v>6.1835020106904483E-2</v>
      </c>
      <c r="P130" s="15">
        <v>7.6435020106904478E-2</v>
      </c>
      <c r="Q130" s="15">
        <v>7.1635020106904479E-2</v>
      </c>
      <c r="R130" s="15">
        <v>5.1535020106904486E-2</v>
      </c>
      <c r="S130" s="15">
        <v>6.7335020106904481E-2</v>
      </c>
      <c r="T130" s="15">
        <v>8.0635020106904487E-2</v>
      </c>
      <c r="U130" s="15">
        <v>8.1335020106904479E-2</v>
      </c>
      <c r="V130" s="15">
        <v>6.7535020106904486E-2</v>
      </c>
      <c r="W130" s="15">
        <v>6.343502010690448E-2</v>
      </c>
      <c r="X130" s="15">
        <v>6.7535020106904486E-2</v>
      </c>
      <c r="Y130" s="15">
        <v>8.183502010690448E-2</v>
      </c>
      <c r="Z130" s="15">
        <v>5.1835020106904481E-2</v>
      </c>
      <c r="AA130" s="15">
        <v>7.0735020106904481E-2</v>
      </c>
      <c r="AB130" s="15">
        <v>6.6435020106904483E-2</v>
      </c>
      <c r="AC130" s="15">
        <v>7.6735020106904486E-2</v>
      </c>
      <c r="AD130" s="15">
        <v>7.6935020106904478E-2</v>
      </c>
      <c r="AE130" s="15">
        <v>6.7635020106904489E-2</v>
      </c>
      <c r="AF130" s="15">
        <v>7.1735020106904482E-2</v>
      </c>
      <c r="AG130" s="15">
        <v>5.763502010690448E-2</v>
      </c>
      <c r="AH130" s="15">
        <v>8.1935020106904483E-2</v>
      </c>
      <c r="AI130" s="15">
        <v>6.4435020106904481E-2</v>
      </c>
      <c r="AJ130" s="15">
        <v>7.3635020106904481E-2</v>
      </c>
      <c r="AK130" s="15">
        <v>7.7935020106904479E-2</v>
      </c>
    </row>
    <row r="131" spans="3:37" x14ac:dyDescent="0.35">
      <c r="C131" s="37" t="s">
        <v>124</v>
      </c>
      <c r="D131" s="47">
        <v>0.10332526531743377</v>
      </c>
      <c r="E131" s="15">
        <v>0.10752526531743377</v>
      </c>
      <c r="F131" s="15">
        <v>0.10972526531743378</v>
      </c>
      <c r="G131" s="15">
        <v>8.8925265317433777E-2</v>
      </c>
      <c r="H131" s="15">
        <v>8.8525265317433766E-2</v>
      </c>
      <c r="I131" s="15">
        <v>9.402526531743377E-2</v>
      </c>
      <c r="J131" s="15">
        <v>9.4325265317433779E-2</v>
      </c>
      <c r="K131" s="15">
        <v>0.11962526531743377</v>
      </c>
      <c r="L131" s="15">
        <v>0.10132526531743377</v>
      </c>
      <c r="M131" s="15">
        <v>0.10122526531743377</v>
      </c>
      <c r="N131" s="15">
        <v>9.9625265317433778E-2</v>
      </c>
      <c r="O131" s="15">
        <v>9.7525265317433774E-2</v>
      </c>
      <c r="P131" s="15">
        <v>0.11882526531743377</v>
      </c>
      <c r="Q131" s="15">
        <v>9.6225265317433778E-2</v>
      </c>
      <c r="R131" s="15">
        <v>8.9425265317433777E-2</v>
      </c>
      <c r="S131" s="15">
        <v>0.10452526531743378</v>
      </c>
      <c r="T131" s="15">
        <v>0.10302526531743378</v>
      </c>
      <c r="U131" s="15">
        <v>0.11382526531743377</v>
      </c>
      <c r="V131" s="15">
        <v>0.11862526531743377</v>
      </c>
      <c r="W131" s="15">
        <v>9.9125265317433778E-2</v>
      </c>
      <c r="X131" s="15">
        <v>0.11202526531743377</v>
      </c>
      <c r="Y131" s="15">
        <v>0.11732526531743377</v>
      </c>
      <c r="Z131" s="15">
        <v>9.822526531743378E-2</v>
      </c>
      <c r="AA131" s="15">
        <v>9.6825265317433767E-2</v>
      </c>
      <c r="AB131" s="15">
        <v>0.10352526531743378</v>
      </c>
      <c r="AC131" s="15">
        <v>0.10782526531743378</v>
      </c>
      <c r="AD131" s="15">
        <v>8.9825265317433775E-2</v>
      </c>
      <c r="AE131" s="15">
        <v>0.10282526531743377</v>
      </c>
      <c r="AF131" s="15">
        <v>9.9225265317433767E-2</v>
      </c>
      <c r="AG131" s="15">
        <v>0.10552526531743377</v>
      </c>
      <c r="AH131" s="15">
        <v>9.0825265317433776E-2</v>
      </c>
      <c r="AI131" s="15">
        <v>9.4425265317433768E-2</v>
      </c>
      <c r="AJ131" s="15">
        <v>9.3625265317433773E-2</v>
      </c>
      <c r="AK131" s="15">
        <v>0.10762526531743377</v>
      </c>
    </row>
    <row r="132" spans="3:37" x14ac:dyDescent="0.35">
      <c r="C132" s="41" t="s">
        <v>68</v>
      </c>
      <c r="D132" s="46">
        <v>0.17226104631856468</v>
      </c>
      <c r="E132" s="15">
        <v>0.17346104631856468</v>
      </c>
      <c r="F132" s="15">
        <v>0.16956104631856467</v>
      </c>
      <c r="G132" s="15">
        <v>0.18166104631856467</v>
      </c>
      <c r="H132" s="15">
        <v>0.16406104631856469</v>
      </c>
      <c r="I132" s="15">
        <v>0.1707610463185647</v>
      </c>
      <c r="J132" s="15">
        <v>0.1851610463185647</v>
      </c>
      <c r="K132" s="15">
        <v>0.1672610463185647</v>
      </c>
      <c r="L132" s="15">
        <v>0.16986104631856469</v>
      </c>
      <c r="M132" s="15">
        <v>0.18606104631856468</v>
      </c>
      <c r="N132" s="15">
        <v>0.16886104631856469</v>
      </c>
      <c r="O132" s="15">
        <v>0.1816610463185647</v>
      </c>
      <c r="P132" s="15">
        <v>0.1700610463185647</v>
      </c>
      <c r="Q132" s="15">
        <v>0.1760610463185647</v>
      </c>
      <c r="R132" s="15">
        <v>0.18506104631856468</v>
      </c>
      <c r="S132" s="15">
        <v>0.17106104631856467</v>
      </c>
      <c r="T132" s="15">
        <v>0.1778610463185647</v>
      </c>
      <c r="U132" s="15">
        <v>0.17626104631856471</v>
      </c>
      <c r="V132" s="15">
        <v>0.1609610463185647</v>
      </c>
      <c r="W132" s="15">
        <v>0.17396104631856468</v>
      </c>
      <c r="X132" s="15">
        <v>0.16536104631856469</v>
      </c>
      <c r="Y132" s="15">
        <v>0.1798610463185647</v>
      </c>
      <c r="Z132" s="15">
        <v>0.17166104631856469</v>
      </c>
      <c r="AA132" s="15">
        <v>0.15496104631856469</v>
      </c>
      <c r="AB132" s="15">
        <v>0.18276104631856468</v>
      </c>
      <c r="AC132" s="15">
        <v>0.15786104631856468</v>
      </c>
      <c r="AD132" s="15">
        <v>0.16236104631856471</v>
      </c>
      <c r="AE132" s="15">
        <v>0.1624610463185647</v>
      </c>
      <c r="AF132" s="15">
        <v>0.1838610463185647</v>
      </c>
      <c r="AG132" s="15">
        <v>0.1861610463185647</v>
      </c>
      <c r="AH132" s="15">
        <v>0.18676104631856469</v>
      </c>
      <c r="AI132" s="15">
        <v>0.16956104631856467</v>
      </c>
      <c r="AJ132" s="15">
        <v>0.16226104631856469</v>
      </c>
      <c r="AK132" s="15">
        <v>0.1788610463185647</v>
      </c>
    </row>
    <row r="133" spans="3:37" x14ac:dyDescent="0.35">
      <c r="C133" s="37" t="s">
        <v>69</v>
      </c>
      <c r="D133" s="47">
        <f>1-SUM(D134:D137)</f>
        <v>0.31824149003950497</v>
      </c>
      <c r="E133" s="47">
        <f t="shared" ref="E133:AK133" si="17">1-SUM(E134:E137)</f>
        <v>0.32424149003950486</v>
      </c>
      <c r="F133" s="47">
        <f t="shared" si="17"/>
        <v>0.31814149003950498</v>
      </c>
      <c r="G133" s="47">
        <f t="shared" si="17"/>
        <v>0.30774149003950491</v>
      </c>
      <c r="H133" s="47">
        <f t="shared" si="17"/>
        <v>0.2836414900395049</v>
      </c>
      <c r="I133" s="47">
        <f t="shared" si="17"/>
        <v>0.327041490039505</v>
      </c>
      <c r="J133" s="47">
        <f t="shared" si="17"/>
        <v>0.32214149003950487</v>
      </c>
      <c r="K133" s="47">
        <f t="shared" si="17"/>
        <v>0.28574149003950489</v>
      </c>
      <c r="L133" s="47">
        <f t="shared" si="17"/>
        <v>0.31114149003950486</v>
      </c>
      <c r="M133" s="47">
        <f t="shared" si="17"/>
        <v>0.34554149003950496</v>
      </c>
      <c r="N133" s="47">
        <f t="shared" si="17"/>
        <v>0.316941490039505</v>
      </c>
      <c r="O133" s="47">
        <f t="shared" si="17"/>
        <v>0.30874149003950491</v>
      </c>
      <c r="P133" s="47">
        <f t="shared" si="17"/>
        <v>0.3289414900395049</v>
      </c>
      <c r="Q133" s="47">
        <f t="shared" si="17"/>
        <v>0.31944149003950495</v>
      </c>
      <c r="R133" s="47">
        <f t="shared" si="17"/>
        <v>0.3027414900395049</v>
      </c>
      <c r="S133" s="47">
        <f t="shared" si="17"/>
        <v>0.3289414900395049</v>
      </c>
      <c r="T133" s="47">
        <f t="shared" si="17"/>
        <v>0.30454149003950493</v>
      </c>
      <c r="U133" s="47">
        <f t="shared" si="17"/>
        <v>0.31814149003950498</v>
      </c>
      <c r="V133" s="47">
        <f t="shared" si="17"/>
        <v>0.31204149003950499</v>
      </c>
      <c r="W133" s="47">
        <f t="shared" si="17"/>
        <v>0.31504149003950499</v>
      </c>
      <c r="X133" s="47">
        <f t="shared" si="17"/>
        <v>0.33544149003950485</v>
      </c>
      <c r="Y133" s="47">
        <f t="shared" si="17"/>
        <v>0.31844149003950495</v>
      </c>
      <c r="Z133" s="47">
        <f t="shared" si="17"/>
        <v>0.30894149003950488</v>
      </c>
      <c r="AA133" s="47">
        <f t="shared" si="17"/>
        <v>0.30864149003950492</v>
      </c>
      <c r="AB133" s="47">
        <f t="shared" si="17"/>
        <v>0.31304149003950488</v>
      </c>
      <c r="AC133" s="47">
        <f t="shared" si="17"/>
        <v>0.3249414900395049</v>
      </c>
      <c r="AD133" s="47">
        <f t="shared" si="17"/>
        <v>0.33164149003950494</v>
      </c>
      <c r="AE133" s="47">
        <f t="shared" si="17"/>
        <v>0.30314149003950497</v>
      </c>
      <c r="AF133" s="47">
        <f t="shared" si="17"/>
        <v>0.28894149003950498</v>
      </c>
      <c r="AG133" s="47">
        <f t="shared" si="17"/>
        <v>0.34774149003950494</v>
      </c>
      <c r="AH133" s="47">
        <f t="shared" si="17"/>
        <v>0.3098414900395049</v>
      </c>
      <c r="AI133" s="47">
        <f t="shared" si="17"/>
        <v>0.30314149003950497</v>
      </c>
      <c r="AJ133" s="47">
        <f t="shared" si="17"/>
        <v>0.28014149003950495</v>
      </c>
      <c r="AK133" s="47">
        <f t="shared" si="17"/>
        <v>0.31774149003950491</v>
      </c>
    </row>
    <row r="134" spans="3:37" x14ac:dyDescent="0.35">
      <c r="C134" s="37" t="s">
        <v>70</v>
      </c>
      <c r="D134" s="47">
        <v>8.1608E-2</v>
      </c>
      <c r="E134" s="15">
        <v>7.2408E-2</v>
      </c>
      <c r="F134" s="15">
        <v>7.6607999999999996E-2</v>
      </c>
      <c r="G134" s="15">
        <v>7.0207999999999993E-2</v>
      </c>
      <c r="H134" s="15">
        <v>9.1908000000000004E-2</v>
      </c>
      <c r="I134" s="15">
        <v>8.1308000000000005E-2</v>
      </c>
      <c r="J134" s="15">
        <v>9.3308000000000002E-2</v>
      </c>
      <c r="K134" s="15">
        <v>8.9207999999999996E-2</v>
      </c>
      <c r="L134" s="15">
        <v>9.2707999999999999E-2</v>
      </c>
      <c r="M134" s="15">
        <v>7.6008000000000006E-2</v>
      </c>
      <c r="N134" s="15">
        <v>8.5907999999999998E-2</v>
      </c>
      <c r="O134" s="15">
        <v>7.5608000000000009E-2</v>
      </c>
      <c r="P134" s="15">
        <v>9.2508000000000007E-2</v>
      </c>
      <c r="Q134" s="15">
        <v>7.3707999999999996E-2</v>
      </c>
      <c r="R134" s="15">
        <v>9.3007999999999993E-2</v>
      </c>
      <c r="S134" s="15">
        <v>7.3308000000000012E-2</v>
      </c>
      <c r="T134" s="15">
        <v>9.2607999999999996E-2</v>
      </c>
      <c r="U134" s="15">
        <v>7.1108000000000005E-2</v>
      </c>
      <c r="V134" s="15">
        <v>9.2008000000000006E-2</v>
      </c>
      <c r="W134" s="15">
        <v>8.6307999999999996E-2</v>
      </c>
      <c r="X134" s="15">
        <v>7.8908000000000006E-2</v>
      </c>
      <c r="Y134" s="15">
        <v>7.2307999999999997E-2</v>
      </c>
      <c r="Z134" s="15">
        <v>8.6608000000000004E-2</v>
      </c>
      <c r="AA134" s="15">
        <v>9.0808E-2</v>
      </c>
      <c r="AB134" s="15">
        <v>8.9607999999999993E-2</v>
      </c>
      <c r="AC134" s="15">
        <v>7.3707999999999996E-2</v>
      </c>
      <c r="AD134" s="15">
        <v>7.1008000000000002E-2</v>
      </c>
      <c r="AE134" s="15">
        <v>8.5608000000000004E-2</v>
      </c>
      <c r="AF134" s="15">
        <v>8.8307999999999998E-2</v>
      </c>
      <c r="AG134" s="15">
        <v>8.4807999999999995E-2</v>
      </c>
      <c r="AH134" s="15">
        <v>8.2308000000000006E-2</v>
      </c>
      <c r="AI134" s="15">
        <v>8.6307999999999996E-2</v>
      </c>
      <c r="AJ134" s="15">
        <v>8.9707999999999996E-2</v>
      </c>
      <c r="AK134" s="15">
        <v>8.3507999999999999E-2</v>
      </c>
    </row>
    <row r="135" spans="3:37" x14ac:dyDescent="0.35">
      <c r="C135" s="37" t="s">
        <v>71</v>
      </c>
      <c r="D135" s="47">
        <v>0.27722772277227725</v>
      </c>
      <c r="E135" s="15">
        <v>0.28582772277227725</v>
      </c>
      <c r="F135" s="15">
        <v>0.28112772277227727</v>
      </c>
      <c r="G135" s="15">
        <v>0.29432772277227726</v>
      </c>
      <c r="H135" s="15">
        <v>0.28732772277227725</v>
      </c>
      <c r="I135" s="15">
        <v>0.26172772277227724</v>
      </c>
      <c r="J135" s="15">
        <v>0.27132772277227724</v>
      </c>
      <c r="K135" s="15">
        <v>0.28042772277227723</v>
      </c>
      <c r="L135" s="15">
        <v>0.28392772277227724</v>
      </c>
      <c r="M135" s="15">
        <v>0.26252772277227726</v>
      </c>
      <c r="N135" s="15">
        <v>0.26772772277227724</v>
      </c>
      <c r="O135" s="15">
        <v>0.28372772277227726</v>
      </c>
      <c r="P135" s="15">
        <v>0.28152772277227728</v>
      </c>
      <c r="Q135" s="15">
        <v>0.29192772277227724</v>
      </c>
      <c r="R135" s="15">
        <v>0.27582772277227724</v>
      </c>
      <c r="S135" s="15">
        <v>0.28782772277227725</v>
      </c>
      <c r="T135" s="15">
        <v>0.28662772277227727</v>
      </c>
      <c r="U135" s="15">
        <v>0.27572772277227725</v>
      </c>
      <c r="V135" s="15">
        <v>0.28932772277227725</v>
      </c>
      <c r="W135" s="15">
        <v>0.27752772277227727</v>
      </c>
      <c r="X135" s="15">
        <v>0.27652772277227727</v>
      </c>
      <c r="Y135" s="15">
        <v>0.28212772277227727</v>
      </c>
      <c r="Z135" s="15">
        <v>0.28232772277227725</v>
      </c>
      <c r="AA135" s="15">
        <v>0.27652772277227727</v>
      </c>
      <c r="AB135" s="15">
        <v>0.26212772277227725</v>
      </c>
      <c r="AC135" s="15">
        <v>0.26672772277227724</v>
      </c>
      <c r="AD135" s="15">
        <v>0.27532772277227724</v>
      </c>
      <c r="AE135" s="15">
        <v>0.28482772277227725</v>
      </c>
      <c r="AF135" s="15">
        <v>0.27832772277227724</v>
      </c>
      <c r="AG135" s="15">
        <v>0.26382772277227723</v>
      </c>
      <c r="AH135" s="15">
        <v>0.28062772277227727</v>
      </c>
      <c r="AI135" s="15">
        <v>0.29332772277227726</v>
      </c>
      <c r="AJ135" s="15">
        <v>0.29342772277227724</v>
      </c>
      <c r="AK135" s="15">
        <v>0.26662772277227725</v>
      </c>
    </row>
    <row r="136" spans="3:37" x14ac:dyDescent="0.35">
      <c r="C136" s="37" t="s">
        <v>72</v>
      </c>
      <c r="D136" s="47">
        <v>0.21782178217821782</v>
      </c>
      <c r="E136" s="15">
        <v>0.21702178217821783</v>
      </c>
      <c r="F136" s="15">
        <v>0.21672178217821783</v>
      </c>
      <c r="G136" s="15">
        <v>0.21882178217821782</v>
      </c>
      <c r="H136" s="15">
        <v>0.22262178217821782</v>
      </c>
      <c r="I136" s="15">
        <v>0.22382178217821783</v>
      </c>
      <c r="J136" s="15">
        <v>0.21282178217821782</v>
      </c>
      <c r="K136" s="15">
        <v>0.23102178217821781</v>
      </c>
      <c r="L136" s="15">
        <v>0.21792178217821781</v>
      </c>
      <c r="M136" s="15">
        <v>0.20472178217821782</v>
      </c>
      <c r="N136" s="15">
        <v>0.22862178217821782</v>
      </c>
      <c r="O136" s="15">
        <v>0.21212178217821781</v>
      </c>
      <c r="P136" s="15">
        <v>0.20252178217821781</v>
      </c>
      <c r="Q136" s="15">
        <v>0.21102178217821782</v>
      </c>
      <c r="R136" s="15">
        <v>0.22712178217821782</v>
      </c>
      <c r="S136" s="15">
        <v>0.20742178217821783</v>
      </c>
      <c r="T136" s="15">
        <v>0.22482178217821783</v>
      </c>
      <c r="U136" s="15">
        <v>0.22092178217821781</v>
      </c>
      <c r="V136" s="15">
        <v>0.21362178217821781</v>
      </c>
      <c r="W136" s="15">
        <v>0.22612178217821782</v>
      </c>
      <c r="X136" s="15">
        <v>0.20412178217821783</v>
      </c>
      <c r="Y136" s="15">
        <v>0.22202178217821783</v>
      </c>
      <c r="Z136" s="15">
        <v>0.21962178217821782</v>
      </c>
      <c r="AA136" s="15">
        <v>0.20352178217821781</v>
      </c>
      <c r="AB136" s="15">
        <v>0.21452178217821782</v>
      </c>
      <c r="AC136" s="15">
        <v>0.22582178217821783</v>
      </c>
      <c r="AD136" s="15">
        <v>0.23192178217821782</v>
      </c>
      <c r="AE136" s="15">
        <v>0.21412178217821781</v>
      </c>
      <c r="AF136" s="15">
        <v>0.22712178217821782</v>
      </c>
      <c r="AG136" s="15">
        <v>0.20672178217821782</v>
      </c>
      <c r="AH136" s="15">
        <v>0.22232178217821782</v>
      </c>
      <c r="AI136" s="15">
        <v>0.20422178217821782</v>
      </c>
      <c r="AJ136" s="15">
        <v>0.21932178217821782</v>
      </c>
      <c r="AK136" s="15">
        <v>0.22522178217821781</v>
      </c>
    </row>
    <row r="137" spans="3:37" x14ac:dyDescent="0.35">
      <c r="C137" s="37" t="s">
        <v>73</v>
      </c>
      <c r="D137" s="47">
        <v>0.10510100501</v>
      </c>
      <c r="E137" s="15">
        <v>0.10050100501000001</v>
      </c>
      <c r="F137" s="15">
        <v>0.10740100500999999</v>
      </c>
      <c r="G137" s="15">
        <v>0.10890100501</v>
      </c>
      <c r="H137" s="15">
        <v>0.11450100501</v>
      </c>
      <c r="I137" s="15">
        <v>0.10610100501</v>
      </c>
      <c r="J137" s="15">
        <v>0.10040100501</v>
      </c>
      <c r="K137" s="15">
        <v>0.11360100501000001</v>
      </c>
      <c r="L137" s="15">
        <v>9.4301005009999994E-2</v>
      </c>
      <c r="M137" s="15">
        <v>0.11120100500999999</v>
      </c>
      <c r="N137" s="15">
        <v>0.10080100501</v>
      </c>
      <c r="O137" s="15">
        <v>0.11980100501</v>
      </c>
      <c r="P137" s="15">
        <v>9.450100501E-2</v>
      </c>
      <c r="Q137" s="15">
        <v>0.10390100500999999</v>
      </c>
      <c r="R137" s="15">
        <v>0.10130100501</v>
      </c>
      <c r="S137" s="15">
        <v>0.10250100500999999</v>
      </c>
      <c r="T137" s="15">
        <v>9.1401005009999994E-2</v>
      </c>
      <c r="U137" s="15">
        <v>0.11410100500999999</v>
      </c>
      <c r="V137" s="15">
        <v>9.3001005009999999E-2</v>
      </c>
      <c r="W137" s="15">
        <v>9.500100501E-2</v>
      </c>
      <c r="X137" s="15">
        <v>0.10500100501</v>
      </c>
      <c r="Y137" s="15">
        <v>0.10510100501</v>
      </c>
      <c r="Z137" s="15">
        <v>0.10250100500999999</v>
      </c>
      <c r="AA137" s="15">
        <v>0.12050100501</v>
      </c>
      <c r="AB137" s="15">
        <v>0.12070100501</v>
      </c>
      <c r="AC137" s="15">
        <v>0.10880100500999999</v>
      </c>
      <c r="AD137" s="15">
        <v>9.0101005009999999E-2</v>
      </c>
      <c r="AE137" s="15">
        <v>0.11230100501</v>
      </c>
      <c r="AF137" s="15">
        <v>0.11730100501</v>
      </c>
      <c r="AG137" s="15">
        <v>9.6901005009999999E-2</v>
      </c>
      <c r="AH137" s="15">
        <v>0.10490100500999999</v>
      </c>
      <c r="AI137" s="15">
        <v>0.11300100501</v>
      </c>
      <c r="AJ137" s="15">
        <v>0.11740100501</v>
      </c>
      <c r="AK137" s="15">
        <v>0.10690100500999999</v>
      </c>
    </row>
    <row r="138" spans="3:37" x14ac:dyDescent="0.35">
      <c r="C138" s="41" t="s">
        <v>76</v>
      </c>
      <c r="D138" s="46">
        <v>0.32572284095566767</v>
      </c>
      <c r="E138" s="15">
        <v>0.31545272388748796</v>
      </c>
      <c r="F138" s="15">
        <v>0.31007313875653658</v>
      </c>
      <c r="G138" s="15">
        <v>0.34601854849516583</v>
      </c>
      <c r="H138" s="15">
        <v>0.34125027985636797</v>
      </c>
      <c r="I138" s="15">
        <v>0.31753119996080986</v>
      </c>
      <c r="J138" s="15">
        <v>0.3346480617411095</v>
      </c>
      <c r="K138" s="15">
        <v>0.3246224712697911</v>
      </c>
      <c r="L138" s="15">
        <v>0.33159147928034177</v>
      </c>
      <c r="M138" s="15">
        <v>0.32474473456822189</v>
      </c>
      <c r="N138" s="15">
        <v>0.30457129032715441</v>
      </c>
      <c r="O138" s="15">
        <v>0.31007313875653658</v>
      </c>
      <c r="P138" s="15">
        <v>0.32975752980388112</v>
      </c>
      <c r="Q138" s="15">
        <v>0.33880501388775375</v>
      </c>
      <c r="R138" s="15">
        <v>0.33635974791913953</v>
      </c>
      <c r="S138" s="15">
        <v>0.31912062284040932</v>
      </c>
      <c r="T138" s="15">
        <v>0.3243779446729298</v>
      </c>
      <c r="U138" s="15">
        <v>0.30481581692401583</v>
      </c>
      <c r="V138" s="15">
        <v>0.30689429299733789</v>
      </c>
      <c r="W138" s="15">
        <v>0.31312972121730431</v>
      </c>
      <c r="X138" s="15">
        <v>0.30750560948949168</v>
      </c>
      <c r="Y138" s="15">
        <v>0.32792358032742047</v>
      </c>
      <c r="Z138" s="15">
        <v>0.33330316545837163</v>
      </c>
      <c r="AA138" s="15">
        <v>0.3220549420027462</v>
      </c>
      <c r="AB138" s="15">
        <v>0.33868275058932307</v>
      </c>
      <c r="AC138" s="15">
        <v>0.31374103770945788</v>
      </c>
      <c r="AD138" s="15">
        <v>0.30065886477737164</v>
      </c>
      <c r="AE138" s="15">
        <v>0.31679762017022567</v>
      </c>
      <c r="AF138" s="15">
        <v>0.34076122666264519</v>
      </c>
      <c r="AG138" s="15">
        <v>0.3083614525785065</v>
      </c>
      <c r="AH138" s="15">
        <v>0.31679762017022567</v>
      </c>
      <c r="AI138" s="15">
        <v>0.30713881959419936</v>
      </c>
      <c r="AJ138" s="15">
        <v>0.32144362551059269</v>
      </c>
      <c r="AK138" s="15">
        <v>0.33953859367833822</v>
      </c>
    </row>
    <row r="139" spans="3:37" x14ac:dyDescent="0.35">
      <c r="C139" s="37" t="s">
        <v>74</v>
      </c>
      <c r="D139" s="15">
        <v>0.57425742574257421</v>
      </c>
      <c r="E139" s="15">
        <v>0.56085742574257424</v>
      </c>
      <c r="F139" s="15">
        <v>0.58995742574257426</v>
      </c>
      <c r="G139" s="15">
        <v>0.57145742574257419</v>
      </c>
      <c r="H139" s="15">
        <v>0.58395742574257425</v>
      </c>
      <c r="I139" s="15">
        <v>0.58865742574257418</v>
      </c>
      <c r="J139" s="15">
        <v>0.56355742574257417</v>
      </c>
      <c r="K139" s="15">
        <v>0.5723574257425742</v>
      </c>
      <c r="L139" s="15">
        <v>0.57095742574257424</v>
      </c>
      <c r="M139" s="15">
        <v>0.58505742574257424</v>
      </c>
      <c r="N139" s="15">
        <v>0.59065742574257418</v>
      </c>
      <c r="O139" s="15">
        <v>0.56085742574257424</v>
      </c>
      <c r="P139" s="15">
        <v>0.58635742574257421</v>
      </c>
      <c r="Q139" s="15">
        <v>0.58435742574257421</v>
      </c>
      <c r="R139" s="15">
        <v>0.57815742574257423</v>
      </c>
      <c r="S139" s="15">
        <v>0.58705742574257425</v>
      </c>
      <c r="T139" s="15">
        <v>0.57845742574257419</v>
      </c>
      <c r="U139" s="15">
        <v>0.5713574257425742</v>
      </c>
      <c r="V139" s="15">
        <v>0.5753574257425742</v>
      </c>
      <c r="W139" s="15">
        <v>0.57485742574257426</v>
      </c>
      <c r="X139" s="15">
        <v>0.58185742574257426</v>
      </c>
      <c r="Y139" s="15">
        <v>0.56305742574257422</v>
      </c>
      <c r="Z139" s="15">
        <v>0.55955742574257417</v>
      </c>
      <c r="AA139" s="15">
        <v>0.58815742574257424</v>
      </c>
      <c r="AB139" s="15">
        <v>0.56915742574257422</v>
      </c>
      <c r="AC139" s="15">
        <v>0.57325742574257421</v>
      </c>
      <c r="AD139" s="15">
        <v>0.57455742574257418</v>
      </c>
      <c r="AE139" s="15">
        <v>0.58365742574257418</v>
      </c>
      <c r="AF139" s="15">
        <v>0.55865742574257427</v>
      </c>
      <c r="AG139" s="15">
        <v>0.5622574257425742</v>
      </c>
      <c r="AH139" s="15">
        <v>0.5894574257425742</v>
      </c>
      <c r="AI139" s="15">
        <v>0.56345742574257418</v>
      </c>
      <c r="AJ139" s="15">
        <v>0.56705742574257423</v>
      </c>
      <c r="AK139" s="15">
        <v>0.5783574257425742</v>
      </c>
    </row>
    <row r="140" spans="3:37" x14ac:dyDescent="0.35">
      <c r="C140" s="37" t="s">
        <v>75</v>
      </c>
      <c r="D140" s="15">
        <f t="shared" ref="D140:AK140" si="18">1-D139</f>
        <v>0.42574257425742579</v>
      </c>
      <c r="E140" s="15">
        <f t="shared" si="18"/>
        <v>0.43914257425742576</v>
      </c>
      <c r="F140" s="15">
        <f t="shared" si="18"/>
        <v>0.41004257425742574</v>
      </c>
      <c r="G140" s="15">
        <f t="shared" si="18"/>
        <v>0.42854257425742581</v>
      </c>
      <c r="H140" s="15">
        <f t="shared" si="18"/>
        <v>0.41604257425742575</v>
      </c>
      <c r="I140" s="15">
        <f t="shared" si="18"/>
        <v>0.41134257425742582</v>
      </c>
      <c r="J140" s="15">
        <f t="shared" si="18"/>
        <v>0.43644257425742583</v>
      </c>
      <c r="K140" s="15">
        <f t="shared" si="18"/>
        <v>0.4276425742574258</v>
      </c>
      <c r="L140" s="15">
        <f t="shared" si="18"/>
        <v>0.42904257425742576</v>
      </c>
      <c r="M140" s="15">
        <f t="shared" si="18"/>
        <v>0.41494257425742576</v>
      </c>
      <c r="N140" s="15">
        <f t="shared" si="18"/>
        <v>0.40934257425742582</v>
      </c>
      <c r="O140" s="15">
        <f t="shared" si="18"/>
        <v>0.43914257425742576</v>
      </c>
      <c r="P140" s="15">
        <f t="shared" si="18"/>
        <v>0.41364257425742579</v>
      </c>
      <c r="Q140" s="15">
        <f t="shared" si="18"/>
        <v>0.41564257425742579</v>
      </c>
      <c r="R140" s="15">
        <f t="shared" si="18"/>
        <v>0.42184257425742577</v>
      </c>
      <c r="S140" s="15">
        <f t="shared" si="18"/>
        <v>0.41294257425742575</v>
      </c>
      <c r="T140" s="15">
        <f t="shared" si="18"/>
        <v>0.42154257425742581</v>
      </c>
      <c r="U140" s="15">
        <f t="shared" si="18"/>
        <v>0.4286425742574258</v>
      </c>
      <c r="V140" s="15">
        <f t="shared" si="18"/>
        <v>0.4246425742574258</v>
      </c>
      <c r="W140" s="15">
        <f t="shared" si="18"/>
        <v>0.42514257425742574</v>
      </c>
      <c r="X140" s="15">
        <f t="shared" si="18"/>
        <v>0.41814257425742574</v>
      </c>
      <c r="Y140" s="15">
        <f t="shared" si="18"/>
        <v>0.43694257425742578</v>
      </c>
      <c r="Z140" s="15">
        <f t="shared" si="18"/>
        <v>0.44044257425742583</v>
      </c>
      <c r="AA140" s="15">
        <f t="shared" si="18"/>
        <v>0.41184257425742576</v>
      </c>
      <c r="AB140" s="15">
        <f t="shared" si="18"/>
        <v>0.43084257425742578</v>
      </c>
      <c r="AC140" s="15">
        <f t="shared" si="18"/>
        <v>0.42674257425742579</v>
      </c>
      <c r="AD140" s="15">
        <f t="shared" si="18"/>
        <v>0.42544257425742582</v>
      </c>
      <c r="AE140" s="15">
        <f t="shared" si="18"/>
        <v>0.41634257425742582</v>
      </c>
      <c r="AF140" s="15">
        <f t="shared" si="18"/>
        <v>0.44134257425742573</v>
      </c>
      <c r="AG140" s="15">
        <f t="shared" si="18"/>
        <v>0.4377425742574258</v>
      </c>
      <c r="AH140" s="15">
        <f t="shared" si="18"/>
        <v>0.4105425742574258</v>
      </c>
      <c r="AI140" s="15">
        <f t="shared" si="18"/>
        <v>0.43654257425742582</v>
      </c>
      <c r="AJ140" s="15">
        <f t="shared" si="18"/>
        <v>0.43294257425742577</v>
      </c>
      <c r="AK140" s="15">
        <f t="shared" si="18"/>
        <v>0.4216425742574258</v>
      </c>
    </row>
    <row r="141" spans="3:37" x14ac:dyDescent="0.35">
      <c r="C141" s="4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13"/>
      <c r="AA141" s="2"/>
      <c r="AB141" s="2"/>
      <c r="AC141" s="2"/>
      <c r="AD141" s="2"/>
      <c r="AE141" s="2"/>
      <c r="AF141" s="2"/>
      <c r="AG141" s="12"/>
      <c r="AH141" s="2"/>
      <c r="AI141" s="2"/>
      <c r="AJ141" s="2"/>
      <c r="AK141" s="2"/>
    </row>
    <row r="142" spans="3:37" x14ac:dyDescent="0.35">
      <c r="C142" s="7" t="s">
        <v>50</v>
      </c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13"/>
      <c r="AA142" s="2"/>
      <c r="AB142" s="2"/>
      <c r="AC142" s="2"/>
      <c r="AD142" s="2"/>
      <c r="AE142" s="2"/>
      <c r="AF142" s="2"/>
      <c r="AG142" s="12"/>
      <c r="AH142" s="2"/>
      <c r="AI142" s="2"/>
      <c r="AJ142" s="2"/>
      <c r="AK142" s="2"/>
    </row>
    <row r="143" spans="3:37" x14ac:dyDescent="0.35">
      <c r="C143" s="42" t="s">
        <v>84</v>
      </c>
      <c r="D143" s="15">
        <f>D170</f>
        <v>0.86763319870163769</v>
      </c>
      <c r="E143" s="15">
        <f t="shared" ref="E143:AK143" si="19">E170</f>
        <v>0.88113319870163764</v>
      </c>
      <c r="F143" s="15">
        <f t="shared" si="19"/>
        <v>0.87273319870163768</v>
      </c>
      <c r="G143" s="15">
        <f t="shared" si="19"/>
        <v>0.87643319870163772</v>
      </c>
      <c r="H143" s="15">
        <f t="shared" si="19"/>
        <v>0.85173319870163766</v>
      </c>
      <c r="I143" s="15">
        <f t="shared" si="19"/>
        <v>0.88033319870163773</v>
      </c>
      <c r="J143" s="15">
        <f t="shared" si="19"/>
        <v>0.86713319870163774</v>
      </c>
      <c r="K143" s="15">
        <f t="shared" si="19"/>
        <v>0.85233319870163771</v>
      </c>
      <c r="L143" s="15">
        <f t="shared" si="19"/>
        <v>0.87513319870163775</v>
      </c>
      <c r="M143" s="15">
        <f t="shared" si="19"/>
        <v>0.88213319870163764</v>
      </c>
      <c r="N143" s="15">
        <f t="shared" si="19"/>
        <v>0.8786331987016377</v>
      </c>
      <c r="O143" s="15">
        <f t="shared" si="19"/>
        <v>0.85963319870163768</v>
      </c>
      <c r="P143" s="15">
        <f t="shared" si="19"/>
        <v>0.87203319870163765</v>
      </c>
      <c r="Q143" s="15">
        <f t="shared" si="19"/>
        <v>0.85803319870163763</v>
      </c>
      <c r="R143" s="15">
        <f t="shared" si="19"/>
        <v>0.86473319870163767</v>
      </c>
      <c r="S143" s="15">
        <f t="shared" si="19"/>
        <v>0.85663319870163768</v>
      </c>
      <c r="T143" s="15">
        <f t="shared" si="19"/>
        <v>0.87393319870163766</v>
      </c>
      <c r="U143" s="15">
        <f t="shared" si="19"/>
        <v>0.8655331987016377</v>
      </c>
      <c r="V143" s="15">
        <f t="shared" si="19"/>
        <v>0.85193319870163764</v>
      </c>
      <c r="W143" s="15">
        <f t="shared" si="19"/>
        <v>0.87093319870163766</v>
      </c>
      <c r="X143" s="15">
        <f t="shared" si="19"/>
        <v>0.87923319870163774</v>
      </c>
      <c r="Y143" s="15">
        <f t="shared" si="19"/>
        <v>0.85113319870163773</v>
      </c>
      <c r="Z143" s="15">
        <f t="shared" si="19"/>
        <v>0.85303319870163774</v>
      </c>
      <c r="AA143" s="15">
        <f t="shared" si="19"/>
        <v>0.8695331987016377</v>
      </c>
      <c r="AB143" s="15">
        <f t="shared" si="19"/>
        <v>0.88103319870163765</v>
      </c>
      <c r="AC143" s="15">
        <f t="shared" si="19"/>
        <v>0.87803319870163765</v>
      </c>
      <c r="AD143" s="15">
        <f t="shared" si="19"/>
        <v>0.85773319870163767</v>
      </c>
      <c r="AE143" s="15">
        <f t="shared" si="19"/>
        <v>0.86373319870163767</v>
      </c>
      <c r="AF143" s="15">
        <f t="shared" si="19"/>
        <v>0.8665331987016377</v>
      </c>
      <c r="AG143" s="15">
        <f t="shared" si="19"/>
        <v>0.86003319870163764</v>
      </c>
      <c r="AH143" s="15">
        <f t="shared" si="19"/>
        <v>0.87993319870163766</v>
      </c>
      <c r="AI143" s="15">
        <f t="shared" si="19"/>
        <v>0.85553319870163769</v>
      </c>
      <c r="AJ143" s="15">
        <f t="shared" si="19"/>
        <v>0.86803319870163764</v>
      </c>
      <c r="AK143" s="15">
        <f t="shared" si="19"/>
        <v>0.87743319870163772</v>
      </c>
    </row>
    <row r="144" spans="3:37" x14ac:dyDescent="0.35">
      <c r="C144" s="37" t="s">
        <v>77</v>
      </c>
      <c r="D144" s="15">
        <v>0.37799855146286337</v>
      </c>
      <c r="E144" s="15">
        <v>0.36609855146286335</v>
      </c>
      <c r="F144" s="15">
        <v>0.36199855146286336</v>
      </c>
      <c r="G144" s="15">
        <v>0.38649855146286338</v>
      </c>
      <c r="H144" s="15">
        <v>0.36679855146286339</v>
      </c>
      <c r="I144" s="15">
        <v>0.37899855146286338</v>
      </c>
      <c r="J144" s="15">
        <v>0.38259855146286337</v>
      </c>
      <c r="K144" s="15">
        <v>0.36959855146286336</v>
      </c>
      <c r="L144" s="15">
        <v>0.39509855146286338</v>
      </c>
      <c r="M144" s="15">
        <v>0.39329855146286335</v>
      </c>
      <c r="N144" s="15">
        <v>0.37209855146286336</v>
      </c>
      <c r="O144" s="15">
        <v>0.37969855146286335</v>
      </c>
      <c r="P144" s="15">
        <v>0.38099855146286338</v>
      </c>
      <c r="Q144" s="15">
        <v>0.36589855146286338</v>
      </c>
      <c r="R144" s="15">
        <v>0.37049855146286337</v>
      </c>
      <c r="S144" s="15">
        <v>0.37189855146286338</v>
      </c>
      <c r="T144" s="15">
        <v>0.36239855146286337</v>
      </c>
      <c r="U144" s="15">
        <v>0.38409855146286337</v>
      </c>
      <c r="V144" s="15">
        <v>0.37239855146286338</v>
      </c>
      <c r="W144" s="15">
        <v>0.36289855146286337</v>
      </c>
      <c r="X144" s="15">
        <v>0.37399855146286337</v>
      </c>
      <c r="Y144" s="15">
        <v>0.37499855146286337</v>
      </c>
      <c r="Z144" s="15">
        <v>0.38049855146286338</v>
      </c>
      <c r="AA144" s="15">
        <v>0.37649855146286337</v>
      </c>
      <c r="AB144" s="15">
        <v>0.3676985514628634</v>
      </c>
      <c r="AC144" s="15">
        <v>0.38049855146286338</v>
      </c>
      <c r="AD144" s="15">
        <v>0.36809855146286335</v>
      </c>
      <c r="AE144" s="15">
        <v>0.3701985514628634</v>
      </c>
      <c r="AF144" s="15">
        <v>0.3641985514628634</v>
      </c>
      <c r="AG144" s="15">
        <v>0.39009855146286337</v>
      </c>
      <c r="AH144" s="15">
        <v>0.37399855146286337</v>
      </c>
      <c r="AI144" s="15">
        <v>0.38859855146286337</v>
      </c>
      <c r="AJ144" s="15">
        <v>0.37639855146286338</v>
      </c>
      <c r="AK144" s="15">
        <v>0.39249855146286339</v>
      </c>
    </row>
    <row r="145" spans="3:37" x14ac:dyDescent="0.35">
      <c r="C145" s="37" t="s">
        <v>78</v>
      </c>
      <c r="D145" s="15">
        <v>0.44083481901244792</v>
      </c>
      <c r="E145" s="15">
        <v>0.44323481901244793</v>
      </c>
      <c r="F145" s="15">
        <v>0.4465348190124479</v>
      </c>
      <c r="G145" s="15">
        <v>0.42473481901244792</v>
      </c>
      <c r="H145" s="15">
        <v>0.43403481901244795</v>
      </c>
      <c r="I145" s="15">
        <v>0.4480348190124479</v>
      </c>
      <c r="J145" s="15">
        <v>0.4254348190124479</v>
      </c>
      <c r="K145" s="15">
        <v>0.4294348190124479</v>
      </c>
      <c r="L145" s="15">
        <v>0.44533481901244792</v>
      </c>
      <c r="M145" s="15">
        <v>0.43563481901244794</v>
      </c>
      <c r="N145" s="15">
        <v>0.43693481901244791</v>
      </c>
      <c r="O145" s="15">
        <v>0.44813481901244789</v>
      </c>
      <c r="P145" s="15">
        <v>0.43643481901244791</v>
      </c>
      <c r="Q145" s="15">
        <v>0.4269348190124479</v>
      </c>
      <c r="R145" s="15">
        <v>0.4480348190124479</v>
      </c>
      <c r="S145" s="15">
        <v>0.45133481901244793</v>
      </c>
      <c r="T145" s="15">
        <v>0.45593481901244792</v>
      </c>
      <c r="U145" s="15">
        <v>0.42573481901244792</v>
      </c>
      <c r="V145" s="15">
        <v>0.45803481901244791</v>
      </c>
      <c r="W145" s="15">
        <v>0.44123481901244793</v>
      </c>
      <c r="X145" s="15">
        <v>0.42783481901244791</v>
      </c>
      <c r="Y145" s="15">
        <v>0.44843481901244792</v>
      </c>
      <c r="Z145" s="15">
        <v>0.43083481901244791</v>
      </c>
      <c r="AA145" s="15">
        <v>0.45183481901244793</v>
      </c>
      <c r="AB145" s="15">
        <v>0.43173481901244792</v>
      </c>
      <c r="AC145" s="15">
        <v>0.4254348190124479</v>
      </c>
      <c r="AD145" s="15">
        <v>0.4571348190124479</v>
      </c>
      <c r="AE145" s="15">
        <v>0.44473481901244794</v>
      </c>
      <c r="AF145" s="15">
        <v>0.45653481901244791</v>
      </c>
      <c r="AG145" s="15">
        <v>0.44933481901244793</v>
      </c>
      <c r="AH145" s="15">
        <v>0.42663481901244793</v>
      </c>
      <c r="AI145" s="15">
        <v>0.45083481901244793</v>
      </c>
      <c r="AJ145" s="15">
        <v>0.44093481901244791</v>
      </c>
      <c r="AK145" s="15">
        <v>0.4415348190124479</v>
      </c>
    </row>
    <row r="146" spans="3:37" x14ac:dyDescent="0.35">
      <c r="C146" s="37" t="s">
        <v>79</v>
      </c>
      <c r="D146" s="15">
        <f t="shared" ref="D146:AK146" si="20">1-SUM(D144:D145)</f>
        <v>0.18116662952468876</v>
      </c>
      <c r="E146" s="15">
        <f t="shared" si="20"/>
        <v>0.19066662952468871</v>
      </c>
      <c r="F146" s="15">
        <f t="shared" si="20"/>
        <v>0.19146662952468874</v>
      </c>
      <c r="G146" s="15">
        <f t="shared" si="20"/>
        <v>0.1887666295246887</v>
      </c>
      <c r="H146" s="15">
        <f t="shared" si="20"/>
        <v>0.19916662952468867</v>
      </c>
      <c r="I146" s="15">
        <f t="shared" si="20"/>
        <v>0.17296662952468878</v>
      </c>
      <c r="J146" s="15">
        <f t="shared" si="20"/>
        <v>0.19196662952468868</v>
      </c>
      <c r="K146" s="15">
        <f t="shared" si="20"/>
        <v>0.2009666295246888</v>
      </c>
      <c r="L146" s="15">
        <f t="shared" si="20"/>
        <v>0.1595666295246887</v>
      </c>
      <c r="M146" s="15">
        <f t="shared" si="20"/>
        <v>0.17106662952468876</v>
      </c>
      <c r="N146" s="15">
        <f t="shared" si="20"/>
        <v>0.19096662952468879</v>
      </c>
      <c r="O146" s="15">
        <f t="shared" si="20"/>
        <v>0.17216662952468875</v>
      </c>
      <c r="P146" s="15">
        <f t="shared" si="20"/>
        <v>0.18256662952468872</v>
      </c>
      <c r="Q146" s="15">
        <f t="shared" si="20"/>
        <v>0.20716662952468878</v>
      </c>
      <c r="R146" s="15">
        <f t="shared" si="20"/>
        <v>0.18146662952468873</v>
      </c>
      <c r="S146" s="15">
        <f t="shared" si="20"/>
        <v>0.17676662952468869</v>
      </c>
      <c r="T146" s="15">
        <f t="shared" si="20"/>
        <v>0.18166662952468871</v>
      </c>
      <c r="U146" s="15">
        <f t="shared" si="20"/>
        <v>0.19016662952468866</v>
      </c>
      <c r="V146" s="15">
        <f t="shared" si="20"/>
        <v>0.16956662952468871</v>
      </c>
      <c r="W146" s="15">
        <f t="shared" si="20"/>
        <v>0.1958666295246887</v>
      </c>
      <c r="X146" s="15">
        <f t="shared" si="20"/>
        <v>0.19816662952468866</v>
      </c>
      <c r="Y146" s="15">
        <f t="shared" si="20"/>
        <v>0.17656662952468871</v>
      </c>
      <c r="Z146" s="15">
        <f t="shared" si="20"/>
        <v>0.18866662952468871</v>
      </c>
      <c r="AA146" s="15">
        <f t="shared" si="20"/>
        <v>0.1716666295246887</v>
      </c>
      <c r="AB146" s="15">
        <f t="shared" si="20"/>
        <v>0.20056662952468862</v>
      </c>
      <c r="AC146" s="15">
        <f t="shared" si="20"/>
        <v>0.19406662952468867</v>
      </c>
      <c r="AD146" s="15">
        <f t="shared" si="20"/>
        <v>0.1747666295246888</v>
      </c>
      <c r="AE146" s="15">
        <f t="shared" si="20"/>
        <v>0.18506662952468866</v>
      </c>
      <c r="AF146" s="15">
        <f t="shared" si="20"/>
        <v>0.17926662952468875</v>
      </c>
      <c r="AG146" s="15">
        <f t="shared" si="20"/>
        <v>0.1605666295246887</v>
      </c>
      <c r="AH146" s="15">
        <f t="shared" si="20"/>
        <v>0.19936662952468875</v>
      </c>
      <c r="AI146" s="15">
        <f t="shared" si="20"/>
        <v>0.1605666295246887</v>
      </c>
      <c r="AJ146" s="15">
        <f t="shared" si="20"/>
        <v>0.18266662952468871</v>
      </c>
      <c r="AK146" s="15">
        <f t="shared" si="20"/>
        <v>0.16596662952468866</v>
      </c>
    </row>
    <row r="147" spans="3:37" x14ac:dyDescent="0.35">
      <c r="C147" s="42" t="s">
        <v>83</v>
      </c>
      <c r="D147" s="15">
        <f>D177</f>
        <v>0.13236680129836231</v>
      </c>
      <c r="E147" s="15">
        <f t="shared" ref="E147:AK147" si="21">E177</f>
        <v>0.11886680129836232</v>
      </c>
      <c r="F147" s="15">
        <f t="shared" si="21"/>
        <v>0.12726680129836232</v>
      </c>
      <c r="G147" s="15">
        <f t="shared" si="21"/>
        <v>0.12356680129836231</v>
      </c>
      <c r="H147" s="15">
        <f t="shared" si="21"/>
        <v>0.14826680129836231</v>
      </c>
      <c r="I147" s="15">
        <f t="shared" si="21"/>
        <v>0.11966680129836231</v>
      </c>
      <c r="J147" s="15">
        <f t="shared" si="21"/>
        <v>0.13286680129836231</v>
      </c>
      <c r="K147" s="15">
        <f t="shared" si="21"/>
        <v>0.14766680129836232</v>
      </c>
      <c r="L147" s="15">
        <f t="shared" si="21"/>
        <v>0.12486680129836231</v>
      </c>
      <c r="M147" s="15">
        <f t="shared" si="21"/>
        <v>0.11786680129836231</v>
      </c>
      <c r="N147" s="15">
        <f t="shared" si="21"/>
        <v>0.12136680129836232</v>
      </c>
      <c r="O147" s="15">
        <f t="shared" si="21"/>
        <v>0.14036680129836232</v>
      </c>
      <c r="P147" s="15">
        <f t="shared" si="21"/>
        <v>0.12796680129836233</v>
      </c>
      <c r="Q147" s="15">
        <f t="shared" si="21"/>
        <v>0.14196680129836231</v>
      </c>
      <c r="R147" s="15">
        <f t="shared" si="21"/>
        <v>0.13526680129836233</v>
      </c>
      <c r="S147" s="15">
        <f t="shared" si="21"/>
        <v>0.14336680129836232</v>
      </c>
      <c r="T147" s="15">
        <f t="shared" si="21"/>
        <v>0.12606680129836231</v>
      </c>
      <c r="U147" s="15">
        <f t="shared" si="21"/>
        <v>0.1344668012983623</v>
      </c>
      <c r="V147" s="15">
        <f t="shared" si="21"/>
        <v>0.1480668012983623</v>
      </c>
      <c r="W147" s="15">
        <f t="shared" si="21"/>
        <v>0.12906680129836232</v>
      </c>
      <c r="X147" s="15">
        <f t="shared" si="21"/>
        <v>0.12076680129836231</v>
      </c>
      <c r="Y147" s="15">
        <f t="shared" si="21"/>
        <v>0.14886680129836233</v>
      </c>
      <c r="Z147" s="15">
        <f t="shared" si="21"/>
        <v>0.14696680129836232</v>
      </c>
      <c r="AA147" s="15">
        <f t="shared" si="21"/>
        <v>0.1304668012983623</v>
      </c>
      <c r="AB147" s="15">
        <f t="shared" si="21"/>
        <v>0.11896680129836232</v>
      </c>
      <c r="AC147" s="15">
        <f t="shared" si="21"/>
        <v>0.12196680129836232</v>
      </c>
      <c r="AD147" s="15">
        <f t="shared" si="21"/>
        <v>0.14226680129836231</v>
      </c>
      <c r="AE147" s="15">
        <f t="shared" si="21"/>
        <v>0.1362668012983623</v>
      </c>
      <c r="AF147" s="15">
        <f t="shared" si="21"/>
        <v>0.1334668012983623</v>
      </c>
      <c r="AG147" s="15">
        <f t="shared" si="21"/>
        <v>0.13996680129836231</v>
      </c>
      <c r="AH147" s="15">
        <f t="shared" si="21"/>
        <v>0.12006680129836231</v>
      </c>
      <c r="AI147" s="15">
        <f t="shared" si="21"/>
        <v>0.14446680129836231</v>
      </c>
      <c r="AJ147" s="15">
        <f t="shared" si="21"/>
        <v>0.1319668012983623</v>
      </c>
      <c r="AK147" s="15">
        <f t="shared" si="21"/>
        <v>0.12256680129836231</v>
      </c>
    </row>
    <row r="148" spans="3:37" x14ac:dyDescent="0.35">
      <c r="C148" s="37" t="s">
        <v>80</v>
      </c>
      <c r="D148" s="15">
        <v>0.50546100897179469</v>
      </c>
      <c r="E148" s="15">
        <v>0.50976100897179466</v>
      </c>
      <c r="F148" s="15">
        <v>0.50276100897179465</v>
      </c>
      <c r="G148" s="15">
        <v>0.52026100897179473</v>
      </c>
      <c r="H148" s="15">
        <v>0.49716100897179472</v>
      </c>
      <c r="I148" s="15">
        <v>0.5154610089717947</v>
      </c>
      <c r="J148" s="15">
        <v>0.50586100897179465</v>
      </c>
      <c r="K148" s="15">
        <v>0.50286100897179464</v>
      </c>
      <c r="L148" s="15">
        <v>0.5033610089717947</v>
      </c>
      <c r="M148" s="15">
        <v>0.50486100897179464</v>
      </c>
      <c r="N148" s="15">
        <v>0.50626100897179471</v>
      </c>
      <c r="O148" s="15">
        <v>0.52106100897179464</v>
      </c>
      <c r="P148" s="15">
        <v>0.49056100897179467</v>
      </c>
      <c r="Q148" s="15">
        <v>0.49616100897179471</v>
      </c>
      <c r="R148" s="15">
        <v>0.51456100897179469</v>
      </c>
      <c r="S148" s="15">
        <v>0.49566100897179471</v>
      </c>
      <c r="T148" s="15">
        <v>0.51196100897179464</v>
      </c>
      <c r="U148" s="15">
        <v>0.49616100897179471</v>
      </c>
      <c r="V148" s="15">
        <v>0.51806100897179475</v>
      </c>
      <c r="W148" s="15">
        <v>0.51796100897179465</v>
      </c>
      <c r="X148" s="15">
        <v>0.49086100897179469</v>
      </c>
      <c r="Y148" s="15">
        <v>0.4932610089717947</v>
      </c>
      <c r="Z148" s="15">
        <v>0.51976100897179467</v>
      </c>
      <c r="AA148" s="15">
        <v>0.50016100897179472</v>
      </c>
      <c r="AB148" s="15">
        <v>0.49636100897179469</v>
      </c>
      <c r="AC148" s="15">
        <v>0.51266100897179467</v>
      </c>
      <c r="AD148" s="15">
        <v>0.49536100897179469</v>
      </c>
      <c r="AE148" s="15">
        <v>0.5144610089717947</v>
      </c>
      <c r="AF148" s="15">
        <v>0.51276100897179466</v>
      </c>
      <c r="AG148" s="15">
        <v>0.50786100897179465</v>
      </c>
      <c r="AH148" s="15">
        <v>0.52216100897179474</v>
      </c>
      <c r="AI148" s="15">
        <v>0.51326100897179472</v>
      </c>
      <c r="AJ148" s="15">
        <v>0.51556100897179469</v>
      </c>
      <c r="AK148" s="15">
        <v>0.51776100897179467</v>
      </c>
    </row>
    <row r="149" spans="3:37" x14ac:dyDescent="0.35">
      <c r="C149" s="37" t="s">
        <v>81</v>
      </c>
      <c r="D149" s="15">
        <v>0.22930479148351329</v>
      </c>
      <c r="E149" s="15">
        <v>0.21900479148351329</v>
      </c>
      <c r="F149" s="15">
        <v>0.2134047914835133</v>
      </c>
      <c r="G149" s="15">
        <v>0.23590479148351329</v>
      </c>
      <c r="H149" s="15">
        <v>0.2416047914835133</v>
      </c>
      <c r="I149" s="15">
        <v>0.2169047914835133</v>
      </c>
      <c r="J149" s="15">
        <v>0.21620479148351329</v>
      </c>
      <c r="K149" s="15">
        <v>0.2275047914835133</v>
      </c>
      <c r="L149" s="15">
        <v>0.21530479148351328</v>
      </c>
      <c r="M149" s="15">
        <v>0.2446047914835133</v>
      </c>
      <c r="N149" s="15">
        <v>0.21530479148351328</v>
      </c>
      <c r="O149" s="15">
        <v>0.22460479148351328</v>
      </c>
      <c r="P149" s="15">
        <v>0.2156047914835133</v>
      </c>
      <c r="Q149" s="15">
        <v>0.24620479148351329</v>
      </c>
      <c r="R149" s="15">
        <v>0.22060479148351331</v>
      </c>
      <c r="S149" s="15">
        <v>0.23120479148351331</v>
      </c>
      <c r="T149" s="15">
        <v>0.22350479148351329</v>
      </c>
      <c r="U149" s="15">
        <v>0.22690479148351328</v>
      </c>
      <c r="V149" s="15">
        <v>0.22780479148351329</v>
      </c>
      <c r="W149" s="15">
        <v>0.24580479148351331</v>
      </c>
      <c r="X149" s="15">
        <v>0.22000479148351329</v>
      </c>
      <c r="Y149" s="15">
        <v>0.2436047914835133</v>
      </c>
      <c r="Z149" s="15">
        <v>0.2227047914835133</v>
      </c>
      <c r="AA149" s="15">
        <v>0.21430479148351328</v>
      </c>
      <c r="AB149" s="15">
        <v>0.2151047914835133</v>
      </c>
      <c r="AC149" s="15">
        <v>0.2333047914835133</v>
      </c>
      <c r="AD149" s="15">
        <v>0.23440479148351329</v>
      </c>
      <c r="AE149" s="15">
        <v>0.24290479148351329</v>
      </c>
      <c r="AF149" s="15">
        <v>0.22660479148351328</v>
      </c>
      <c r="AG149" s="15">
        <v>0.22430479148351329</v>
      </c>
      <c r="AH149" s="15">
        <v>0.2421047914835133</v>
      </c>
      <c r="AI149" s="15">
        <v>0.23160479148351329</v>
      </c>
      <c r="AJ149" s="15">
        <v>0.2151047914835133</v>
      </c>
      <c r="AK149" s="15">
        <v>0.22310479148351328</v>
      </c>
    </row>
    <row r="150" spans="3:37" x14ac:dyDescent="0.35">
      <c r="C150" s="37" t="s">
        <v>82</v>
      </c>
      <c r="D150" s="15">
        <f t="shared" ref="D150:AK150" si="22">1-SUM(D148:D149)</f>
        <v>0.26523419954469207</v>
      </c>
      <c r="E150" s="15">
        <f t="shared" si="22"/>
        <v>0.27123419954469208</v>
      </c>
      <c r="F150" s="15">
        <f t="shared" si="22"/>
        <v>0.28383419954469202</v>
      </c>
      <c r="G150" s="15">
        <f t="shared" si="22"/>
        <v>0.24383419954469199</v>
      </c>
      <c r="H150" s="15">
        <f t="shared" si="22"/>
        <v>0.26123419954469196</v>
      </c>
      <c r="I150" s="15">
        <f t="shared" si="22"/>
        <v>0.26763419954469203</v>
      </c>
      <c r="J150" s="15">
        <f t="shared" si="22"/>
        <v>0.27793419954469201</v>
      </c>
      <c r="K150" s="15">
        <f t="shared" si="22"/>
        <v>0.26963419954469203</v>
      </c>
      <c r="L150" s="15">
        <f t="shared" si="22"/>
        <v>0.28133419954469208</v>
      </c>
      <c r="M150" s="15">
        <f t="shared" si="22"/>
        <v>0.25053419954469203</v>
      </c>
      <c r="N150" s="15">
        <f t="shared" si="22"/>
        <v>0.27843419954469195</v>
      </c>
      <c r="O150" s="15">
        <f t="shared" si="22"/>
        <v>0.25433419954469205</v>
      </c>
      <c r="P150" s="15">
        <f t="shared" si="22"/>
        <v>0.29383419954469203</v>
      </c>
      <c r="Q150" s="15">
        <f t="shared" si="22"/>
        <v>0.25763419954469202</v>
      </c>
      <c r="R150" s="15">
        <f t="shared" si="22"/>
        <v>0.26483419954469201</v>
      </c>
      <c r="S150" s="15">
        <f t="shared" si="22"/>
        <v>0.27313419954469198</v>
      </c>
      <c r="T150" s="15">
        <f t="shared" si="22"/>
        <v>0.26453419954469204</v>
      </c>
      <c r="U150" s="15">
        <f t="shared" si="22"/>
        <v>0.27693419954469201</v>
      </c>
      <c r="V150" s="15">
        <f t="shared" si="22"/>
        <v>0.25413419954469196</v>
      </c>
      <c r="W150" s="15">
        <f t="shared" si="22"/>
        <v>0.23623419954469205</v>
      </c>
      <c r="X150" s="15">
        <f t="shared" si="22"/>
        <v>0.28913419954469199</v>
      </c>
      <c r="Y150" s="15">
        <f t="shared" si="22"/>
        <v>0.26313419954469197</v>
      </c>
      <c r="Z150" s="15">
        <f t="shared" si="22"/>
        <v>0.25753419954469203</v>
      </c>
      <c r="AA150" s="15">
        <f t="shared" si="22"/>
        <v>0.28553419954469206</v>
      </c>
      <c r="AB150" s="15">
        <f t="shared" si="22"/>
        <v>0.28853419954469195</v>
      </c>
      <c r="AC150" s="15">
        <f t="shared" si="22"/>
        <v>0.25403419954469197</v>
      </c>
      <c r="AD150" s="15">
        <f t="shared" si="22"/>
        <v>0.27023419954469197</v>
      </c>
      <c r="AE150" s="15">
        <f t="shared" si="22"/>
        <v>0.24263419954469201</v>
      </c>
      <c r="AF150" s="15">
        <f t="shared" si="22"/>
        <v>0.26063419954469202</v>
      </c>
      <c r="AG150" s="15">
        <f t="shared" si="22"/>
        <v>0.26783419954469201</v>
      </c>
      <c r="AH150" s="15">
        <f t="shared" si="22"/>
        <v>0.23573419954469199</v>
      </c>
      <c r="AI150" s="15">
        <f t="shared" si="22"/>
        <v>0.25513419954469196</v>
      </c>
      <c r="AJ150" s="15">
        <f t="shared" si="22"/>
        <v>0.26933419954469207</v>
      </c>
      <c r="AK150" s="15">
        <f t="shared" si="22"/>
        <v>0.25913419954469208</v>
      </c>
    </row>
    <row r="151" spans="3:37" x14ac:dyDescent="0.35">
      <c r="C151" s="4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13"/>
      <c r="AA151" s="2"/>
      <c r="AB151" s="2"/>
      <c r="AC151" s="2"/>
      <c r="AD151" s="2"/>
      <c r="AE151" s="2"/>
      <c r="AF151" s="2"/>
      <c r="AG151" s="12"/>
      <c r="AH151" s="2"/>
      <c r="AI151" s="2"/>
      <c r="AJ151" s="2"/>
      <c r="AK151" s="2"/>
    </row>
    <row r="152" spans="3:37" x14ac:dyDescent="0.35">
      <c r="C152" s="4" t="s">
        <v>85</v>
      </c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13"/>
      <c r="AA152" s="2"/>
      <c r="AB152" s="2"/>
      <c r="AC152" s="2"/>
      <c r="AD152" s="2"/>
      <c r="AE152" s="2"/>
      <c r="AF152" s="2"/>
      <c r="AG152" s="12"/>
      <c r="AH152" s="2"/>
      <c r="AI152" s="2"/>
      <c r="AJ152" s="2"/>
      <c r="AK152" s="2"/>
    </row>
    <row r="153" spans="3:37" x14ac:dyDescent="0.35">
      <c r="C153" t="s">
        <v>86</v>
      </c>
      <c r="D153" s="15">
        <v>0.30125496222307591</v>
      </c>
      <c r="E153" s="15">
        <v>0.31665496222307593</v>
      </c>
      <c r="F153" s="15">
        <v>0.28595496222307593</v>
      </c>
      <c r="G153" s="15">
        <v>0.2851549622230759</v>
      </c>
      <c r="H153" s="15">
        <v>0.3144549622230759</v>
      </c>
      <c r="I153" s="15">
        <v>0.3108549622230759</v>
      </c>
      <c r="J153" s="15">
        <v>0.30145496222307588</v>
      </c>
      <c r="K153" s="15">
        <v>0.28605496222307591</v>
      </c>
      <c r="L153" s="15">
        <v>0.30855496222307588</v>
      </c>
      <c r="M153" s="15">
        <v>0.28555496222307591</v>
      </c>
      <c r="N153" s="15">
        <v>0.30405496222307593</v>
      </c>
      <c r="O153" s="15">
        <v>0.31715496222307593</v>
      </c>
      <c r="P153" s="15">
        <v>0.28585496222307588</v>
      </c>
      <c r="Q153" s="15">
        <v>0.29935496222307589</v>
      </c>
      <c r="R153" s="15">
        <v>0.31715496222307593</v>
      </c>
      <c r="S153" s="15">
        <v>0.30575496222307591</v>
      </c>
      <c r="T153" s="15">
        <v>0.3103549622230759</v>
      </c>
      <c r="U153" s="15">
        <v>0.28815496222307591</v>
      </c>
      <c r="V153" s="15">
        <v>0.30655496222307593</v>
      </c>
      <c r="W153" s="15">
        <v>0.31785496222307591</v>
      </c>
      <c r="X153" s="15">
        <v>0.30165496222307592</v>
      </c>
      <c r="Y153" s="15">
        <v>0.29935496222307589</v>
      </c>
      <c r="Z153" s="15">
        <v>0.28845496222307593</v>
      </c>
      <c r="AA153" s="15">
        <v>0.29845496222307588</v>
      </c>
      <c r="AB153" s="15">
        <v>0.28495496222307592</v>
      </c>
      <c r="AC153" s="15">
        <v>0.30955496222307588</v>
      </c>
      <c r="AD153" s="15">
        <v>0.29235496222307589</v>
      </c>
      <c r="AE153" s="15">
        <v>0.2871549622230759</v>
      </c>
      <c r="AF153" s="15">
        <v>0.29045496222307593</v>
      </c>
      <c r="AG153" s="15">
        <v>0.29465496222307591</v>
      </c>
      <c r="AH153" s="15">
        <v>0.3028549622230759</v>
      </c>
      <c r="AI153" s="15">
        <v>0.3144549622230759</v>
      </c>
      <c r="AJ153" s="15">
        <v>0.29015496222307591</v>
      </c>
      <c r="AK153" s="15">
        <v>0.30615496222307592</v>
      </c>
    </row>
    <row r="154" spans="3:37" x14ac:dyDescent="0.35">
      <c r="C154" t="s">
        <v>87</v>
      </c>
      <c r="D154" s="15">
        <f>1-D153</f>
        <v>0.69874503777692409</v>
      </c>
      <c r="E154" s="15">
        <f t="shared" ref="E154:AK154" si="23">1-E153</f>
        <v>0.68334503777692412</v>
      </c>
      <c r="F154" s="15">
        <f t="shared" si="23"/>
        <v>0.71404503777692407</v>
      </c>
      <c r="G154" s="15">
        <f t="shared" si="23"/>
        <v>0.7148450377769241</v>
      </c>
      <c r="H154" s="15">
        <f t="shared" si="23"/>
        <v>0.6855450377769241</v>
      </c>
      <c r="I154" s="15">
        <f t="shared" si="23"/>
        <v>0.68914503777692415</v>
      </c>
      <c r="J154" s="15">
        <f t="shared" si="23"/>
        <v>0.69854503777692412</v>
      </c>
      <c r="K154" s="15">
        <f t="shared" si="23"/>
        <v>0.71394503777692409</v>
      </c>
      <c r="L154" s="15">
        <f t="shared" si="23"/>
        <v>0.69144503777692412</v>
      </c>
      <c r="M154" s="15">
        <f t="shared" si="23"/>
        <v>0.71444503777692403</v>
      </c>
      <c r="N154" s="15">
        <f t="shared" si="23"/>
        <v>0.69594503777692407</v>
      </c>
      <c r="O154" s="15">
        <f t="shared" si="23"/>
        <v>0.68284503777692407</v>
      </c>
      <c r="P154" s="15">
        <f t="shared" si="23"/>
        <v>0.71414503777692406</v>
      </c>
      <c r="Q154" s="15">
        <f t="shared" si="23"/>
        <v>0.70064503777692411</v>
      </c>
      <c r="R154" s="15">
        <f t="shared" si="23"/>
        <v>0.68284503777692407</v>
      </c>
      <c r="S154" s="15">
        <f t="shared" si="23"/>
        <v>0.69424503777692403</v>
      </c>
      <c r="T154" s="15">
        <f t="shared" si="23"/>
        <v>0.6896450377769241</v>
      </c>
      <c r="U154" s="15">
        <f t="shared" si="23"/>
        <v>0.71184503777692409</v>
      </c>
      <c r="V154" s="15">
        <f t="shared" si="23"/>
        <v>0.69344503777692412</v>
      </c>
      <c r="W154" s="15">
        <f t="shared" si="23"/>
        <v>0.68214503777692403</v>
      </c>
      <c r="X154" s="15">
        <f t="shared" si="23"/>
        <v>0.69834503777692403</v>
      </c>
      <c r="Y154" s="15">
        <f t="shared" si="23"/>
        <v>0.70064503777692411</v>
      </c>
      <c r="Z154" s="15">
        <f t="shared" si="23"/>
        <v>0.71154503777692413</v>
      </c>
      <c r="AA154" s="15">
        <f t="shared" si="23"/>
        <v>0.70154503777692412</v>
      </c>
      <c r="AB154" s="15">
        <f t="shared" si="23"/>
        <v>0.71504503777692408</v>
      </c>
      <c r="AC154" s="15">
        <f t="shared" si="23"/>
        <v>0.69044503777692412</v>
      </c>
      <c r="AD154" s="15">
        <f t="shared" si="23"/>
        <v>0.70764503777692411</v>
      </c>
      <c r="AE154" s="15">
        <f t="shared" si="23"/>
        <v>0.7128450377769241</v>
      </c>
      <c r="AF154" s="15">
        <f t="shared" si="23"/>
        <v>0.70954503777692413</v>
      </c>
      <c r="AG154" s="15">
        <f t="shared" si="23"/>
        <v>0.70534503777692414</v>
      </c>
      <c r="AH154" s="15">
        <f t="shared" si="23"/>
        <v>0.69714503777692416</v>
      </c>
      <c r="AI154" s="15">
        <f t="shared" si="23"/>
        <v>0.6855450377769241</v>
      </c>
      <c r="AJ154" s="15">
        <f t="shared" si="23"/>
        <v>0.70984503777692409</v>
      </c>
      <c r="AK154" s="15">
        <f t="shared" si="23"/>
        <v>0.69384503777692408</v>
      </c>
    </row>
    <row r="155" spans="3:37" x14ac:dyDescent="0.35">
      <c r="C155" s="4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13"/>
      <c r="AA155" s="2"/>
      <c r="AB155" s="2"/>
      <c r="AC155" s="2"/>
      <c r="AD155" s="2"/>
      <c r="AE155" s="2"/>
      <c r="AF155" s="2"/>
      <c r="AG155" s="12"/>
      <c r="AH155" s="2"/>
      <c r="AI155" s="2"/>
      <c r="AJ155" s="2"/>
      <c r="AK155" s="2"/>
    </row>
    <row r="156" spans="3:37" x14ac:dyDescent="0.35">
      <c r="C156" s="4" t="s">
        <v>88</v>
      </c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13"/>
      <c r="AA156" s="2"/>
      <c r="AB156" s="2"/>
      <c r="AC156" s="2"/>
      <c r="AD156" s="2"/>
      <c r="AE156" s="2"/>
      <c r="AF156" s="2"/>
      <c r="AG156" s="12"/>
      <c r="AH156" s="2"/>
      <c r="AI156" s="2"/>
      <c r="AJ156" s="2"/>
      <c r="AK156" s="2"/>
    </row>
    <row r="157" spans="3:37" x14ac:dyDescent="0.35">
      <c r="C157" t="s">
        <v>89</v>
      </c>
      <c r="D157" s="15">
        <f>1-SUM(D158:D159)</f>
        <v>0.8511049840408933</v>
      </c>
      <c r="E157" s="15">
        <f t="shared" ref="E157:AK157" si="24">1-SUM(E158:E159)</f>
        <v>0.85130498404089328</v>
      </c>
      <c r="F157" s="15">
        <f t="shared" si="24"/>
        <v>0.86910498404089331</v>
      </c>
      <c r="G157" s="15">
        <f t="shared" si="24"/>
        <v>0.85120498404089329</v>
      </c>
      <c r="H157" s="15">
        <f t="shared" si="24"/>
        <v>0.85190498404089321</v>
      </c>
      <c r="I157" s="15">
        <f t="shared" si="24"/>
        <v>0.85470498404089323</v>
      </c>
      <c r="J157" s="15">
        <f t="shared" si="24"/>
        <v>0.85260498404089324</v>
      </c>
      <c r="K157" s="15">
        <f t="shared" si="24"/>
        <v>0.82760498404089322</v>
      </c>
      <c r="L157" s="15">
        <f t="shared" si="24"/>
        <v>0.84480498404089321</v>
      </c>
      <c r="M157" s="15">
        <f t="shared" si="24"/>
        <v>0.85150498404089325</v>
      </c>
      <c r="N157" s="15">
        <f t="shared" si="24"/>
        <v>0.86300498404089321</v>
      </c>
      <c r="O157" s="15">
        <f t="shared" si="24"/>
        <v>0.85550498404089326</v>
      </c>
      <c r="P157" s="15">
        <f t="shared" si="24"/>
        <v>0.84250498404089325</v>
      </c>
      <c r="Q157" s="15">
        <f t="shared" si="24"/>
        <v>0.84720498404089328</v>
      </c>
      <c r="R157" s="15">
        <f t="shared" si="24"/>
        <v>0.83250498404089324</v>
      </c>
      <c r="S157" s="15">
        <f t="shared" si="24"/>
        <v>0.85370498404089323</v>
      </c>
      <c r="T157" s="15">
        <f t="shared" si="24"/>
        <v>0.83200498404089318</v>
      </c>
      <c r="U157" s="15">
        <f t="shared" si="24"/>
        <v>0.8530049840408932</v>
      </c>
      <c r="V157" s="15">
        <f t="shared" si="24"/>
        <v>0.8701049840408932</v>
      </c>
      <c r="W157" s="15">
        <f t="shared" si="24"/>
        <v>0.84450498404089325</v>
      </c>
      <c r="X157" s="15">
        <f t="shared" si="24"/>
        <v>0.85550498404089326</v>
      </c>
      <c r="Y157" s="15">
        <f t="shared" si="24"/>
        <v>0.86430498404089318</v>
      </c>
      <c r="Z157" s="15">
        <f t="shared" si="24"/>
        <v>0.83210498404089328</v>
      </c>
      <c r="AA157" s="15">
        <f t="shared" si="24"/>
        <v>0.84060498404089323</v>
      </c>
      <c r="AB157" s="15">
        <f t="shared" si="24"/>
        <v>0.84770498404089323</v>
      </c>
      <c r="AC157" s="15">
        <f t="shared" si="24"/>
        <v>0.84020498404089317</v>
      </c>
      <c r="AD157" s="15">
        <f t="shared" si="24"/>
        <v>0.83950498404089324</v>
      </c>
      <c r="AE157" s="15">
        <f t="shared" si="24"/>
        <v>0.85810498404089319</v>
      </c>
      <c r="AF157" s="15">
        <f t="shared" si="24"/>
        <v>0.8733049840408933</v>
      </c>
      <c r="AG157" s="15">
        <f t="shared" si="24"/>
        <v>0.85530498404089328</v>
      </c>
      <c r="AH157" s="15">
        <f t="shared" si="24"/>
        <v>0.82790498404089319</v>
      </c>
      <c r="AI157" s="15">
        <f t="shared" si="24"/>
        <v>0.83210498404089328</v>
      </c>
      <c r="AJ157" s="15">
        <f t="shared" si="24"/>
        <v>0.83710498404089329</v>
      </c>
      <c r="AK157" s="15">
        <f t="shared" si="24"/>
        <v>0.85340498404089327</v>
      </c>
    </row>
    <row r="158" spans="3:37" x14ac:dyDescent="0.35">
      <c r="C158" t="s">
        <v>90</v>
      </c>
      <c r="D158" s="15">
        <v>3.5471548090005453E-2</v>
      </c>
      <c r="E158" s="15">
        <v>3.2171548090005456E-2</v>
      </c>
      <c r="F158" s="15">
        <v>2.9771548090005453E-2</v>
      </c>
      <c r="G158" s="15">
        <v>4.1171548090005443E-2</v>
      </c>
      <c r="H158" s="15">
        <v>2.8371548090005458E-2</v>
      </c>
      <c r="I158" s="15">
        <v>2.9471548090005458E-2</v>
      </c>
      <c r="J158" s="15">
        <v>3.3871548090005463E-2</v>
      </c>
      <c r="K158" s="15">
        <v>4.2171548090005451E-2</v>
      </c>
      <c r="L158" s="15">
        <v>3.5271548090005454E-2</v>
      </c>
      <c r="M158" s="15">
        <v>2.9371548090005459E-2</v>
      </c>
      <c r="N158" s="15">
        <v>3.5071548090005462E-2</v>
      </c>
      <c r="O158" s="15">
        <v>3.0771548090005457E-2</v>
      </c>
      <c r="P158" s="15">
        <v>3.5071548090005455E-2</v>
      </c>
      <c r="Q158" s="15">
        <v>2.9271548090005456E-2</v>
      </c>
      <c r="R158" s="15">
        <v>3.8671548090005455E-2</v>
      </c>
      <c r="S158" s="15">
        <v>3.6871548090005445E-2</v>
      </c>
      <c r="T158" s="15">
        <v>4.1371548090005449E-2</v>
      </c>
      <c r="U158" s="15">
        <v>3.3671548090005464E-2</v>
      </c>
      <c r="V158" s="15">
        <v>3.0671548090005454E-2</v>
      </c>
      <c r="W158" s="15">
        <v>3.9571548090005453E-2</v>
      </c>
      <c r="X158" s="15">
        <v>3.087154809000546E-2</v>
      </c>
      <c r="Y158" s="15">
        <v>3.5671548090005452E-2</v>
      </c>
      <c r="Z158" s="15">
        <v>3.817154809000544E-2</v>
      </c>
      <c r="AA158" s="15">
        <v>4.2571548090005448E-2</v>
      </c>
      <c r="AB158" s="15">
        <v>3.2771548090005452E-2</v>
      </c>
      <c r="AC158" s="15">
        <v>2.9171548090005453E-2</v>
      </c>
      <c r="AD158" s="15">
        <v>4.0271548090005452E-2</v>
      </c>
      <c r="AE158" s="15">
        <v>3.1271548090005451E-2</v>
      </c>
      <c r="AF158" s="15">
        <v>2.8771548090005462E-2</v>
      </c>
      <c r="AG158" s="15">
        <v>3.7071548090005443E-2</v>
      </c>
      <c r="AH158" s="15">
        <v>4.2071548090005448E-2</v>
      </c>
      <c r="AI158" s="15">
        <v>4.0871548090005455E-2</v>
      </c>
      <c r="AJ158" s="15">
        <v>3.3771548090005453E-2</v>
      </c>
      <c r="AK158" s="15">
        <v>3.0171548090005457E-2</v>
      </c>
    </row>
    <row r="159" spans="3:37" x14ac:dyDescent="0.35">
      <c r="C159" t="s">
        <v>91</v>
      </c>
      <c r="D159" s="15">
        <v>0.1134234678691013</v>
      </c>
      <c r="E159" s="15">
        <v>0.11652346786910131</v>
      </c>
      <c r="F159" s="15">
        <v>0.1011234678691013</v>
      </c>
      <c r="G159" s="15">
        <v>0.10762346786910131</v>
      </c>
      <c r="H159" s="15">
        <v>0.1197234678691013</v>
      </c>
      <c r="I159" s="15">
        <v>0.1158234678691013</v>
      </c>
      <c r="J159" s="15">
        <v>0.11352346786910131</v>
      </c>
      <c r="K159" s="15">
        <v>0.1302234678691013</v>
      </c>
      <c r="L159" s="15">
        <v>0.11992346786910131</v>
      </c>
      <c r="M159" s="15">
        <v>0.1191234678691013</v>
      </c>
      <c r="N159" s="15">
        <v>0.10192346786910131</v>
      </c>
      <c r="O159" s="15">
        <v>0.1137234678691013</v>
      </c>
      <c r="P159" s="15">
        <v>0.1224234678691013</v>
      </c>
      <c r="Q159" s="15">
        <v>0.1235234678691013</v>
      </c>
      <c r="R159" s="15">
        <v>0.12882346786910132</v>
      </c>
      <c r="S159" s="15">
        <v>0.1094234678691013</v>
      </c>
      <c r="T159" s="15">
        <v>0.12662346786910131</v>
      </c>
      <c r="U159" s="15">
        <v>0.1133234678691013</v>
      </c>
      <c r="V159" s="15">
        <v>9.9223467869101301E-2</v>
      </c>
      <c r="W159" s="15">
        <v>0.11592346786910131</v>
      </c>
      <c r="X159" s="15">
        <v>0.11362346786910131</v>
      </c>
      <c r="Y159" s="15">
        <v>0.10002346786910131</v>
      </c>
      <c r="Z159" s="15">
        <v>0.1297234678691013</v>
      </c>
      <c r="AA159" s="15">
        <v>0.11682346786910131</v>
      </c>
      <c r="AB159" s="15">
        <v>0.1195234678691013</v>
      </c>
      <c r="AC159" s="15">
        <v>0.13062346786910131</v>
      </c>
      <c r="AD159" s="15">
        <v>0.12022346786910131</v>
      </c>
      <c r="AE159" s="15">
        <v>0.11062346786910131</v>
      </c>
      <c r="AF159" s="15">
        <v>9.7923467869101305E-2</v>
      </c>
      <c r="AG159" s="15">
        <v>0.10762346786910131</v>
      </c>
      <c r="AH159" s="15">
        <v>0.13002346786910129</v>
      </c>
      <c r="AI159" s="15">
        <v>0.12702346786910129</v>
      </c>
      <c r="AJ159" s="15">
        <v>0.12912346786910131</v>
      </c>
      <c r="AK159" s="15">
        <v>0.11642346786910131</v>
      </c>
    </row>
    <row r="160" spans="3:37" x14ac:dyDescent="0.35">
      <c r="C160" s="4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13"/>
      <c r="AA160" s="2"/>
      <c r="AB160" s="2"/>
      <c r="AC160" s="2"/>
      <c r="AD160" s="2"/>
      <c r="AE160" s="2"/>
      <c r="AF160" s="2"/>
      <c r="AG160" s="12"/>
      <c r="AH160" s="2"/>
      <c r="AI160" s="2"/>
      <c r="AJ160" s="2"/>
      <c r="AK160" s="2"/>
    </row>
    <row r="161" spans="3:37" x14ac:dyDescent="0.35">
      <c r="C161" s="4" t="s">
        <v>92</v>
      </c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13"/>
      <c r="AA161" s="2"/>
      <c r="AB161" s="2"/>
      <c r="AC161" s="2"/>
      <c r="AD161" s="2"/>
      <c r="AE161" s="2"/>
      <c r="AF161" s="2"/>
      <c r="AG161" s="12"/>
      <c r="AH161" s="2"/>
      <c r="AI161" s="2"/>
      <c r="AJ161" s="2"/>
      <c r="AK161" s="2"/>
    </row>
    <row r="162" spans="3:37" x14ac:dyDescent="0.35">
      <c r="C162" t="s">
        <v>93</v>
      </c>
      <c r="D162" s="15">
        <f>1-SUM(D163:D167)</f>
        <v>0.54723569465148325</v>
      </c>
      <c r="E162" s="15">
        <f t="shared" ref="E162:AK162" si="25">1-SUM(E163:E167)</f>
        <v>0.53313569465148325</v>
      </c>
      <c r="F162" s="15">
        <f t="shared" si="25"/>
        <v>0.52293569465148326</v>
      </c>
      <c r="G162" s="15">
        <f t="shared" si="25"/>
        <v>0.52803569465148326</v>
      </c>
      <c r="H162" s="15">
        <f t="shared" si="25"/>
        <v>0.53563569465148331</v>
      </c>
      <c r="I162" s="15">
        <f t="shared" si="25"/>
        <v>0.5367356946514833</v>
      </c>
      <c r="J162" s="15">
        <f t="shared" si="25"/>
        <v>0.52493569465148326</v>
      </c>
      <c r="K162" s="15">
        <f t="shared" si="25"/>
        <v>0.5567356946514832</v>
      </c>
      <c r="L162" s="15">
        <f t="shared" si="25"/>
        <v>0.54743569465148312</v>
      </c>
      <c r="M162" s="15">
        <f t="shared" si="25"/>
        <v>0.55103569465148317</v>
      </c>
      <c r="N162" s="15">
        <f t="shared" si="25"/>
        <v>0.55793569465148329</v>
      </c>
      <c r="O162" s="15">
        <f t="shared" si="25"/>
        <v>0.55403569465148317</v>
      </c>
      <c r="P162" s="15">
        <f t="shared" si="25"/>
        <v>0.55513569465148316</v>
      </c>
      <c r="Q162" s="15">
        <f t="shared" si="25"/>
        <v>0.57383569465148321</v>
      </c>
      <c r="R162" s="15">
        <f t="shared" si="25"/>
        <v>0.54603569465148316</v>
      </c>
      <c r="S162" s="15">
        <f t="shared" si="25"/>
        <v>0.55433569465148325</v>
      </c>
      <c r="T162" s="15">
        <f t="shared" si="25"/>
        <v>0.5547356946514832</v>
      </c>
      <c r="U162" s="15">
        <f t="shared" si="25"/>
        <v>0.54503569465148327</v>
      </c>
      <c r="V162" s="15">
        <f t="shared" si="25"/>
        <v>0.53193569465148327</v>
      </c>
      <c r="W162" s="15">
        <f t="shared" si="25"/>
        <v>0.58583569465148333</v>
      </c>
      <c r="X162" s="15">
        <f t="shared" si="25"/>
        <v>0.51333569465148321</v>
      </c>
      <c r="Y162" s="15">
        <f t="shared" si="25"/>
        <v>0.56023569465148326</v>
      </c>
      <c r="Z162" s="15">
        <f t="shared" si="25"/>
        <v>0.57233569465148326</v>
      </c>
      <c r="AA162" s="15">
        <f t="shared" si="25"/>
        <v>0.54143569465148322</v>
      </c>
      <c r="AB162" s="15">
        <f t="shared" si="25"/>
        <v>0.56783569465148331</v>
      </c>
      <c r="AC162" s="15">
        <f t="shared" si="25"/>
        <v>0.56133569465148325</v>
      </c>
      <c r="AD162" s="15">
        <f t="shared" si="25"/>
        <v>0.55033569465148324</v>
      </c>
      <c r="AE162" s="15">
        <f t="shared" si="25"/>
        <v>0.58123569465148328</v>
      </c>
      <c r="AF162" s="15">
        <f t="shared" si="25"/>
        <v>0.52483569465148316</v>
      </c>
      <c r="AG162" s="15">
        <f t="shared" si="25"/>
        <v>0.51543569465148331</v>
      </c>
      <c r="AH162" s="15">
        <f t="shared" si="25"/>
        <v>0.52223569465148323</v>
      </c>
      <c r="AI162" s="15">
        <f t="shared" si="25"/>
        <v>0.55633569465148325</v>
      </c>
      <c r="AJ162" s="15">
        <f t="shared" si="25"/>
        <v>0.53023569465148324</v>
      </c>
      <c r="AK162" s="15">
        <f t="shared" si="25"/>
        <v>0.5325356946514832</v>
      </c>
    </row>
    <row r="163" spans="3:37" x14ac:dyDescent="0.35">
      <c r="C163" t="s">
        <v>94</v>
      </c>
      <c r="D163" s="15">
        <v>0.14140000000000003</v>
      </c>
      <c r="E163" s="15">
        <v>0.12650000000000003</v>
      </c>
      <c r="F163" s="15">
        <v>0.15110000000000001</v>
      </c>
      <c r="G163" s="15">
        <v>0.12890000000000001</v>
      </c>
      <c r="H163" s="15">
        <v>0.14230000000000004</v>
      </c>
      <c r="I163" s="15">
        <v>0.13510000000000003</v>
      </c>
      <c r="J163" s="15">
        <v>0.14270000000000002</v>
      </c>
      <c r="K163" s="15">
        <v>0.14180000000000004</v>
      </c>
      <c r="L163" s="15">
        <v>0.14430000000000004</v>
      </c>
      <c r="M163" s="15">
        <v>0.15180000000000002</v>
      </c>
      <c r="N163" s="15">
        <v>0.13810000000000003</v>
      </c>
      <c r="O163" s="15">
        <v>0.13800000000000004</v>
      </c>
      <c r="P163" s="15">
        <v>0.14340000000000003</v>
      </c>
      <c r="Q163" s="15">
        <v>0.13220000000000004</v>
      </c>
      <c r="R163" s="15">
        <v>0.15370000000000003</v>
      </c>
      <c r="S163" s="15">
        <v>0.14130000000000004</v>
      </c>
      <c r="T163" s="15">
        <v>0.14290000000000003</v>
      </c>
      <c r="U163" s="15">
        <v>0.14260000000000003</v>
      </c>
      <c r="V163" s="15">
        <v>0.15220000000000003</v>
      </c>
      <c r="W163" s="15">
        <v>0.13780000000000003</v>
      </c>
      <c r="X163" s="15">
        <v>0.15180000000000002</v>
      </c>
      <c r="Y163" s="15">
        <v>0.14610000000000004</v>
      </c>
      <c r="Z163" s="15">
        <v>0.13340000000000002</v>
      </c>
      <c r="AA163" s="15">
        <v>0.13290000000000002</v>
      </c>
      <c r="AB163" s="15">
        <v>0.13450000000000004</v>
      </c>
      <c r="AC163" s="15">
        <v>0.13350000000000004</v>
      </c>
      <c r="AD163" s="15">
        <v>0.13180000000000003</v>
      </c>
      <c r="AE163" s="15">
        <v>0.12560000000000002</v>
      </c>
      <c r="AF163" s="15">
        <v>0.13860000000000003</v>
      </c>
      <c r="AG163" s="15">
        <v>0.14600000000000002</v>
      </c>
      <c r="AH163" s="15">
        <v>0.13890000000000002</v>
      </c>
      <c r="AI163" s="15">
        <v>0.13600000000000004</v>
      </c>
      <c r="AJ163" s="15">
        <v>0.15150000000000002</v>
      </c>
      <c r="AK163" s="15">
        <v>0.15320000000000003</v>
      </c>
    </row>
    <row r="164" spans="3:37" x14ac:dyDescent="0.35">
      <c r="C164" t="s">
        <v>95</v>
      </c>
      <c r="D164" s="15">
        <v>9.9009900990099015E-2</v>
      </c>
      <c r="E164" s="15">
        <v>0.10570990099009901</v>
      </c>
      <c r="F164" s="15">
        <v>9.3609900990099013E-2</v>
      </c>
      <c r="G164" s="15">
        <v>0.10510990099009901</v>
      </c>
      <c r="H164" s="15">
        <v>0.11330990099009902</v>
      </c>
      <c r="I164" s="15">
        <v>9.8809900990099009E-2</v>
      </c>
      <c r="J164" s="15">
        <v>9.7109900990099016E-2</v>
      </c>
      <c r="K164" s="15">
        <v>8.5409900990099014E-2</v>
      </c>
      <c r="L164" s="15">
        <v>9.8609900990099017E-2</v>
      </c>
      <c r="M164" s="15">
        <v>9.9009900990099015E-2</v>
      </c>
      <c r="N164" s="15">
        <v>8.8009900990099019E-2</v>
      </c>
      <c r="O164" s="15">
        <v>9.530990099009902E-2</v>
      </c>
      <c r="P164" s="15">
        <v>0.10270990099009901</v>
      </c>
      <c r="Q164" s="15">
        <v>8.7109900990099021E-2</v>
      </c>
      <c r="R164" s="15">
        <v>0.10510990099009901</v>
      </c>
      <c r="S164" s="15">
        <v>0.10430990099009901</v>
      </c>
      <c r="T164" s="15">
        <v>9.7009900990099013E-2</v>
      </c>
      <c r="U164" s="15">
        <v>9.3809900990099018E-2</v>
      </c>
      <c r="V164" s="15">
        <v>9.920990099009902E-2</v>
      </c>
      <c r="W164" s="15">
        <v>8.5209900990099008E-2</v>
      </c>
      <c r="X164" s="15">
        <v>8.6309900990099012E-2</v>
      </c>
      <c r="Y164" s="15">
        <v>8.8509900990099019E-2</v>
      </c>
      <c r="Z164" s="15">
        <v>9.7809900990099008E-2</v>
      </c>
      <c r="AA164" s="15">
        <v>0.11440990099009901</v>
      </c>
      <c r="AB164" s="15">
        <v>8.6909900990099015E-2</v>
      </c>
      <c r="AC164" s="15">
        <v>9.8809900990099009E-2</v>
      </c>
      <c r="AD164" s="15">
        <v>0.10690990099009902</v>
      </c>
      <c r="AE164" s="15">
        <v>9.2009900990099008E-2</v>
      </c>
      <c r="AF164" s="15">
        <v>0.11290990099009901</v>
      </c>
      <c r="AG164" s="15">
        <v>9.740990099009901E-2</v>
      </c>
      <c r="AH164" s="15">
        <v>9.2009900990099008E-2</v>
      </c>
      <c r="AI164" s="15">
        <v>0.10210990099009902</v>
      </c>
      <c r="AJ164" s="15">
        <v>0.10840990099009902</v>
      </c>
      <c r="AK164" s="15">
        <v>0.11420990099009902</v>
      </c>
    </row>
    <row r="165" spans="3:37" x14ac:dyDescent="0.35">
      <c r="C165" t="s">
        <v>96</v>
      </c>
      <c r="D165" s="15">
        <v>5.6341251506598487E-2</v>
      </c>
      <c r="E165" s="15">
        <v>4.7641251506598488E-2</v>
      </c>
      <c r="F165" s="15">
        <v>6.8041251506598482E-2</v>
      </c>
      <c r="G165" s="15">
        <v>7.2541251506598486E-2</v>
      </c>
      <c r="H165" s="15">
        <v>6.9941251506598481E-2</v>
      </c>
      <c r="I165" s="15">
        <v>6.6941251506598493E-2</v>
      </c>
      <c r="J165" s="15">
        <v>6.7741251506598488E-2</v>
      </c>
      <c r="K165" s="15">
        <v>4.2541251506598488E-2</v>
      </c>
      <c r="L165" s="15">
        <v>6.8741251506598489E-2</v>
      </c>
      <c r="M165" s="15">
        <v>5.3141251506598486E-2</v>
      </c>
      <c r="N165" s="15">
        <v>6.9241251506598489E-2</v>
      </c>
      <c r="O165" s="15">
        <v>6.2141251506598487E-2</v>
      </c>
      <c r="P165" s="15">
        <v>5.1941251506598486E-2</v>
      </c>
      <c r="Q165" s="15">
        <v>5.4141251506598487E-2</v>
      </c>
      <c r="R165" s="15">
        <v>4.0941251506598483E-2</v>
      </c>
      <c r="S165" s="15">
        <v>4.6941251506598489E-2</v>
      </c>
      <c r="T165" s="15">
        <v>5.014125150659849E-2</v>
      </c>
      <c r="U165" s="15">
        <v>5.3841251506598485E-2</v>
      </c>
      <c r="V165" s="15">
        <v>4.674125150659849E-2</v>
      </c>
      <c r="W165" s="15">
        <v>5.6841251506598488E-2</v>
      </c>
      <c r="X165" s="15">
        <v>6.2041251506598491E-2</v>
      </c>
      <c r="Y165" s="15">
        <v>5.644125150659849E-2</v>
      </c>
      <c r="Z165" s="15">
        <v>5.0341251506598489E-2</v>
      </c>
      <c r="AA165" s="15">
        <v>6.104125150659849E-2</v>
      </c>
      <c r="AB165" s="15">
        <v>6.1841251506598485E-2</v>
      </c>
      <c r="AC165" s="15">
        <v>5.9741251506598488E-2</v>
      </c>
      <c r="AD165" s="15">
        <v>5.4441251506598488E-2</v>
      </c>
      <c r="AE165" s="15">
        <v>5.3741251506598489E-2</v>
      </c>
      <c r="AF165" s="15">
        <v>6.054125150659849E-2</v>
      </c>
      <c r="AG165" s="15">
        <v>6.4841251506598488E-2</v>
      </c>
      <c r="AH165" s="15">
        <v>6.9741251506598489E-2</v>
      </c>
      <c r="AI165" s="15">
        <v>5.474125150659849E-2</v>
      </c>
      <c r="AJ165" s="15">
        <v>7.0641251506598488E-2</v>
      </c>
      <c r="AK165" s="15">
        <v>5.8041251506598487E-2</v>
      </c>
    </row>
    <row r="166" spans="3:37" x14ac:dyDescent="0.35">
      <c r="C166" t="s">
        <v>97</v>
      </c>
      <c r="D166" s="15">
        <v>0.10891089108910891</v>
      </c>
      <c r="E166" s="15">
        <v>0.1255108910891089</v>
      </c>
      <c r="F166" s="15">
        <v>0.12171089108910892</v>
      </c>
      <c r="G166" s="15">
        <v>0.11911089108910891</v>
      </c>
      <c r="H166" s="15">
        <v>9.8810891089108913E-2</v>
      </c>
      <c r="I166" s="15">
        <v>9.9510891089108905E-2</v>
      </c>
      <c r="J166" s="15">
        <v>0.1174108910891089</v>
      </c>
      <c r="K166" s="15">
        <v>0.12491089108910891</v>
      </c>
      <c r="L166" s="15">
        <v>0.10961089108910892</v>
      </c>
      <c r="M166" s="15">
        <v>9.6210891089108908E-2</v>
      </c>
      <c r="N166" s="15">
        <v>0.10491089108910891</v>
      </c>
      <c r="O166" s="15">
        <v>0.11781089108910892</v>
      </c>
      <c r="P166" s="15">
        <v>9.4310891089108909E-2</v>
      </c>
      <c r="Q166" s="15">
        <v>0.10721089108910892</v>
      </c>
      <c r="R166" s="15">
        <v>0.10091089108910892</v>
      </c>
      <c r="S166" s="15">
        <v>0.10321089108910891</v>
      </c>
      <c r="T166" s="15">
        <v>0.10991089108910891</v>
      </c>
      <c r="U166" s="15">
        <v>0.1019108910891089</v>
      </c>
      <c r="V166" s="15">
        <v>0.11701089108910891</v>
      </c>
      <c r="W166" s="15">
        <v>0.10141089108910892</v>
      </c>
      <c r="X166" s="15">
        <v>0.12481089108910891</v>
      </c>
      <c r="Y166" s="15">
        <v>9.3710891089108905E-2</v>
      </c>
      <c r="Z166" s="15">
        <v>0.10041089108910892</v>
      </c>
      <c r="AA166" s="15">
        <v>0.10651089108910891</v>
      </c>
      <c r="AB166" s="15">
        <v>0.10331089108910892</v>
      </c>
      <c r="AC166" s="15">
        <v>0.10501089108910891</v>
      </c>
      <c r="AD166" s="15">
        <v>0.10591089108910891</v>
      </c>
      <c r="AE166" s="15">
        <v>0.11651089108910891</v>
      </c>
      <c r="AF166" s="15">
        <v>0.10651089108910891</v>
      </c>
      <c r="AG166" s="15">
        <v>0.11371089108910891</v>
      </c>
      <c r="AH166" s="15">
        <v>0.11961089108910891</v>
      </c>
      <c r="AI166" s="15">
        <v>0.10291089108910891</v>
      </c>
      <c r="AJ166" s="15">
        <v>0.10661089108910891</v>
      </c>
      <c r="AK166" s="15">
        <v>0.10751089108910891</v>
      </c>
    </row>
    <row r="167" spans="3:37" x14ac:dyDescent="0.35">
      <c r="C167" t="s">
        <v>98</v>
      </c>
      <c r="D167" s="15">
        <v>4.7102261762710332E-2</v>
      </c>
      <c r="E167" s="15">
        <v>6.1502261762710328E-2</v>
      </c>
      <c r="F167" s="15">
        <v>4.2602261762710335E-2</v>
      </c>
      <c r="G167" s="15">
        <v>4.630226176271033E-2</v>
      </c>
      <c r="H167" s="15">
        <v>4.000226176271033E-2</v>
      </c>
      <c r="I167" s="15">
        <v>6.2902261762710326E-2</v>
      </c>
      <c r="J167" s="15">
        <v>5.0102261762710334E-2</v>
      </c>
      <c r="K167" s="15">
        <v>4.8602261762710333E-2</v>
      </c>
      <c r="L167" s="15">
        <v>3.130226176271033E-2</v>
      </c>
      <c r="M167" s="15">
        <v>4.8802261762710332E-2</v>
      </c>
      <c r="N167" s="15">
        <v>4.1802261762710333E-2</v>
      </c>
      <c r="O167" s="15">
        <v>3.2702261762710336E-2</v>
      </c>
      <c r="P167" s="15">
        <v>5.2502261762710334E-2</v>
      </c>
      <c r="Q167" s="15">
        <v>4.5502261762710335E-2</v>
      </c>
      <c r="R167" s="15">
        <v>5.3302261762710329E-2</v>
      </c>
      <c r="S167" s="15">
        <v>4.9902261762710329E-2</v>
      </c>
      <c r="T167" s="15">
        <v>4.5302261762710329E-2</v>
      </c>
      <c r="U167" s="15">
        <v>6.2802261762710337E-2</v>
      </c>
      <c r="V167" s="15">
        <v>5.2902261762710331E-2</v>
      </c>
      <c r="W167" s="15">
        <v>3.2902261762710328E-2</v>
      </c>
      <c r="X167" s="15">
        <v>6.1702261762710334E-2</v>
      </c>
      <c r="Y167" s="15">
        <v>5.5002261762710336E-2</v>
      </c>
      <c r="Z167" s="15">
        <v>4.5702261762710333E-2</v>
      </c>
      <c r="AA167" s="15">
        <v>4.3702261762710332E-2</v>
      </c>
      <c r="AB167" s="15">
        <v>4.560226176271033E-2</v>
      </c>
      <c r="AC167" s="15">
        <v>4.1602261762710334E-2</v>
      </c>
      <c r="AD167" s="15">
        <v>5.0602261762710335E-2</v>
      </c>
      <c r="AE167" s="15">
        <v>3.0902261762710333E-2</v>
      </c>
      <c r="AF167" s="15">
        <v>5.6602261762710333E-2</v>
      </c>
      <c r="AG167" s="15">
        <v>6.2602261762710332E-2</v>
      </c>
      <c r="AH167" s="15">
        <v>5.7502261762710331E-2</v>
      </c>
      <c r="AI167" s="15">
        <v>4.7902261762710334E-2</v>
      </c>
      <c r="AJ167" s="15">
        <v>3.2602261762710333E-2</v>
      </c>
      <c r="AK167" s="15">
        <v>3.4502261762710332E-2</v>
      </c>
    </row>
    <row r="168" spans="3:37" x14ac:dyDescent="0.35">
      <c r="C168" s="4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13"/>
      <c r="AA168" s="2"/>
      <c r="AB168" s="2"/>
      <c r="AC168" s="2"/>
      <c r="AD168" s="2"/>
      <c r="AE168" s="2"/>
      <c r="AF168" s="2"/>
      <c r="AG168" s="12"/>
      <c r="AH168" s="2"/>
      <c r="AI168" s="2"/>
      <c r="AJ168" s="2"/>
      <c r="AK168" s="2"/>
    </row>
    <row r="169" spans="3:37" x14ac:dyDescent="0.35">
      <c r="C169" s="4" t="s">
        <v>99</v>
      </c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13"/>
      <c r="AA169" s="2"/>
      <c r="AB169" s="2"/>
      <c r="AC169" s="2"/>
      <c r="AD169" s="2"/>
      <c r="AE169" s="2"/>
      <c r="AF169" s="2"/>
      <c r="AG169" s="12"/>
      <c r="AH169" s="2"/>
      <c r="AI169" s="2"/>
      <c r="AJ169" s="2"/>
      <c r="AK169" s="2"/>
    </row>
    <row r="170" spans="3:37" x14ac:dyDescent="0.35">
      <c r="C170" s="4" t="s">
        <v>84</v>
      </c>
      <c r="D170" s="15">
        <f>D186</f>
        <v>0.86763319870163769</v>
      </c>
      <c r="E170" s="15">
        <f t="shared" ref="E170:AK170" si="26">E186</f>
        <v>0.88113319870163764</v>
      </c>
      <c r="F170" s="15">
        <f t="shared" si="26"/>
        <v>0.87273319870163768</v>
      </c>
      <c r="G170" s="15">
        <f t="shared" si="26"/>
        <v>0.87643319870163772</v>
      </c>
      <c r="H170" s="15">
        <f t="shared" si="26"/>
        <v>0.85173319870163766</v>
      </c>
      <c r="I170" s="15">
        <f t="shared" si="26"/>
        <v>0.88033319870163773</v>
      </c>
      <c r="J170" s="15">
        <f t="shared" si="26"/>
        <v>0.86713319870163774</v>
      </c>
      <c r="K170" s="15">
        <f t="shared" si="26"/>
        <v>0.85233319870163771</v>
      </c>
      <c r="L170" s="15">
        <f t="shared" si="26"/>
        <v>0.87513319870163775</v>
      </c>
      <c r="M170" s="15">
        <f t="shared" si="26"/>
        <v>0.88213319870163764</v>
      </c>
      <c r="N170" s="15">
        <f t="shared" si="26"/>
        <v>0.8786331987016377</v>
      </c>
      <c r="O170" s="15">
        <f t="shared" si="26"/>
        <v>0.85963319870163768</v>
      </c>
      <c r="P170" s="15">
        <f t="shared" si="26"/>
        <v>0.87203319870163765</v>
      </c>
      <c r="Q170" s="15">
        <f t="shared" si="26"/>
        <v>0.85803319870163763</v>
      </c>
      <c r="R170" s="15">
        <f t="shared" si="26"/>
        <v>0.86473319870163767</v>
      </c>
      <c r="S170" s="15">
        <f t="shared" si="26"/>
        <v>0.85663319870163768</v>
      </c>
      <c r="T170" s="15">
        <f t="shared" si="26"/>
        <v>0.87393319870163766</v>
      </c>
      <c r="U170" s="15">
        <f t="shared" si="26"/>
        <v>0.8655331987016377</v>
      </c>
      <c r="V170" s="15">
        <f t="shared" si="26"/>
        <v>0.85193319870163764</v>
      </c>
      <c r="W170" s="15">
        <f t="shared" si="26"/>
        <v>0.87093319870163766</v>
      </c>
      <c r="X170" s="15">
        <f t="shared" si="26"/>
        <v>0.87923319870163774</v>
      </c>
      <c r="Y170" s="15">
        <f t="shared" si="26"/>
        <v>0.85113319870163773</v>
      </c>
      <c r="Z170" s="15">
        <f t="shared" si="26"/>
        <v>0.85303319870163774</v>
      </c>
      <c r="AA170" s="15">
        <f t="shared" si="26"/>
        <v>0.8695331987016377</v>
      </c>
      <c r="AB170" s="15">
        <f t="shared" si="26"/>
        <v>0.88103319870163765</v>
      </c>
      <c r="AC170" s="15">
        <f t="shared" si="26"/>
        <v>0.87803319870163765</v>
      </c>
      <c r="AD170" s="15">
        <f t="shared" si="26"/>
        <v>0.85773319870163767</v>
      </c>
      <c r="AE170" s="15">
        <f t="shared" si="26"/>
        <v>0.86373319870163767</v>
      </c>
      <c r="AF170" s="15">
        <f t="shared" si="26"/>
        <v>0.8665331987016377</v>
      </c>
      <c r="AG170" s="15">
        <f t="shared" si="26"/>
        <v>0.86003319870163764</v>
      </c>
      <c r="AH170" s="15">
        <f t="shared" si="26"/>
        <v>0.87993319870163766</v>
      </c>
      <c r="AI170" s="15">
        <f t="shared" si="26"/>
        <v>0.85553319870163769</v>
      </c>
      <c r="AJ170" s="15">
        <f t="shared" si="26"/>
        <v>0.86803319870163764</v>
      </c>
      <c r="AK170" s="15">
        <f t="shared" si="26"/>
        <v>0.87743319870163772</v>
      </c>
    </row>
    <row r="171" spans="3:37" x14ac:dyDescent="0.35">
      <c r="C171" s="37" t="s">
        <v>100</v>
      </c>
      <c r="D171" s="15">
        <f>1-SUM(D175:D176)</f>
        <v>0.85289578425798074</v>
      </c>
      <c r="E171" s="15">
        <f t="shared" ref="E171:AK171" si="27">1-SUM(E175:E176)</f>
        <v>0.82809578425798069</v>
      </c>
      <c r="F171" s="15">
        <f t="shared" si="27"/>
        <v>0.84089578425798073</v>
      </c>
      <c r="G171" s="15">
        <f t="shared" si="27"/>
        <v>0.83219578425798069</v>
      </c>
      <c r="H171" s="15">
        <f t="shared" si="27"/>
        <v>0.86409578425798061</v>
      </c>
      <c r="I171" s="15">
        <f t="shared" si="27"/>
        <v>0.8420957842579806</v>
      </c>
      <c r="J171" s="15">
        <f t="shared" si="27"/>
        <v>0.84069578425798075</v>
      </c>
      <c r="K171" s="15">
        <f t="shared" si="27"/>
        <v>0.86119578425798071</v>
      </c>
      <c r="L171" s="15">
        <f t="shared" si="27"/>
        <v>0.8370957842579807</v>
      </c>
      <c r="M171" s="15">
        <f t="shared" si="27"/>
        <v>0.85289578425798074</v>
      </c>
      <c r="N171" s="15">
        <f t="shared" si="27"/>
        <v>0.83029578425798067</v>
      </c>
      <c r="O171" s="15">
        <f t="shared" si="27"/>
        <v>0.86659578425798067</v>
      </c>
      <c r="P171" s="15">
        <f t="shared" si="27"/>
        <v>0.82849578425798065</v>
      </c>
      <c r="Q171" s="15">
        <f t="shared" si="27"/>
        <v>0.84739578425798068</v>
      </c>
      <c r="R171" s="15">
        <f t="shared" si="27"/>
        <v>0.86299578425798074</v>
      </c>
      <c r="S171" s="15">
        <f t="shared" si="27"/>
        <v>0.83799578425798071</v>
      </c>
      <c r="T171" s="15">
        <f t="shared" si="27"/>
        <v>0.8552957842579807</v>
      </c>
      <c r="U171" s="15">
        <f t="shared" si="27"/>
        <v>0.83969578425798064</v>
      </c>
      <c r="V171" s="15">
        <f t="shared" si="27"/>
        <v>0.85999578425798062</v>
      </c>
      <c r="W171" s="15">
        <f t="shared" si="27"/>
        <v>0.85859578425798067</v>
      </c>
      <c r="X171" s="15">
        <f t="shared" si="27"/>
        <v>0.86469578425798066</v>
      </c>
      <c r="Y171" s="15">
        <f t="shared" si="27"/>
        <v>0.8370957842579807</v>
      </c>
      <c r="Z171" s="15">
        <f t="shared" si="27"/>
        <v>0.82959578425798064</v>
      </c>
      <c r="AA171" s="15">
        <f t="shared" si="27"/>
        <v>0.86609578425798073</v>
      </c>
      <c r="AB171" s="15">
        <f t="shared" si="27"/>
        <v>0.85919578425798071</v>
      </c>
      <c r="AC171" s="15">
        <f t="shared" si="27"/>
        <v>0.8521957842579807</v>
      </c>
      <c r="AD171" s="15">
        <f t="shared" si="27"/>
        <v>0.84139578425798067</v>
      </c>
      <c r="AE171" s="15">
        <f t="shared" si="27"/>
        <v>0.84349578425798066</v>
      </c>
      <c r="AF171" s="15">
        <f t="shared" si="27"/>
        <v>0.86689578425798064</v>
      </c>
      <c r="AG171" s="15">
        <f t="shared" si="27"/>
        <v>0.86649578425798068</v>
      </c>
      <c r="AH171" s="15">
        <f t="shared" si="27"/>
        <v>0.86069578425798066</v>
      </c>
      <c r="AI171" s="15">
        <f t="shared" si="27"/>
        <v>0.84439578425798067</v>
      </c>
      <c r="AJ171" s="15">
        <f t="shared" si="27"/>
        <v>0.83419578425798069</v>
      </c>
      <c r="AK171" s="15">
        <f t="shared" si="27"/>
        <v>0.86069578425798066</v>
      </c>
    </row>
    <row r="172" spans="3:37" x14ac:dyDescent="0.35">
      <c r="C172" s="39" t="s">
        <v>77</v>
      </c>
      <c r="D172" s="15">
        <f>1-SUM(D173:D174)</f>
        <v>0.37522573958766359</v>
      </c>
      <c r="E172" s="15">
        <f t="shared" ref="E172:AK172" si="28">1-SUM(E173:E174)</f>
        <v>0.40062573958766357</v>
      </c>
      <c r="F172" s="15">
        <f t="shared" si="28"/>
        <v>0.35382573958766361</v>
      </c>
      <c r="G172" s="15">
        <f t="shared" si="28"/>
        <v>0.35122573958766357</v>
      </c>
      <c r="H172" s="15">
        <f t="shared" si="28"/>
        <v>0.36852573958766355</v>
      </c>
      <c r="I172" s="15">
        <f t="shared" si="28"/>
        <v>0.38772573958766354</v>
      </c>
      <c r="J172" s="15">
        <f t="shared" si="28"/>
        <v>0.38792573958766363</v>
      </c>
      <c r="K172" s="15">
        <f t="shared" si="28"/>
        <v>0.3721257395876636</v>
      </c>
      <c r="L172" s="15">
        <f t="shared" si="28"/>
        <v>0.37422573958766359</v>
      </c>
      <c r="M172" s="15">
        <f t="shared" si="28"/>
        <v>0.38062573958766355</v>
      </c>
      <c r="N172" s="15">
        <f t="shared" si="28"/>
        <v>0.39042573958766358</v>
      </c>
      <c r="O172" s="15">
        <f t="shared" si="28"/>
        <v>0.38602573958766351</v>
      </c>
      <c r="P172" s="15">
        <f t="shared" si="28"/>
        <v>0.34762573958766352</v>
      </c>
      <c r="Q172" s="15">
        <f t="shared" si="28"/>
        <v>0.36942573958766356</v>
      </c>
      <c r="R172" s="15">
        <f t="shared" si="28"/>
        <v>0.36522573958766358</v>
      </c>
      <c r="S172" s="15">
        <f t="shared" si="28"/>
        <v>0.34972573958766362</v>
      </c>
      <c r="T172" s="15">
        <f t="shared" si="28"/>
        <v>0.38872573958766354</v>
      </c>
      <c r="U172" s="15">
        <f t="shared" si="28"/>
        <v>0.37332573958766357</v>
      </c>
      <c r="V172" s="15">
        <f t="shared" si="28"/>
        <v>0.38752573958766356</v>
      </c>
      <c r="W172" s="15">
        <f t="shared" si="28"/>
        <v>0.36342573958766355</v>
      </c>
      <c r="X172" s="15">
        <f t="shared" si="28"/>
        <v>0.3721257395876636</v>
      </c>
      <c r="Y172" s="15">
        <f t="shared" si="28"/>
        <v>0.40002573958766352</v>
      </c>
      <c r="Z172" s="15">
        <f t="shared" si="28"/>
        <v>0.39692573958766353</v>
      </c>
      <c r="AA172" s="15">
        <f t="shared" si="28"/>
        <v>0.39942573958766359</v>
      </c>
      <c r="AB172" s="15">
        <f t="shared" si="28"/>
        <v>0.36042573958766355</v>
      </c>
      <c r="AC172" s="15">
        <f t="shared" si="28"/>
        <v>0.38032573958766358</v>
      </c>
      <c r="AD172" s="15">
        <f t="shared" si="28"/>
        <v>0.37282573958766352</v>
      </c>
      <c r="AE172" s="15">
        <f t="shared" si="28"/>
        <v>0.37482573958766352</v>
      </c>
      <c r="AF172" s="15">
        <f t="shared" si="28"/>
        <v>0.39492573958766353</v>
      </c>
      <c r="AG172" s="15">
        <f t="shared" si="28"/>
        <v>0.39512573958766362</v>
      </c>
      <c r="AH172" s="15">
        <f t="shared" si="28"/>
        <v>0.39432573958766359</v>
      </c>
      <c r="AI172" s="15">
        <f t="shared" si="28"/>
        <v>0.38612573958766361</v>
      </c>
      <c r="AJ172" s="15">
        <f t="shared" si="28"/>
        <v>0.40332573958766349</v>
      </c>
      <c r="AK172" s="15">
        <f t="shared" si="28"/>
        <v>0.38412573958766361</v>
      </c>
    </row>
    <row r="173" spans="3:37" x14ac:dyDescent="0.35">
      <c r="C173" s="39" t="s">
        <v>78</v>
      </c>
      <c r="D173" s="15">
        <v>0.43816871476714653</v>
      </c>
      <c r="E173" s="15">
        <v>0.42526871476714651</v>
      </c>
      <c r="F173" s="15">
        <v>0.45176871476714653</v>
      </c>
      <c r="G173" s="15">
        <v>0.45156871476714655</v>
      </c>
      <c r="H173" s="15">
        <v>0.44556871476714655</v>
      </c>
      <c r="I173" s="15">
        <v>0.42756871476714653</v>
      </c>
      <c r="J173" s="15">
        <v>0.43276871476714651</v>
      </c>
      <c r="K173" s="15">
        <v>0.43846871476714655</v>
      </c>
      <c r="L173" s="15">
        <v>0.44146871476714655</v>
      </c>
      <c r="M173" s="15">
        <v>0.44356871476714654</v>
      </c>
      <c r="N173" s="15">
        <v>0.42486871476714655</v>
      </c>
      <c r="O173" s="15">
        <v>0.43946871476714655</v>
      </c>
      <c r="P173" s="15">
        <v>0.45056871476714655</v>
      </c>
      <c r="Q173" s="15">
        <v>0.43096871476714654</v>
      </c>
      <c r="R173" s="15">
        <v>0.45016871476714654</v>
      </c>
      <c r="S173" s="15">
        <v>0.44836871476714651</v>
      </c>
      <c r="T173" s="15">
        <v>0.42366871476714651</v>
      </c>
      <c r="U173" s="15">
        <v>0.42556871476714653</v>
      </c>
      <c r="V173" s="15">
        <v>0.42626871476714651</v>
      </c>
      <c r="W173" s="15">
        <v>0.44376871476714652</v>
      </c>
      <c r="X173" s="15">
        <v>0.42486871476714655</v>
      </c>
      <c r="Y173" s="15">
        <v>0.42886871476714655</v>
      </c>
      <c r="Z173" s="15">
        <v>0.42596871476714654</v>
      </c>
      <c r="AA173" s="15">
        <v>0.4232687147671465</v>
      </c>
      <c r="AB173" s="15">
        <v>0.45306871476714655</v>
      </c>
      <c r="AC173" s="15">
        <v>0.4358687147671465</v>
      </c>
      <c r="AD173" s="15">
        <v>0.43376871476714651</v>
      </c>
      <c r="AE173" s="15">
        <v>0.42306871476714653</v>
      </c>
      <c r="AF173" s="15">
        <v>0.43376871476714651</v>
      </c>
      <c r="AG173" s="15">
        <v>0.4222687147671465</v>
      </c>
      <c r="AH173" s="15">
        <v>0.43266871476714652</v>
      </c>
      <c r="AI173" s="15">
        <v>0.42416871476714652</v>
      </c>
      <c r="AJ173" s="15">
        <v>0.42546871476714654</v>
      </c>
      <c r="AK173" s="15">
        <v>0.43916871476714653</v>
      </c>
    </row>
    <row r="174" spans="3:37" x14ac:dyDescent="0.35">
      <c r="C174" s="39" t="s">
        <v>79</v>
      </c>
      <c r="D174" s="15">
        <v>0.18660554564518991</v>
      </c>
      <c r="E174" s="15">
        <v>0.1741055456451899</v>
      </c>
      <c r="F174" s="15">
        <v>0.19440554564518991</v>
      </c>
      <c r="G174" s="15">
        <v>0.19720554564518991</v>
      </c>
      <c r="H174" s="15">
        <v>0.18590554564518991</v>
      </c>
      <c r="I174" s="15">
        <v>0.1847055456451899</v>
      </c>
      <c r="J174" s="15">
        <v>0.17930554564518991</v>
      </c>
      <c r="K174" s="15">
        <v>0.18940554564518991</v>
      </c>
      <c r="L174" s="15">
        <v>0.18430554564518992</v>
      </c>
      <c r="M174" s="15">
        <v>0.17580554564518991</v>
      </c>
      <c r="N174" s="15">
        <v>0.1847055456451899</v>
      </c>
      <c r="O174" s="15">
        <v>0.17450554564518991</v>
      </c>
      <c r="P174" s="15">
        <v>0.2018055456451899</v>
      </c>
      <c r="Q174" s="15">
        <v>0.19960554564518992</v>
      </c>
      <c r="R174" s="15">
        <v>0.18460554564518991</v>
      </c>
      <c r="S174" s="15">
        <v>0.20190554564518992</v>
      </c>
      <c r="T174" s="15">
        <v>0.18760554564518991</v>
      </c>
      <c r="U174" s="15">
        <v>0.20110554564518993</v>
      </c>
      <c r="V174" s="15">
        <v>0.1862055456451899</v>
      </c>
      <c r="W174" s="15">
        <v>0.19280554564518992</v>
      </c>
      <c r="X174" s="15">
        <v>0.20300554564518991</v>
      </c>
      <c r="Y174" s="15">
        <v>0.17110554564518993</v>
      </c>
      <c r="Z174" s="15">
        <v>0.1771055456451899</v>
      </c>
      <c r="AA174" s="15">
        <v>0.17730554564518991</v>
      </c>
      <c r="AB174" s="15">
        <v>0.18650554564518992</v>
      </c>
      <c r="AC174" s="15">
        <v>0.18380554564518992</v>
      </c>
      <c r="AD174" s="15">
        <v>0.19340554564518991</v>
      </c>
      <c r="AE174" s="15">
        <v>0.2021055456451899</v>
      </c>
      <c r="AF174" s="15">
        <v>0.17130554564518991</v>
      </c>
      <c r="AG174" s="15">
        <v>0.18260554564518991</v>
      </c>
      <c r="AH174" s="15">
        <v>0.17300554564518991</v>
      </c>
      <c r="AI174" s="15">
        <v>0.1897055456451899</v>
      </c>
      <c r="AJ174" s="15">
        <v>0.17120554564518992</v>
      </c>
      <c r="AK174" s="15">
        <v>0.17670554564518992</v>
      </c>
    </row>
    <row r="175" spans="3:37" x14ac:dyDescent="0.35">
      <c r="C175" s="37" t="s">
        <v>101</v>
      </c>
      <c r="D175" s="15">
        <v>3.3790918690601912E-2</v>
      </c>
      <c r="E175" s="15">
        <v>4.1390918690601908E-2</v>
      </c>
      <c r="F175" s="15">
        <v>3.2190918690601915E-2</v>
      </c>
      <c r="G175" s="15">
        <v>4.2690918690601903E-2</v>
      </c>
      <c r="H175" s="15">
        <v>3.4390918690601915E-2</v>
      </c>
      <c r="I175" s="15">
        <v>3.6690918690601926E-2</v>
      </c>
      <c r="J175" s="15">
        <v>4.1390918690601908E-2</v>
      </c>
      <c r="K175" s="15">
        <v>3.8190918690601913E-2</v>
      </c>
      <c r="L175" s="15">
        <v>3.6790918690601929E-2</v>
      </c>
      <c r="M175" s="15">
        <v>3.2690918690601915E-2</v>
      </c>
      <c r="N175" s="15">
        <v>4.2790918690601906E-2</v>
      </c>
      <c r="O175" s="15">
        <v>2.8990918690601913E-2</v>
      </c>
      <c r="P175" s="15">
        <v>4.2190918690601903E-2</v>
      </c>
      <c r="Q175" s="15">
        <v>4.2490918690601912E-2</v>
      </c>
      <c r="R175" s="15">
        <v>3.009091869060191E-2</v>
      </c>
      <c r="S175" s="15">
        <v>4.1490918690601904E-2</v>
      </c>
      <c r="T175" s="15">
        <v>3.5190918690601911E-2</v>
      </c>
      <c r="U175" s="15">
        <v>4.1690918690601909E-2</v>
      </c>
      <c r="V175" s="15">
        <v>3.2090918690601912E-2</v>
      </c>
      <c r="W175" s="15">
        <v>3.3590918690601913E-2</v>
      </c>
      <c r="X175" s="15">
        <v>2.9090918690601916E-2</v>
      </c>
      <c r="Y175" s="15">
        <v>3.6390918690601903E-2</v>
      </c>
      <c r="Z175" s="15">
        <v>4.2890918690601909E-2</v>
      </c>
      <c r="AA175" s="15">
        <v>3.5590918690601901E-2</v>
      </c>
      <c r="AB175" s="15">
        <v>4.1790918690601912E-2</v>
      </c>
      <c r="AC175" s="15">
        <v>3.1890918690601913E-2</v>
      </c>
      <c r="AD175" s="15">
        <v>4.2190918690601903E-2</v>
      </c>
      <c r="AE175" s="15">
        <v>3.7190918690601905E-2</v>
      </c>
      <c r="AF175" s="15">
        <v>3.599091869060192E-2</v>
      </c>
      <c r="AG175" s="15">
        <v>2.9390918690601918E-2</v>
      </c>
      <c r="AH175" s="15">
        <v>3.639091869060191E-2</v>
      </c>
      <c r="AI175" s="15">
        <v>2.9490918690601917E-2</v>
      </c>
      <c r="AJ175" s="15">
        <v>3.9090918690601911E-2</v>
      </c>
      <c r="AK175" s="15">
        <v>4.0190918690601908E-2</v>
      </c>
    </row>
    <row r="176" spans="3:37" x14ac:dyDescent="0.35">
      <c r="C176" s="37" t="s">
        <v>102</v>
      </c>
      <c r="D176" s="15">
        <v>0.11331329705141741</v>
      </c>
      <c r="E176" s="15">
        <v>0.1305132970514174</v>
      </c>
      <c r="F176" s="15">
        <v>0.12691329705141741</v>
      </c>
      <c r="G176" s="15">
        <v>0.12511329705141741</v>
      </c>
      <c r="H176" s="15">
        <v>0.1015132970514174</v>
      </c>
      <c r="I176" s="15">
        <v>0.12121329705141741</v>
      </c>
      <c r="J176" s="15">
        <v>0.1179132970514174</v>
      </c>
      <c r="K176" s="15">
        <v>0.1006132970514174</v>
      </c>
      <c r="L176" s="15">
        <v>0.12611329705141741</v>
      </c>
      <c r="M176" s="15">
        <v>0.11441329705141741</v>
      </c>
      <c r="N176" s="15">
        <v>0.12691329705141741</v>
      </c>
      <c r="O176" s="15">
        <v>0.1044132970514174</v>
      </c>
      <c r="P176" s="15">
        <v>0.12931329705141742</v>
      </c>
      <c r="Q176" s="15">
        <v>0.11011329705141741</v>
      </c>
      <c r="R176" s="15">
        <v>0.1069132970514174</v>
      </c>
      <c r="S176" s="15">
        <v>0.1205132970514174</v>
      </c>
      <c r="T176" s="15">
        <v>0.10951329705141741</v>
      </c>
      <c r="U176" s="15">
        <v>0.1186132970514174</v>
      </c>
      <c r="V176" s="15">
        <v>0.1079132970514174</v>
      </c>
      <c r="W176" s="15">
        <v>0.1078132970514174</v>
      </c>
      <c r="X176" s="15">
        <v>0.10621329705141741</v>
      </c>
      <c r="Y176" s="15">
        <v>0.12651329705141739</v>
      </c>
      <c r="Z176" s="15">
        <v>0.1275132970514174</v>
      </c>
      <c r="AA176" s="15">
        <v>9.8313297051417406E-2</v>
      </c>
      <c r="AB176" s="15">
        <v>9.9013297051417398E-2</v>
      </c>
      <c r="AC176" s="15">
        <v>0.11591329705141741</v>
      </c>
      <c r="AD176" s="15">
        <v>0.11641329705141741</v>
      </c>
      <c r="AE176" s="15">
        <v>0.11931329705141741</v>
      </c>
      <c r="AF176" s="15">
        <v>9.7113297051417413E-2</v>
      </c>
      <c r="AG176" s="15">
        <v>0.10411329705141741</v>
      </c>
      <c r="AH176" s="15">
        <v>0.10291329705141741</v>
      </c>
      <c r="AI176" s="15">
        <v>0.12611329705141741</v>
      </c>
      <c r="AJ176" s="15">
        <v>0.1267132970514174</v>
      </c>
      <c r="AK176" s="15">
        <v>9.9113297051417401E-2</v>
      </c>
    </row>
    <row r="177" spans="3:37" x14ac:dyDescent="0.35">
      <c r="C177" s="4" t="s">
        <v>83</v>
      </c>
      <c r="D177" s="15">
        <f>D208</f>
        <v>0.13236680129836231</v>
      </c>
      <c r="E177" s="15">
        <f t="shared" ref="E177:AK177" si="29">E208</f>
        <v>0.11886680129836232</v>
      </c>
      <c r="F177" s="15">
        <f t="shared" si="29"/>
        <v>0.12726680129836232</v>
      </c>
      <c r="G177" s="15">
        <f t="shared" si="29"/>
        <v>0.12356680129836231</v>
      </c>
      <c r="H177" s="15">
        <f t="shared" si="29"/>
        <v>0.14826680129836231</v>
      </c>
      <c r="I177" s="15">
        <f t="shared" si="29"/>
        <v>0.11966680129836231</v>
      </c>
      <c r="J177" s="15">
        <f t="shared" si="29"/>
        <v>0.13286680129836231</v>
      </c>
      <c r="K177" s="15">
        <f t="shared" si="29"/>
        <v>0.14766680129836232</v>
      </c>
      <c r="L177" s="15">
        <f t="shared" si="29"/>
        <v>0.12486680129836231</v>
      </c>
      <c r="M177" s="15">
        <f t="shared" si="29"/>
        <v>0.11786680129836231</v>
      </c>
      <c r="N177" s="15">
        <f t="shared" si="29"/>
        <v>0.12136680129836232</v>
      </c>
      <c r="O177" s="15">
        <f t="shared" si="29"/>
        <v>0.14036680129836232</v>
      </c>
      <c r="P177" s="15">
        <f t="shared" si="29"/>
        <v>0.12796680129836233</v>
      </c>
      <c r="Q177" s="15">
        <f t="shared" si="29"/>
        <v>0.14196680129836231</v>
      </c>
      <c r="R177" s="15">
        <f t="shared" si="29"/>
        <v>0.13526680129836233</v>
      </c>
      <c r="S177" s="15">
        <f t="shared" si="29"/>
        <v>0.14336680129836232</v>
      </c>
      <c r="T177" s="15">
        <f t="shared" si="29"/>
        <v>0.12606680129836231</v>
      </c>
      <c r="U177" s="15">
        <f t="shared" si="29"/>
        <v>0.1344668012983623</v>
      </c>
      <c r="V177" s="15">
        <f t="shared" si="29"/>
        <v>0.1480668012983623</v>
      </c>
      <c r="W177" s="15">
        <f t="shared" si="29"/>
        <v>0.12906680129836232</v>
      </c>
      <c r="X177" s="15">
        <f t="shared" si="29"/>
        <v>0.12076680129836231</v>
      </c>
      <c r="Y177" s="15">
        <f t="shared" si="29"/>
        <v>0.14886680129836233</v>
      </c>
      <c r="Z177" s="15">
        <f t="shared" si="29"/>
        <v>0.14696680129836232</v>
      </c>
      <c r="AA177" s="15">
        <f t="shared" si="29"/>
        <v>0.1304668012983623</v>
      </c>
      <c r="AB177" s="15">
        <f t="shared" si="29"/>
        <v>0.11896680129836232</v>
      </c>
      <c r="AC177" s="15">
        <f t="shared" si="29"/>
        <v>0.12196680129836232</v>
      </c>
      <c r="AD177" s="15">
        <f t="shared" si="29"/>
        <v>0.14226680129836231</v>
      </c>
      <c r="AE177" s="15">
        <f t="shared" si="29"/>
        <v>0.1362668012983623</v>
      </c>
      <c r="AF177" s="15">
        <f t="shared" si="29"/>
        <v>0.1334668012983623</v>
      </c>
      <c r="AG177" s="15">
        <f t="shared" si="29"/>
        <v>0.13996680129836231</v>
      </c>
      <c r="AH177" s="15">
        <f t="shared" si="29"/>
        <v>0.12006680129836231</v>
      </c>
      <c r="AI177" s="15">
        <f t="shared" si="29"/>
        <v>0.14446680129836231</v>
      </c>
      <c r="AJ177" s="15">
        <f t="shared" si="29"/>
        <v>0.1319668012983623</v>
      </c>
      <c r="AK177" s="15">
        <f t="shared" si="29"/>
        <v>0.12256680129836231</v>
      </c>
    </row>
    <row r="178" spans="3:37" x14ac:dyDescent="0.35">
      <c r="C178" s="37" t="s">
        <v>103</v>
      </c>
      <c r="D178" s="15">
        <f>1-SUM(D182:D183)</f>
        <v>0.90653279676424325</v>
      </c>
      <c r="E178" s="15">
        <f t="shared" ref="E178:AK178" si="30">1-SUM(E182:E183)</f>
        <v>0.89863279676424324</v>
      </c>
      <c r="F178" s="15">
        <f t="shared" si="30"/>
        <v>0.90863279676424324</v>
      </c>
      <c r="G178" s="15">
        <f t="shared" si="30"/>
        <v>0.89743279676424326</v>
      </c>
      <c r="H178" s="15">
        <f t="shared" si="30"/>
        <v>0.90733279676424328</v>
      </c>
      <c r="I178" s="15">
        <f t="shared" si="30"/>
        <v>0.91553279676424326</v>
      </c>
      <c r="J178" s="15">
        <f t="shared" si="30"/>
        <v>0.90893279676424321</v>
      </c>
      <c r="K178" s="15">
        <f t="shared" si="30"/>
        <v>0.8970327967642433</v>
      </c>
      <c r="L178" s="15">
        <f t="shared" si="30"/>
        <v>0.90623279676424329</v>
      </c>
      <c r="M178" s="15">
        <f t="shared" si="30"/>
        <v>0.90203279676424319</v>
      </c>
      <c r="N178" s="15">
        <f t="shared" si="30"/>
        <v>0.91723279676424319</v>
      </c>
      <c r="O178" s="15">
        <f t="shared" si="30"/>
        <v>0.8990327967642433</v>
      </c>
      <c r="P178" s="15">
        <f t="shared" si="30"/>
        <v>0.91463279676424325</v>
      </c>
      <c r="Q178" s="15">
        <f t="shared" si="30"/>
        <v>0.9031327967642433</v>
      </c>
      <c r="R178" s="15">
        <f t="shared" si="30"/>
        <v>0.91573279676424324</v>
      </c>
      <c r="S178" s="15">
        <f t="shared" si="30"/>
        <v>0.9100327967642432</v>
      </c>
      <c r="T178" s="15">
        <f t="shared" si="30"/>
        <v>0.89863279676424324</v>
      </c>
      <c r="U178" s="15">
        <f t="shared" si="30"/>
        <v>0.91053279676424326</v>
      </c>
      <c r="V178" s="15">
        <f t="shared" si="30"/>
        <v>0.91023279676424329</v>
      </c>
      <c r="W178" s="15">
        <f t="shared" si="30"/>
        <v>0.89883279676424321</v>
      </c>
      <c r="X178" s="15">
        <f t="shared" si="30"/>
        <v>0.89213279676424329</v>
      </c>
      <c r="Y178" s="15">
        <f t="shared" si="30"/>
        <v>0.90263279676424324</v>
      </c>
      <c r="Z178" s="15">
        <f t="shared" si="30"/>
        <v>0.91663279676424325</v>
      </c>
      <c r="AA178" s="15">
        <f t="shared" si="30"/>
        <v>0.92323279676424319</v>
      </c>
      <c r="AB178" s="15">
        <f t="shared" si="30"/>
        <v>0.9131327967642433</v>
      </c>
      <c r="AC178" s="15">
        <f t="shared" si="30"/>
        <v>0.90693279676424321</v>
      </c>
      <c r="AD178" s="15">
        <f t="shared" si="30"/>
        <v>0.90473279676424323</v>
      </c>
      <c r="AE178" s="15">
        <f t="shared" si="30"/>
        <v>0.90343279676424326</v>
      </c>
      <c r="AF178" s="15">
        <f t="shared" si="30"/>
        <v>0.91563279676424325</v>
      </c>
      <c r="AG178" s="15">
        <f t="shared" si="30"/>
        <v>0.89613279676424318</v>
      </c>
      <c r="AH178" s="15">
        <f t="shared" si="30"/>
        <v>0.89233279676424326</v>
      </c>
      <c r="AI178" s="15">
        <f t="shared" si="30"/>
        <v>0.91593279676424322</v>
      </c>
      <c r="AJ178" s="15">
        <f t="shared" si="30"/>
        <v>0.91413279676424319</v>
      </c>
      <c r="AK178" s="15">
        <f t="shared" si="30"/>
        <v>0.90623279676424329</v>
      </c>
    </row>
    <row r="179" spans="3:37" x14ac:dyDescent="0.35">
      <c r="C179" s="39" t="s">
        <v>80</v>
      </c>
      <c r="D179" s="15">
        <f>1-SUM(D180:D181)</f>
        <v>0.50221314350311497</v>
      </c>
      <c r="E179" s="15">
        <f t="shared" ref="E179:AK179" si="31">1-SUM(E180:E181)</f>
        <v>0.50821314350311497</v>
      </c>
      <c r="F179" s="15">
        <f t="shared" si="31"/>
        <v>0.499913143503115</v>
      </c>
      <c r="G179" s="15">
        <f t="shared" si="31"/>
        <v>0.51551314350311495</v>
      </c>
      <c r="H179" s="15">
        <f t="shared" si="31"/>
        <v>0.51551314350311506</v>
      </c>
      <c r="I179" s="15">
        <f t="shared" si="31"/>
        <v>0.49021314350311496</v>
      </c>
      <c r="J179" s="15">
        <f t="shared" si="31"/>
        <v>0.51171314350311503</v>
      </c>
      <c r="K179" s="15">
        <f t="shared" si="31"/>
        <v>0.50931314350311496</v>
      </c>
      <c r="L179" s="15">
        <f t="shared" si="31"/>
        <v>0.48121314350311506</v>
      </c>
      <c r="M179" s="15">
        <f t="shared" si="31"/>
        <v>0.50171314350311502</v>
      </c>
      <c r="N179" s="15">
        <f t="shared" si="31"/>
        <v>0.48501314350311497</v>
      </c>
      <c r="O179" s="15">
        <f t="shared" si="31"/>
        <v>0.51061314350311504</v>
      </c>
      <c r="P179" s="15">
        <f t="shared" si="31"/>
        <v>0.50931314350311507</v>
      </c>
      <c r="Q179" s="15">
        <f t="shared" si="31"/>
        <v>0.51251314350311494</v>
      </c>
      <c r="R179" s="15">
        <f t="shared" si="31"/>
        <v>0.49981314350311501</v>
      </c>
      <c r="S179" s="15">
        <f t="shared" si="31"/>
        <v>0.52331314350311497</v>
      </c>
      <c r="T179" s="15">
        <f t="shared" si="31"/>
        <v>0.48731314350311494</v>
      </c>
      <c r="U179" s="15">
        <f t="shared" si="31"/>
        <v>0.51261314350311504</v>
      </c>
      <c r="V179" s="15">
        <f t="shared" si="31"/>
        <v>0.50831314350311496</v>
      </c>
      <c r="W179" s="15">
        <f t="shared" si="31"/>
        <v>0.50271314350311502</v>
      </c>
      <c r="X179" s="15">
        <f t="shared" si="31"/>
        <v>0.52351314350311495</v>
      </c>
      <c r="Y179" s="15">
        <f t="shared" si="31"/>
        <v>0.50371314350311502</v>
      </c>
      <c r="Z179" s="15">
        <f t="shared" si="31"/>
        <v>0.50261314350311503</v>
      </c>
      <c r="AA179" s="15">
        <f t="shared" si="31"/>
        <v>0.48971314350311501</v>
      </c>
      <c r="AB179" s="15">
        <f t="shared" si="31"/>
        <v>0.50381314350311501</v>
      </c>
      <c r="AC179" s="15">
        <f t="shared" si="31"/>
        <v>0.484813143503115</v>
      </c>
      <c r="AD179" s="15">
        <f t="shared" si="31"/>
        <v>0.51651314350311495</v>
      </c>
      <c r="AE179" s="15">
        <f t="shared" si="31"/>
        <v>0.51741314350311496</v>
      </c>
      <c r="AF179" s="15">
        <f t="shared" si="31"/>
        <v>0.488813143503115</v>
      </c>
      <c r="AG179" s="15">
        <f t="shared" si="31"/>
        <v>0.50881314350311502</v>
      </c>
      <c r="AH179" s="15">
        <f t="shared" si="31"/>
        <v>0.50441314350311495</v>
      </c>
      <c r="AI179" s="15">
        <f t="shared" si="31"/>
        <v>0.50921314350311497</v>
      </c>
      <c r="AJ179" s="15">
        <f t="shared" si="31"/>
        <v>0.49061314350311491</v>
      </c>
      <c r="AK179" s="15">
        <f t="shared" si="31"/>
        <v>0.51351314350311505</v>
      </c>
    </row>
    <row r="180" spans="3:37" x14ac:dyDescent="0.35">
      <c r="C180" s="39" t="s">
        <v>81</v>
      </c>
      <c r="D180" s="15">
        <v>0.23186307583365792</v>
      </c>
      <c r="E180" s="15">
        <v>0.22536307583365792</v>
      </c>
      <c r="F180" s="15">
        <v>0.23776307583365791</v>
      </c>
      <c r="G180" s="15">
        <v>0.22116307583365793</v>
      </c>
      <c r="H180" s="15">
        <v>0.23316307583365792</v>
      </c>
      <c r="I180" s="15">
        <v>0.23106307583365793</v>
      </c>
      <c r="J180" s="15">
        <v>0.23256307583365793</v>
      </c>
      <c r="K180" s="15">
        <v>0.22136307583365791</v>
      </c>
      <c r="L180" s="15">
        <v>0.23666307583365792</v>
      </c>
      <c r="M180" s="15">
        <v>0.23666307583365792</v>
      </c>
      <c r="N180" s="15">
        <v>0.23386307583365792</v>
      </c>
      <c r="O180" s="15">
        <v>0.23936307583365793</v>
      </c>
      <c r="P180" s="15">
        <v>0.23626307583365791</v>
      </c>
      <c r="Q180" s="15">
        <v>0.22816307583365791</v>
      </c>
      <c r="R180" s="15">
        <v>0.23586307583365793</v>
      </c>
      <c r="S180" s="15">
        <v>0.21936307583365791</v>
      </c>
      <c r="T180" s="15">
        <v>0.23536307583365793</v>
      </c>
      <c r="U180" s="15">
        <v>0.23146307583365791</v>
      </c>
      <c r="V180" s="15">
        <v>0.24126307583365791</v>
      </c>
      <c r="W180" s="15">
        <v>0.23746307583365792</v>
      </c>
      <c r="X180" s="15">
        <v>0.22276307583365793</v>
      </c>
      <c r="Y180" s="15">
        <v>0.23576307583365791</v>
      </c>
      <c r="Z180" s="15">
        <v>0.21786307583365791</v>
      </c>
      <c r="AA180" s="15">
        <v>0.24526307583365792</v>
      </c>
      <c r="AB180" s="15">
        <v>0.24536307583365793</v>
      </c>
      <c r="AC180" s="15">
        <v>0.24106307583365794</v>
      </c>
      <c r="AD180" s="15">
        <v>0.21626307583365792</v>
      </c>
      <c r="AE180" s="15">
        <v>0.21816307583365793</v>
      </c>
      <c r="AF180" s="15">
        <v>0.23276307583365793</v>
      </c>
      <c r="AG180" s="15">
        <v>0.22736307583365792</v>
      </c>
      <c r="AH180" s="15">
        <v>0.23866307583365792</v>
      </c>
      <c r="AI180" s="15">
        <v>0.23246307583365791</v>
      </c>
      <c r="AJ180" s="15">
        <v>0.22696307583365793</v>
      </c>
      <c r="AK180" s="15">
        <v>0.23096307583365791</v>
      </c>
    </row>
    <row r="181" spans="3:37" x14ac:dyDescent="0.35">
      <c r="C181" s="39" t="s">
        <v>104</v>
      </c>
      <c r="D181" s="15">
        <v>0.26592378066322708</v>
      </c>
      <c r="E181" s="15">
        <v>0.26642378066322708</v>
      </c>
      <c r="F181" s="15">
        <v>0.26232378066322709</v>
      </c>
      <c r="G181" s="15">
        <v>0.26332378066322709</v>
      </c>
      <c r="H181" s="15">
        <v>0.25132378066322708</v>
      </c>
      <c r="I181" s="15">
        <v>0.27872378066322706</v>
      </c>
      <c r="J181" s="15">
        <v>0.2557237806632271</v>
      </c>
      <c r="K181" s="15">
        <v>0.2693237806632271</v>
      </c>
      <c r="L181" s="15">
        <v>0.28212378066322708</v>
      </c>
      <c r="M181" s="15">
        <v>0.26162378066322706</v>
      </c>
      <c r="N181" s="15">
        <v>0.28112378066322707</v>
      </c>
      <c r="O181" s="15">
        <v>0.25002378066322706</v>
      </c>
      <c r="P181" s="15">
        <v>0.25442378066322707</v>
      </c>
      <c r="Q181" s="15">
        <v>0.25932378066322709</v>
      </c>
      <c r="R181" s="15">
        <v>0.26432378066322709</v>
      </c>
      <c r="S181" s="15">
        <v>0.25732378066322709</v>
      </c>
      <c r="T181" s="15">
        <v>0.2773237806632271</v>
      </c>
      <c r="U181" s="15">
        <v>0.25592378066322707</v>
      </c>
      <c r="V181" s="15">
        <v>0.25042378066322707</v>
      </c>
      <c r="W181" s="15">
        <v>0.25982378066322709</v>
      </c>
      <c r="X181" s="15">
        <v>0.25372378066322709</v>
      </c>
      <c r="Y181" s="15">
        <v>0.26052378066322707</v>
      </c>
      <c r="Z181" s="15">
        <v>0.27952378066322708</v>
      </c>
      <c r="AA181" s="15">
        <v>0.26502378066322707</v>
      </c>
      <c r="AB181" s="15">
        <v>0.25082378066322708</v>
      </c>
      <c r="AC181" s="15">
        <v>0.27412378066322707</v>
      </c>
      <c r="AD181" s="15">
        <v>0.26722378066322711</v>
      </c>
      <c r="AE181" s="15">
        <v>0.26442378066322708</v>
      </c>
      <c r="AF181" s="15">
        <v>0.27842378066322709</v>
      </c>
      <c r="AG181" s="15">
        <v>0.26382378066322709</v>
      </c>
      <c r="AH181" s="15">
        <v>0.25692378066322707</v>
      </c>
      <c r="AI181" s="15">
        <v>0.25832378066322709</v>
      </c>
      <c r="AJ181" s="15">
        <v>0.2824237806632271</v>
      </c>
      <c r="AK181" s="15">
        <v>0.25552378066322706</v>
      </c>
    </row>
    <row r="182" spans="3:37" x14ac:dyDescent="0.35">
      <c r="C182" s="37" t="s">
        <v>105</v>
      </c>
      <c r="D182" s="15">
        <v>4.3133209404939428E-2</v>
      </c>
      <c r="E182" s="15">
        <v>4.853320940493943E-2</v>
      </c>
      <c r="F182" s="15">
        <v>4.963320940493942E-2</v>
      </c>
      <c r="G182" s="15">
        <v>4.5733209404939419E-2</v>
      </c>
      <c r="H182" s="15">
        <v>5.0033209404939424E-2</v>
      </c>
      <c r="I182" s="15">
        <v>4.333320940493942E-2</v>
      </c>
      <c r="J182" s="15">
        <v>4.563320940493943E-2</v>
      </c>
      <c r="K182" s="15">
        <v>4.3233209404939424E-2</v>
      </c>
      <c r="L182" s="15">
        <v>3.8333209404939415E-2</v>
      </c>
      <c r="M182" s="15">
        <v>4.9633209404939427E-2</v>
      </c>
      <c r="N182" s="15">
        <v>3.6433209404939437E-2</v>
      </c>
      <c r="O182" s="15">
        <v>5.0433209404939429E-2</v>
      </c>
      <c r="P182" s="15">
        <v>3.6933209404939431E-2</v>
      </c>
      <c r="Q182" s="15">
        <v>4.9833209404939426E-2</v>
      </c>
      <c r="R182" s="15">
        <v>4.2633209404939421E-2</v>
      </c>
      <c r="S182" s="15">
        <v>4.9333209404939425E-2</v>
      </c>
      <c r="T182" s="15">
        <v>4.6233209404939413E-2</v>
      </c>
      <c r="U182" s="15">
        <v>4.793320940493942E-2</v>
      </c>
      <c r="V182" s="15">
        <v>4.963320940493942E-2</v>
      </c>
      <c r="W182" s="15">
        <v>4.2433209404939429E-2</v>
      </c>
      <c r="X182" s="15">
        <v>4.9833209404939419E-2</v>
      </c>
      <c r="Y182" s="15">
        <v>4.5333209404939422E-2</v>
      </c>
      <c r="Z182" s="15">
        <v>4.1933209404939442E-2</v>
      </c>
      <c r="AA182" s="15">
        <v>3.6233209404939432E-2</v>
      </c>
      <c r="AB182" s="15">
        <v>3.9033209404939428E-2</v>
      </c>
      <c r="AC182" s="15">
        <v>4.8833209404939432E-2</v>
      </c>
      <c r="AD182" s="15">
        <v>4.4733209404939425E-2</v>
      </c>
      <c r="AE182" s="15">
        <v>3.713320940493943E-2</v>
      </c>
      <c r="AF182" s="15">
        <v>3.6833209404939435E-2</v>
      </c>
      <c r="AG182" s="15">
        <v>4.7733209404939428E-2</v>
      </c>
      <c r="AH182" s="15">
        <v>4.793320940493942E-2</v>
      </c>
      <c r="AI182" s="15">
        <v>4.2833209404939412E-2</v>
      </c>
      <c r="AJ182" s="15">
        <v>3.6733209404939432E-2</v>
      </c>
      <c r="AK182" s="15">
        <v>4.5933209404939425E-2</v>
      </c>
    </row>
    <row r="183" spans="3:37" x14ac:dyDescent="0.35">
      <c r="C183" s="37" t="s">
        <v>106</v>
      </c>
      <c r="D183" s="15">
        <v>5.0333993830817332E-2</v>
      </c>
      <c r="E183" s="15">
        <v>5.2833993830817334E-2</v>
      </c>
      <c r="F183" s="15">
        <v>4.1733993830817336E-2</v>
      </c>
      <c r="G183" s="15">
        <v>5.6833993830817331E-2</v>
      </c>
      <c r="H183" s="15">
        <v>4.2633993830817334E-2</v>
      </c>
      <c r="I183" s="15">
        <v>4.1133993830817332E-2</v>
      </c>
      <c r="J183" s="15">
        <v>4.5433993830817331E-2</v>
      </c>
      <c r="K183" s="15">
        <v>5.9733993830817331E-2</v>
      </c>
      <c r="L183" s="15">
        <v>5.5433993830817319E-2</v>
      </c>
      <c r="M183" s="15">
        <v>4.833399383081733E-2</v>
      </c>
      <c r="N183" s="15">
        <v>4.6333993830817335E-2</v>
      </c>
      <c r="O183" s="15">
        <v>5.0533993830817331E-2</v>
      </c>
      <c r="P183" s="15">
        <v>4.8433993830817333E-2</v>
      </c>
      <c r="Q183" s="15">
        <v>4.7033993830817342E-2</v>
      </c>
      <c r="R183" s="15">
        <v>4.163399383081734E-2</v>
      </c>
      <c r="S183" s="15">
        <v>4.0633993830817332E-2</v>
      </c>
      <c r="T183" s="15">
        <v>5.5133993830817331E-2</v>
      </c>
      <c r="U183" s="15">
        <v>4.1533993830817337E-2</v>
      </c>
      <c r="V183" s="15">
        <v>4.0133993830817331E-2</v>
      </c>
      <c r="W183" s="15">
        <v>5.873399383081733E-2</v>
      </c>
      <c r="X183" s="15">
        <v>5.8033993830817331E-2</v>
      </c>
      <c r="Y183" s="15">
        <v>5.2033993830817332E-2</v>
      </c>
      <c r="Z183" s="15">
        <v>4.1433993830817334E-2</v>
      </c>
      <c r="AA183" s="15">
        <v>4.0533993830817336E-2</v>
      </c>
      <c r="AB183" s="15">
        <v>4.783399383081733E-2</v>
      </c>
      <c r="AC183" s="15">
        <v>4.4233993830817331E-2</v>
      </c>
      <c r="AD183" s="15">
        <v>5.0533993830817331E-2</v>
      </c>
      <c r="AE183" s="15">
        <v>5.9433993830817336E-2</v>
      </c>
      <c r="AF183" s="15">
        <v>4.7533993830817335E-2</v>
      </c>
      <c r="AG183" s="15">
        <v>5.6133993830817332E-2</v>
      </c>
      <c r="AH183" s="15">
        <v>5.9733993830817331E-2</v>
      </c>
      <c r="AI183" s="15">
        <v>4.1233993830817335E-2</v>
      </c>
      <c r="AJ183" s="15">
        <v>4.9133993830817332E-2</v>
      </c>
      <c r="AK183" s="15">
        <v>4.783399383081733E-2</v>
      </c>
    </row>
    <row r="184" spans="3:37" x14ac:dyDescent="0.35"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13"/>
      <c r="AA184" s="2"/>
      <c r="AB184" s="2"/>
      <c r="AC184" s="2"/>
      <c r="AD184" s="2"/>
      <c r="AE184" s="2"/>
      <c r="AF184" s="2"/>
      <c r="AG184" s="12"/>
      <c r="AH184" s="2"/>
      <c r="AI184" s="2"/>
      <c r="AJ184" s="2"/>
      <c r="AK184" s="2"/>
    </row>
    <row r="185" spans="3:37" x14ac:dyDescent="0.35">
      <c r="C185" s="4" t="s">
        <v>107</v>
      </c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13"/>
      <c r="AA185" s="2"/>
      <c r="AB185" s="2"/>
      <c r="AC185" s="2"/>
      <c r="AD185" s="2"/>
      <c r="AE185" s="2"/>
      <c r="AF185" s="2"/>
      <c r="AG185" s="12"/>
      <c r="AH185" s="2"/>
      <c r="AI185" s="2"/>
      <c r="AJ185" s="2"/>
      <c r="AK185" s="2"/>
    </row>
    <row r="186" spans="3:37" x14ac:dyDescent="0.35">
      <c r="C186" s="40" t="s">
        <v>84</v>
      </c>
      <c r="D186" s="15">
        <f>1-D208</f>
        <v>0.86763319870163769</v>
      </c>
      <c r="E186" s="15">
        <f t="shared" ref="E186:AK186" si="32">1-E208</f>
        <v>0.88113319870163764</v>
      </c>
      <c r="F186" s="15">
        <f t="shared" si="32"/>
        <v>0.87273319870163768</v>
      </c>
      <c r="G186" s="15">
        <f t="shared" si="32"/>
        <v>0.87643319870163772</v>
      </c>
      <c r="H186" s="15">
        <f t="shared" si="32"/>
        <v>0.85173319870163766</v>
      </c>
      <c r="I186" s="15">
        <f t="shared" si="32"/>
        <v>0.88033319870163773</v>
      </c>
      <c r="J186" s="15">
        <f t="shared" si="32"/>
        <v>0.86713319870163774</v>
      </c>
      <c r="K186" s="15">
        <f t="shared" si="32"/>
        <v>0.85233319870163771</v>
      </c>
      <c r="L186" s="15">
        <f t="shared" si="32"/>
        <v>0.87513319870163775</v>
      </c>
      <c r="M186" s="15">
        <f t="shared" si="32"/>
        <v>0.88213319870163764</v>
      </c>
      <c r="N186" s="15">
        <f t="shared" si="32"/>
        <v>0.8786331987016377</v>
      </c>
      <c r="O186" s="15">
        <f t="shared" si="32"/>
        <v>0.85963319870163768</v>
      </c>
      <c r="P186" s="15">
        <f t="shared" si="32"/>
        <v>0.87203319870163765</v>
      </c>
      <c r="Q186" s="15">
        <f t="shared" si="32"/>
        <v>0.85803319870163763</v>
      </c>
      <c r="R186" s="15">
        <f t="shared" si="32"/>
        <v>0.86473319870163767</v>
      </c>
      <c r="S186" s="15">
        <f t="shared" si="32"/>
        <v>0.85663319870163768</v>
      </c>
      <c r="T186" s="15">
        <f t="shared" si="32"/>
        <v>0.87393319870163766</v>
      </c>
      <c r="U186" s="15">
        <f t="shared" si="32"/>
        <v>0.8655331987016377</v>
      </c>
      <c r="V186" s="15">
        <f t="shared" si="32"/>
        <v>0.85193319870163764</v>
      </c>
      <c r="W186" s="15">
        <f t="shared" si="32"/>
        <v>0.87093319870163766</v>
      </c>
      <c r="X186" s="15">
        <f t="shared" si="32"/>
        <v>0.87923319870163774</v>
      </c>
      <c r="Y186" s="15">
        <f t="shared" si="32"/>
        <v>0.85113319870163773</v>
      </c>
      <c r="Z186" s="15">
        <f t="shared" si="32"/>
        <v>0.85303319870163774</v>
      </c>
      <c r="AA186" s="15">
        <f t="shared" si="32"/>
        <v>0.8695331987016377</v>
      </c>
      <c r="AB186" s="15">
        <f t="shared" si="32"/>
        <v>0.88103319870163765</v>
      </c>
      <c r="AC186" s="15">
        <f t="shared" si="32"/>
        <v>0.87803319870163765</v>
      </c>
      <c r="AD186" s="15">
        <f t="shared" si="32"/>
        <v>0.85773319870163767</v>
      </c>
      <c r="AE186" s="15">
        <f t="shared" si="32"/>
        <v>0.86373319870163767</v>
      </c>
      <c r="AF186" s="15">
        <f t="shared" si="32"/>
        <v>0.8665331987016377</v>
      </c>
      <c r="AG186" s="15">
        <f t="shared" si="32"/>
        <v>0.86003319870163764</v>
      </c>
      <c r="AH186" s="15">
        <f t="shared" si="32"/>
        <v>0.87993319870163766</v>
      </c>
      <c r="AI186" s="15">
        <f t="shared" si="32"/>
        <v>0.85553319870163769</v>
      </c>
      <c r="AJ186" s="15">
        <f t="shared" si="32"/>
        <v>0.86803319870163764</v>
      </c>
      <c r="AK186" s="15">
        <f t="shared" si="32"/>
        <v>0.87743319870163772</v>
      </c>
    </row>
    <row r="187" spans="3:37" x14ac:dyDescent="0.35">
      <c r="C187" s="37" t="s">
        <v>77</v>
      </c>
      <c r="D187" s="15">
        <f>1-SUM(D194,D201)</f>
        <v>0.37799855146286332</v>
      </c>
      <c r="E187" s="15">
        <f t="shared" ref="E187:AK187" si="33">1-SUM(E194,E201)</f>
        <v>0.37049855146286337</v>
      </c>
      <c r="F187" s="15">
        <f t="shared" si="33"/>
        <v>0.39259855146286327</v>
      </c>
      <c r="G187" s="15">
        <f t="shared" si="33"/>
        <v>0.38059855146286337</v>
      </c>
      <c r="H187" s="15">
        <f t="shared" si="33"/>
        <v>0.3902985514628633</v>
      </c>
      <c r="I187" s="15">
        <f t="shared" si="33"/>
        <v>0.3791985514628633</v>
      </c>
      <c r="J187" s="15">
        <f t="shared" si="33"/>
        <v>0.3740985514628633</v>
      </c>
      <c r="K187" s="15">
        <f t="shared" si="33"/>
        <v>0.39649855146286328</v>
      </c>
      <c r="L187" s="15">
        <f t="shared" si="33"/>
        <v>0.39899855146286334</v>
      </c>
      <c r="M187" s="15">
        <f t="shared" si="33"/>
        <v>0.38869855146286325</v>
      </c>
      <c r="N187" s="15">
        <f t="shared" si="33"/>
        <v>0.38639855146286328</v>
      </c>
      <c r="O187" s="15">
        <f t="shared" si="33"/>
        <v>0.35669855146286333</v>
      </c>
      <c r="P187" s="15">
        <f t="shared" si="33"/>
        <v>0.37689855146286333</v>
      </c>
      <c r="Q187" s="15">
        <f t="shared" si="33"/>
        <v>0.39059855146286326</v>
      </c>
      <c r="R187" s="15">
        <f t="shared" si="33"/>
        <v>0.38189855146286333</v>
      </c>
      <c r="S187" s="15">
        <f t="shared" si="33"/>
        <v>0.38699855146286333</v>
      </c>
      <c r="T187" s="15">
        <f t="shared" si="33"/>
        <v>0.36659855146286324</v>
      </c>
      <c r="U187" s="15">
        <f t="shared" si="33"/>
        <v>0.39039855146286329</v>
      </c>
      <c r="V187" s="15">
        <f t="shared" si="33"/>
        <v>0.40129855146286331</v>
      </c>
      <c r="W187" s="15">
        <f t="shared" si="33"/>
        <v>0.39309855146286332</v>
      </c>
      <c r="X187" s="15">
        <f t="shared" si="33"/>
        <v>0.37939855146286328</v>
      </c>
      <c r="Y187" s="15">
        <f t="shared" si="33"/>
        <v>0.37469855146286335</v>
      </c>
      <c r="Z187" s="15">
        <f t="shared" si="33"/>
        <v>0.36479855146286333</v>
      </c>
      <c r="AA187" s="15">
        <f t="shared" si="33"/>
        <v>0.38409855146286331</v>
      </c>
      <c r="AB187" s="15">
        <f t="shared" si="33"/>
        <v>0.38759855146286326</v>
      </c>
      <c r="AC187" s="15">
        <f t="shared" si="33"/>
        <v>0.37769855146286324</v>
      </c>
      <c r="AD187" s="15">
        <f t="shared" si="33"/>
        <v>0.39269855146286325</v>
      </c>
      <c r="AE187" s="15">
        <f t="shared" si="33"/>
        <v>0.39639855146286329</v>
      </c>
      <c r="AF187" s="15">
        <f t="shared" si="33"/>
        <v>0.40209855146286333</v>
      </c>
      <c r="AG187" s="15">
        <f t="shared" si="33"/>
        <v>0.38629855146286329</v>
      </c>
      <c r="AH187" s="15">
        <f t="shared" si="33"/>
        <v>0.37709855146286331</v>
      </c>
      <c r="AI187" s="15">
        <f t="shared" si="33"/>
        <v>0.38799855146286333</v>
      </c>
      <c r="AJ187" s="15">
        <f t="shared" si="33"/>
        <v>0.36989855146286332</v>
      </c>
      <c r="AK187" s="15">
        <f t="shared" si="33"/>
        <v>0.38199855146286321</v>
      </c>
    </row>
    <row r="188" spans="3:37" x14ac:dyDescent="0.35">
      <c r="C188" s="39" t="s">
        <v>93</v>
      </c>
      <c r="D188" s="15">
        <f>1-SUM(D189:D193)</f>
        <v>0.57868336360377648</v>
      </c>
      <c r="E188" s="15">
        <f t="shared" ref="E188:AK188" si="34">1-SUM(E189:E193)</f>
        <v>0.56218336360377641</v>
      </c>
      <c r="F188" s="15">
        <f t="shared" si="34"/>
        <v>0.58658336360377639</v>
      </c>
      <c r="G188" s="15">
        <f t="shared" si="34"/>
        <v>0.5874833636037764</v>
      </c>
      <c r="H188" s="15">
        <f t="shared" si="34"/>
        <v>0.55638336360377638</v>
      </c>
      <c r="I188" s="15">
        <f t="shared" si="34"/>
        <v>0.5360833636037764</v>
      </c>
      <c r="J188" s="15">
        <f t="shared" si="34"/>
        <v>0.57998336360377634</v>
      </c>
      <c r="K188" s="15">
        <f t="shared" si="34"/>
        <v>0.56078336360377634</v>
      </c>
      <c r="L188" s="15">
        <f t="shared" si="34"/>
        <v>0.5986833636037765</v>
      </c>
      <c r="M188" s="15">
        <f t="shared" si="34"/>
        <v>0.58338336360377641</v>
      </c>
      <c r="N188" s="15">
        <f t="shared" si="34"/>
        <v>0.55378336360377634</v>
      </c>
      <c r="O188" s="15">
        <f t="shared" si="34"/>
        <v>0.58198336360377645</v>
      </c>
      <c r="P188" s="15">
        <f t="shared" si="34"/>
        <v>0.54768336360377634</v>
      </c>
      <c r="Q188" s="15">
        <f t="shared" si="34"/>
        <v>0.57228336360377641</v>
      </c>
      <c r="R188" s="15">
        <f t="shared" si="34"/>
        <v>0.58668336360377638</v>
      </c>
      <c r="S188" s="15">
        <f t="shared" si="34"/>
        <v>0.57158336360377637</v>
      </c>
      <c r="T188" s="15">
        <f t="shared" si="34"/>
        <v>0.55708336360377642</v>
      </c>
      <c r="U188" s="15">
        <f t="shared" si="34"/>
        <v>0.58048336360377639</v>
      </c>
      <c r="V188" s="15">
        <f t="shared" si="34"/>
        <v>0.55628336360377639</v>
      </c>
      <c r="W188" s="15">
        <f t="shared" si="34"/>
        <v>0.55398336360377642</v>
      </c>
      <c r="X188" s="15">
        <f t="shared" si="34"/>
        <v>0.58378336360377636</v>
      </c>
      <c r="Y188" s="15">
        <f t="shared" si="34"/>
        <v>0.58418336360377643</v>
      </c>
      <c r="Z188" s="15">
        <f t="shared" si="34"/>
        <v>0.56618336360377641</v>
      </c>
      <c r="AA188" s="15">
        <f t="shared" si="34"/>
        <v>0.54988336360377643</v>
      </c>
      <c r="AB188" s="15">
        <f t="shared" si="34"/>
        <v>0.55748336360377637</v>
      </c>
      <c r="AC188" s="15">
        <f t="shared" si="34"/>
        <v>0.58578336360377636</v>
      </c>
      <c r="AD188" s="15">
        <f t="shared" si="34"/>
        <v>0.59918336360377644</v>
      </c>
      <c r="AE188" s="15">
        <f t="shared" si="34"/>
        <v>0.56948336360377638</v>
      </c>
      <c r="AF188" s="15">
        <f t="shared" si="34"/>
        <v>0.53178336360377632</v>
      </c>
      <c r="AG188" s="15">
        <f t="shared" si="34"/>
        <v>0.57658336360377638</v>
      </c>
      <c r="AH188" s="15">
        <f t="shared" si="34"/>
        <v>0.60408336360377635</v>
      </c>
      <c r="AI188" s="15">
        <f t="shared" si="34"/>
        <v>0.55138336360377638</v>
      </c>
      <c r="AJ188" s="15">
        <f t="shared" si="34"/>
        <v>0.56298336360377632</v>
      </c>
      <c r="AK188" s="15">
        <f t="shared" si="34"/>
        <v>0.5743833636037764</v>
      </c>
    </row>
    <row r="189" spans="3:37" x14ac:dyDescent="0.35">
      <c r="C189" s="39" t="s">
        <v>94</v>
      </c>
      <c r="D189" s="15">
        <v>0.12509333486028401</v>
      </c>
      <c r="E189" s="15">
        <v>0.13889333486028402</v>
      </c>
      <c r="F189" s="15">
        <v>0.11379333486028401</v>
      </c>
      <c r="G189" s="15">
        <v>0.11519333486028401</v>
      </c>
      <c r="H189" s="15">
        <v>0.13139333486028401</v>
      </c>
      <c r="I189" s="15">
        <v>0.14159333486028403</v>
      </c>
      <c r="J189" s="15">
        <v>0.13439333486028401</v>
      </c>
      <c r="K189" s="15">
        <v>0.13659333486028402</v>
      </c>
      <c r="L189" s="15">
        <v>0.13329333486028402</v>
      </c>
      <c r="M189" s="15">
        <v>0.14019333486028401</v>
      </c>
      <c r="N189" s="15">
        <v>0.13279333486028402</v>
      </c>
      <c r="O189" s="15">
        <v>0.12159333486028401</v>
      </c>
      <c r="P189" s="15">
        <v>0.14039333486028402</v>
      </c>
      <c r="Q189" s="15">
        <v>0.13069333486028401</v>
      </c>
      <c r="R189" s="15">
        <v>0.11369333486028402</v>
      </c>
      <c r="S189" s="15">
        <v>0.13519333486028401</v>
      </c>
      <c r="T189" s="15">
        <v>0.117093334860284</v>
      </c>
      <c r="U189" s="15">
        <v>0.129193334860284</v>
      </c>
      <c r="V189" s="15">
        <v>0.13029333486028402</v>
      </c>
      <c r="W189" s="15">
        <v>0.128993334860284</v>
      </c>
      <c r="X189" s="15">
        <v>0.136293334860284</v>
      </c>
      <c r="Y189" s="15">
        <v>0.11339333486028401</v>
      </c>
      <c r="Z189" s="15">
        <v>0.11629333486028401</v>
      </c>
      <c r="AA189" s="15">
        <v>0.12049333486028402</v>
      </c>
      <c r="AB189" s="15">
        <v>0.12249333486028401</v>
      </c>
      <c r="AC189" s="15">
        <v>0.128493334860284</v>
      </c>
      <c r="AD189" s="15">
        <v>0.11349333486028401</v>
      </c>
      <c r="AE189" s="15">
        <v>0.12809333486028401</v>
      </c>
      <c r="AF189" s="15">
        <v>0.13989333486028402</v>
      </c>
      <c r="AG189" s="15">
        <v>0.13009333486028402</v>
      </c>
      <c r="AH189" s="15">
        <v>0.111293334860284</v>
      </c>
      <c r="AI189" s="15">
        <v>0.13769333486028401</v>
      </c>
      <c r="AJ189" s="15">
        <v>0.13329333486028402</v>
      </c>
      <c r="AK189" s="15">
        <v>0.128993334860284</v>
      </c>
    </row>
    <row r="190" spans="3:37" x14ac:dyDescent="0.35">
      <c r="C190" s="39" t="s">
        <v>95</v>
      </c>
      <c r="D190" s="15">
        <v>9.9270692071497524E-2</v>
      </c>
      <c r="E190" s="15">
        <v>9.0370692071497519E-2</v>
      </c>
      <c r="F190" s="15">
        <v>0.10387069207149752</v>
      </c>
      <c r="G190" s="15">
        <v>9.187069207149752E-2</v>
      </c>
      <c r="H190" s="15">
        <v>0.10307069207149752</v>
      </c>
      <c r="I190" s="15">
        <v>0.10747069207149752</v>
      </c>
      <c r="J190" s="15">
        <v>9.6370692071497524E-2</v>
      </c>
      <c r="K190" s="15">
        <v>0.11507069207149753</v>
      </c>
      <c r="L190" s="15">
        <v>9.1770692071497517E-2</v>
      </c>
      <c r="M190" s="15">
        <v>8.557069207149752E-2</v>
      </c>
      <c r="N190" s="15">
        <v>0.10817069207149753</v>
      </c>
      <c r="O190" s="15">
        <v>0.10467069207149753</v>
      </c>
      <c r="P190" s="15">
        <v>0.11447069207149753</v>
      </c>
      <c r="Q190" s="15">
        <v>9.2470692071497523E-2</v>
      </c>
      <c r="R190" s="15">
        <v>8.9070692071497523E-2</v>
      </c>
      <c r="S190" s="15">
        <v>8.507069207149752E-2</v>
      </c>
      <c r="T190" s="15">
        <v>0.11347069207149753</v>
      </c>
      <c r="U190" s="15">
        <v>0.10707069207149753</v>
      </c>
      <c r="V190" s="15">
        <v>0.11187069207149752</v>
      </c>
      <c r="W190" s="15">
        <v>0.11397069207149753</v>
      </c>
      <c r="X190" s="15">
        <v>9.2670692071497529E-2</v>
      </c>
      <c r="Y190" s="15">
        <v>9.2270692071497518E-2</v>
      </c>
      <c r="Z190" s="15">
        <v>0.11437069207149753</v>
      </c>
      <c r="AA190" s="15">
        <v>0.11017069207149752</v>
      </c>
      <c r="AB190" s="15">
        <v>0.11417069207149752</v>
      </c>
      <c r="AC190" s="15">
        <v>8.7270692071497527E-2</v>
      </c>
      <c r="AD190" s="15">
        <v>8.8570692071497523E-2</v>
      </c>
      <c r="AE190" s="15">
        <v>0.10177069207149753</v>
      </c>
      <c r="AF190" s="15">
        <v>0.11347069207149753</v>
      </c>
      <c r="AG190" s="15">
        <v>9.6370692071497524E-2</v>
      </c>
      <c r="AH190" s="15">
        <v>9.4370692071497522E-2</v>
      </c>
      <c r="AI190" s="15">
        <v>0.10277069207149753</v>
      </c>
      <c r="AJ190" s="15">
        <v>0.11027069207149752</v>
      </c>
      <c r="AK190" s="15">
        <v>0.11247069207149753</v>
      </c>
    </row>
    <row r="191" spans="3:37" x14ac:dyDescent="0.35">
      <c r="C191" s="39" t="s">
        <v>96</v>
      </c>
      <c r="D191" s="15">
        <v>5.4825927622537789E-2</v>
      </c>
      <c r="E191" s="15">
        <v>5.0925927622537788E-2</v>
      </c>
      <c r="F191" s="15">
        <v>4.5325927622537794E-2</v>
      </c>
      <c r="G191" s="15">
        <v>5.8925927622537788E-2</v>
      </c>
      <c r="H191" s="15">
        <v>6.432592762253779E-2</v>
      </c>
      <c r="I191" s="15">
        <v>6.0325927622537787E-2</v>
      </c>
      <c r="J191" s="15">
        <v>4.5725927622537792E-2</v>
      </c>
      <c r="K191" s="15">
        <v>5.1525927622537798E-2</v>
      </c>
      <c r="L191" s="15">
        <v>4.7225927622537793E-2</v>
      </c>
      <c r="M191" s="15">
        <v>4.8125927622537791E-2</v>
      </c>
      <c r="N191" s="15">
        <v>6.3725927622537787E-2</v>
      </c>
      <c r="O191" s="15">
        <v>5.9125927622537787E-2</v>
      </c>
      <c r="P191" s="15">
        <v>5.7325927622537791E-2</v>
      </c>
      <c r="Q191" s="15">
        <v>6.4725927622537788E-2</v>
      </c>
      <c r="R191" s="15">
        <v>6.142592762253779E-2</v>
      </c>
      <c r="S191" s="15">
        <v>6.4625927622537785E-2</v>
      </c>
      <c r="T191" s="15">
        <v>6.1625927622537789E-2</v>
      </c>
      <c r="U191" s="15">
        <v>5.4425927622537791E-2</v>
      </c>
      <c r="V191" s="15">
        <v>5.7725927622537788E-2</v>
      </c>
      <c r="W191" s="15">
        <v>5.5125927622537776E-2</v>
      </c>
      <c r="X191" s="15">
        <v>6.3325927622537789E-2</v>
      </c>
      <c r="Y191" s="15">
        <v>4.6025927622537793E-2</v>
      </c>
      <c r="Z191" s="15">
        <v>6.0325927622537787E-2</v>
      </c>
      <c r="AA191" s="15">
        <v>6.4425927622537779E-2</v>
      </c>
      <c r="AB191" s="15">
        <v>4.9725927622537788E-2</v>
      </c>
      <c r="AC191" s="15">
        <v>6.4425927622537779E-2</v>
      </c>
      <c r="AD191" s="15">
        <v>5.752592762253779E-2</v>
      </c>
      <c r="AE191" s="15">
        <v>5.6125927622537791E-2</v>
      </c>
      <c r="AF191" s="15">
        <v>6.3925927622537793E-2</v>
      </c>
      <c r="AG191" s="15">
        <v>6.0725927622537791E-2</v>
      </c>
      <c r="AH191" s="15">
        <v>4.592592762253779E-2</v>
      </c>
      <c r="AI191" s="15">
        <v>6.0025927622537778E-2</v>
      </c>
      <c r="AJ191" s="15">
        <v>6.3225927622537786E-2</v>
      </c>
      <c r="AK191" s="15">
        <v>4.6725927622537786E-2</v>
      </c>
    </row>
    <row r="192" spans="3:37" x14ac:dyDescent="0.35">
      <c r="C192" s="39" t="s">
        <v>97</v>
      </c>
      <c r="D192" s="15">
        <v>9.1832589145082591E-2</v>
      </c>
      <c r="E192" s="15">
        <v>9.8632589145082591E-2</v>
      </c>
      <c r="F192" s="15">
        <v>9.4932589145082596E-2</v>
      </c>
      <c r="G192" s="15">
        <v>0.10403258914508259</v>
      </c>
      <c r="H192" s="15">
        <v>9.2332589145082591E-2</v>
      </c>
      <c r="I192" s="15">
        <v>9.5032589145082585E-2</v>
      </c>
      <c r="J192" s="15">
        <v>8.7132589145082595E-2</v>
      </c>
      <c r="K192" s="15">
        <v>8.3632589145082592E-2</v>
      </c>
      <c r="L192" s="15">
        <v>7.7832589145082592E-2</v>
      </c>
      <c r="M192" s="15">
        <v>8.9032589145082594E-2</v>
      </c>
      <c r="N192" s="15">
        <v>8.2332589145082596E-2</v>
      </c>
      <c r="O192" s="15">
        <v>8.1932589145082585E-2</v>
      </c>
      <c r="P192" s="15">
        <v>9.8932589145082586E-2</v>
      </c>
      <c r="Q192" s="15">
        <v>9.373258914508259E-2</v>
      </c>
      <c r="R192" s="15">
        <v>9.1732589145082588E-2</v>
      </c>
      <c r="S192" s="15">
        <v>8.5732589145082597E-2</v>
      </c>
      <c r="T192" s="15">
        <v>9.5732589145082592E-2</v>
      </c>
      <c r="U192" s="15">
        <v>7.873258914508259E-2</v>
      </c>
      <c r="V192" s="15">
        <v>9.9732589145082595E-2</v>
      </c>
      <c r="W192" s="15">
        <v>0.10663258914508258</v>
      </c>
      <c r="X192" s="15">
        <v>7.8832589145082593E-2</v>
      </c>
      <c r="Y192" s="15">
        <v>0.10423258914508259</v>
      </c>
      <c r="Z192" s="15">
        <v>0.10013258914508259</v>
      </c>
      <c r="AA192" s="15">
        <v>9.9432589145082587E-2</v>
      </c>
      <c r="AB192" s="15">
        <v>9.6932589145082598E-2</v>
      </c>
      <c r="AC192" s="15">
        <v>8.4132589145082592E-2</v>
      </c>
      <c r="AD192" s="15">
        <v>9.5632589145082589E-2</v>
      </c>
      <c r="AE192" s="15">
        <v>0.10303258914508259</v>
      </c>
      <c r="AF192" s="15">
        <v>9.8632589145082591E-2</v>
      </c>
      <c r="AG192" s="15">
        <v>8.163258914508259E-2</v>
      </c>
      <c r="AH192" s="15">
        <v>0.10093258914508259</v>
      </c>
      <c r="AI192" s="15">
        <v>9.0632589145082584E-2</v>
      </c>
      <c r="AJ192" s="15">
        <v>8.9032589145082594E-2</v>
      </c>
      <c r="AK192" s="15">
        <v>7.8132589145082587E-2</v>
      </c>
    </row>
    <row r="193" spans="3:37" x14ac:dyDescent="0.35">
      <c r="C193" s="39" t="s">
        <v>98</v>
      </c>
      <c r="D193" s="15">
        <v>5.0294092696821689E-2</v>
      </c>
      <c r="E193" s="15">
        <v>5.8994092696821682E-2</v>
      </c>
      <c r="F193" s="15">
        <v>5.5494092696821685E-2</v>
      </c>
      <c r="G193" s="15">
        <v>4.2494092696821695E-2</v>
      </c>
      <c r="H193" s="15">
        <v>5.249409269682169E-2</v>
      </c>
      <c r="I193" s="15">
        <v>5.9494092696821682E-2</v>
      </c>
      <c r="J193" s="15">
        <v>5.6394092696821684E-2</v>
      </c>
      <c r="K193" s="15">
        <v>5.2394092696821687E-2</v>
      </c>
      <c r="L193" s="15">
        <v>5.1194092696821687E-2</v>
      </c>
      <c r="M193" s="15">
        <v>5.3694092696821689E-2</v>
      </c>
      <c r="N193" s="15">
        <v>5.9194092696821687E-2</v>
      </c>
      <c r="O193" s="15">
        <v>5.0694092696821687E-2</v>
      </c>
      <c r="P193" s="15">
        <v>4.1194092696821685E-2</v>
      </c>
      <c r="Q193" s="15">
        <v>4.6094092696821687E-2</v>
      </c>
      <c r="R193" s="15">
        <v>5.7394092696821691E-2</v>
      </c>
      <c r="S193" s="15">
        <v>5.7794092696821689E-2</v>
      </c>
      <c r="T193" s="15">
        <v>5.4994092696821685E-2</v>
      </c>
      <c r="U193" s="15">
        <v>5.009409269682169E-2</v>
      </c>
      <c r="V193" s="15">
        <v>4.4094092696821692E-2</v>
      </c>
      <c r="W193" s="15">
        <v>4.1294092696821695E-2</v>
      </c>
      <c r="X193" s="15">
        <v>4.5094092696821686E-2</v>
      </c>
      <c r="Y193" s="15">
        <v>5.989409269682168E-2</v>
      </c>
      <c r="Z193" s="15">
        <v>4.2694092696821687E-2</v>
      </c>
      <c r="AA193" s="15">
        <v>5.5594092696821688E-2</v>
      </c>
      <c r="AB193" s="15">
        <v>5.9194092696821687E-2</v>
      </c>
      <c r="AC193" s="15">
        <v>4.9894092696821692E-2</v>
      </c>
      <c r="AD193" s="15">
        <v>4.55940926968217E-2</v>
      </c>
      <c r="AE193" s="15">
        <v>4.1494092696821694E-2</v>
      </c>
      <c r="AF193" s="15">
        <v>5.2294092696821691E-2</v>
      </c>
      <c r="AG193" s="15">
        <v>5.4594092696821687E-2</v>
      </c>
      <c r="AH193" s="15">
        <v>4.3394092696821693E-2</v>
      </c>
      <c r="AI193" s="15">
        <v>5.7494092696821687E-2</v>
      </c>
      <c r="AJ193" s="15">
        <v>4.1194092696821699E-2</v>
      </c>
      <c r="AK193" s="15">
        <v>5.9294092696821676E-2</v>
      </c>
    </row>
    <row r="194" spans="3:37" x14ac:dyDescent="0.35">
      <c r="C194" s="37" t="s">
        <v>78</v>
      </c>
      <c r="D194" s="15">
        <v>0.44083481901244792</v>
      </c>
      <c r="E194" s="15">
        <v>0.4480348190124479</v>
      </c>
      <c r="F194" s="15">
        <v>0.43433481901244791</v>
      </c>
      <c r="G194" s="15">
        <v>0.4349348190124479</v>
      </c>
      <c r="H194" s="15">
        <v>0.42823481901244792</v>
      </c>
      <c r="I194" s="15">
        <v>0.45143481901244792</v>
      </c>
      <c r="J194" s="15">
        <v>0.44613481901244795</v>
      </c>
      <c r="K194" s="15">
        <v>0.43843481901244791</v>
      </c>
      <c r="L194" s="15">
        <v>0.4279348190124479</v>
      </c>
      <c r="M194" s="15">
        <v>0.44083481901244792</v>
      </c>
      <c r="N194" s="15">
        <v>0.42483481901244791</v>
      </c>
      <c r="O194" s="15">
        <v>0.45453481901244791</v>
      </c>
      <c r="P194" s="15">
        <v>0.4349348190124479</v>
      </c>
      <c r="Q194" s="15">
        <v>0.43813481901244794</v>
      </c>
      <c r="R194" s="15">
        <v>0.4324348190124479</v>
      </c>
      <c r="S194" s="15">
        <v>0.44223481901244793</v>
      </c>
      <c r="T194" s="15">
        <v>0.43513481901244794</v>
      </c>
      <c r="U194" s="15">
        <v>0.42883481901244791</v>
      </c>
      <c r="V194" s="15">
        <v>0.42673481901244792</v>
      </c>
      <c r="W194" s="15">
        <v>0.42833481901244791</v>
      </c>
      <c r="X194" s="15">
        <v>0.44013481901244794</v>
      </c>
      <c r="Y194" s="15">
        <v>0.44833481901244793</v>
      </c>
      <c r="Z194" s="15">
        <v>0.44923481901244794</v>
      </c>
      <c r="AA194" s="15">
        <v>0.43033481901244791</v>
      </c>
      <c r="AB194" s="15">
        <v>0.43843481901244791</v>
      </c>
      <c r="AC194" s="15">
        <v>0.43253481901244795</v>
      </c>
      <c r="AD194" s="15">
        <v>0.43223481901244792</v>
      </c>
      <c r="AE194" s="15">
        <v>0.4380348190124479</v>
      </c>
      <c r="AF194" s="15">
        <v>0.42783481901244791</v>
      </c>
      <c r="AG194" s="15">
        <v>0.42853481901244794</v>
      </c>
      <c r="AH194" s="15">
        <v>0.4400348190124479</v>
      </c>
      <c r="AI194" s="15">
        <v>0.43083481901244791</v>
      </c>
      <c r="AJ194" s="15">
        <v>0.44713481901244789</v>
      </c>
      <c r="AK194" s="15">
        <v>0.43963481901244794</v>
      </c>
    </row>
    <row r="195" spans="3:37" x14ac:dyDescent="0.35">
      <c r="C195" s="39" t="s">
        <v>93</v>
      </c>
      <c r="D195" s="15">
        <f>1-SUM(D196:D200)</f>
        <v>0.5846099203892362</v>
      </c>
      <c r="E195" s="15">
        <f t="shared" ref="E195:AK195" si="35">1-SUM(E196:E200)</f>
        <v>0.59550992038923622</v>
      </c>
      <c r="F195" s="15">
        <f t="shared" si="35"/>
        <v>0.56130992038923622</v>
      </c>
      <c r="G195" s="15">
        <f t="shared" si="35"/>
        <v>0.6088099203892362</v>
      </c>
      <c r="H195" s="15">
        <f t="shared" si="35"/>
        <v>0.56170992038923617</v>
      </c>
      <c r="I195" s="15">
        <f t="shared" si="35"/>
        <v>0.57410992038923614</v>
      </c>
      <c r="J195" s="15">
        <f t="shared" si="35"/>
        <v>0.57570992038923618</v>
      </c>
      <c r="K195" s="15">
        <f t="shared" si="35"/>
        <v>0.59700992038923628</v>
      </c>
      <c r="L195" s="15">
        <f t="shared" si="35"/>
        <v>0.57080992038923628</v>
      </c>
      <c r="M195" s="15">
        <f t="shared" si="35"/>
        <v>0.56150992038923619</v>
      </c>
      <c r="N195" s="15">
        <f t="shared" si="35"/>
        <v>0.58640992038923634</v>
      </c>
      <c r="O195" s="15">
        <f t="shared" si="35"/>
        <v>0.5525099203892363</v>
      </c>
      <c r="P195" s="15">
        <f t="shared" si="35"/>
        <v>0.58700992038923627</v>
      </c>
      <c r="Q195" s="15">
        <f t="shared" si="35"/>
        <v>0.55430992038923621</v>
      </c>
      <c r="R195" s="15">
        <f t="shared" si="35"/>
        <v>0.58150992038923621</v>
      </c>
      <c r="S195" s="15">
        <f t="shared" si="35"/>
        <v>0.56570992038923618</v>
      </c>
      <c r="T195" s="15">
        <f t="shared" si="35"/>
        <v>0.57090992038923627</v>
      </c>
      <c r="U195" s="15">
        <f t="shared" si="35"/>
        <v>0.59500992038923628</v>
      </c>
      <c r="V195" s="15">
        <f t="shared" si="35"/>
        <v>0.56480992038923628</v>
      </c>
      <c r="W195" s="15">
        <f t="shared" si="35"/>
        <v>0.61080992038923621</v>
      </c>
      <c r="X195" s="15">
        <f t="shared" si="35"/>
        <v>0.57940992038923622</v>
      </c>
      <c r="Y195" s="15">
        <f t="shared" si="35"/>
        <v>0.58110992038923626</v>
      </c>
      <c r="Z195" s="15">
        <f t="shared" si="35"/>
        <v>0.5836099203892362</v>
      </c>
      <c r="AA195" s="15">
        <f t="shared" si="35"/>
        <v>0.55570992038923628</v>
      </c>
      <c r="AB195" s="15">
        <f t="shared" si="35"/>
        <v>0.55320992038923622</v>
      </c>
      <c r="AC195" s="15">
        <f t="shared" si="35"/>
        <v>0.60110992038923627</v>
      </c>
      <c r="AD195" s="15">
        <f t="shared" si="35"/>
        <v>0.57200992038923615</v>
      </c>
      <c r="AE195" s="15">
        <f t="shared" si="35"/>
        <v>0.56800992038923626</v>
      </c>
      <c r="AF195" s="15">
        <f t="shared" si="35"/>
        <v>0.55280992038923626</v>
      </c>
      <c r="AG195" s="15">
        <f t="shared" si="35"/>
        <v>0.56640992038923632</v>
      </c>
      <c r="AH195" s="15">
        <f t="shared" si="35"/>
        <v>0.5877099203892362</v>
      </c>
      <c r="AI195" s="15">
        <f t="shared" si="35"/>
        <v>0.56610992038923624</v>
      </c>
      <c r="AJ195" s="15">
        <f t="shared" si="35"/>
        <v>0.59860992038923622</v>
      </c>
      <c r="AK195" s="15">
        <f t="shared" si="35"/>
        <v>0.57050992038923631</v>
      </c>
    </row>
    <row r="196" spans="3:37" x14ac:dyDescent="0.35">
      <c r="C196" s="39" t="s">
        <v>94</v>
      </c>
      <c r="D196" s="15">
        <v>0.12886886394712435</v>
      </c>
      <c r="E196" s="15">
        <v>0.11436886394712435</v>
      </c>
      <c r="F196" s="15">
        <v>0.12656886394712435</v>
      </c>
      <c r="G196" s="15">
        <v>0.13856886394712437</v>
      </c>
      <c r="H196" s="15">
        <v>0.14496886394712435</v>
      </c>
      <c r="I196" s="15">
        <v>0.12936886394712435</v>
      </c>
      <c r="J196" s="15">
        <v>0.13206886394712436</v>
      </c>
      <c r="K196" s="15">
        <v>0.11346886394712435</v>
      </c>
      <c r="L196" s="15">
        <v>0.12006886394712435</v>
      </c>
      <c r="M196" s="15">
        <v>0.13646886394712435</v>
      </c>
      <c r="N196" s="15">
        <v>0.14076886394712435</v>
      </c>
      <c r="O196" s="15">
        <v>0.13196886394712434</v>
      </c>
      <c r="P196" s="15">
        <v>0.13956886394712434</v>
      </c>
      <c r="Q196" s="15">
        <v>0.11466886394712435</v>
      </c>
      <c r="R196" s="15">
        <v>0.11866886394712435</v>
      </c>
      <c r="S196" s="15">
        <v>0.13926886394712434</v>
      </c>
      <c r="T196" s="15">
        <v>0.12136886394712434</v>
      </c>
      <c r="U196" s="15">
        <v>0.12856886394712436</v>
      </c>
      <c r="V196" s="15">
        <v>0.12696886394712434</v>
      </c>
      <c r="W196" s="15">
        <v>0.13356886394712436</v>
      </c>
      <c r="X196" s="15">
        <v>0.13246886394712434</v>
      </c>
      <c r="Y196" s="15">
        <v>0.12456886394712435</v>
      </c>
      <c r="Z196" s="15">
        <v>0.11686886394712435</v>
      </c>
      <c r="AA196" s="15">
        <v>0.14456886394712434</v>
      </c>
      <c r="AB196" s="15">
        <v>0.14606886394712434</v>
      </c>
      <c r="AC196" s="15">
        <v>0.12836886394712435</v>
      </c>
      <c r="AD196" s="15">
        <v>0.13996886394712435</v>
      </c>
      <c r="AE196" s="15">
        <v>0.14176886394712435</v>
      </c>
      <c r="AF196" s="15">
        <v>0.13636886394712436</v>
      </c>
      <c r="AG196" s="15">
        <v>0.14346886394712435</v>
      </c>
      <c r="AH196" s="15">
        <v>0.12146886394712435</v>
      </c>
      <c r="AI196" s="15">
        <v>0.11786886394712436</v>
      </c>
      <c r="AJ196" s="15">
        <v>0.11456886394712434</v>
      </c>
      <c r="AK196" s="15">
        <v>0.12666886394712434</v>
      </c>
    </row>
    <row r="197" spans="3:37" x14ac:dyDescent="0.35">
      <c r="C197" s="39" t="s">
        <v>95</v>
      </c>
      <c r="D197" s="15">
        <v>9.5421162032711462E-2</v>
      </c>
      <c r="E197" s="15">
        <v>0.10652116203271146</v>
      </c>
      <c r="F197" s="15">
        <v>0.10352116203271146</v>
      </c>
      <c r="G197" s="15">
        <v>8.6021162032711457E-2</v>
      </c>
      <c r="H197" s="15">
        <v>9.2721162032711468E-2</v>
      </c>
      <c r="I197" s="15">
        <v>0.10342116203271146</v>
      </c>
      <c r="J197" s="15">
        <v>8.9221162032711465E-2</v>
      </c>
      <c r="K197" s="15">
        <v>9.0221162032711466E-2</v>
      </c>
      <c r="L197" s="15">
        <v>0.10092116203271147</v>
      </c>
      <c r="M197" s="15">
        <v>9.9921162032711466E-2</v>
      </c>
      <c r="N197" s="15">
        <v>8.9321162032711468E-2</v>
      </c>
      <c r="O197" s="15">
        <v>0.10792116203271146</v>
      </c>
      <c r="P197" s="15">
        <v>9.9521162032711469E-2</v>
      </c>
      <c r="Q197" s="15">
        <v>0.10762116203271146</v>
      </c>
      <c r="R197" s="15">
        <v>0.10082116203271146</v>
      </c>
      <c r="S197" s="15">
        <v>9.6721162032711458E-2</v>
      </c>
      <c r="T197" s="15">
        <v>9.9721162032711461E-2</v>
      </c>
      <c r="U197" s="15">
        <v>9.2321162032711457E-2</v>
      </c>
      <c r="V197" s="15">
        <v>0.10562116203271146</v>
      </c>
      <c r="W197" s="15">
        <v>8.0021162032711465E-2</v>
      </c>
      <c r="X197" s="15">
        <v>8.8121162032711461E-2</v>
      </c>
      <c r="Y197" s="15">
        <v>9.0721162032711467E-2</v>
      </c>
      <c r="Z197" s="15">
        <v>0.10732116203271147</v>
      </c>
      <c r="AA197" s="15">
        <v>9.9721162032711461E-2</v>
      </c>
      <c r="AB197" s="15">
        <v>8.2621162032711457E-2</v>
      </c>
      <c r="AC197" s="15">
        <v>9.1221162032711467E-2</v>
      </c>
      <c r="AD197" s="15">
        <v>8.6221162032711463E-2</v>
      </c>
      <c r="AE197" s="15">
        <v>8.7321162032711466E-2</v>
      </c>
      <c r="AF197" s="15">
        <v>0.10362116203271146</v>
      </c>
      <c r="AG197" s="15">
        <v>8.662116203271146E-2</v>
      </c>
      <c r="AH197" s="15">
        <v>9.8021162032711467E-2</v>
      </c>
      <c r="AI197" s="15">
        <v>0.11202116203271147</v>
      </c>
      <c r="AJ197" s="15">
        <v>0.10772116203271147</v>
      </c>
      <c r="AK197" s="15">
        <v>8.5821162032711465E-2</v>
      </c>
    </row>
    <row r="198" spans="3:37" x14ac:dyDescent="0.35">
      <c r="C198" s="39" t="s">
        <v>96</v>
      </c>
      <c r="D198" s="15">
        <v>5.7605685352651662E-2</v>
      </c>
      <c r="E198" s="15">
        <v>5.7905685352651663E-2</v>
      </c>
      <c r="F198" s="15">
        <v>6.9905685352651667E-2</v>
      </c>
      <c r="G198" s="15">
        <v>5.0905685352651664E-2</v>
      </c>
      <c r="H198" s="15">
        <v>5.3605685352651658E-2</v>
      </c>
      <c r="I198" s="15">
        <v>5.1005685352651667E-2</v>
      </c>
      <c r="J198" s="15">
        <v>5.0905685352651664E-2</v>
      </c>
      <c r="K198" s="15">
        <v>6.9405685352651653E-2</v>
      </c>
      <c r="L198" s="15">
        <v>5.8905685352651664E-2</v>
      </c>
      <c r="M198" s="15">
        <v>5.320568535265166E-2</v>
      </c>
      <c r="N198" s="15">
        <v>5.9105685352651663E-2</v>
      </c>
      <c r="O198" s="15">
        <v>6.6305685352651661E-2</v>
      </c>
      <c r="P198" s="15">
        <v>5.1005685352651667E-2</v>
      </c>
      <c r="Q198" s="15">
        <v>6.9905685352651667E-2</v>
      </c>
      <c r="R198" s="15">
        <v>5.0305685352651661E-2</v>
      </c>
      <c r="S198" s="15">
        <v>5.8305685352651661E-2</v>
      </c>
      <c r="T198" s="15">
        <v>6.5405685352651663E-2</v>
      </c>
      <c r="U198" s="15">
        <v>6.9805685352651664E-2</v>
      </c>
      <c r="V198" s="15">
        <v>6.190568535265166E-2</v>
      </c>
      <c r="W198" s="15">
        <v>5.2405685352651665E-2</v>
      </c>
      <c r="X198" s="15">
        <v>5.5205685352651669E-2</v>
      </c>
      <c r="Y198" s="15">
        <v>5.0905685352651664E-2</v>
      </c>
      <c r="Z198" s="15">
        <v>5.6005685352651664E-2</v>
      </c>
      <c r="AA198" s="15">
        <v>6.1405685352651659E-2</v>
      </c>
      <c r="AB198" s="15">
        <v>6.8005685352651654E-2</v>
      </c>
      <c r="AC198" s="15">
        <v>5.0705685352651658E-2</v>
      </c>
      <c r="AD198" s="15">
        <v>6.8605685352651657E-2</v>
      </c>
      <c r="AE198" s="15">
        <v>6.3505685352651664E-2</v>
      </c>
      <c r="AF198" s="15">
        <v>5.1105685352651663E-2</v>
      </c>
      <c r="AG198" s="15">
        <v>5.6905685352651669E-2</v>
      </c>
      <c r="AH198" s="15">
        <v>6.2005685352651663E-2</v>
      </c>
      <c r="AI198" s="15">
        <v>6.820568535265166E-2</v>
      </c>
      <c r="AJ198" s="15">
        <v>5.1205685352651666E-2</v>
      </c>
      <c r="AK198" s="15">
        <v>5.6605685352651675E-2</v>
      </c>
    </row>
    <row r="199" spans="3:37" x14ac:dyDescent="0.35">
      <c r="C199" s="39" t="s">
        <v>97</v>
      </c>
      <c r="D199" s="15">
        <v>8.5619225965982343E-2</v>
      </c>
      <c r="E199" s="15">
        <v>7.1419225965982339E-2</v>
      </c>
      <c r="F199" s="15">
        <v>8.0119225965982338E-2</v>
      </c>
      <c r="G199" s="15">
        <v>7.341922596598234E-2</v>
      </c>
      <c r="H199" s="15">
        <v>9.2919225965982344E-2</v>
      </c>
      <c r="I199" s="15">
        <v>0.10041922596598235</v>
      </c>
      <c r="J199" s="15">
        <v>0.10251922596598234</v>
      </c>
      <c r="K199" s="15">
        <v>8.8019225965982342E-2</v>
      </c>
      <c r="L199" s="15">
        <v>9.8919225965982349E-2</v>
      </c>
      <c r="M199" s="15">
        <v>9.7919225965982348E-2</v>
      </c>
      <c r="N199" s="15">
        <v>7.1419225965982339E-2</v>
      </c>
      <c r="O199" s="15">
        <v>0.10001922596598234</v>
      </c>
      <c r="P199" s="15">
        <v>7.0319225965982349E-2</v>
      </c>
      <c r="Q199" s="15">
        <v>0.10151922596598234</v>
      </c>
      <c r="R199" s="15">
        <v>9.5319225965982343E-2</v>
      </c>
      <c r="S199" s="15">
        <v>8.4919225965982337E-2</v>
      </c>
      <c r="T199" s="15">
        <v>8.551922596598234E-2</v>
      </c>
      <c r="U199" s="15">
        <v>7.341922596598234E-2</v>
      </c>
      <c r="V199" s="15">
        <v>8.9419225965982341E-2</v>
      </c>
      <c r="W199" s="15">
        <v>8.261922596598234E-2</v>
      </c>
      <c r="X199" s="15">
        <v>9.7719225965982343E-2</v>
      </c>
      <c r="Y199" s="15">
        <v>9.6719225965982342E-2</v>
      </c>
      <c r="Z199" s="15">
        <v>7.6219225965982337E-2</v>
      </c>
      <c r="AA199" s="15">
        <v>9.7719225965982343E-2</v>
      </c>
      <c r="AB199" s="15">
        <v>0.10191922596598234</v>
      </c>
      <c r="AC199" s="15">
        <v>7.3219225965982349E-2</v>
      </c>
      <c r="AD199" s="15">
        <v>7.3819225965982338E-2</v>
      </c>
      <c r="AE199" s="15">
        <v>8.3119225965982341E-2</v>
      </c>
      <c r="AF199" s="15">
        <v>9.7819225965982345E-2</v>
      </c>
      <c r="AG199" s="15">
        <v>8.8519225965982343E-2</v>
      </c>
      <c r="AH199" s="15">
        <v>7.6219225965982337E-2</v>
      </c>
      <c r="AI199" s="15">
        <v>8.2019225965982337E-2</v>
      </c>
      <c r="AJ199" s="15">
        <v>7.7119225965982335E-2</v>
      </c>
      <c r="AK199" s="15">
        <v>0.10181922596598234</v>
      </c>
    </row>
    <row r="200" spans="3:37" x14ac:dyDescent="0.35">
      <c r="C200" s="39" t="s">
        <v>98</v>
      </c>
      <c r="D200" s="15">
        <v>4.7875142312293943E-2</v>
      </c>
      <c r="E200" s="15">
        <v>5.4275142312293946E-2</v>
      </c>
      <c r="F200" s="15">
        <v>5.8575142312293937E-2</v>
      </c>
      <c r="G200" s="15">
        <v>4.2275142312293949E-2</v>
      </c>
      <c r="H200" s="15">
        <v>5.407514231229394E-2</v>
      </c>
      <c r="I200" s="15">
        <v>4.1675142312293946E-2</v>
      </c>
      <c r="J200" s="15">
        <v>4.9575142312293943E-2</v>
      </c>
      <c r="K200" s="15">
        <v>4.1875142312293952E-2</v>
      </c>
      <c r="L200" s="15">
        <v>5.0375142312293945E-2</v>
      </c>
      <c r="M200" s="15">
        <v>5.0975142312293942E-2</v>
      </c>
      <c r="N200" s="15">
        <v>5.2975142312293944E-2</v>
      </c>
      <c r="O200" s="15">
        <v>4.1275142312293941E-2</v>
      </c>
      <c r="P200" s="15">
        <v>5.2575142312293946E-2</v>
      </c>
      <c r="Q200" s="15">
        <v>5.1975142312293943E-2</v>
      </c>
      <c r="R200" s="15">
        <v>5.3375142312293941E-2</v>
      </c>
      <c r="S200" s="15">
        <v>5.5075142312293941E-2</v>
      </c>
      <c r="T200" s="15">
        <v>5.7075142312293943E-2</v>
      </c>
      <c r="U200" s="15">
        <v>4.0875142312293951E-2</v>
      </c>
      <c r="V200" s="15">
        <v>5.1275142312293943E-2</v>
      </c>
      <c r="W200" s="15">
        <v>4.0575142312293949E-2</v>
      </c>
      <c r="X200" s="15">
        <v>4.7075142312293941E-2</v>
      </c>
      <c r="Y200" s="15">
        <v>5.5975142312293946E-2</v>
      </c>
      <c r="Z200" s="15">
        <v>5.9975142312293943E-2</v>
      </c>
      <c r="AA200" s="15">
        <v>4.0875142312293951E-2</v>
      </c>
      <c r="AB200" s="15">
        <v>4.8175142312293945E-2</v>
      </c>
      <c r="AC200" s="15">
        <v>5.5375142312293943E-2</v>
      </c>
      <c r="AD200" s="15">
        <v>5.9375142312293946E-2</v>
      </c>
      <c r="AE200" s="15">
        <v>5.6275142312293941E-2</v>
      </c>
      <c r="AF200" s="15">
        <v>5.8275142312293943E-2</v>
      </c>
      <c r="AG200" s="15">
        <v>5.8075142312293944E-2</v>
      </c>
      <c r="AH200" s="15">
        <v>5.4575142312293941E-2</v>
      </c>
      <c r="AI200" s="15">
        <v>5.3775142312293946E-2</v>
      </c>
      <c r="AJ200" s="15">
        <v>5.0775142312293943E-2</v>
      </c>
      <c r="AK200" s="15">
        <v>5.8575142312293937E-2</v>
      </c>
    </row>
    <row r="201" spans="3:37" x14ac:dyDescent="0.35">
      <c r="C201" s="37" t="s">
        <v>79</v>
      </c>
      <c r="D201" s="15">
        <v>0.18116662952468879</v>
      </c>
      <c r="E201" s="15">
        <v>0.18146662952468878</v>
      </c>
      <c r="F201" s="15">
        <v>0.17306662952468879</v>
      </c>
      <c r="G201" s="15">
        <v>0.18446662952468879</v>
      </c>
      <c r="H201" s="15">
        <v>0.18146662952468878</v>
      </c>
      <c r="I201" s="15">
        <v>0.16936662952468878</v>
      </c>
      <c r="J201" s="15">
        <v>0.17976662952468878</v>
      </c>
      <c r="K201" s="15">
        <v>0.16506662952468878</v>
      </c>
      <c r="L201" s="15">
        <v>0.17306662952468879</v>
      </c>
      <c r="M201" s="15">
        <v>0.1704666295246888</v>
      </c>
      <c r="N201" s="15">
        <v>0.18876662952468878</v>
      </c>
      <c r="O201" s="15">
        <v>0.18876662952468878</v>
      </c>
      <c r="P201" s="15">
        <v>0.18816662952468879</v>
      </c>
      <c r="Q201" s="15">
        <v>0.1712666295246888</v>
      </c>
      <c r="R201" s="15">
        <v>0.18566662952468879</v>
      </c>
      <c r="S201" s="15">
        <v>0.1707666295246888</v>
      </c>
      <c r="T201" s="15">
        <v>0.19826662952468879</v>
      </c>
      <c r="U201" s="15">
        <v>0.18076662952468878</v>
      </c>
      <c r="V201" s="15">
        <v>0.17196662952468877</v>
      </c>
      <c r="W201" s="15">
        <v>0.1785666295246888</v>
      </c>
      <c r="X201" s="15">
        <v>0.18046662952468878</v>
      </c>
      <c r="Y201" s="15">
        <v>0.17696662952468878</v>
      </c>
      <c r="Z201" s="15">
        <v>0.18596662952468879</v>
      </c>
      <c r="AA201" s="15">
        <v>0.18556662952468878</v>
      </c>
      <c r="AB201" s="15">
        <v>0.17396662952468878</v>
      </c>
      <c r="AC201" s="15">
        <v>0.18976662952468878</v>
      </c>
      <c r="AD201" s="15">
        <v>0.17506662952468879</v>
      </c>
      <c r="AE201" s="15">
        <v>0.16556662952468879</v>
      </c>
      <c r="AF201" s="15">
        <v>0.17006662952468879</v>
      </c>
      <c r="AG201" s="15">
        <v>0.18516662952468879</v>
      </c>
      <c r="AH201" s="15">
        <v>0.1828666295246888</v>
      </c>
      <c r="AI201" s="15">
        <v>0.18116662952468879</v>
      </c>
      <c r="AJ201" s="15">
        <v>0.18296662952468878</v>
      </c>
      <c r="AK201" s="15">
        <v>0.17836662952468879</v>
      </c>
    </row>
    <row r="202" spans="3:37" x14ac:dyDescent="0.35">
      <c r="C202" s="39" t="s">
        <v>93</v>
      </c>
      <c r="D202" s="15">
        <f>1-SUM(D203:D207)</f>
        <v>0.582093511342334</v>
      </c>
      <c r="E202" s="15">
        <f t="shared" ref="E202:AK202" si="36">1-SUM(E203:E207)</f>
        <v>0.58069351134233416</v>
      </c>
      <c r="F202" s="15">
        <f t="shared" si="36"/>
        <v>0.5388935113423341</v>
      </c>
      <c r="G202" s="15">
        <f t="shared" si="36"/>
        <v>0.59169351134233406</v>
      </c>
      <c r="H202" s="15">
        <f t="shared" si="36"/>
        <v>0.60289351134233404</v>
      </c>
      <c r="I202" s="15">
        <f t="shared" si="36"/>
        <v>0.58139351134233408</v>
      </c>
      <c r="J202" s="15">
        <f t="shared" si="36"/>
        <v>0.5438935113423341</v>
      </c>
      <c r="K202" s="15">
        <f t="shared" si="36"/>
        <v>0.58909351134233401</v>
      </c>
      <c r="L202" s="15">
        <f t="shared" si="36"/>
        <v>0.56629351134233408</v>
      </c>
      <c r="M202" s="15">
        <f t="shared" si="36"/>
        <v>0.56989351134233401</v>
      </c>
      <c r="N202" s="15">
        <f t="shared" si="36"/>
        <v>0.61989351134233406</v>
      </c>
      <c r="O202" s="15">
        <f t="shared" si="36"/>
        <v>0.59189351134233403</v>
      </c>
      <c r="P202" s="15">
        <f t="shared" si="36"/>
        <v>0.58519351134233411</v>
      </c>
      <c r="Q202" s="15">
        <f t="shared" si="36"/>
        <v>0.58189351134233402</v>
      </c>
      <c r="R202" s="15">
        <f t="shared" si="36"/>
        <v>0.55539351134233406</v>
      </c>
      <c r="S202" s="15">
        <f t="shared" si="36"/>
        <v>0.57219351134233398</v>
      </c>
      <c r="T202" s="15">
        <f t="shared" si="36"/>
        <v>0.59779351134233405</v>
      </c>
      <c r="U202" s="15">
        <f t="shared" si="36"/>
        <v>0.57259351134233416</v>
      </c>
      <c r="V202" s="15">
        <f t="shared" si="36"/>
        <v>0.58919351134233411</v>
      </c>
      <c r="W202" s="15">
        <f t="shared" si="36"/>
        <v>0.56559351134233404</v>
      </c>
      <c r="X202" s="15">
        <f t="shared" si="36"/>
        <v>0.58969351134233405</v>
      </c>
      <c r="Y202" s="15">
        <f t="shared" si="36"/>
        <v>0.58999351134233402</v>
      </c>
      <c r="Z202" s="15">
        <f t="shared" si="36"/>
        <v>0.58879351134233415</v>
      </c>
      <c r="AA202" s="15">
        <f t="shared" si="36"/>
        <v>0.57389351134233402</v>
      </c>
      <c r="AB202" s="15">
        <f t="shared" si="36"/>
        <v>0.61079351134233417</v>
      </c>
      <c r="AC202" s="15">
        <f t="shared" si="36"/>
        <v>0.55279351134233412</v>
      </c>
      <c r="AD202" s="15">
        <f t="shared" si="36"/>
        <v>0.57269351134233393</v>
      </c>
      <c r="AE202" s="15">
        <f t="shared" si="36"/>
        <v>0.55669351134233414</v>
      </c>
      <c r="AF202" s="15">
        <f t="shared" si="36"/>
        <v>0.57149351134233406</v>
      </c>
      <c r="AG202" s="15">
        <f t="shared" si="36"/>
        <v>0.61529351134233412</v>
      </c>
      <c r="AH202" s="15">
        <f t="shared" si="36"/>
        <v>0.61369351134233407</v>
      </c>
      <c r="AI202" s="15">
        <f t="shared" si="36"/>
        <v>0.57019351134233409</v>
      </c>
      <c r="AJ202" s="15">
        <f t="shared" si="36"/>
        <v>0.6114935113423341</v>
      </c>
      <c r="AK202" s="15">
        <f t="shared" si="36"/>
        <v>0.58539351134233408</v>
      </c>
    </row>
    <row r="203" spans="3:37" x14ac:dyDescent="0.35">
      <c r="C203" s="39" t="s">
        <v>94</v>
      </c>
      <c r="D203" s="15">
        <v>0.11549398844705365</v>
      </c>
      <c r="E203" s="15">
        <v>0.10689398844705365</v>
      </c>
      <c r="F203" s="15">
        <v>0.11169398844705365</v>
      </c>
      <c r="G203" s="15">
        <v>0.13049398844705365</v>
      </c>
      <c r="H203" s="15">
        <v>0.12639398844705366</v>
      </c>
      <c r="I203" s="15">
        <v>0.10659398844705364</v>
      </c>
      <c r="J203" s="15">
        <v>0.13129398844705364</v>
      </c>
      <c r="K203" s="15">
        <v>0.11229398844705366</v>
      </c>
      <c r="L203" s="15">
        <v>0.11829398844705365</v>
      </c>
      <c r="M203" s="15">
        <v>0.13049398844705365</v>
      </c>
      <c r="N203" s="15">
        <v>0.10829398844705365</v>
      </c>
      <c r="O203" s="15">
        <v>0.10569398844705365</v>
      </c>
      <c r="P203" s="15">
        <v>0.10019398844705366</v>
      </c>
      <c r="Q203" s="15">
        <v>0.10239398844705365</v>
      </c>
      <c r="R203" s="15">
        <v>0.11919398844705364</v>
      </c>
      <c r="S203" s="15">
        <v>0.11249398844705365</v>
      </c>
      <c r="T203" s="15">
        <v>0.11169398844705365</v>
      </c>
      <c r="U203" s="15">
        <v>0.11039398844705364</v>
      </c>
      <c r="V203" s="15">
        <v>0.11019398844705365</v>
      </c>
      <c r="W203" s="15">
        <v>0.11929398844705365</v>
      </c>
      <c r="X203" s="15">
        <v>0.10509398844705364</v>
      </c>
      <c r="Y203" s="15">
        <v>0.11399398844705365</v>
      </c>
      <c r="Z203" s="15">
        <v>0.11029398844705365</v>
      </c>
      <c r="AA203" s="15">
        <v>0.11819398844705364</v>
      </c>
      <c r="AB203" s="15">
        <v>0.10459398844705364</v>
      </c>
      <c r="AC203" s="15">
        <v>0.13119398844705366</v>
      </c>
      <c r="AD203" s="15">
        <v>0.12119398844705365</v>
      </c>
      <c r="AE203" s="15">
        <v>0.12469398844705365</v>
      </c>
      <c r="AF203" s="15">
        <v>0.10659398844705364</v>
      </c>
      <c r="AG203" s="15">
        <v>0.10169398844705366</v>
      </c>
      <c r="AH203" s="15">
        <v>0.10009398844705365</v>
      </c>
      <c r="AI203" s="15">
        <v>0.11139398844705364</v>
      </c>
      <c r="AJ203" s="15">
        <v>0.10099398844705365</v>
      </c>
      <c r="AK203" s="15">
        <v>0.10859398844705365</v>
      </c>
    </row>
    <row r="204" spans="3:37" x14ac:dyDescent="0.35">
      <c r="C204" s="39" t="s">
        <v>95</v>
      </c>
      <c r="D204" s="15">
        <v>0.10324797380169171</v>
      </c>
      <c r="E204" s="15">
        <v>0.1064479738016917</v>
      </c>
      <c r="F204" s="15">
        <v>0.1138479738016917</v>
      </c>
      <c r="G204" s="15">
        <v>8.8047973801691701E-2</v>
      </c>
      <c r="H204" s="15">
        <v>8.9447973801691699E-2</v>
      </c>
      <c r="I204" s="15">
        <v>0.10234797380169171</v>
      </c>
      <c r="J204" s="15">
        <v>9.4147973801691709E-2</v>
      </c>
      <c r="K204" s="15">
        <v>9.38479738016917E-2</v>
      </c>
      <c r="L204" s="15">
        <v>0.10154797380169171</v>
      </c>
      <c r="M204" s="15">
        <v>0.11254797380169171</v>
      </c>
      <c r="N204" s="15">
        <v>8.9847973801691711E-2</v>
      </c>
      <c r="O204" s="15">
        <v>8.7347973801691708E-2</v>
      </c>
      <c r="P204" s="15">
        <v>0.10774797380169171</v>
      </c>
      <c r="Q204" s="15">
        <v>0.10054797380169171</v>
      </c>
      <c r="R204" s="15">
        <v>0.1171479738016917</v>
      </c>
      <c r="S204" s="15">
        <v>0.10294797380169171</v>
      </c>
      <c r="T204" s="15">
        <v>9.6647973801691711E-2</v>
      </c>
      <c r="U204" s="15">
        <v>0.11214797380169171</v>
      </c>
      <c r="V204" s="15">
        <v>9.274797380169171E-2</v>
      </c>
      <c r="W204" s="15">
        <v>0.10764797380169171</v>
      </c>
      <c r="X204" s="15">
        <v>9.0147973801691705E-2</v>
      </c>
      <c r="Y204" s="15">
        <v>0.1147479738016917</v>
      </c>
      <c r="Z204" s="15">
        <v>0.10274797380169171</v>
      </c>
      <c r="AA204" s="15">
        <v>0.10384797380169171</v>
      </c>
      <c r="AB204" s="15">
        <v>8.884797380169171E-2</v>
      </c>
      <c r="AC204" s="15">
        <v>0.11244797380169171</v>
      </c>
      <c r="AD204" s="15">
        <v>0.1132479738016917</v>
      </c>
      <c r="AE204" s="15">
        <v>0.11394797380169171</v>
      </c>
      <c r="AF204" s="15">
        <v>0.1199479738016917</v>
      </c>
      <c r="AG204" s="15">
        <v>9.2947973801691702E-2</v>
      </c>
      <c r="AH204" s="15">
        <v>9.62479738016917E-2</v>
      </c>
      <c r="AI204" s="15">
        <v>9.3447973801691703E-2</v>
      </c>
      <c r="AJ204" s="15">
        <v>9.9847973801691706E-2</v>
      </c>
      <c r="AK204" s="15">
        <v>9.9147973801691699E-2</v>
      </c>
    </row>
    <row r="205" spans="3:37" x14ac:dyDescent="0.35">
      <c r="C205" s="39" t="s">
        <v>96</v>
      </c>
      <c r="D205" s="15">
        <v>5.9361207234513033E-2</v>
      </c>
      <c r="E205" s="15">
        <v>5.0061207234513044E-2</v>
      </c>
      <c r="F205" s="15">
        <v>6.8561207234513033E-2</v>
      </c>
      <c r="G205" s="15">
        <v>5.6761207234513035E-2</v>
      </c>
      <c r="H205" s="15">
        <v>5.3161207234513036E-2</v>
      </c>
      <c r="I205" s="15">
        <v>6.5661207234513033E-2</v>
      </c>
      <c r="J205" s="15">
        <v>6.4661207234513032E-2</v>
      </c>
      <c r="K205" s="15">
        <v>5.3761207234513032E-2</v>
      </c>
      <c r="L205" s="15">
        <v>5.6561207234513036E-2</v>
      </c>
      <c r="M205" s="15">
        <v>6.9661207234513023E-2</v>
      </c>
      <c r="N205" s="15">
        <v>5.0561207234513031E-2</v>
      </c>
      <c r="O205" s="15">
        <v>6.9461207234513031E-2</v>
      </c>
      <c r="P205" s="15">
        <v>6.8861207234513028E-2</v>
      </c>
      <c r="Q205" s="15">
        <v>6.2661207234513031E-2</v>
      </c>
      <c r="R205" s="15">
        <v>5.8561207234513031E-2</v>
      </c>
      <c r="S205" s="15">
        <v>6.5461207234513027E-2</v>
      </c>
      <c r="T205" s="15">
        <v>6.1261207234513032E-2</v>
      </c>
      <c r="U205" s="15">
        <v>6.7061207234513032E-2</v>
      </c>
      <c r="V205" s="15">
        <v>6.976120723451304E-2</v>
      </c>
      <c r="W205" s="15">
        <v>5.2861207234513041E-2</v>
      </c>
      <c r="X205" s="15">
        <v>6.846120723451303E-2</v>
      </c>
      <c r="Y205" s="15">
        <v>5.0861207234513033E-2</v>
      </c>
      <c r="Z205" s="15">
        <v>6.1961207234513031E-2</v>
      </c>
      <c r="AA205" s="15">
        <v>5.926120723451303E-2</v>
      </c>
      <c r="AB205" s="15">
        <v>5.3461207234513031E-2</v>
      </c>
      <c r="AC205" s="15">
        <v>5.1761207234513038E-2</v>
      </c>
      <c r="AD205" s="15">
        <v>5.476120723451304E-2</v>
      </c>
      <c r="AE205" s="15">
        <v>5.1461207234513036E-2</v>
      </c>
      <c r="AF205" s="15">
        <v>6.3661207234513031E-2</v>
      </c>
      <c r="AG205" s="15">
        <v>5.0561207234513031E-2</v>
      </c>
      <c r="AH205" s="15">
        <v>5.4961207234513032E-2</v>
      </c>
      <c r="AI205" s="15">
        <v>6.8761207234513025E-2</v>
      </c>
      <c r="AJ205" s="15">
        <v>5.0261207234513036E-2</v>
      </c>
      <c r="AK205" s="15">
        <v>6.4061207234513029E-2</v>
      </c>
    </row>
    <row r="206" spans="3:37" x14ac:dyDescent="0.35">
      <c r="C206" s="39" t="s">
        <v>97</v>
      </c>
      <c r="D206" s="15">
        <v>9.1787588272710996E-2</v>
      </c>
      <c r="E206" s="15">
        <v>0.100487588272711</v>
      </c>
      <c r="F206" s="15">
        <v>0.107287588272711</v>
      </c>
      <c r="G206" s="15">
        <v>9.0487588272711E-2</v>
      </c>
      <c r="H206" s="15">
        <v>8.6687588272711003E-2</v>
      </c>
      <c r="I206" s="15">
        <v>9.1187588272710993E-2</v>
      </c>
      <c r="J206" s="15">
        <v>0.10718758827271099</v>
      </c>
      <c r="K206" s="15">
        <v>0.100287588272711</v>
      </c>
      <c r="L206" s="15">
        <v>0.106787588272711</v>
      </c>
      <c r="M206" s="15">
        <v>7.6787588272710997E-2</v>
      </c>
      <c r="N206" s="15">
        <v>8.0687588272710997E-2</v>
      </c>
      <c r="O206" s="15">
        <v>8.8287588272710993E-2</v>
      </c>
      <c r="P206" s="15">
        <v>9.4687588272710996E-2</v>
      </c>
      <c r="Q206" s="15">
        <v>0.108787588272711</v>
      </c>
      <c r="R206" s="15">
        <v>0.10188758827271099</v>
      </c>
      <c r="S206" s="15">
        <v>0.10628758827271099</v>
      </c>
      <c r="T206" s="15">
        <v>8.4487588272710995E-2</v>
      </c>
      <c r="U206" s="15">
        <v>9.6987588272710992E-2</v>
      </c>
      <c r="V206" s="15">
        <v>7.9087588272710993E-2</v>
      </c>
      <c r="W206" s="15">
        <v>9.4787588272710999E-2</v>
      </c>
      <c r="X206" s="15">
        <v>8.818758827271099E-2</v>
      </c>
      <c r="Y206" s="15">
        <v>8.9887588272710997E-2</v>
      </c>
      <c r="Z206" s="15">
        <v>8.1287588272711001E-2</v>
      </c>
      <c r="AA206" s="15">
        <v>8.6287588272710991E-2</v>
      </c>
      <c r="AB206" s="15">
        <v>8.9787588272710994E-2</v>
      </c>
      <c r="AC206" s="15">
        <v>0.107387588272711</v>
      </c>
      <c r="AD206" s="15">
        <v>8.5987588272710996E-2</v>
      </c>
      <c r="AE206" s="15">
        <v>9.4387588272711001E-2</v>
      </c>
      <c r="AF206" s="15">
        <v>7.9787588272710999E-2</v>
      </c>
      <c r="AG206" s="15">
        <v>9.1887588272710999E-2</v>
      </c>
      <c r="AH206" s="15">
        <v>9.3187588272710994E-2</v>
      </c>
      <c r="AI206" s="15">
        <v>0.106987588272711</v>
      </c>
      <c r="AJ206" s="15">
        <v>8.1787588272711001E-2</v>
      </c>
      <c r="AK206" s="15">
        <v>9.6487588272710992E-2</v>
      </c>
    </row>
    <row r="207" spans="3:37" x14ac:dyDescent="0.35">
      <c r="C207" s="39" t="s">
        <v>98</v>
      </c>
      <c r="D207" s="15">
        <v>4.8015730901696557E-2</v>
      </c>
      <c r="E207" s="15">
        <v>5.5415730901696561E-2</v>
      </c>
      <c r="F207" s="15">
        <v>5.9715730901696559E-2</v>
      </c>
      <c r="G207" s="15">
        <v>4.2515730901696559E-2</v>
      </c>
      <c r="H207" s="15">
        <v>4.1415730901696556E-2</v>
      </c>
      <c r="I207" s="15">
        <v>5.2815730901696556E-2</v>
      </c>
      <c r="J207" s="15">
        <v>5.8815730901696561E-2</v>
      </c>
      <c r="K207" s="15">
        <v>5.0715730901696558E-2</v>
      </c>
      <c r="L207" s="15">
        <v>5.0515730901696559E-2</v>
      </c>
      <c r="M207" s="15">
        <v>4.061573090169656E-2</v>
      </c>
      <c r="N207" s="15">
        <v>5.0715730901696558E-2</v>
      </c>
      <c r="O207" s="15">
        <v>5.731573090169656E-2</v>
      </c>
      <c r="P207" s="15">
        <v>4.3315730901696554E-2</v>
      </c>
      <c r="Q207" s="15">
        <v>4.3715730901696566E-2</v>
      </c>
      <c r="R207" s="15">
        <v>4.7815730901696565E-2</v>
      </c>
      <c r="S207" s="15">
        <v>4.061573090169656E-2</v>
      </c>
      <c r="T207" s="15">
        <v>4.811573090169656E-2</v>
      </c>
      <c r="U207" s="15">
        <v>4.0815730901696559E-2</v>
      </c>
      <c r="V207" s="15">
        <v>5.9015730901696553E-2</v>
      </c>
      <c r="W207" s="15">
        <v>5.9815730901696555E-2</v>
      </c>
      <c r="X207" s="15">
        <v>5.8415730901696557E-2</v>
      </c>
      <c r="Y207" s="15">
        <v>4.0515730901696557E-2</v>
      </c>
      <c r="Z207" s="15">
        <v>5.4915730901696554E-2</v>
      </c>
      <c r="AA207" s="15">
        <v>5.8515730901696553E-2</v>
      </c>
      <c r="AB207" s="15">
        <v>5.2515730901696554E-2</v>
      </c>
      <c r="AC207" s="15">
        <v>4.4415730901696558E-2</v>
      </c>
      <c r="AD207" s="15">
        <v>5.2115730901696557E-2</v>
      </c>
      <c r="AE207" s="15">
        <v>5.8815730901696561E-2</v>
      </c>
      <c r="AF207" s="15">
        <v>5.8515730901696553E-2</v>
      </c>
      <c r="AG207" s="15">
        <v>4.761573090169656E-2</v>
      </c>
      <c r="AH207" s="15">
        <v>4.181573090169656E-2</v>
      </c>
      <c r="AI207" s="15">
        <v>4.9215730901696557E-2</v>
      </c>
      <c r="AJ207" s="15">
        <v>5.561573090169656E-2</v>
      </c>
      <c r="AK207" s="15">
        <v>4.6315730901696557E-2</v>
      </c>
    </row>
    <row r="208" spans="3:37" x14ac:dyDescent="0.35">
      <c r="C208" s="40" t="s">
        <v>83</v>
      </c>
      <c r="D208" s="15">
        <v>0.13236680129836231</v>
      </c>
      <c r="E208" s="15">
        <v>0.11886680129836232</v>
      </c>
      <c r="F208" s="15">
        <v>0.12726680129836232</v>
      </c>
      <c r="G208" s="15">
        <v>0.12356680129836231</v>
      </c>
      <c r="H208" s="15">
        <v>0.14826680129836231</v>
      </c>
      <c r="I208" s="15">
        <v>0.11966680129836231</v>
      </c>
      <c r="J208" s="15">
        <v>0.13286680129836231</v>
      </c>
      <c r="K208" s="15">
        <v>0.14766680129836232</v>
      </c>
      <c r="L208" s="15">
        <v>0.12486680129836231</v>
      </c>
      <c r="M208" s="15">
        <v>0.11786680129836231</v>
      </c>
      <c r="N208" s="15">
        <v>0.12136680129836232</v>
      </c>
      <c r="O208" s="15">
        <v>0.14036680129836232</v>
      </c>
      <c r="P208" s="15">
        <v>0.12796680129836233</v>
      </c>
      <c r="Q208" s="15">
        <v>0.14196680129836231</v>
      </c>
      <c r="R208" s="15">
        <v>0.13526680129836233</v>
      </c>
      <c r="S208" s="15">
        <v>0.14336680129836232</v>
      </c>
      <c r="T208" s="15">
        <v>0.12606680129836231</v>
      </c>
      <c r="U208" s="15">
        <v>0.1344668012983623</v>
      </c>
      <c r="V208" s="15">
        <v>0.1480668012983623</v>
      </c>
      <c r="W208" s="15">
        <v>0.12906680129836232</v>
      </c>
      <c r="X208" s="15">
        <v>0.12076680129836231</v>
      </c>
      <c r="Y208" s="15">
        <v>0.14886680129836233</v>
      </c>
      <c r="Z208" s="15">
        <v>0.14696680129836232</v>
      </c>
      <c r="AA208" s="15">
        <v>0.1304668012983623</v>
      </c>
      <c r="AB208" s="15">
        <v>0.11896680129836232</v>
      </c>
      <c r="AC208" s="15">
        <v>0.12196680129836232</v>
      </c>
      <c r="AD208" s="15">
        <v>0.14226680129836231</v>
      </c>
      <c r="AE208" s="15">
        <v>0.1362668012983623</v>
      </c>
      <c r="AF208" s="15">
        <v>0.1334668012983623</v>
      </c>
      <c r="AG208" s="15">
        <v>0.13996680129836231</v>
      </c>
      <c r="AH208" s="15">
        <v>0.12006680129836231</v>
      </c>
      <c r="AI208" s="15">
        <v>0.14446680129836231</v>
      </c>
      <c r="AJ208" s="15">
        <v>0.1319668012983623</v>
      </c>
      <c r="AK208" s="15">
        <v>0.12256680129836231</v>
      </c>
    </row>
    <row r="209" spans="3:37" x14ac:dyDescent="0.35">
      <c r="C209" s="37" t="s">
        <v>80</v>
      </c>
      <c r="D209" s="15">
        <f>1-SUM(D216,D223)</f>
        <v>0.50546100897179469</v>
      </c>
      <c r="E209" s="15">
        <f t="shared" ref="E209:AK209" si="37">1-SUM(E216,E223)</f>
        <v>0.50926100897179472</v>
      </c>
      <c r="F209" s="15">
        <f t="shared" si="37"/>
        <v>0.49956100897179467</v>
      </c>
      <c r="G209" s="15">
        <f t="shared" si="37"/>
        <v>0.50276100897179465</v>
      </c>
      <c r="H209" s="15">
        <f t="shared" si="37"/>
        <v>0.52476100897179467</v>
      </c>
      <c r="I209" s="15">
        <f t="shared" si="37"/>
        <v>0.50326100897179471</v>
      </c>
      <c r="J209" s="15">
        <f t="shared" si="37"/>
        <v>0.50846100897179469</v>
      </c>
      <c r="K209" s="15">
        <f t="shared" si="37"/>
        <v>0.48666100897179465</v>
      </c>
      <c r="L209" s="15">
        <f t="shared" si="37"/>
        <v>0.49106100897179472</v>
      </c>
      <c r="M209" s="15">
        <f t="shared" si="37"/>
        <v>0.52006100897179475</v>
      </c>
      <c r="N209" s="15">
        <f t="shared" si="37"/>
        <v>0.50276100897179465</v>
      </c>
      <c r="O209" s="15">
        <f t="shared" si="37"/>
        <v>0.50156100897179468</v>
      </c>
      <c r="P209" s="15">
        <f t="shared" si="37"/>
        <v>0.49836100897179469</v>
      </c>
      <c r="Q209" s="15">
        <f t="shared" si="37"/>
        <v>0.51696100897179464</v>
      </c>
      <c r="R209" s="15">
        <f t="shared" si="37"/>
        <v>0.50646100897179469</v>
      </c>
      <c r="S209" s="15">
        <f t="shared" si="37"/>
        <v>0.48656100897179466</v>
      </c>
      <c r="T209" s="15">
        <f t="shared" si="37"/>
        <v>0.49296100897179462</v>
      </c>
      <c r="U209" s="15">
        <f t="shared" si="37"/>
        <v>0.47966100897179476</v>
      </c>
      <c r="V209" s="15">
        <f t="shared" si="37"/>
        <v>0.50256100897179468</v>
      </c>
      <c r="W209" s="15">
        <f t="shared" si="37"/>
        <v>0.50706100897179462</v>
      </c>
      <c r="X209" s="15">
        <f t="shared" si="37"/>
        <v>0.50686100897179465</v>
      </c>
      <c r="Y209" s="15">
        <f t="shared" si="37"/>
        <v>0.51676100897179467</v>
      </c>
      <c r="Z209" s="15">
        <f t="shared" si="37"/>
        <v>0.48896100897179473</v>
      </c>
      <c r="AA209" s="15">
        <f t="shared" si="37"/>
        <v>0.47846100897179467</v>
      </c>
      <c r="AB209" s="15">
        <f t="shared" si="37"/>
        <v>0.50186100897179475</v>
      </c>
      <c r="AC209" s="15">
        <f t="shared" si="37"/>
        <v>0.51456100897179469</v>
      </c>
      <c r="AD209" s="15">
        <f t="shared" si="37"/>
        <v>0.50406100897179473</v>
      </c>
      <c r="AE209" s="15">
        <f t="shared" si="37"/>
        <v>0.4952610089717947</v>
      </c>
      <c r="AF209" s="15">
        <f t="shared" si="37"/>
        <v>0.50826100897179471</v>
      </c>
      <c r="AG209" s="15">
        <f t="shared" si="37"/>
        <v>0.50666100897179467</v>
      </c>
      <c r="AH209" s="15">
        <f t="shared" si="37"/>
        <v>0.52876100897179468</v>
      </c>
      <c r="AI209" s="15">
        <f t="shared" si="37"/>
        <v>0.50376100897179465</v>
      </c>
      <c r="AJ209" s="15">
        <f t="shared" si="37"/>
        <v>0.50816100897179473</v>
      </c>
      <c r="AK209" s="15">
        <f t="shared" si="37"/>
        <v>0.49236100897179469</v>
      </c>
    </row>
    <row r="210" spans="3:37" x14ac:dyDescent="0.35">
      <c r="C210" s="39" t="s">
        <v>93</v>
      </c>
      <c r="D210" s="15">
        <f>1-SUM(D211:D215)</f>
        <v>0.37505446590769809</v>
      </c>
      <c r="E210" s="15">
        <f t="shared" ref="E210:AK210" si="38">1-SUM(E211:E215)</f>
        <v>0.38065446590769825</v>
      </c>
      <c r="F210" s="15">
        <f t="shared" si="38"/>
        <v>0.36905446590769819</v>
      </c>
      <c r="G210" s="15">
        <f t="shared" si="38"/>
        <v>0.36425446590769817</v>
      </c>
      <c r="H210" s="15">
        <f t="shared" si="38"/>
        <v>0.37295446590769799</v>
      </c>
      <c r="I210" s="15">
        <f t="shared" si="38"/>
        <v>0.34795446590769818</v>
      </c>
      <c r="J210" s="15">
        <f t="shared" si="38"/>
        <v>0.35015446590769816</v>
      </c>
      <c r="K210" s="15">
        <f t="shared" si="38"/>
        <v>0.35925446590769805</v>
      </c>
      <c r="L210" s="15">
        <f t="shared" si="38"/>
        <v>0.3356544659076981</v>
      </c>
      <c r="M210" s="15">
        <f t="shared" si="38"/>
        <v>0.35045446590769813</v>
      </c>
      <c r="N210" s="15">
        <f t="shared" si="38"/>
        <v>0.33275446590769808</v>
      </c>
      <c r="O210" s="15">
        <f t="shared" si="38"/>
        <v>0.34455446590769812</v>
      </c>
      <c r="P210" s="15">
        <f t="shared" si="38"/>
        <v>0.36095446590769809</v>
      </c>
      <c r="Q210" s="15">
        <f t="shared" si="38"/>
        <v>0.3851544659076982</v>
      </c>
      <c r="R210" s="15">
        <f t="shared" si="38"/>
        <v>0.40095446590769812</v>
      </c>
      <c r="S210" s="15">
        <f t="shared" si="38"/>
        <v>0.33335446590769813</v>
      </c>
      <c r="T210" s="15">
        <f t="shared" si="38"/>
        <v>0.37025446590769817</v>
      </c>
      <c r="U210" s="15">
        <f t="shared" si="38"/>
        <v>0.38645446590769816</v>
      </c>
      <c r="V210" s="15">
        <f t="shared" si="38"/>
        <v>0.36205446590769808</v>
      </c>
      <c r="W210" s="15">
        <f t="shared" si="38"/>
        <v>0.35055446590769812</v>
      </c>
      <c r="X210" s="15">
        <f t="shared" si="38"/>
        <v>0.36915446590769818</v>
      </c>
      <c r="Y210" s="15">
        <f t="shared" si="38"/>
        <v>0.35235446590769814</v>
      </c>
      <c r="Z210" s="15">
        <f t="shared" si="38"/>
        <v>0.39265446590769804</v>
      </c>
      <c r="AA210" s="15">
        <f t="shared" si="38"/>
        <v>0.37735446590769817</v>
      </c>
      <c r="AB210" s="15">
        <f t="shared" si="38"/>
        <v>0.39945446590769806</v>
      </c>
      <c r="AC210" s="15">
        <f t="shared" si="38"/>
        <v>0.36645446590769815</v>
      </c>
      <c r="AD210" s="15">
        <f t="shared" si="38"/>
        <v>0.38055446590769804</v>
      </c>
      <c r="AE210" s="15">
        <f t="shared" si="38"/>
        <v>0.34645446590769802</v>
      </c>
      <c r="AF210" s="15">
        <f t="shared" si="38"/>
        <v>0.37135446590769805</v>
      </c>
      <c r="AG210" s="15">
        <f t="shared" si="38"/>
        <v>0.36905446590769808</v>
      </c>
      <c r="AH210" s="15">
        <f t="shared" si="38"/>
        <v>0.38515446590769808</v>
      </c>
      <c r="AI210" s="15">
        <f t="shared" si="38"/>
        <v>0.41545446590769808</v>
      </c>
      <c r="AJ210" s="15">
        <f t="shared" si="38"/>
        <v>0.38235446590769817</v>
      </c>
      <c r="AK210" s="15">
        <f t="shared" si="38"/>
        <v>0.39065446590769815</v>
      </c>
    </row>
    <row r="211" spans="3:37" x14ac:dyDescent="0.35">
      <c r="C211" s="39" t="s">
        <v>94</v>
      </c>
      <c r="D211" s="15">
        <v>0.16208442850228036</v>
      </c>
      <c r="E211" s="15">
        <v>0.14818442850228036</v>
      </c>
      <c r="F211" s="15">
        <v>0.16248442850228037</v>
      </c>
      <c r="G211" s="15">
        <v>0.17588442850228037</v>
      </c>
      <c r="H211" s="15">
        <v>0.15818442850228037</v>
      </c>
      <c r="I211" s="15">
        <v>0.16918442850228035</v>
      </c>
      <c r="J211" s="15">
        <v>0.16688442850228036</v>
      </c>
      <c r="K211" s="15">
        <v>0.17788442850228037</v>
      </c>
      <c r="L211" s="15">
        <v>0.17248442850228035</v>
      </c>
      <c r="M211" s="15">
        <v>0.16938442850228036</v>
      </c>
      <c r="N211" s="15">
        <v>0.16348442850228037</v>
      </c>
      <c r="O211" s="15">
        <v>0.16468442850228035</v>
      </c>
      <c r="P211" s="15">
        <v>0.15848442850228037</v>
      </c>
      <c r="Q211" s="15">
        <v>0.15308442850228035</v>
      </c>
      <c r="R211" s="15">
        <v>0.16028442850228036</v>
      </c>
      <c r="S211" s="15">
        <v>0.17348442850228035</v>
      </c>
      <c r="T211" s="15">
        <v>0.16938442850228036</v>
      </c>
      <c r="U211" s="15">
        <v>0.14868442850228036</v>
      </c>
      <c r="V211" s="15">
        <v>0.16968442850228035</v>
      </c>
      <c r="W211" s="15">
        <v>0.16198442850228037</v>
      </c>
      <c r="X211" s="15">
        <v>0.15108442850228035</v>
      </c>
      <c r="Y211" s="15">
        <v>0.16918442850228035</v>
      </c>
      <c r="Z211" s="15">
        <v>0.16408442850228036</v>
      </c>
      <c r="AA211" s="15">
        <v>0.16728442850228037</v>
      </c>
      <c r="AB211" s="15">
        <v>0.15358442850228035</v>
      </c>
      <c r="AC211" s="15">
        <v>0.16388442850228035</v>
      </c>
      <c r="AD211" s="15">
        <v>0.16128442850228036</v>
      </c>
      <c r="AE211" s="15">
        <v>0.16628442850228037</v>
      </c>
      <c r="AF211" s="15">
        <v>0.17628442850228035</v>
      </c>
      <c r="AG211" s="15">
        <v>0.17778442850228035</v>
      </c>
      <c r="AH211" s="15">
        <v>0.17638442850228037</v>
      </c>
      <c r="AI211" s="15">
        <v>0.15298442850228036</v>
      </c>
      <c r="AJ211" s="15">
        <v>0.14958442850228035</v>
      </c>
      <c r="AK211" s="15">
        <v>0.15288442850228035</v>
      </c>
    </row>
    <row r="212" spans="3:37" x14ac:dyDescent="0.35">
      <c r="C212" s="39" t="s">
        <v>95</v>
      </c>
      <c r="D212" s="15">
        <v>8.6356457808591996E-2</v>
      </c>
      <c r="E212" s="15">
        <v>0.103456457808592</v>
      </c>
      <c r="F212" s="15">
        <v>9.9756457808591992E-2</v>
      </c>
      <c r="G212" s="15">
        <v>9.3156457808591997E-2</v>
      </c>
      <c r="H212" s="15">
        <v>8.0356457808591991E-2</v>
      </c>
      <c r="I212" s="15">
        <v>9.3956457808591992E-2</v>
      </c>
      <c r="J212" s="15">
        <v>9.9556457808592E-2</v>
      </c>
      <c r="K212" s="15">
        <v>7.8556457808591995E-2</v>
      </c>
      <c r="L212" s="15">
        <v>8.8856457808591999E-2</v>
      </c>
      <c r="M212" s="15">
        <v>9.2656457808591997E-2</v>
      </c>
      <c r="N212" s="15">
        <v>9.1256457808591998E-2</v>
      </c>
      <c r="O212" s="15">
        <v>9.9356457808591994E-2</v>
      </c>
      <c r="P212" s="15">
        <v>7.5556457808591992E-2</v>
      </c>
      <c r="Q212" s="15">
        <v>9.6856457808591992E-2</v>
      </c>
      <c r="R212" s="15">
        <v>9.1256457808591998E-2</v>
      </c>
      <c r="S212" s="15">
        <v>9.5856457808591991E-2</v>
      </c>
      <c r="T212" s="15">
        <v>7.5656457808591995E-2</v>
      </c>
      <c r="U212" s="15">
        <v>8.0756457808592003E-2</v>
      </c>
      <c r="V212" s="15">
        <v>9.2356457808592002E-2</v>
      </c>
      <c r="W212" s="15">
        <v>8.9456457808592002E-2</v>
      </c>
      <c r="X212" s="15">
        <v>8.8856457808591999E-2</v>
      </c>
      <c r="Y212" s="15">
        <v>9.8156457808592001E-2</v>
      </c>
      <c r="Z212" s="15">
        <v>7.4256457808591997E-2</v>
      </c>
      <c r="AA212" s="15">
        <v>7.4956457808592003E-2</v>
      </c>
      <c r="AB212" s="15">
        <v>7.9056457808591996E-2</v>
      </c>
      <c r="AC212" s="15">
        <v>7.7056457808591994E-2</v>
      </c>
      <c r="AD212" s="15">
        <v>7.6556457808591993E-2</v>
      </c>
      <c r="AE212" s="15">
        <v>9.7156457808592001E-2</v>
      </c>
      <c r="AF212" s="15">
        <v>7.1556457808591989E-2</v>
      </c>
      <c r="AG212" s="15">
        <v>7.5856457808592001E-2</v>
      </c>
      <c r="AH212" s="15">
        <v>7.9856457808591991E-2</v>
      </c>
      <c r="AI212" s="15">
        <v>8.805645780859199E-2</v>
      </c>
      <c r="AJ212" s="15">
        <v>0.101156457808592</v>
      </c>
      <c r="AK212" s="15">
        <v>7.1256457808591994E-2</v>
      </c>
    </row>
    <row r="213" spans="3:37" x14ac:dyDescent="0.35">
      <c r="C213" s="39" t="s">
        <v>96</v>
      </c>
      <c r="D213" s="15">
        <v>7.0814060911528739E-2</v>
      </c>
      <c r="E213" s="15">
        <v>6.7014060911528742E-2</v>
      </c>
      <c r="F213" s="15">
        <v>8.4114060911528732E-2</v>
      </c>
      <c r="G213" s="15">
        <v>7.4414060911528745E-2</v>
      </c>
      <c r="H213" s="15">
        <v>7.0714060911528737E-2</v>
      </c>
      <c r="I213" s="15">
        <v>8.3214060911528734E-2</v>
      </c>
      <c r="J213" s="15">
        <v>7.8214060911528743E-2</v>
      </c>
      <c r="K213" s="15">
        <v>6.9914060911528741E-2</v>
      </c>
      <c r="L213" s="15">
        <v>8.1814060911528735E-2</v>
      </c>
      <c r="M213" s="15">
        <v>6.3914060911528736E-2</v>
      </c>
      <c r="N213" s="15">
        <v>8.6414060911528742E-2</v>
      </c>
      <c r="O213" s="15">
        <v>8.2214060911528747E-2</v>
      </c>
      <c r="P213" s="15">
        <v>8.7714060911528738E-2</v>
      </c>
      <c r="Q213" s="15">
        <v>6.7814060911528737E-2</v>
      </c>
      <c r="R213" s="15">
        <v>5.871406091152874E-2</v>
      </c>
      <c r="S213" s="15">
        <v>7.7214060911528742E-2</v>
      </c>
      <c r="T213" s="15">
        <v>6.8014060911528743E-2</v>
      </c>
      <c r="U213" s="15">
        <v>5.7814060911528742E-2</v>
      </c>
      <c r="V213" s="15">
        <v>6.0314060911528737E-2</v>
      </c>
      <c r="W213" s="15">
        <v>7.9614060911528742E-2</v>
      </c>
      <c r="X213" s="15">
        <v>6.6414060911528738E-2</v>
      </c>
      <c r="Y213" s="15">
        <v>6.1714060911528743E-2</v>
      </c>
      <c r="Z213" s="15">
        <v>6.9314060911528738E-2</v>
      </c>
      <c r="AA213" s="15">
        <v>5.6714060911528738E-2</v>
      </c>
      <c r="AB213" s="15">
        <v>7.0814060911528739E-2</v>
      </c>
      <c r="AC213" s="15">
        <v>7.5914060911528747E-2</v>
      </c>
      <c r="AD213" s="15">
        <v>6.211406091152874E-2</v>
      </c>
      <c r="AE213" s="15">
        <v>7.5714060911528741E-2</v>
      </c>
      <c r="AF213" s="15">
        <v>7.9514060911528739E-2</v>
      </c>
      <c r="AG213" s="15">
        <v>8.5714060911528736E-2</v>
      </c>
      <c r="AH213" s="15">
        <v>7.3014060911528733E-2</v>
      </c>
      <c r="AI213" s="15">
        <v>5.7814060911528742E-2</v>
      </c>
      <c r="AJ213" s="15">
        <v>7.2914060911528744E-2</v>
      </c>
      <c r="AK213" s="15">
        <v>8.0814060911528734E-2</v>
      </c>
    </row>
    <row r="214" spans="3:37" x14ac:dyDescent="0.35">
      <c r="C214" s="39" t="s">
        <v>97</v>
      </c>
      <c r="D214" s="15">
        <v>0.2742221758974745</v>
      </c>
      <c r="E214" s="15">
        <v>0.26232217589747447</v>
      </c>
      <c r="F214" s="15">
        <v>0.25812217589747449</v>
      </c>
      <c r="G214" s="15">
        <v>0.26502217589747451</v>
      </c>
      <c r="H214" s="15">
        <v>0.28012217589747451</v>
      </c>
      <c r="I214" s="15">
        <v>0.27882217589747449</v>
      </c>
      <c r="J214" s="15">
        <v>0.26822217589747449</v>
      </c>
      <c r="K214" s="15">
        <v>0.28362217589747452</v>
      </c>
      <c r="L214" s="15">
        <v>0.28382217589747449</v>
      </c>
      <c r="M214" s="15">
        <v>0.29142217589747449</v>
      </c>
      <c r="N214" s="15">
        <v>0.29112217589747447</v>
      </c>
      <c r="O214" s="15">
        <v>0.26972217589747449</v>
      </c>
      <c r="P214" s="15">
        <v>0.28412217589747452</v>
      </c>
      <c r="Q214" s="15">
        <v>0.26072217589747448</v>
      </c>
      <c r="R214" s="15">
        <v>0.2621221758974745</v>
      </c>
      <c r="S214" s="15">
        <v>0.28082217589747449</v>
      </c>
      <c r="T214" s="15">
        <v>0.28752217589747447</v>
      </c>
      <c r="U214" s="15">
        <v>0.28692217589747449</v>
      </c>
      <c r="V214" s="15">
        <v>0.2898221758974745</v>
      </c>
      <c r="W214" s="15">
        <v>0.2792221758974745</v>
      </c>
      <c r="X214" s="15">
        <v>0.2903221758974745</v>
      </c>
      <c r="Y214" s="15">
        <v>0.27942217589747448</v>
      </c>
      <c r="Z214" s="15">
        <v>0.27172217589747449</v>
      </c>
      <c r="AA214" s="15">
        <v>0.28502217589747447</v>
      </c>
      <c r="AB214" s="15">
        <v>0.2641221758974745</v>
      </c>
      <c r="AC214" s="15">
        <v>0.2883221758974745</v>
      </c>
      <c r="AD214" s="15">
        <v>0.28962217589747452</v>
      </c>
      <c r="AE214" s="15">
        <v>0.27982217589747449</v>
      </c>
      <c r="AF214" s="15">
        <v>0.27452217589747452</v>
      </c>
      <c r="AG214" s="15">
        <v>0.25842217589747452</v>
      </c>
      <c r="AH214" s="15">
        <v>0.25942217589747452</v>
      </c>
      <c r="AI214" s="15">
        <v>0.26002217589747451</v>
      </c>
      <c r="AJ214" s="15">
        <v>0.26102217589747451</v>
      </c>
      <c r="AK214" s="15">
        <v>0.26602217589747451</v>
      </c>
    </row>
    <row r="215" spans="3:37" x14ac:dyDescent="0.35">
      <c r="C215" s="39" t="s">
        <v>98</v>
      </c>
      <c r="D215" s="15">
        <v>3.1468410972426301E-2</v>
      </c>
      <c r="E215" s="15">
        <v>3.8368410972426291E-2</v>
      </c>
      <c r="F215" s="15">
        <v>2.64684109724263E-2</v>
      </c>
      <c r="G215" s="15">
        <v>2.7268410972426303E-2</v>
      </c>
      <c r="H215" s="15">
        <v>3.7668410972426299E-2</v>
      </c>
      <c r="I215" s="15">
        <v>2.6868410972426305E-2</v>
      </c>
      <c r="J215" s="15">
        <v>3.6968410972426299E-2</v>
      </c>
      <c r="K215" s="15">
        <v>3.0768410972426302E-2</v>
      </c>
      <c r="L215" s="15">
        <v>3.7368410972426297E-2</v>
      </c>
      <c r="M215" s="15">
        <v>3.2168410972426301E-2</v>
      </c>
      <c r="N215" s="15">
        <v>3.4968410972426305E-2</v>
      </c>
      <c r="O215" s="15">
        <v>3.9468410972426295E-2</v>
      </c>
      <c r="P215" s="15">
        <v>3.3168410972426295E-2</v>
      </c>
      <c r="Q215" s="15">
        <v>3.6368410972426317E-2</v>
      </c>
      <c r="R215" s="15">
        <v>2.6668410972426306E-2</v>
      </c>
      <c r="S215" s="15">
        <v>3.9268410972426296E-2</v>
      </c>
      <c r="T215" s="15">
        <v>2.9168410972426308E-2</v>
      </c>
      <c r="U215" s="15">
        <v>3.9368410972426299E-2</v>
      </c>
      <c r="V215" s="15">
        <v>2.5768410972426301E-2</v>
      </c>
      <c r="W215" s="15">
        <v>3.91684109724263E-2</v>
      </c>
      <c r="X215" s="15">
        <v>3.4168410972426302E-2</v>
      </c>
      <c r="Y215" s="15">
        <v>3.9168410972426293E-2</v>
      </c>
      <c r="Z215" s="15">
        <v>2.7968410972426312E-2</v>
      </c>
      <c r="AA215" s="15">
        <v>3.8668410972426293E-2</v>
      </c>
      <c r="AB215" s="15">
        <v>3.2968410972426303E-2</v>
      </c>
      <c r="AC215" s="15">
        <v>2.8368410972426303E-2</v>
      </c>
      <c r="AD215" s="15">
        <v>2.9868410972426301E-2</v>
      </c>
      <c r="AE215" s="15">
        <v>3.4568410972426314E-2</v>
      </c>
      <c r="AF215" s="15">
        <v>2.6768410972426306E-2</v>
      </c>
      <c r="AG215" s="15">
        <v>3.3168410972426302E-2</v>
      </c>
      <c r="AH215" s="15">
        <v>2.6168410972426302E-2</v>
      </c>
      <c r="AI215" s="15">
        <v>2.5668410972426309E-2</v>
      </c>
      <c r="AJ215" s="15">
        <v>3.2968410972426289E-2</v>
      </c>
      <c r="AK215" s="15">
        <v>3.8368410972426298E-2</v>
      </c>
    </row>
    <row r="216" spans="3:37" x14ac:dyDescent="0.35">
      <c r="C216" s="37" t="s">
        <v>81</v>
      </c>
      <c r="D216" s="15">
        <v>0.22930479148351329</v>
      </c>
      <c r="E216" s="15">
        <v>0.23890479148351329</v>
      </c>
      <c r="F216" s="15">
        <v>0.22500479148351329</v>
      </c>
      <c r="G216" s="15">
        <v>0.2290047914835133</v>
      </c>
      <c r="H216" s="15">
        <v>0.21420479148351329</v>
      </c>
      <c r="I216" s="15">
        <v>0.23870479148351328</v>
      </c>
      <c r="J216" s="15">
        <v>0.2199047914835133</v>
      </c>
      <c r="K216" s="15">
        <v>0.23570479148351328</v>
      </c>
      <c r="L216" s="15">
        <v>0.2300047914835133</v>
      </c>
      <c r="M216" s="15">
        <v>0.22630479148351329</v>
      </c>
      <c r="N216" s="15">
        <v>0.21910479148351331</v>
      </c>
      <c r="O216" s="15">
        <v>0.24200479148351328</v>
      </c>
      <c r="P216" s="15">
        <v>0.22260479148351328</v>
      </c>
      <c r="Q216" s="15">
        <v>0.2234047914835133</v>
      </c>
      <c r="R216" s="15">
        <v>0.2381047914835133</v>
      </c>
      <c r="S216" s="15">
        <v>0.2459047914835133</v>
      </c>
      <c r="T216" s="15">
        <v>0.24550479148351328</v>
      </c>
      <c r="U216" s="15">
        <v>0.23900479148351328</v>
      </c>
      <c r="V216" s="15">
        <v>0.23220479148351331</v>
      </c>
      <c r="W216" s="15">
        <v>0.2365047914835133</v>
      </c>
      <c r="X216" s="15">
        <v>0.2217047914835133</v>
      </c>
      <c r="Y216" s="15">
        <v>0.22780479148351329</v>
      </c>
      <c r="Z216" s="15">
        <v>0.2391047914835133</v>
      </c>
      <c r="AA216" s="15">
        <v>0.24620479148351329</v>
      </c>
      <c r="AB216" s="15">
        <v>0.21580479148351328</v>
      </c>
      <c r="AC216" s="15">
        <v>0.2285047914835133</v>
      </c>
      <c r="AD216" s="15">
        <v>0.2144047914835133</v>
      </c>
      <c r="AE216" s="15">
        <v>0.24020479148351329</v>
      </c>
      <c r="AF216" s="15">
        <v>0.21830479148351328</v>
      </c>
      <c r="AG216" s="15">
        <v>0.22830479148351329</v>
      </c>
      <c r="AH216" s="15">
        <v>0.21350479148351328</v>
      </c>
      <c r="AI216" s="15">
        <v>0.22710479148351329</v>
      </c>
      <c r="AJ216" s="15">
        <v>0.22990479148351328</v>
      </c>
      <c r="AK216" s="15">
        <v>0.24630479148351331</v>
      </c>
    </row>
    <row r="217" spans="3:37" x14ac:dyDescent="0.35">
      <c r="C217" s="39" t="s">
        <v>93</v>
      </c>
      <c r="D217" s="15">
        <f>1-SUM(D218:D222)</f>
        <v>0.3782542113323123</v>
      </c>
      <c r="E217" s="15">
        <f t="shared" ref="E217:AK217" si="39">1-SUM(E218:E222)</f>
        <v>0.37765421133231236</v>
      </c>
      <c r="F217" s="15">
        <f t="shared" si="39"/>
        <v>0.39375421133231236</v>
      </c>
      <c r="G217" s="15">
        <f t="shared" si="39"/>
        <v>0.35965421133231235</v>
      </c>
      <c r="H217" s="15">
        <f t="shared" si="39"/>
        <v>0.4074542113323123</v>
      </c>
      <c r="I217" s="15">
        <f t="shared" si="39"/>
        <v>0.36735421133231227</v>
      </c>
      <c r="J217" s="15">
        <f t="shared" si="39"/>
        <v>0.38775421133231225</v>
      </c>
      <c r="K217" s="15">
        <f t="shared" si="39"/>
        <v>0.40675421133231238</v>
      </c>
      <c r="L217" s="15">
        <f t="shared" si="39"/>
        <v>0.40265421133231227</v>
      </c>
      <c r="M217" s="15">
        <f t="shared" si="39"/>
        <v>0.36075421133231234</v>
      </c>
      <c r="N217" s="15">
        <f t="shared" si="39"/>
        <v>0.3741542113323123</v>
      </c>
      <c r="O217" s="15">
        <f t="shared" si="39"/>
        <v>0.36635421133231227</v>
      </c>
      <c r="P217" s="15">
        <f t="shared" si="39"/>
        <v>0.37815421133231231</v>
      </c>
      <c r="Q217" s="15">
        <f t="shared" si="39"/>
        <v>0.38665421133231237</v>
      </c>
      <c r="R217" s="15">
        <f t="shared" si="39"/>
        <v>0.38995421133231234</v>
      </c>
      <c r="S217" s="15">
        <f t="shared" si="39"/>
        <v>0.37465421133231236</v>
      </c>
      <c r="T217" s="15">
        <f t="shared" si="39"/>
        <v>0.39265421133231226</v>
      </c>
      <c r="U217" s="15">
        <f t="shared" si="39"/>
        <v>0.37175421133231235</v>
      </c>
      <c r="V217" s="15">
        <f t="shared" si="39"/>
        <v>0.36585421133231233</v>
      </c>
      <c r="W217" s="15">
        <f t="shared" si="39"/>
        <v>0.40335421133231242</v>
      </c>
      <c r="X217" s="15">
        <f t="shared" si="39"/>
        <v>0.38445421133231239</v>
      </c>
      <c r="Y217" s="15">
        <f t="shared" si="39"/>
        <v>0.36895421133231232</v>
      </c>
      <c r="Z217" s="15">
        <f t="shared" si="39"/>
        <v>0.38305421133231243</v>
      </c>
      <c r="AA217" s="15">
        <f t="shared" si="39"/>
        <v>0.38815421133231232</v>
      </c>
      <c r="AB217" s="15">
        <f t="shared" si="39"/>
        <v>0.36565421133231224</v>
      </c>
      <c r="AC217" s="15">
        <f t="shared" si="39"/>
        <v>0.36165421133231235</v>
      </c>
      <c r="AD217" s="15">
        <f t="shared" si="39"/>
        <v>0.36875421133231245</v>
      </c>
      <c r="AE217" s="15">
        <f t="shared" si="39"/>
        <v>0.41405421133231235</v>
      </c>
      <c r="AF217" s="15">
        <f t="shared" si="39"/>
        <v>0.38075421133231235</v>
      </c>
      <c r="AG217" s="15">
        <f t="shared" si="39"/>
        <v>0.40395421133231235</v>
      </c>
      <c r="AH217" s="15">
        <f t="shared" si="39"/>
        <v>0.36725421133231229</v>
      </c>
      <c r="AI217" s="15">
        <f t="shared" si="39"/>
        <v>0.38765421133231226</v>
      </c>
      <c r="AJ217" s="15">
        <f t="shared" si="39"/>
        <v>0.33145421133231223</v>
      </c>
      <c r="AK217" s="15">
        <f t="shared" si="39"/>
        <v>0.36745421133231237</v>
      </c>
    </row>
    <row r="218" spans="3:37" x14ac:dyDescent="0.35">
      <c r="C218" s="39" t="s">
        <v>94</v>
      </c>
      <c r="D218" s="15">
        <v>0.15313935681470139</v>
      </c>
      <c r="E218" s="15">
        <v>0.13763935681470141</v>
      </c>
      <c r="F218" s="15">
        <v>0.1382393568147014</v>
      </c>
      <c r="G218" s="15">
        <v>0.15473935681470138</v>
      </c>
      <c r="H218" s="15">
        <v>0.1510393568147014</v>
      </c>
      <c r="I218" s="15">
        <v>0.1374393568147014</v>
      </c>
      <c r="J218" s="15">
        <v>0.15373935681470138</v>
      </c>
      <c r="K218" s="15">
        <v>0.1427393568147014</v>
      </c>
      <c r="L218" s="15">
        <v>0.15743935681470139</v>
      </c>
      <c r="M218" s="15">
        <v>0.16833935681470139</v>
      </c>
      <c r="N218" s="15">
        <v>0.1432393568147014</v>
      </c>
      <c r="O218" s="15">
        <v>0.1490393568147014</v>
      </c>
      <c r="P218" s="15">
        <v>0.1677393568147014</v>
      </c>
      <c r="Q218" s="15">
        <v>0.15063935681470139</v>
      </c>
      <c r="R218" s="15">
        <v>0.15373935681470138</v>
      </c>
      <c r="S218" s="15">
        <v>0.14193935681470141</v>
      </c>
      <c r="T218" s="15">
        <v>0.14873935681470141</v>
      </c>
      <c r="U218" s="15">
        <v>0.16033935681470141</v>
      </c>
      <c r="V218" s="15">
        <v>0.16803935681470139</v>
      </c>
      <c r="W218" s="15">
        <v>0.1470393568147014</v>
      </c>
      <c r="X218" s="15">
        <v>0.14733935681470139</v>
      </c>
      <c r="Y218" s="15">
        <v>0.1636393568147014</v>
      </c>
      <c r="Z218" s="15">
        <v>0.1387393568147014</v>
      </c>
      <c r="AA218" s="15">
        <v>0.15123935681470138</v>
      </c>
      <c r="AB218" s="15">
        <v>0.14893935681470138</v>
      </c>
      <c r="AC218" s="15">
        <v>0.1525393568147014</v>
      </c>
      <c r="AD218" s="15">
        <v>0.14773935681470141</v>
      </c>
      <c r="AE218" s="15">
        <v>0.14863935681470139</v>
      </c>
      <c r="AF218" s="15">
        <v>0.16603935681470139</v>
      </c>
      <c r="AG218" s="15">
        <v>0.13803935681470139</v>
      </c>
      <c r="AH218" s="15">
        <v>0.14003935681470139</v>
      </c>
      <c r="AI218" s="15">
        <v>0.14593935681470138</v>
      </c>
      <c r="AJ218" s="15">
        <v>0.16553935681470139</v>
      </c>
      <c r="AK218" s="15">
        <v>0.15803935681470138</v>
      </c>
    </row>
    <row r="219" spans="3:37" x14ac:dyDescent="0.35">
      <c r="C219" s="39" t="s">
        <v>95</v>
      </c>
      <c r="D219" s="15">
        <v>8.1163859111791734E-2</v>
      </c>
      <c r="E219" s="15">
        <v>9.5063859111791729E-2</v>
      </c>
      <c r="F219" s="15">
        <v>6.9463859111791731E-2</v>
      </c>
      <c r="G219" s="15">
        <v>7.0763859111791727E-2</v>
      </c>
      <c r="H219" s="15">
        <v>6.7763859111791738E-2</v>
      </c>
      <c r="I219" s="15">
        <v>8.576385911179174E-2</v>
      </c>
      <c r="J219" s="15">
        <v>7.7863859111791736E-2</v>
      </c>
      <c r="K219" s="15">
        <v>6.7663859111791735E-2</v>
      </c>
      <c r="L219" s="15">
        <v>6.7563859111791733E-2</v>
      </c>
      <c r="M219" s="15">
        <v>9.5363859111791738E-2</v>
      </c>
      <c r="N219" s="15">
        <v>7.7463859111791739E-2</v>
      </c>
      <c r="O219" s="15">
        <v>7.8863859111791737E-2</v>
      </c>
      <c r="P219" s="15">
        <v>8.1963859111791729E-2</v>
      </c>
      <c r="Q219" s="15">
        <v>9.1663859111791729E-2</v>
      </c>
      <c r="R219" s="15">
        <v>6.796385911179173E-2</v>
      </c>
      <c r="S219" s="15">
        <v>8.346385911179173E-2</v>
      </c>
      <c r="T219" s="15">
        <v>7.556385911179174E-2</v>
      </c>
      <c r="U219" s="15">
        <v>8.3263859111791738E-2</v>
      </c>
      <c r="V219" s="15">
        <v>7.4463859111791736E-2</v>
      </c>
      <c r="W219" s="15">
        <v>8.1363859111791739E-2</v>
      </c>
      <c r="X219" s="15">
        <v>7.3863859111791733E-2</v>
      </c>
      <c r="Y219" s="15">
        <v>9.7063859111791731E-2</v>
      </c>
      <c r="Z219" s="15">
        <v>8.7663859111791739E-2</v>
      </c>
      <c r="AA219" s="15">
        <v>6.7763859111791738E-2</v>
      </c>
      <c r="AB219" s="15">
        <v>8.7663859111791739E-2</v>
      </c>
      <c r="AC219" s="15">
        <v>9.1163859111791729E-2</v>
      </c>
      <c r="AD219" s="15">
        <v>8.2263859111791737E-2</v>
      </c>
      <c r="AE219" s="15">
        <v>6.4963859111791727E-2</v>
      </c>
      <c r="AF219" s="15">
        <v>7.9163859111791732E-2</v>
      </c>
      <c r="AG219" s="15">
        <v>7.2063859111791737E-2</v>
      </c>
      <c r="AH219" s="15">
        <v>9.5063859111791729E-2</v>
      </c>
      <c r="AI219" s="15">
        <v>7.5863859111791734E-2</v>
      </c>
      <c r="AJ219" s="15">
        <v>8.7163859111791739E-2</v>
      </c>
      <c r="AK219" s="15">
        <v>6.4963859111791727E-2</v>
      </c>
    </row>
    <row r="220" spans="3:37" x14ac:dyDescent="0.35">
      <c r="C220" s="39" t="s">
        <v>96</v>
      </c>
      <c r="D220" s="15">
        <v>7.8101071975497705E-2</v>
      </c>
      <c r="E220" s="15">
        <v>9.0001071975497698E-2</v>
      </c>
      <c r="F220" s="15">
        <v>6.6901071975497703E-2</v>
      </c>
      <c r="G220" s="15">
        <v>9.1201071975497705E-2</v>
      </c>
      <c r="H220" s="15">
        <v>8.3001071975497706E-2</v>
      </c>
      <c r="I220" s="15">
        <v>8.460107197549771E-2</v>
      </c>
      <c r="J220" s="15">
        <v>6.3501071975497703E-2</v>
      </c>
      <c r="K220" s="15">
        <v>7.3501071975497712E-2</v>
      </c>
      <c r="L220" s="15">
        <v>6.7901071975497704E-2</v>
      </c>
      <c r="M220" s="15">
        <v>7.9701071975497709E-2</v>
      </c>
      <c r="N220" s="15">
        <v>8.7301071975497704E-2</v>
      </c>
      <c r="O220" s="15">
        <v>8.7101071975497699E-2</v>
      </c>
      <c r="P220" s="15">
        <v>6.280107197549771E-2</v>
      </c>
      <c r="Q220" s="15">
        <v>7.7101071975497704E-2</v>
      </c>
      <c r="R220" s="15">
        <v>8.3001071975497706E-2</v>
      </c>
      <c r="S220" s="15">
        <v>7.3501071975497712E-2</v>
      </c>
      <c r="T220" s="15">
        <v>6.63010719754977E-2</v>
      </c>
      <c r="U220" s="15">
        <v>6.8401071975497704E-2</v>
      </c>
      <c r="V220" s="15">
        <v>8.6901071975497707E-2</v>
      </c>
      <c r="W220" s="15">
        <v>6.2101071975497704E-2</v>
      </c>
      <c r="X220" s="15">
        <v>6.2101071975497704E-2</v>
      </c>
      <c r="Y220" s="15">
        <v>6.4001071975497703E-2</v>
      </c>
      <c r="Z220" s="15">
        <v>7.3701071975497703E-2</v>
      </c>
      <c r="AA220" s="15">
        <v>8.170107197549771E-2</v>
      </c>
      <c r="AB220" s="15">
        <v>8.2201071975497711E-2</v>
      </c>
      <c r="AC220" s="15">
        <v>8.5301071975497703E-2</v>
      </c>
      <c r="AD220" s="15">
        <v>7.8101071975497705E-2</v>
      </c>
      <c r="AE220" s="15">
        <v>6.2601071975497705E-2</v>
      </c>
      <c r="AF220" s="15">
        <v>6.5501071975497704E-2</v>
      </c>
      <c r="AG220" s="15">
        <v>6.6201071975497711E-2</v>
      </c>
      <c r="AH220" s="15">
        <v>7.6301071975497708E-2</v>
      </c>
      <c r="AI220" s="15">
        <v>7.9801071975497698E-2</v>
      </c>
      <c r="AJ220" s="15">
        <v>9.4601071975497705E-2</v>
      </c>
      <c r="AK220" s="15">
        <v>9.330107197549771E-2</v>
      </c>
    </row>
    <row r="221" spans="3:37" x14ac:dyDescent="0.35">
      <c r="C221" s="39" t="s">
        <v>97</v>
      </c>
      <c r="D221" s="15">
        <v>0.2848392036753446</v>
      </c>
      <c r="E221" s="15">
        <v>0.2787392036753446</v>
      </c>
      <c r="F221" s="15">
        <v>0.29873920367534462</v>
      </c>
      <c r="G221" s="15">
        <v>0.29103920367534458</v>
      </c>
      <c r="H221" s="15">
        <v>0.26883920367534458</v>
      </c>
      <c r="I221" s="15">
        <v>0.2949392036753446</v>
      </c>
      <c r="J221" s="15">
        <v>0.29183920367534461</v>
      </c>
      <c r="K221" s="15">
        <v>0.28803920367534458</v>
      </c>
      <c r="L221" s="15">
        <v>0.27903920367534463</v>
      </c>
      <c r="M221" s="15">
        <v>0.27463920367534461</v>
      </c>
      <c r="N221" s="15">
        <v>0.29333920367534461</v>
      </c>
      <c r="O221" s="15">
        <v>0.28803920367534458</v>
      </c>
      <c r="P221" s="15">
        <v>0.28423920367534461</v>
      </c>
      <c r="Q221" s="15">
        <v>0.27343920367534458</v>
      </c>
      <c r="R221" s="15">
        <v>0.28443920367534459</v>
      </c>
      <c r="S221" s="15">
        <v>0.30163920367534458</v>
      </c>
      <c r="T221" s="15">
        <v>0.2853392036753446</v>
      </c>
      <c r="U221" s="15">
        <v>0.2944392036753446</v>
      </c>
      <c r="V221" s="15">
        <v>0.27813920367534462</v>
      </c>
      <c r="W221" s="15">
        <v>0.2833392036753446</v>
      </c>
      <c r="X221" s="15">
        <v>0.30053920367534459</v>
      </c>
      <c r="Y221" s="15">
        <v>0.2863392036753446</v>
      </c>
      <c r="Z221" s="15">
        <v>0.29413920367534457</v>
      </c>
      <c r="AA221" s="15">
        <v>0.28463920367534462</v>
      </c>
      <c r="AB221" s="15">
        <v>0.2903392036753446</v>
      </c>
      <c r="AC221" s="15">
        <v>0.27703920367534463</v>
      </c>
      <c r="AD221" s="15">
        <v>0.30013920367534458</v>
      </c>
      <c r="AE221" s="15">
        <v>0.28043920367534458</v>
      </c>
      <c r="AF221" s="15">
        <v>0.28543920367534459</v>
      </c>
      <c r="AG221" s="15">
        <v>0.28873920367534461</v>
      </c>
      <c r="AH221" s="15">
        <v>0.29973920367534462</v>
      </c>
      <c r="AI221" s="15">
        <v>0.28363920367534462</v>
      </c>
      <c r="AJ221" s="15">
        <v>0.30013920367534458</v>
      </c>
      <c r="AK221" s="15">
        <v>0.2893392036753446</v>
      </c>
    </row>
    <row r="222" spans="3:37" x14ac:dyDescent="0.35">
      <c r="C222" s="39" t="s">
        <v>98</v>
      </c>
      <c r="D222" s="15">
        <v>2.4502297090352222E-2</v>
      </c>
      <c r="E222" s="15">
        <v>2.0902297090352226E-2</v>
      </c>
      <c r="F222" s="15">
        <v>3.2902297090352223E-2</v>
      </c>
      <c r="G222" s="15">
        <v>3.2602297090352221E-2</v>
      </c>
      <c r="H222" s="15">
        <v>2.1902297090352227E-2</v>
      </c>
      <c r="I222" s="15">
        <v>2.9902297090352227E-2</v>
      </c>
      <c r="J222" s="15">
        <v>2.530229709035222E-2</v>
      </c>
      <c r="K222" s="15">
        <v>2.1302297090352227E-2</v>
      </c>
      <c r="L222" s="15">
        <v>2.5402297090352233E-2</v>
      </c>
      <c r="M222" s="15">
        <v>2.1202297090352228E-2</v>
      </c>
      <c r="N222" s="15">
        <v>2.4502297090352232E-2</v>
      </c>
      <c r="O222" s="15">
        <v>3.060229709035224E-2</v>
      </c>
      <c r="P222" s="15">
        <v>2.5102297090352207E-2</v>
      </c>
      <c r="Q222" s="15">
        <v>2.0502297090352221E-2</v>
      </c>
      <c r="R222" s="15">
        <v>2.0902297090352229E-2</v>
      </c>
      <c r="S222" s="15">
        <v>2.4802297090352234E-2</v>
      </c>
      <c r="T222" s="15">
        <v>3.1402297090352228E-2</v>
      </c>
      <c r="U222" s="15">
        <v>2.1802297090352231E-2</v>
      </c>
      <c r="V222" s="15">
        <v>2.660229709035223E-2</v>
      </c>
      <c r="W222" s="15">
        <v>2.2802297090352228E-2</v>
      </c>
      <c r="X222" s="15">
        <v>3.1702297090352216E-2</v>
      </c>
      <c r="Y222" s="15">
        <v>2.0002297090352221E-2</v>
      </c>
      <c r="Z222" s="15">
        <v>2.2702297090352229E-2</v>
      </c>
      <c r="AA222" s="15">
        <v>2.650229709035222E-2</v>
      </c>
      <c r="AB222" s="15">
        <v>2.5202297090352221E-2</v>
      </c>
      <c r="AC222" s="15">
        <v>3.2302297090352212E-2</v>
      </c>
      <c r="AD222" s="15">
        <v>2.3002297090352227E-2</v>
      </c>
      <c r="AE222" s="15">
        <v>2.930229709035222E-2</v>
      </c>
      <c r="AF222" s="15">
        <v>2.3102297090352223E-2</v>
      </c>
      <c r="AG222" s="15">
        <v>3.1002297090352217E-2</v>
      </c>
      <c r="AH222" s="15">
        <v>2.1602297090352225E-2</v>
      </c>
      <c r="AI222" s="15">
        <v>2.7102297090352234E-2</v>
      </c>
      <c r="AJ222" s="15">
        <v>2.1102297090352225E-2</v>
      </c>
      <c r="AK222" s="15">
        <v>2.6902297090352238E-2</v>
      </c>
    </row>
    <row r="223" spans="3:37" x14ac:dyDescent="0.35">
      <c r="C223" s="37" t="s">
        <v>82</v>
      </c>
      <c r="D223" s="15">
        <v>0.26523419954469202</v>
      </c>
      <c r="E223" s="15">
        <v>0.25183419954469199</v>
      </c>
      <c r="F223" s="15">
        <v>0.275434199544692</v>
      </c>
      <c r="G223" s="15">
        <v>0.26823419954469202</v>
      </c>
      <c r="H223" s="15">
        <v>0.26103419954469204</v>
      </c>
      <c r="I223" s="15">
        <v>0.25803419954469203</v>
      </c>
      <c r="J223" s="15">
        <v>0.27163419954469203</v>
      </c>
      <c r="K223" s="15">
        <v>0.27763419954469204</v>
      </c>
      <c r="L223" s="15">
        <v>0.27893419954469201</v>
      </c>
      <c r="M223" s="15">
        <v>0.25363419954469202</v>
      </c>
      <c r="N223" s="15">
        <v>0.27813419954469204</v>
      </c>
      <c r="O223" s="15">
        <v>0.25643419954469204</v>
      </c>
      <c r="P223" s="15">
        <v>0.279034199544692</v>
      </c>
      <c r="Q223" s="15">
        <v>0.25963419954469202</v>
      </c>
      <c r="R223" s="15">
        <v>0.25543419954469204</v>
      </c>
      <c r="S223" s="15">
        <v>0.26753419954469204</v>
      </c>
      <c r="T223" s="15">
        <v>0.26153419954469204</v>
      </c>
      <c r="U223" s="15">
        <v>0.28133419954469202</v>
      </c>
      <c r="V223" s="15">
        <v>0.26523419954469202</v>
      </c>
      <c r="W223" s="15">
        <v>0.25643419954469204</v>
      </c>
      <c r="X223" s="15">
        <v>0.271434199544692</v>
      </c>
      <c r="Y223" s="15">
        <v>0.25543419954469204</v>
      </c>
      <c r="Z223" s="15">
        <v>0.271934199544692</v>
      </c>
      <c r="AA223" s="15">
        <v>0.27533419954469202</v>
      </c>
      <c r="AB223" s="15">
        <v>0.28233419954469202</v>
      </c>
      <c r="AC223" s="15">
        <v>0.25693419954469204</v>
      </c>
      <c r="AD223" s="15">
        <v>0.281534199544692</v>
      </c>
      <c r="AE223" s="15">
        <v>0.26453419954469204</v>
      </c>
      <c r="AF223" s="15">
        <v>0.273434199544692</v>
      </c>
      <c r="AG223" s="15">
        <v>0.26503419954469204</v>
      </c>
      <c r="AH223" s="15">
        <v>0.25773419954469201</v>
      </c>
      <c r="AI223" s="15">
        <v>0.26913419954469203</v>
      </c>
      <c r="AJ223" s="15">
        <v>0.26193419954469199</v>
      </c>
      <c r="AK223" s="15">
        <v>0.261334199544692</v>
      </c>
    </row>
    <row r="224" spans="3:37" x14ac:dyDescent="0.35">
      <c r="C224" s="39" t="s">
        <v>93</v>
      </c>
      <c r="D224" s="15">
        <f>1-SUM(D225:D229)</f>
        <v>0.35650776611915669</v>
      </c>
      <c r="E224" s="15">
        <f t="shared" ref="E224:AK224" si="40">1-SUM(E225:E229)</f>
        <v>0.36130776611915683</v>
      </c>
      <c r="F224" s="15">
        <f t="shared" si="40"/>
        <v>0.36720776611915684</v>
      </c>
      <c r="G224" s="15">
        <f t="shared" si="40"/>
        <v>0.35650776611915669</v>
      </c>
      <c r="H224" s="15">
        <f t="shared" si="40"/>
        <v>0.36650776611915681</v>
      </c>
      <c r="I224" s="15">
        <f t="shared" si="40"/>
        <v>0.3373077661191568</v>
      </c>
      <c r="J224" s="15">
        <f t="shared" si="40"/>
        <v>0.41130776611915676</v>
      </c>
      <c r="K224" s="15">
        <f t="shared" si="40"/>
        <v>0.33360776611915677</v>
      </c>
      <c r="L224" s="15">
        <f t="shared" si="40"/>
        <v>0.33740776611915679</v>
      </c>
      <c r="M224" s="15">
        <f t="shared" si="40"/>
        <v>0.33710776611915672</v>
      </c>
      <c r="N224" s="15">
        <f t="shared" si="40"/>
        <v>0.36710776611915685</v>
      </c>
      <c r="O224" s="15">
        <f t="shared" si="40"/>
        <v>0.38780776611915679</v>
      </c>
      <c r="P224" s="15">
        <f t="shared" si="40"/>
        <v>0.33870776611915676</v>
      </c>
      <c r="Q224" s="15">
        <f t="shared" si="40"/>
        <v>0.33540776611915679</v>
      </c>
      <c r="R224" s="15">
        <f t="shared" si="40"/>
        <v>0.34330776611915681</v>
      </c>
      <c r="S224" s="15">
        <f t="shared" si="40"/>
        <v>0.38290776611915689</v>
      </c>
      <c r="T224" s="15">
        <f t="shared" si="40"/>
        <v>0.31950776611915677</v>
      </c>
      <c r="U224" s="15">
        <f t="shared" si="40"/>
        <v>0.34880776611915687</v>
      </c>
      <c r="V224" s="15">
        <f t="shared" si="40"/>
        <v>0.35270776611915677</v>
      </c>
      <c r="W224" s="15">
        <f t="shared" si="40"/>
        <v>0.40100776611915678</v>
      </c>
      <c r="X224" s="15">
        <f t="shared" si="40"/>
        <v>0.32530776611915679</v>
      </c>
      <c r="Y224" s="15">
        <f t="shared" si="40"/>
        <v>0.32680776611915685</v>
      </c>
      <c r="Z224" s="15">
        <f t="shared" si="40"/>
        <v>0.34370776611915677</v>
      </c>
      <c r="AA224" s="15">
        <f t="shared" si="40"/>
        <v>0.39610776611915688</v>
      </c>
      <c r="AB224" s="15">
        <f t="shared" si="40"/>
        <v>0.3161077661191567</v>
      </c>
      <c r="AC224" s="15">
        <f t="shared" si="40"/>
        <v>0.36450776611915681</v>
      </c>
      <c r="AD224" s="15">
        <f t="shared" si="40"/>
        <v>0.3434077661191568</v>
      </c>
      <c r="AE224" s="15">
        <f t="shared" si="40"/>
        <v>0.35260776611915678</v>
      </c>
      <c r="AF224" s="15">
        <f t="shared" si="40"/>
        <v>0.34280776611915686</v>
      </c>
      <c r="AG224" s="15">
        <f t="shared" si="40"/>
        <v>0.37930776611915684</v>
      </c>
      <c r="AH224" s="15">
        <f t="shared" si="40"/>
        <v>0.33300776611915683</v>
      </c>
      <c r="AI224" s="15">
        <f t="shared" si="40"/>
        <v>0.38720776611915675</v>
      </c>
      <c r="AJ224" s="15">
        <f t="shared" si="40"/>
        <v>0.40060776611915672</v>
      </c>
      <c r="AK224" s="15">
        <f t="shared" si="40"/>
        <v>0.36690776611915676</v>
      </c>
    </row>
    <row r="225" spans="2:37" x14ac:dyDescent="0.35">
      <c r="C225" s="39" t="s">
        <v>94</v>
      </c>
      <c r="D225" s="15">
        <v>0.15782067341040465</v>
      </c>
      <c r="E225" s="15">
        <v>0.17372067341040465</v>
      </c>
      <c r="F225" s="15">
        <v>0.15312067341040464</v>
      </c>
      <c r="G225" s="15">
        <v>0.15642067341040464</v>
      </c>
      <c r="H225" s="15">
        <v>0.14492067341040465</v>
      </c>
      <c r="I225" s="15">
        <v>0.15212067341040464</v>
      </c>
      <c r="J225" s="15">
        <v>0.14162067341040466</v>
      </c>
      <c r="K225" s="15">
        <v>0.17412067341040466</v>
      </c>
      <c r="L225" s="15">
        <v>0.16612067341040465</v>
      </c>
      <c r="M225" s="15">
        <v>0.14662067341040466</v>
      </c>
      <c r="N225" s="15">
        <v>0.15072067341040465</v>
      </c>
      <c r="O225" s="15">
        <v>0.14632067341040464</v>
      </c>
      <c r="P225" s="15">
        <v>0.15672067341040466</v>
      </c>
      <c r="Q225" s="15">
        <v>0.14392067341040465</v>
      </c>
      <c r="R225" s="15">
        <v>0.15162067341040464</v>
      </c>
      <c r="S225" s="15">
        <v>0.14252067341040464</v>
      </c>
      <c r="T225" s="15">
        <v>0.16582067341040466</v>
      </c>
      <c r="U225" s="15">
        <v>0.17482067341040464</v>
      </c>
      <c r="V225" s="15">
        <v>0.16982067341040466</v>
      </c>
      <c r="W225" s="15">
        <v>0.15272067341040466</v>
      </c>
      <c r="X225" s="15">
        <v>0.15512067341040464</v>
      </c>
      <c r="Y225" s="15">
        <v>0.16892067341040465</v>
      </c>
      <c r="Z225" s="15">
        <v>0.14272067341040465</v>
      </c>
      <c r="AA225" s="15">
        <v>0.15342067341040466</v>
      </c>
      <c r="AB225" s="15">
        <v>0.17252067341040464</v>
      </c>
      <c r="AC225" s="15">
        <v>0.16812067341040465</v>
      </c>
      <c r="AD225" s="15">
        <v>0.17022067341040464</v>
      </c>
      <c r="AE225" s="15">
        <v>0.16032067341040465</v>
      </c>
      <c r="AF225" s="15">
        <v>0.16792067341040465</v>
      </c>
      <c r="AG225" s="15">
        <v>0.14952067341040465</v>
      </c>
      <c r="AH225" s="15">
        <v>0.15912067341040464</v>
      </c>
      <c r="AI225" s="15">
        <v>0.15002067341040465</v>
      </c>
      <c r="AJ225" s="15">
        <v>0.14352067341040464</v>
      </c>
      <c r="AK225" s="15">
        <v>0.16142067341040464</v>
      </c>
    </row>
    <row r="226" spans="2:37" x14ac:dyDescent="0.35">
      <c r="C226" s="39" t="s">
        <v>95</v>
      </c>
      <c r="D226" s="15">
        <v>9.2816512597575576E-2</v>
      </c>
      <c r="E226" s="15">
        <v>7.791651259757558E-2</v>
      </c>
      <c r="F226" s="15">
        <v>9.8016512597575572E-2</v>
      </c>
      <c r="G226" s="15">
        <v>8.181651259757558E-2</v>
      </c>
      <c r="H226" s="15">
        <v>9.9516512597575574E-2</v>
      </c>
      <c r="I226" s="15">
        <v>0.10811651259757557</v>
      </c>
      <c r="J226" s="15">
        <v>7.8716512597575575E-2</v>
      </c>
      <c r="K226" s="15">
        <v>0.10001651259757557</v>
      </c>
      <c r="L226" s="15">
        <v>0.10271651259757558</v>
      </c>
      <c r="M226" s="15">
        <v>0.10321651259757558</v>
      </c>
      <c r="N226" s="15">
        <v>8.6816512597575571E-2</v>
      </c>
      <c r="O226" s="15">
        <v>8.9616512597575582E-2</v>
      </c>
      <c r="P226" s="15">
        <v>0.10301651259757558</v>
      </c>
      <c r="Q226" s="15">
        <v>9.2716512597575573E-2</v>
      </c>
      <c r="R226" s="15">
        <v>9.6716512597575577E-2</v>
      </c>
      <c r="S226" s="15">
        <v>8.0316512597575579E-2</v>
      </c>
      <c r="T226" s="15">
        <v>0.10601651259757558</v>
      </c>
      <c r="U226" s="15">
        <v>8.2716512597575578E-2</v>
      </c>
      <c r="V226" s="15">
        <v>8.0816512597575579E-2</v>
      </c>
      <c r="W226" s="15">
        <v>7.8816512597575578E-2</v>
      </c>
      <c r="X226" s="15">
        <v>0.10861651259757557</v>
      </c>
      <c r="Y226" s="15">
        <v>0.10851651259757558</v>
      </c>
      <c r="Z226" s="15">
        <v>9.211651259757557E-2</v>
      </c>
      <c r="AA226" s="15">
        <v>8.2316512597575581E-2</v>
      </c>
      <c r="AB226" s="15">
        <v>0.10271651259757558</v>
      </c>
      <c r="AC226" s="15">
        <v>7.8116512597575571E-2</v>
      </c>
      <c r="AD226" s="15">
        <v>9.5116512597575573E-2</v>
      </c>
      <c r="AE226" s="15">
        <v>8.631651259757557E-2</v>
      </c>
      <c r="AF226" s="15">
        <v>8.0516512597575571E-2</v>
      </c>
      <c r="AG226" s="15">
        <v>7.9216512597575575E-2</v>
      </c>
      <c r="AH226" s="15">
        <v>0.10911651259757557</v>
      </c>
      <c r="AI226" s="15">
        <v>9.2416512597575579E-2</v>
      </c>
      <c r="AJ226" s="15">
        <v>8.7916512597575575E-2</v>
      </c>
      <c r="AK226" s="15">
        <v>8.001651259757557E-2</v>
      </c>
    </row>
    <row r="227" spans="2:37" x14ac:dyDescent="0.35">
      <c r="C227" s="39" t="s">
        <v>96</v>
      </c>
      <c r="D227" s="15">
        <v>6.9251818156529338E-2</v>
      </c>
      <c r="E227" s="15">
        <v>7.805181815652934E-2</v>
      </c>
      <c r="F227" s="15">
        <v>7.0751818156529339E-2</v>
      </c>
      <c r="G227" s="15">
        <v>7.0851818156529342E-2</v>
      </c>
      <c r="H227" s="15">
        <v>6.2851818156529335E-2</v>
      </c>
      <c r="I227" s="15">
        <v>6.2451818156529337E-2</v>
      </c>
      <c r="J227" s="15">
        <v>6.2851818156529335E-2</v>
      </c>
      <c r="K227" s="15">
        <v>8.4551818156529332E-2</v>
      </c>
      <c r="L227" s="15">
        <v>5.6951818156529339E-2</v>
      </c>
      <c r="M227" s="15">
        <v>7.0051818156529333E-2</v>
      </c>
      <c r="N227" s="15">
        <v>7.6851818156529333E-2</v>
      </c>
      <c r="O227" s="15">
        <v>6.5851818156529338E-2</v>
      </c>
      <c r="P227" s="15">
        <v>8.3151818156529334E-2</v>
      </c>
      <c r="Q227" s="15">
        <v>7.9451818156529339E-2</v>
      </c>
      <c r="R227" s="15">
        <v>7.8451818156529338E-2</v>
      </c>
      <c r="S227" s="15">
        <v>8.495181815652933E-2</v>
      </c>
      <c r="T227" s="15">
        <v>6.035181815652934E-2</v>
      </c>
      <c r="U227" s="15">
        <v>7.4351818156529331E-2</v>
      </c>
      <c r="V227" s="15">
        <v>6.9551818156529333E-2</v>
      </c>
      <c r="W227" s="15">
        <v>5.3051818156529339E-2</v>
      </c>
      <c r="X227" s="15">
        <v>7.5551818156529338E-2</v>
      </c>
      <c r="Y227" s="15">
        <v>8.0451818156529339E-2</v>
      </c>
      <c r="Z227" s="15">
        <v>7.6351818156529333E-2</v>
      </c>
      <c r="AA227" s="15">
        <v>6.1051818156529339E-2</v>
      </c>
      <c r="AB227" s="15">
        <v>6.3151818156529343E-2</v>
      </c>
      <c r="AC227" s="15">
        <v>5.7251818156529341E-2</v>
      </c>
      <c r="AD227" s="15">
        <v>7.2551818156529335E-2</v>
      </c>
      <c r="AE227" s="15">
        <v>8.1251818156529335E-2</v>
      </c>
      <c r="AF227" s="15">
        <v>7.965181815652933E-2</v>
      </c>
      <c r="AG227" s="15">
        <v>7.2551818156529335E-2</v>
      </c>
      <c r="AH227" s="15">
        <v>6.5051818156529342E-2</v>
      </c>
      <c r="AI227" s="15">
        <v>6.1451818156529336E-2</v>
      </c>
      <c r="AJ227" s="15">
        <v>5.6051818156529334E-2</v>
      </c>
      <c r="AK227" s="15">
        <v>5.7651818156529339E-2</v>
      </c>
    </row>
    <row r="228" spans="2:37" x14ac:dyDescent="0.35">
      <c r="C228" s="39" t="s">
        <v>97</v>
      </c>
      <c r="D228" s="15">
        <v>0.2947971069364162</v>
      </c>
      <c r="E228" s="15">
        <v>0.28439710693641618</v>
      </c>
      <c r="F228" s="15">
        <v>0.2816971069364162</v>
      </c>
      <c r="G228" s="15">
        <v>0.3118971069364162</v>
      </c>
      <c r="H228" s="15">
        <v>0.29239710693641618</v>
      </c>
      <c r="I228" s="15">
        <v>0.3012971069364162</v>
      </c>
      <c r="J228" s="15">
        <v>0.28159710693641621</v>
      </c>
      <c r="K228" s="15">
        <v>0.2831971069364162</v>
      </c>
      <c r="L228" s="15">
        <v>0.30329710693641621</v>
      </c>
      <c r="M228" s="15">
        <v>0.30429710693641621</v>
      </c>
      <c r="N228" s="15">
        <v>0.2917971069364162</v>
      </c>
      <c r="O228" s="15">
        <v>0.28539710693641618</v>
      </c>
      <c r="P228" s="15">
        <v>0.29169710693641621</v>
      </c>
      <c r="Q228" s="15">
        <v>0.30909710693641618</v>
      </c>
      <c r="R228" s="15">
        <v>0.29509710693641622</v>
      </c>
      <c r="S228" s="15">
        <v>0.28209710693641621</v>
      </c>
      <c r="T228" s="15">
        <v>0.31169710693641617</v>
      </c>
      <c r="U228" s="15">
        <v>0.2962971069364162</v>
      </c>
      <c r="V228" s="15">
        <v>0.29069710693641621</v>
      </c>
      <c r="W228" s="15">
        <v>0.28859710693641621</v>
      </c>
      <c r="X228" s="15">
        <v>0.3002971069364162</v>
      </c>
      <c r="Y228" s="15">
        <v>0.2881971069364162</v>
      </c>
      <c r="Z228" s="15">
        <v>0.30759710693641618</v>
      </c>
      <c r="AA228" s="15">
        <v>0.28489710693641618</v>
      </c>
      <c r="AB228" s="15">
        <v>0.30669710693641622</v>
      </c>
      <c r="AC228" s="15">
        <v>0.30609710693641617</v>
      </c>
      <c r="AD228" s="15">
        <v>0.2791971069364162</v>
      </c>
      <c r="AE228" s="15">
        <v>0.28509710693641621</v>
      </c>
      <c r="AF228" s="15">
        <v>0.29639710693641619</v>
      </c>
      <c r="AG228" s="15">
        <v>0.28059710693641621</v>
      </c>
      <c r="AH228" s="15">
        <v>0.3012971069364162</v>
      </c>
      <c r="AI228" s="15">
        <v>0.28399710693641622</v>
      </c>
      <c r="AJ228" s="15">
        <v>0.28529710693641619</v>
      </c>
      <c r="AK228" s="15">
        <v>0.31159710693641618</v>
      </c>
    </row>
    <row r="229" spans="2:37" x14ac:dyDescent="0.35">
      <c r="C229" s="39" t="s">
        <v>98</v>
      </c>
      <c r="D229" s="15">
        <v>2.8806122779917443E-2</v>
      </c>
      <c r="E229" s="15">
        <v>2.4606122779917451E-2</v>
      </c>
      <c r="F229" s="15">
        <v>2.9206122779917451E-2</v>
      </c>
      <c r="G229" s="15">
        <v>2.2506122779917443E-2</v>
      </c>
      <c r="H229" s="15">
        <v>3.3806122779917437E-2</v>
      </c>
      <c r="I229" s="15">
        <v>3.8706122779917446E-2</v>
      </c>
      <c r="J229" s="15">
        <v>2.3906122779917445E-2</v>
      </c>
      <c r="K229" s="15">
        <v>2.4506122779917441E-2</v>
      </c>
      <c r="L229" s="15">
        <v>3.3506122779917435E-2</v>
      </c>
      <c r="M229" s="15">
        <v>3.8706122779917439E-2</v>
      </c>
      <c r="N229" s="15">
        <v>2.6706122779917442E-2</v>
      </c>
      <c r="O229" s="15">
        <v>2.5006122779917449E-2</v>
      </c>
      <c r="P229" s="15">
        <v>2.6706122779917442E-2</v>
      </c>
      <c r="Q229" s="15">
        <v>3.9406122779917438E-2</v>
      </c>
      <c r="R229" s="15">
        <v>3.4806122779917445E-2</v>
      </c>
      <c r="S229" s="15">
        <v>2.7206122779917442E-2</v>
      </c>
      <c r="T229" s="15">
        <v>3.6606122779917441E-2</v>
      </c>
      <c r="U229" s="15">
        <v>2.3006122779917447E-2</v>
      </c>
      <c r="V229" s="15">
        <v>3.6406122779917435E-2</v>
      </c>
      <c r="W229" s="15">
        <v>2.5806122779917451E-2</v>
      </c>
      <c r="X229" s="15">
        <v>3.510612277991744E-2</v>
      </c>
      <c r="Y229" s="15">
        <v>2.7106122779917443E-2</v>
      </c>
      <c r="Z229" s="15">
        <v>3.7506122779917439E-2</v>
      </c>
      <c r="AA229" s="15">
        <v>2.2206122779917445E-2</v>
      </c>
      <c r="AB229" s="15">
        <v>3.8806122779917442E-2</v>
      </c>
      <c r="AC229" s="15">
        <v>2.5906122779917447E-2</v>
      </c>
      <c r="AD229" s="15">
        <v>3.9506122779917441E-2</v>
      </c>
      <c r="AE229" s="15">
        <v>3.440612277991744E-2</v>
      </c>
      <c r="AF229" s="15">
        <v>3.270612277991744E-2</v>
      </c>
      <c r="AG229" s="15">
        <v>3.8806122779917435E-2</v>
      </c>
      <c r="AH229" s="15">
        <v>3.2406122779917446E-2</v>
      </c>
      <c r="AI229" s="15">
        <v>2.4906122779917442E-2</v>
      </c>
      <c r="AJ229" s="15">
        <v>2.6606122779917446E-2</v>
      </c>
      <c r="AK229" s="15">
        <v>2.2406122779917444E-2</v>
      </c>
    </row>
    <row r="231" spans="2:37" x14ac:dyDescent="0.35">
      <c r="D231" s="71" t="s">
        <v>125</v>
      </c>
    </row>
    <row r="232" spans="2:37" x14ac:dyDescent="0.35">
      <c r="D232">
        <f>VLOOKUP(D233,Data!$B$120:$E$159,4,0)</f>
        <v>1064.7503999999999</v>
      </c>
      <c r="E232">
        <f>VLOOKUP(E233,Data!$B$120:$E$159,4,0)</f>
        <v>169.01097643731299</v>
      </c>
      <c r="F232">
        <f>VLOOKUP(F233,Data!$B$120:$E$159,4,0)</f>
        <v>147.03695999999997</v>
      </c>
      <c r="G232">
        <f>VLOOKUP(G233,Data!$B$120:$E$159,4,0)</f>
        <v>157.24785999999997</v>
      </c>
      <c r="H232">
        <f>VLOOKUP(H233,Data!$B$120:$E$159,4,0)</f>
        <v>43.906869999999991</v>
      </c>
      <c r="I232">
        <f>VLOOKUP(I233,Data!$B$120:$E$159,4,0)</f>
        <v>113.34098999999999</v>
      </c>
      <c r="J232">
        <f>VLOOKUP(J233,Data!$B$120:$E$159,4,0)</f>
        <v>67.391939999999991</v>
      </c>
      <c r="K232">
        <f>VLOOKUP(K233,Data!$B$120:$E$159,4,0)</f>
        <v>63.307579999999994</v>
      </c>
      <c r="L232">
        <f>VLOOKUP(L233,Data!$B$120:$E$159,4,0)</f>
        <v>42.885779999999997</v>
      </c>
      <c r="M232">
        <f>VLOOKUP(M233,Data!$B$120:$E$159,4,0)</f>
        <v>17.358529999999998</v>
      </c>
      <c r="N232">
        <f>VLOOKUP(N233,Data!$B$120:$E$159,4,0)</f>
        <v>27.569429999999997</v>
      </c>
      <c r="O232">
        <f>VLOOKUP(O233,Data!$B$120:$E$159,4,0)</f>
        <v>40.843599999999995</v>
      </c>
      <c r="P232">
        <f>VLOOKUP(P233,Data!$B$120:$E$159,4,0)</f>
        <v>15.316349999999998</v>
      </c>
      <c r="Q232">
        <f>VLOOKUP(Q233,Data!$B$120:$E$159,4,0)</f>
        <v>12.253079999999999</v>
      </c>
      <c r="R232">
        <f>VLOOKUP(R233,Data!$B$120:$E$159,4,0)</f>
        <v>66.37084999999999</v>
      </c>
      <c r="S232">
        <f>VLOOKUP(S233,Data!$B$120:$E$159,4,0)</f>
        <v>206.26017999999999</v>
      </c>
      <c r="T232">
        <f>VLOOKUP(T233,Data!$B$120:$E$159,4,0)</f>
        <v>344.98758000000004</v>
      </c>
      <c r="U232">
        <f>VLOOKUP(U233,Data!$B$120:$E$159,4,0)</f>
        <v>125.52365</v>
      </c>
      <c r="V232">
        <f>VLOOKUP(V233,Data!$B$120:$E$159,4,0)</f>
        <v>93.13045000000001</v>
      </c>
      <c r="W232">
        <f>VLOOKUP(W233,Data!$B$120:$E$159,4,0)</f>
        <v>59.927419999999998</v>
      </c>
      <c r="X232">
        <f>VLOOKUP(X233,Data!$B$120:$E$159,4,0)</f>
        <v>7.808056928000001</v>
      </c>
      <c r="Y232">
        <f>VLOOKUP(Y233,Data!$B$120:$E$159,4,0)</f>
        <v>11.117994104000001</v>
      </c>
      <c r="Z232">
        <f>VLOOKUP(Z233,Data!$B$120:$E$159,4,0)</f>
        <v>23.084690048000002</v>
      </c>
      <c r="AA232">
        <f>VLOOKUP(AA233,Data!$B$120:$E$159,4,0)</f>
        <v>29.449953848</v>
      </c>
      <c r="AB232">
        <f>VLOOKUP(AB233,Data!$B$120:$E$159,4,0)</f>
        <v>13.409489072000001</v>
      </c>
      <c r="AC232">
        <f>VLOOKUP(AC233,Data!$B$120:$E$159,4,0)</f>
        <v>19.435920000000003</v>
      </c>
      <c r="AD232">
        <f>VLOOKUP(AD233,Data!$B$120:$E$159,4,0)</f>
        <v>81.954796000000002</v>
      </c>
      <c r="AE232">
        <f>VLOOKUP(AE233,Data!$B$120:$E$159,4,0)</f>
        <v>116.33384</v>
      </c>
      <c r="AF232">
        <f>VLOOKUP(AF233,Data!$B$120:$E$159,4,0)</f>
        <v>41.125279999999997</v>
      </c>
      <c r="AG232">
        <f>VLOOKUP(AG233,Data!$B$120:$E$159,4,0)</f>
        <v>84.504000000000005</v>
      </c>
      <c r="AH232">
        <f>VLOOKUP(AH233,Data!$B$120:$E$159,4,0)</f>
        <v>39.716879999999996</v>
      </c>
      <c r="AI232">
        <f>VLOOKUP(AI233,Data!$B$120:$E$159,4,0)</f>
        <v>95.947250000000011</v>
      </c>
      <c r="AJ232">
        <f>VLOOKUP(AJ233,Data!$B$120:$E$159,4,0)</f>
        <v>27.463800000000003</v>
      </c>
      <c r="AK232">
        <f>VLOOKUP(AK233,Data!$B$120:$E$159,4,0)</f>
        <v>52.638950000000001</v>
      </c>
    </row>
    <row r="233" spans="2:37" x14ac:dyDescent="0.35">
      <c r="C233" t="s">
        <v>3</v>
      </c>
      <c r="D233" s="14" t="s">
        <v>18</v>
      </c>
      <c r="E233" s="14" t="s">
        <v>5</v>
      </c>
      <c r="F233" s="14" t="s">
        <v>33</v>
      </c>
      <c r="G233" s="14" t="s">
        <v>34</v>
      </c>
      <c r="H233" s="14" t="s">
        <v>10</v>
      </c>
      <c r="I233" s="14" t="s">
        <v>9</v>
      </c>
      <c r="J233" s="14" t="s">
        <v>31</v>
      </c>
      <c r="K233" s="14" t="s">
        <v>19</v>
      </c>
      <c r="L233" s="21" t="s">
        <v>51</v>
      </c>
      <c r="M233" s="14" t="s">
        <v>52</v>
      </c>
      <c r="N233" s="14" t="s">
        <v>53</v>
      </c>
      <c r="O233" s="14" t="s">
        <v>54</v>
      </c>
      <c r="P233" s="14" t="s">
        <v>55</v>
      </c>
      <c r="Q233" s="14" t="s">
        <v>56</v>
      </c>
      <c r="R233" s="14" t="s">
        <v>57</v>
      </c>
      <c r="S233" s="14" t="s">
        <v>20</v>
      </c>
      <c r="T233" s="14" t="s">
        <v>11</v>
      </c>
      <c r="U233" s="14" t="s">
        <v>12</v>
      </c>
      <c r="V233" s="14" t="s">
        <v>13</v>
      </c>
      <c r="W233" s="14" t="s">
        <v>26</v>
      </c>
      <c r="X233" s="14" t="s">
        <v>58</v>
      </c>
      <c r="Y233" s="14" t="s">
        <v>59</v>
      </c>
      <c r="Z233" s="14" t="s">
        <v>60</v>
      </c>
      <c r="AA233" s="14" t="s">
        <v>61</v>
      </c>
      <c r="AB233" s="14" t="s">
        <v>62</v>
      </c>
      <c r="AC233" s="14" t="s">
        <v>36</v>
      </c>
      <c r="AD233" s="14" t="s">
        <v>37</v>
      </c>
      <c r="AE233" s="14" t="s">
        <v>29</v>
      </c>
      <c r="AF233" s="14" t="s">
        <v>23</v>
      </c>
      <c r="AG233" s="14" t="s">
        <v>7</v>
      </c>
      <c r="AH233" s="14" t="s">
        <v>8</v>
      </c>
      <c r="AI233" s="14" t="s">
        <v>32</v>
      </c>
      <c r="AJ233" s="14" t="s">
        <v>14</v>
      </c>
      <c r="AK233" s="14" t="s">
        <v>38</v>
      </c>
    </row>
    <row r="234" spans="2:37" x14ac:dyDescent="0.35">
      <c r="C234" s="4" t="s">
        <v>63</v>
      </c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13"/>
      <c r="AA234" s="2"/>
      <c r="AB234" s="2"/>
      <c r="AC234" s="2"/>
      <c r="AD234" s="2"/>
      <c r="AE234" s="2"/>
      <c r="AF234" s="2"/>
      <c r="AG234" s="12"/>
      <c r="AH234" s="2"/>
      <c r="AI234" s="2"/>
      <c r="AJ234" s="2"/>
      <c r="AK234" s="2"/>
    </row>
    <row r="235" spans="2:37" x14ac:dyDescent="0.35">
      <c r="C235" s="41" t="s">
        <v>64</v>
      </c>
      <c r="D235" s="51">
        <f>D$232*D120</f>
        <v>534.52185683120615</v>
      </c>
      <c r="E235" s="51">
        <f t="shared" ref="E235:AK235" si="41">E$232*E120</f>
        <v>86.379182741139971</v>
      </c>
      <c r="F235" s="51">
        <f t="shared" si="41"/>
        <v>76.513007514479725</v>
      </c>
      <c r="G235" s="51">
        <f t="shared" si="41"/>
        <v>74.271372949873765</v>
      </c>
      <c r="H235" s="51">
        <f t="shared" si="41"/>
        <v>21.720231292109627</v>
      </c>
      <c r="I235" s="51">
        <f t="shared" si="41"/>
        <v>57.99746339737186</v>
      </c>
      <c r="J235" s="51">
        <f t="shared" si="41"/>
        <v>32.360995778188915</v>
      </c>
      <c r="K235" s="51">
        <f t="shared" si="41"/>
        <v>32.167624859593758</v>
      </c>
      <c r="L235" s="51">
        <f t="shared" si="41"/>
        <v>21.380597306720929</v>
      </c>
      <c r="M235" s="51">
        <f t="shared" si="41"/>
        <v>8.4916925283032896</v>
      </c>
      <c r="N235" s="51">
        <f t="shared" si="41"/>
        <v>14.517170335109409</v>
      </c>
      <c r="O235" s="51">
        <f t="shared" si="41"/>
        <v>20.759405638466593</v>
      </c>
      <c r="P235" s="51">
        <f t="shared" si="41"/>
        <v>7.6609537516069759</v>
      </c>
      <c r="Q235" s="51">
        <f t="shared" si="41"/>
        <v>5.9443849750071633</v>
      </c>
      <c r="R235" s="51">
        <f t="shared" si="41"/>
        <v>31.763708678768459</v>
      </c>
      <c r="S235" s="51">
        <f t="shared" si="41"/>
        <v>105.15522068656958</v>
      </c>
      <c r="T235" s="51">
        <f t="shared" si="41"/>
        <v>171.72136591620253</v>
      </c>
      <c r="U235" s="51">
        <f t="shared" si="41"/>
        <v>65.137126195240455</v>
      </c>
      <c r="V235" s="51">
        <f t="shared" si="41"/>
        <v>49.558871714607299</v>
      </c>
      <c r="W235" s="51">
        <f t="shared" si="41"/>
        <v>30.737326995755613</v>
      </c>
      <c r="X235" s="51">
        <f t="shared" si="41"/>
        <v>4.1158871600977154</v>
      </c>
      <c r="Y235" s="51">
        <f t="shared" si="41"/>
        <v>5.4724476188480971</v>
      </c>
      <c r="Z235" s="51">
        <f t="shared" si="41"/>
        <v>11.427747733796796</v>
      </c>
      <c r="AA235" s="51">
        <f t="shared" si="41"/>
        <v>15.401855007179288</v>
      </c>
      <c r="AB235" s="51">
        <f t="shared" si="41"/>
        <v>6.4171941757014919</v>
      </c>
      <c r="AC235" s="51">
        <f t="shared" si="41"/>
        <v>10.269899622998077</v>
      </c>
      <c r="AD235" s="51">
        <f t="shared" si="41"/>
        <v>44.008093642194403</v>
      </c>
      <c r="AE235" s="51">
        <f t="shared" si="41"/>
        <v>60.579838974079699</v>
      </c>
      <c r="AF235" s="51">
        <f t="shared" si="41"/>
        <v>19.550042129411306</v>
      </c>
      <c r="AG235" s="51">
        <f t="shared" si="41"/>
        <v>42.714870753201893</v>
      </c>
      <c r="AH235" s="51">
        <f t="shared" si="41"/>
        <v>19.717100870104691</v>
      </c>
      <c r="AI235" s="51">
        <f t="shared" si="41"/>
        <v>50.20920879030156</v>
      </c>
      <c r="AJ235" s="51">
        <f t="shared" si="41"/>
        <v>14.179431633818391</v>
      </c>
      <c r="AK235" s="51">
        <f t="shared" si="41"/>
        <v>25.350937270185032</v>
      </c>
    </row>
    <row r="236" spans="2:37" x14ac:dyDescent="0.35">
      <c r="B236" s="57">
        <f>SUM(D236:AK236)</f>
        <v>371.33035953859093</v>
      </c>
      <c r="C236" s="37" t="s">
        <v>65</v>
      </c>
      <c r="D236" s="44">
        <f>D$235*D121</f>
        <v>112.4696142633325</v>
      </c>
      <c r="E236" s="44">
        <f t="shared" ref="E236:AK236" si="42">E$235*E121</f>
        <v>15.454240236335719</v>
      </c>
      <c r="F236" s="44">
        <f t="shared" si="42"/>
        <v>16.198693407813497</v>
      </c>
      <c r="G236" s="44">
        <f t="shared" si="42"/>
        <v>17.135269390111571</v>
      </c>
      <c r="H236" s="44">
        <f t="shared" si="42"/>
        <v>5.3412574443203651</v>
      </c>
      <c r="I236" s="44">
        <f t="shared" si="42"/>
        <v>14.366646096033627</v>
      </c>
      <c r="J236" s="44">
        <f t="shared" si="42"/>
        <v>5.9159663319554809</v>
      </c>
      <c r="K236" s="44">
        <f t="shared" si="42"/>
        <v>5.4013182690512815</v>
      </c>
      <c r="L236" s="44">
        <f t="shared" si="42"/>
        <v>4.8814389853456053</v>
      </c>
      <c r="M236" s="44">
        <f t="shared" si="42"/>
        <v>1.9302604557195593</v>
      </c>
      <c r="N236" s="44">
        <f t="shared" si="42"/>
        <v>3.2694355696288802</v>
      </c>
      <c r="O236" s="44">
        <f t="shared" si="42"/>
        <v>4.6628039032112998</v>
      </c>
      <c r="P236" s="44">
        <f t="shared" si="42"/>
        <v>1.2863632188427072</v>
      </c>
      <c r="Q236" s="44">
        <f t="shared" si="42"/>
        <v>1.3654943519125484</v>
      </c>
      <c r="R236" s="44">
        <f t="shared" si="42"/>
        <v>7.7189505672035166</v>
      </c>
      <c r="S236" s="44">
        <f t="shared" si="42"/>
        <v>23.48238355685336</v>
      </c>
      <c r="T236" s="44">
        <f t="shared" si="42"/>
        <v>33.779589505055782</v>
      </c>
      <c r="U236" s="44">
        <f t="shared" si="42"/>
        <v>11.223884278159444</v>
      </c>
      <c r="V236" s="44">
        <f t="shared" si="42"/>
        <v>11.864970174418497</v>
      </c>
      <c r="W236" s="44">
        <f t="shared" si="42"/>
        <v>4.973656931091277</v>
      </c>
      <c r="X236" s="44">
        <f t="shared" si="42"/>
        <v>0.83392659944911174</v>
      </c>
      <c r="Y236" s="44">
        <f t="shared" si="42"/>
        <v>0.94406084957065051</v>
      </c>
      <c r="Z236" s="44">
        <f t="shared" si="42"/>
        <v>2.7347929180949655</v>
      </c>
      <c r="AA236" s="44">
        <f t="shared" si="42"/>
        <v>3.0066211949515775</v>
      </c>
      <c r="AB236" s="44">
        <f t="shared" si="42"/>
        <v>1.3078987941334947</v>
      </c>
      <c r="AC236" s="44">
        <f t="shared" si="42"/>
        <v>2.3550074051336662</v>
      </c>
      <c r="AD236" s="44">
        <f t="shared" si="42"/>
        <v>10.386421839329216</v>
      </c>
      <c r="AE236" s="44">
        <f t="shared" si="42"/>
        <v>10.153885453225056</v>
      </c>
      <c r="AF236" s="44">
        <f t="shared" si="42"/>
        <v>3.798800519702096</v>
      </c>
      <c r="AG236" s="44">
        <f t="shared" si="42"/>
        <v>9.7095868239770056</v>
      </c>
      <c r="AH236" s="44">
        <f t="shared" si="42"/>
        <v>3.8214034251946569</v>
      </c>
      <c r="AI236" s="44">
        <f t="shared" si="42"/>
        <v>11.839915281015973</v>
      </c>
      <c r="AJ236" s="44">
        <f t="shared" si="42"/>
        <v>3.0813553768605391</v>
      </c>
      <c r="AK236" s="44">
        <f t="shared" si="42"/>
        <v>4.6344461215563806</v>
      </c>
    </row>
    <row r="237" spans="2:37" x14ac:dyDescent="0.35">
      <c r="C237" s="38" t="s">
        <v>66</v>
      </c>
      <c r="D237" s="44">
        <f>D$236*D122</f>
        <v>28.507560692499887</v>
      </c>
      <c r="E237" s="44">
        <f t="shared" ref="E237:AK239" si="43">E$236*E122</f>
        <v>3.6049951704698495</v>
      </c>
      <c r="F237" s="44">
        <f t="shared" si="43"/>
        <v>3.8207696204178756</v>
      </c>
      <c r="G237" s="44">
        <f t="shared" si="43"/>
        <v>4.2695779439647117</v>
      </c>
      <c r="H237" s="44">
        <f t="shared" si="43"/>
        <v>1.234733143798165</v>
      </c>
      <c r="I237" s="44">
        <f t="shared" si="43"/>
        <v>3.5869061685942749</v>
      </c>
      <c r="J237" s="44">
        <f t="shared" si="43"/>
        <v>1.4640182740325207</v>
      </c>
      <c r="K237" s="44">
        <f t="shared" si="43"/>
        <v>1.2756239359542196</v>
      </c>
      <c r="L237" s="44">
        <f t="shared" si="43"/>
        <v>1.2265542939186518</v>
      </c>
      <c r="M237" s="44">
        <f t="shared" si="43"/>
        <v>0.49099842245796516</v>
      </c>
      <c r="N237" s="44">
        <f t="shared" si="43"/>
        <v>0.81496893601706966</v>
      </c>
      <c r="O237" s="44">
        <f t="shared" si="43"/>
        <v>1.1944658145239573</v>
      </c>
      <c r="P237" s="44">
        <f t="shared" si="43"/>
        <v>0.3074009324414998</v>
      </c>
      <c r="Q237" s="44">
        <f t="shared" si="43"/>
        <v>0.32262398545437826</v>
      </c>
      <c r="R237" s="44">
        <f t="shared" si="43"/>
        <v>1.9650055293299313</v>
      </c>
      <c r="S237" s="44">
        <f t="shared" si="43"/>
        <v>5.6984465426212338</v>
      </c>
      <c r="T237" s="44">
        <f t="shared" si="43"/>
        <v>8.8525832524486123</v>
      </c>
      <c r="U237" s="44">
        <f t="shared" si="43"/>
        <v>2.9111276448135253</v>
      </c>
      <c r="V237" s="44">
        <f t="shared" si="43"/>
        <v>2.9967236556525836</v>
      </c>
      <c r="W237" s="44">
        <f t="shared" si="43"/>
        <v>1.2939913516434562</v>
      </c>
      <c r="X237" s="44">
        <f t="shared" si="43"/>
        <v>0.19252780034615347</v>
      </c>
      <c r="Y237" s="44">
        <f t="shared" si="43"/>
        <v>0.23513629203371383</v>
      </c>
      <c r="Z237" s="44">
        <f t="shared" si="43"/>
        <v>0.63821588934878537</v>
      </c>
      <c r="AA237" s="44">
        <f t="shared" si="43"/>
        <v>0.76328791707112076</v>
      </c>
      <c r="AB237" s="44">
        <f t="shared" si="43"/>
        <v>0.32680336419588002</v>
      </c>
      <c r="AC237" s="44">
        <f t="shared" si="43"/>
        <v>0.58043632086430197</v>
      </c>
      <c r="AD237" s="44">
        <f t="shared" si="43"/>
        <v>2.6721043633949453</v>
      </c>
      <c r="AE237" s="44">
        <f t="shared" si="43"/>
        <v>2.5533874241776844</v>
      </c>
      <c r="AF237" s="44">
        <f t="shared" si="43"/>
        <v>0.99896677504052356</v>
      </c>
      <c r="AG237" s="44">
        <f t="shared" si="43"/>
        <v>2.470788852513814</v>
      </c>
      <c r="AH237" s="44">
        <f t="shared" si="43"/>
        <v>0.93956463993115891</v>
      </c>
      <c r="AI237" s="44">
        <f t="shared" si="43"/>
        <v>3.1099787106113133</v>
      </c>
      <c r="AJ237" s="44">
        <f t="shared" si="43"/>
        <v>0.81369043396525997</v>
      </c>
      <c r="AK237" s="44">
        <f t="shared" si="43"/>
        <v>1.04770460168758</v>
      </c>
    </row>
    <row r="238" spans="2:37" x14ac:dyDescent="0.35">
      <c r="C238" s="38" t="s">
        <v>67</v>
      </c>
      <c r="D238" s="44">
        <f t="shared" ref="D238:S239" si="44">D$236*D123</f>
        <v>74.997736253136353</v>
      </c>
      <c r="E238" s="44">
        <f t="shared" si="44"/>
        <v>10.569566773348624</v>
      </c>
      <c r="F238" s="44">
        <f t="shared" si="44"/>
        <v>10.913491465213449</v>
      </c>
      <c r="G238" s="44">
        <f t="shared" si="44"/>
        <v>11.37827555237868</v>
      </c>
      <c r="H238" s="44">
        <f t="shared" si="44"/>
        <v>3.6450164315022264</v>
      </c>
      <c r="I238" s="44">
        <f t="shared" si="44"/>
        <v>9.7610822475573045</v>
      </c>
      <c r="J238" s="44">
        <f t="shared" si="44"/>
        <v>3.9141609934634118</v>
      </c>
      <c r="K238" s="44">
        <f t="shared" si="44"/>
        <v>3.6681791887102819</v>
      </c>
      <c r="L238" s="44">
        <f t="shared" si="44"/>
        <v>3.212605092990513</v>
      </c>
      <c r="M238" s="44">
        <f t="shared" si="44"/>
        <v>1.295835287890738</v>
      </c>
      <c r="N238" s="44">
        <f t="shared" si="44"/>
        <v>2.2259188705381554</v>
      </c>
      <c r="O238" s="44">
        <f t="shared" si="44"/>
        <v>3.1447192221493268</v>
      </c>
      <c r="P238" s="44">
        <f t="shared" si="44"/>
        <v>0.86485627529047882</v>
      </c>
      <c r="Q238" s="44">
        <f t="shared" si="44"/>
        <v>0.9173754978255878</v>
      </c>
      <c r="R238" s="44">
        <f t="shared" si="44"/>
        <v>5.1186418412427441</v>
      </c>
      <c r="S238" s="44">
        <f t="shared" si="44"/>
        <v>15.818359400136485</v>
      </c>
      <c r="T238" s="44">
        <f t="shared" si="43"/>
        <v>22.373122399447226</v>
      </c>
      <c r="U238" s="44">
        <f t="shared" si="43"/>
        <v>7.5113224901427369</v>
      </c>
      <c r="V238" s="44">
        <f t="shared" si="43"/>
        <v>7.9178108143656658</v>
      </c>
      <c r="W238" s="44">
        <f t="shared" si="43"/>
        <v>3.3096038764115945</v>
      </c>
      <c r="X238" s="44">
        <f t="shared" si="43"/>
        <v>0.56525767434137697</v>
      </c>
      <c r="Y238" s="44">
        <f t="shared" si="43"/>
        <v>0.62801443759100251</v>
      </c>
      <c r="Z238" s="44">
        <f t="shared" si="43"/>
        <v>1.8638342594904813</v>
      </c>
      <c r="AA238" s="44">
        <f t="shared" si="43"/>
        <v>1.9742276069931362</v>
      </c>
      <c r="AB238" s="44">
        <f t="shared" si="43"/>
        <v>0.88940603722455625</v>
      </c>
      <c r="AC238" s="44">
        <f t="shared" si="43"/>
        <v>1.6000547950758415</v>
      </c>
      <c r="AD238" s="44">
        <f t="shared" si="43"/>
        <v>6.9944932783332181</v>
      </c>
      <c r="AE238" s="44">
        <f t="shared" si="43"/>
        <v>6.7668198803592219</v>
      </c>
      <c r="AF238" s="44">
        <f t="shared" si="43"/>
        <v>2.4769191818489835</v>
      </c>
      <c r="AG238" s="44">
        <f t="shared" si="43"/>
        <v>6.3833411512728526</v>
      </c>
      <c r="AH238" s="44">
        <f t="shared" si="43"/>
        <v>2.5329280356192352</v>
      </c>
      <c r="AI238" s="44">
        <f t="shared" si="43"/>
        <v>7.9224028637583057</v>
      </c>
      <c r="AJ238" s="44">
        <f t="shared" si="43"/>
        <v>2.0159048096938057</v>
      </c>
      <c r="AK238" s="44">
        <f t="shared" si="43"/>
        <v>3.1691577719719022</v>
      </c>
    </row>
    <row r="239" spans="2:37" x14ac:dyDescent="0.35">
      <c r="C239" s="38" t="s">
        <v>117</v>
      </c>
      <c r="D239" s="44">
        <f t="shared" si="44"/>
        <v>8.9643173176962616</v>
      </c>
      <c r="E239" s="44">
        <f t="shared" si="43"/>
        <v>1.2796782925172463</v>
      </c>
      <c r="F239" s="44">
        <f t="shared" si="43"/>
        <v>1.4644323221821729</v>
      </c>
      <c r="G239" s="44">
        <f t="shared" si="43"/>
        <v>1.4874158937681801</v>
      </c>
      <c r="H239" s="44">
        <f t="shared" si="43"/>
        <v>0.46150786901997365</v>
      </c>
      <c r="I239" s="44">
        <f t="shared" si="43"/>
        <v>1.0186576798820459</v>
      </c>
      <c r="J239" s="44">
        <f t="shared" si="43"/>
        <v>0.53778706445954871</v>
      </c>
      <c r="K239" s="44">
        <f t="shared" si="43"/>
        <v>0.45751514438678009</v>
      </c>
      <c r="L239" s="44">
        <f t="shared" si="43"/>
        <v>0.44227959843644032</v>
      </c>
      <c r="M239" s="44">
        <f t="shared" si="43"/>
        <v>0.14342674537085606</v>
      </c>
      <c r="N239" s="44">
        <f t="shared" si="43"/>
        <v>0.22854776307365526</v>
      </c>
      <c r="O239" s="44">
        <f t="shared" si="43"/>
        <v>0.32361886653801558</v>
      </c>
      <c r="P239" s="44">
        <f t="shared" si="43"/>
        <v>0.11410601111072868</v>
      </c>
      <c r="Q239" s="44">
        <f t="shared" si="43"/>
        <v>0.12549486863258238</v>
      </c>
      <c r="R239" s="44">
        <f t="shared" si="43"/>
        <v>0.63530319663084089</v>
      </c>
      <c r="S239" s="44">
        <f t="shared" si="43"/>
        <v>1.9655776140956411</v>
      </c>
      <c r="T239" s="44">
        <f t="shared" si="43"/>
        <v>2.5538838531599453</v>
      </c>
      <c r="U239" s="44">
        <f t="shared" si="43"/>
        <v>0.80143414320318185</v>
      </c>
      <c r="V239" s="44">
        <f t="shared" si="43"/>
        <v>0.95043570440024683</v>
      </c>
      <c r="W239" s="44">
        <f t="shared" si="43"/>
        <v>0.3700617030362261</v>
      </c>
      <c r="X239" s="44">
        <f t="shared" si="43"/>
        <v>7.614112476158133E-2</v>
      </c>
      <c r="Y239" s="44">
        <f t="shared" si="43"/>
        <v>8.0910119945934125E-2</v>
      </c>
      <c r="Z239" s="44">
        <f t="shared" si="43"/>
        <v>0.23274276925569887</v>
      </c>
      <c r="AA239" s="44">
        <f t="shared" si="43"/>
        <v>0.26910567088732062</v>
      </c>
      <c r="AB239" s="44">
        <f t="shared" si="43"/>
        <v>9.1689392713058454E-2</v>
      </c>
      <c r="AC239" s="44">
        <f t="shared" si="43"/>
        <v>0.17451628919352272</v>
      </c>
      <c r="AD239" s="44">
        <f t="shared" si="43"/>
        <v>0.71982419760105265</v>
      </c>
      <c r="AE239" s="44">
        <f t="shared" si="43"/>
        <v>0.83367814868815016</v>
      </c>
      <c r="AF239" s="44">
        <f t="shared" si="43"/>
        <v>0.32291456281258901</v>
      </c>
      <c r="AG239" s="44">
        <f t="shared" si="43"/>
        <v>0.85545682019033853</v>
      </c>
      <c r="AH239" s="44">
        <f t="shared" si="43"/>
        <v>0.34891074964426294</v>
      </c>
      <c r="AI239" s="44">
        <f t="shared" si="43"/>
        <v>0.80753370664635327</v>
      </c>
      <c r="AJ239" s="44">
        <f t="shared" si="43"/>
        <v>0.25176013320147339</v>
      </c>
      <c r="AK239" s="44">
        <f t="shared" si="43"/>
        <v>0.41758374789689817</v>
      </c>
    </row>
    <row r="240" spans="2:37" x14ac:dyDescent="0.35">
      <c r="C240" s="37" t="s">
        <v>118</v>
      </c>
      <c r="D240" s="44">
        <f t="shared" ref="D240:AK240" si="45">D$235*D125</f>
        <v>49.95738386881505</v>
      </c>
      <c r="E240" s="44">
        <f t="shared" si="45"/>
        <v>9.0146884461904424</v>
      </c>
      <c r="F240" s="44">
        <f t="shared" si="45"/>
        <v>7.5565636324022352</v>
      </c>
      <c r="G240" s="44">
        <f t="shared" si="45"/>
        <v>5.9388739187002537</v>
      </c>
      <c r="H240" s="44">
        <f t="shared" si="45"/>
        <v>2.1820538973303734</v>
      </c>
      <c r="I240" s="44">
        <f t="shared" si="45"/>
        <v>5.2001579390915174</v>
      </c>
      <c r="J240" s="44">
        <f t="shared" si="45"/>
        <v>3.5778904873028106</v>
      </c>
      <c r="K240" s="44">
        <f t="shared" si="45"/>
        <v>3.398889685410996</v>
      </c>
      <c r="L240" s="44">
        <f t="shared" si="45"/>
        <v>1.8678478253867634</v>
      </c>
      <c r="M240" s="44">
        <f t="shared" si="45"/>
        <v>0.86922507506394497</v>
      </c>
      <c r="N240" s="44">
        <f t="shared" si="45"/>
        <v>1.3132496035823111</v>
      </c>
      <c r="O240" s="44">
        <f t="shared" si="45"/>
        <v>1.7180861267184027</v>
      </c>
      <c r="P240" s="44">
        <f t="shared" si="45"/>
        <v>0.67846798280728793</v>
      </c>
      <c r="Q240" s="44">
        <f t="shared" si="45"/>
        <v>0.48780703091959854</v>
      </c>
      <c r="R240" s="44">
        <f t="shared" si="45"/>
        <v>2.9941048889645145</v>
      </c>
      <c r="S240" s="44">
        <f t="shared" si="45"/>
        <v>10.322227510577894</v>
      </c>
      <c r="T240" s="44">
        <f t="shared" si="45"/>
        <v>15.585743157164362</v>
      </c>
      <c r="U240" s="44">
        <f t="shared" si="45"/>
        <v>5.4104080441335869</v>
      </c>
      <c r="V240" s="44">
        <f t="shared" si="45"/>
        <v>4.389023718536575</v>
      </c>
      <c r="W240" s="44">
        <f t="shared" si="45"/>
        <v>3.1125175757444521</v>
      </c>
      <c r="X240" s="44">
        <f t="shared" si="45"/>
        <v>0.35833661397937078</v>
      </c>
      <c r="Y240" s="44">
        <f t="shared" si="45"/>
        <v>0.43758685404893283</v>
      </c>
      <c r="Z240" s="44">
        <f t="shared" si="45"/>
        <v>0.97892163302421487</v>
      </c>
      <c r="AA240" s="44">
        <f t="shared" si="45"/>
        <v>1.5811824174171039</v>
      </c>
      <c r="AB240" s="44">
        <f t="shared" si="45"/>
        <v>0.70564633043930203</v>
      </c>
      <c r="AC240" s="44">
        <f t="shared" si="45"/>
        <v>0.8006600331558702</v>
      </c>
      <c r="AD240" s="44">
        <f t="shared" si="45"/>
        <v>4.2010925738167488</v>
      </c>
      <c r="AE240" s="44">
        <f t="shared" si="45"/>
        <v>6.4736716553618674</v>
      </c>
      <c r="AF240" s="44">
        <f t="shared" si="45"/>
        <v>1.7294322456522451</v>
      </c>
      <c r="AG240" s="44">
        <f t="shared" si="45"/>
        <v>3.5308888216408527</v>
      </c>
      <c r="AH240" s="44">
        <f t="shared" si="45"/>
        <v>1.9965894565067868</v>
      </c>
      <c r="AI240" s="44">
        <f t="shared" si="45"/>
        <v>4.0047777141500447</v>
      </c>
      <c r="AJ240" s="44">
        <f t="shared" si="45"/>
        <v>1.2656818290929142</v>
      </c>
      <c r="AK240" s="44">
        <f t="shared" si="45"/>
        <v>2.3769499365125486</v>
      </c>
    </row>
    <row r="241" spans="3:37" x14ac:dyDescent="0.35">
      <c r="C241" s="37" t="s">
        <v>119</v>
      </c>
      <c r="D241" s="44">
        <f t="shared" ref="D241:AK241" si="46">D$235*D126</f>
        <v>28.709466271235073</v>
      </c>
      <c r="E241" s="44">
        <f t="shared" si="46"/>
        <v>5.9956271245915138</v>
      </c>
      <c r="F241" s="44">
        <f t="shared" si="46"/>
        <v>4.5150751356576251</v>
      </c>
      <c r="G241" s="44">
        <f t="shared" si="46"/>
        <v>3.2464430269032123</v>
      </c>
      <c r="H241" s="44">
        <f t="shared" si="46"/>
        <v>0.81473795817589745</v>
      </c>
      <c r="I241" s="44">
        <f t="shared" si="46"/>
        <v>3.3354663824876369</v>
      </c>
      <c r="J241" s="44">
        <f t="shared" si="46"/>
        <v>1.7348909852625685</v>
      </c>
      <c r="K241" s="44">
        <f t="shared" si="46"/>
        <v>2.1491369108960261</v>
      </c>
      <c r="L241" s="44">
        <f t="shared" si="46"/>
        <v>0.88324436821981178</v>
      </c>
      <c r="M241" s="44">
        <f t="shared" si="46"/>
        <v>0.38136663515735891</v>
      </c>
      <c r="N241" s="44">
        <f t="shared" si="46"/>
        <v>0.55906430513543859</v>
      </c>
      <c r="O241" s="44">
        <f t="shared" si="46"/>
        <v>1.2084165501412811</v>
      </c>
      <c r="P241" s="44">
        <f t="shared" si="46"/>
        <v>0.39461998933780995</v>
      </c>
      <c r="Q241" s="44">
        <f t="shared" si="46"/>
        <v>0.31333183874187737</v>
      </c>
      <c r="R241" s="44">
        <f t="shared" si="46"/>
        <v>2.0808582248844529</v>
      </c>
      <c r="S241" s="44">
        <f t="shared" si="46"/>
        <v>6.6258889506191831</v>
      </c>
      <c r="T241" s="44">
        <f t="shared" si="46"/>
        <v>11.11218511263912</v>
      </c>
      <c r="U241" s="44">
        <f t="shared" si="46"/>
        <v>3.9805660159076419</v>
      </c>
      <c r="V241" s="44">
        <f t="shared" si="46"/>
        <v>1.8589808463470849</v>
      </c>
      <c r="W241" s="44">
        <f t="shared" si="46"/>
        <v>2.1304212324642866</v>
      </c>
      <c r="X241" s="44">
        <f t="shared" si="46"/>
        <v>0.180319306046586</v>
      </c>
      <c r="Y241" s="44">
        <f t="shared" si="46"/>
        <v>0.31472350674252908</v>
      </c>
      <c r="Z241" s="44">
        <f t="shared" si="46"/>
        <v>0.55093807520998139</v>
      </c>
      <c r="AA241" s="44">
        <f t="shared" si="46"/>
        <v>0.68400494852665217</v>
      </c>
      <c r="AB241" s="44">
        <f t="shared" si="46"/>
        <v>0.3966503417210186</v>
      </c>
      <c r="AC241" s="44">
        <f t="shared" si="46"/>
        <v>0.6430041282782718</v>
      </c>
      <c r="AD241" s="44">
        <f t="shared" si="46"/>
        <v>1.7959947821143165</v>
      </c>
      <c r="AE241" s="44">
        <f t="shared" si="46"/>
        <v>3.259834834209463</v>
      </c>
      <c r="AF241" s="44">
        <f t="shared" si="46"/>
        <v>1.1341088191153172</v>
      </c>
      <c r="AG241" s="44">
        <f t="shared" si="46"/>
        <v>2.1917237795363516</v>
      </c>
      <c r="AH241" s="44">
        <f t="shared" si="46"/>
        <v>1.0629598760260139</v>
      </c>
      <c r="AI241" s="44">
        <f t="shared" si="46"/>
        <v>2.0992749496205469</v>
      </c>
      <c r="AJ241" s="44">
        <f t="shared" si="46"/>
        <v>0.88636415908496569</v>
      </c>
      <c r="AK241" s="44">
        <f t="shared" si="46"/>
        <v>1.6556838151934787</v>
      </c>
    </row>
    <row r="242" spans="3:37" x14ac:dyDescent="0.35">
      <c r="C242" s="37" t="s">
        <v>120</v>
      </c>
      <c r="D242" s="44">
        <f t="shared" ref="D242:AK242" si="47">D$235*D127</f>
        <v>122.5123405283817</v>
      </c>
      <c r="E242" s="44">
        <f t="shared" si="47"/>
        <v>18.631978557541018</v>
      </c>
      <c r="F242" s="44">
        <f t="shared" si="47"/>
        <v>17.284278512454534</v>
      </c>
      <c r="G242" s="44">
        <f t="shared" si="47"/>
        <v>17.68400430390556</v>
      </c>
      <c r="H242" s="44">
        <f t="shared" si="47"/>
        <v>4.6655028754088281</v>
      </c>
      <c r="I242" s="44">
        <f t="shared" si="47"/>
        <v>13.96578169312879</v>
      </c>
      <c r="J242" s="44">
        <f t="shared" si="47"/>
        <v>7.6501352210983624</v>
      </c>
      <c r="K242" s="44">
        <f t="shared" si="47"/>
        <v>6.9514195762751898</v>
      </c>
      <c r="L242" s="44">
        <f t="shared" si="47"/>
        <v>4.7593181982186312</v>
      </c>
      <c r="M242" s="44">
        <f t="shared" si="47"/>
        <v>2.009982524368676</v>
      </c>
      <c r="N242" s="44">
        <f t="shared" si="47"/>
        <v>3.5625117246960172</v>
      </c>
      <c r="O242" s="44">
        <f t="shared" si="47"/>
        <v>4.8576982373983366</v>
      </c>
      <c r="P242" s="44">
        <f t="shared" si="47"/>
        <v>1.7696793268674524</v>
      </c>
      <c r="Q242" s="44">
        <f t="shared" si="47"/>
        <v>1.359480075801774</v>
      </c>
      <c r="R242" s="44">
        <f t="shared" si="47"/>
        <v>7.1563594616272974</v>
      </c>
      <c r="S242" s="44">
        <f t="shared" si="47"/>
        <v>22.871246913843535</v>
      </c>
      <c r="T242" s="44">
        <f t="shared" si="47"/>
        <v>39.135277106831538</v>
      </c>
      <c r="U242" s="44">
        <f t="shared" si="47"/>
        <v>14.33667306020828</v>
      </c>
      <c r="V242" s="44">
        <f t="shared" si="47"/>
        <v>10.660106903074047</v>
      </c>
      <c r="W242" s="44">
        <f t="shared" si="47"/>
        <v>7.0173277820347266</v>
      </c>
      <c r="X242" s="44">
        <f t="shared" si="47"/>
        <v>0.96558659600858054</v>
      </c>
      <c r="Y242" s="44">
        <f t="shared" si="47"/>
        <v>1.2712488748478008</v>
      </c>
      <c r="Z242" s="44">
        <f t="shared" si="47"/>
        <v>2.8043678174705802</v>
      </c>
      <c r="AA242" s="44">
        <f t="shared" si="47"/>
        <v>3.7842337854276482</v>
      </c>
      <c r="AB242" s="44">
        <f t="shared" si="47"/>
        <v>1.4348837886200998</v>
      </c>
      <c r="AC242" s="44">
        <f t="shared" si="47"/>
        <v>2.3199689980198213</v>
      </c>
      <c r="AD242" s="44">
        <f t="shared" si="47"/>
        <v>9.6025603471193186</v>
      </c>
      <c r="AE242" s="44">
        <f t="shared" si="47"/>
        <v>14.805704818677777</v>
      </c>
      <c r="AF242" s="44">
        <f t="shared" si="47"/>
        <v>4.6607275178920284</v>
      </c>
      <c r="AG242" s="44">
        <f t="shared" si="47"/>
        <v>10.050803569698303</v>
      </c>
      <c r="AH242" s="44">
        <f t="shared" si="47"/>
        <v>4.3949392366036237</v>
      </c>
      <c r="AI242" s="44">
        <f t="shared" si="47"/>
        <v>11.553132455890376</v>
      </c>
      <c r="AJ242" s="44">
        <f t="shared" si="47"/>
        <v>3.228654751114628</v>
      </c>
      <c r="AK242" s="44">
        <f t="shared" si="47"/>
        <v>5.6735364858635293</v>
      </c>
    </row>
    <row r="243" spans="3:37" x14ac:dyDescent="0.35">
      <c r="C243" s="37" t="s">
        <v>121</v>
      </c>
      <c r="D243" s="44">
        <f t="shared" ref="D243:AK243" si="48">D$235*D128</f>
        <v>27.723694188891734</v>
      </c>
      <c r="E243" s="44">
        <f t="shared" si="48"/>
        <v>4.6356548848382655</v>
      </c>
      <c r="F243" s="44">
        <f t="shared" si="48"/>
        <v>3.5705822843366515</v>
      </c>
      <c r="G243" s="44">
        <f t="shared" si="48"/>
        <v>3.822475986094632</v>
      </c>
      <c r="H243" s="44">
        <f t="shared" si="48"/>
        <v>0.78988539020830995</v>
      </c>
      <c r="I243" s="44">
        <f t="shared" si="48"/>
        <v>2.43394146609621</v>
      </c>
      <c r="J243" s="44">
        <f t="shared" si="48"/>
        <v>1.3645448612139512</v>
      </c>
      <c r="K243" s="44">
        <f t="shared" si="48"/>
        <v>1.9450586515846822</v>
      </c>
      <c r="L243" s="44">
        <f t="shared" si="48"/>
        <v>1.2265266875016143</v>
      </c>
      <c r="M243" s="44">
        <f t="shared" si="48"/>
        <v>0.43194134831387815</v>
      </c>
      <c r="N243" s="44">
        <f t="shared" si="48"/>
        <v>0.97796868219982225</v>
      </c>
      <c r="O243" s="44">
        <f t="shared" si="48"/>
        <v>1.0351956506458939</v>
      </c>
      <c r="P243" s="44">
        <f t="shared" si="48"/>
        <v>0.50689729681040019</v>
      </c>
      <c r="Q243" s="44">
        <f t="shared" si="48"/>
        <v>0.2250921228508167</v>
      </c>
      <c r="R243" s="44">
        <f t="shared" si="48"/>
        <v>1.7078184689365319</v>
      </c>
      <c r="S243" s="44">
        <f t="shared" si="48"/>
        <v>3.8451419114385113</v>
      </c>
      <c r="T243" s="44">
        <f t="shared" si="48"/>
        <v>8.0479525066126953</v>
      </c>
      <c r="U243" s="44">
        <f t="shared" si="48"/>
        <v>4.3229128860982016</v>
      </c>
      <c r="V243" s="44">
        <f t="shared" si="48"/>
        <v>1.9459956759742629</v>
      </c>
      <c r="W243" s="44">
        <f t="shared" si="48"/>
        <v>2.0829562568340272</v>
      </c>
      <c r="X243" s="44">
        <f t="shared" si="48"/>
        <v>0.25010741262527597</v>
      </c>
      <c r="Y243" s="44">
        <f t="shared" si="48"/>
        <v>0.35661940084698279</v>
      </c>
      <c r="Z243" s="44">
        <f t="shared" si="48"/>
        <v>0.51729235337078472</v>
      </c>
      <c r="AA243" s="44">
        <f t="shared" si="48"/>
        <v>0.7526323359990903</v>
      </c>
      <c r="AB243" s="44">
        <f t="shared" si="48"/>
        <v>0.25903866385303365</v>
      </c>
      <c r="AC243" s="44">
        <f t="shared" si="48"/>
        <v>0.42996314444750189</v>
      </c>
      <c r="AD243" s="44">
        <f t="shared" si="48"/>
        <v>2.2737372791291781</v>
      </c>
      <c r="AE243" s="44">
        <f t="shared" si="48"/>
        <v>3.8568968321107318</v>
      </c>
      <c r="AF243" s="44">
        <f t="shared" si="48"/>
        <v>1.2270846580599464</v>
      </c>
      <c r="AG243" s="44">
        <f t="shared" si="48"/>
        <v>2.4204955350011823</v>
      </c>
      <c r="AH243" s="44">
        <f t="shared" si="48"/>
        <v>1.3440426690472442</v>
      </c>
      <c r="AI243" s="44">
        <f t="shared" si="48"/>
        <v>2.7648375338103328</v>
      </c>
      <c r="AJ243" s="44">
        <f t="shared" si="48"/>
        <v>0.63334336277665226</v>
      </c>
      <c r="AK243" s="44">
        <f t="shared" si="48"/>
        <v>1.4390800109553652</v>
      </c>
    </row>
    <row r="244" spans="3:37" x14ac:dyDescent="0.35">
      <c r="C244" s="37" t="s">
        <v>122</v>
      </c>
      <c r="D244" s="44">
        <f t="shared" ref="D244:AK244" si="49">D$235*D129</f>
        <v>103.15710532890094</v>
      </c>
      <c r="E244" s="44">
        <f t="shared" si="49"/>
        <v>16.618447687476017</v>
      </c>
      <c r="F244" s="44">
        <f t="shared" si="49"/>
        <v>13.595557968580525</v>
      </c>
      <c r="G244" s="44">
        <f t="shared" si="49"/>
        <v>15.209997252903143</v>
      </c>
      <c r="H244" s="44">
        <f t="shared" si="49"/>
        <v>4.4763115841186734</v>
      </c>
      <c r="I244" s="44">
        <f t="shared" si="49"/>
        <v>10.398336153018446</v>
      </c>
      <c r="J244" s="44">
        <f t="shared" si="49"/>
        <v>6.5657062190338467</v>
      </c>
      <c r="K244" s="44">
        <f t="shared" si="49"/>
        <v>6.5103894778183342</v>
      </c>
      <c r="L244" s="44">
        <f t="shared" si="49"/>
        <v>3.8568352354600202</v>
      </c>
      <c r="M244" s="44">
        <f t="shared" si="49"/>
        <v>1.5615330842865771</v>
      </c>
      <c r="N244" s="44">
        <f t="shared" si="49"/>
        <v>2.6739103302288165</v>
      </c>
      <c r="O244" s="44">
        <f t="shared" si="49"/>
        <v>3.9689803625657243</v>
      </c>
      <c r="P244" s="44">
        <f t="shared" si="49"/>
        <v>1.529045920779885</v>
      </c>
      <c r="Q244" s="44">
        <f t="shared" si="49"/>
        <v>1.1953533962036977</v>
      </c>
      <c r="R244" s="44">
        <f t="shared" si="49"/>
        <v>5.6281956256574155</v>
      </c>
      <c r="S244" s="44">
        <f t="shared" si="49"/>
        <v>19.936325602183967</v>
      </c>
      <c r="T244" s="44">
        <f t="shared" si="49"/>
        <v>32.522223450272051</v>
      </c>
      <c r="U244" s="44">
        <f t="shared" si="49"/>
        <v>13.150501770749029</v>
      </c>
      <c r="V244" s="44">
        <f t="shared" si="49"/>
        <v>9.6139006925573742</v>
      </c>
      <c r="W244" s="44">
        <f t="shared" si="49"/>
        <v>6.4237785679755914</v>
      </c>
      <c r="X244" s="44">
        <f t="shared" si="49"/>
        <v>0.7885607587472756</v>
      </c>
      <c r="Y244" s="44">
        <f t="shared" si="49"/>
        <v>1.0583139030516735</v>
      </c>
      <c r="Z244" s="44">
        <f t="shared" si="49"/>
        <v>2.1265838499353871</v>
      </c>
      <c r="AA244" s="44">
        <f t="shared" si="49"/>
        <v>3.0124411037899801</v>
      </c>
      <c r="AB244" s="44">
        <f t="shared" si="49"/>
        <v>1.222408103208916</v>
      </c>
      <c r="AC244" s="44">
        <f t="shared" si="49"/>
        <v>1.8258803082631165</v>
      </c>
      <c r="AD244" s="44">
        <f t="shared" si="49"/>
        <v>8.4094845639322866</v>
      </c>
      <c r="AE244" s="44">
        <f t="shared" si="49"/>
        <v>11.703388738012729</v>
      </c>
      <c r="AF244" s="44">
        <f t="shared" si="49"/>
        <v>3.6576075864876771</v>
      </c>
      <c r="AG244" s="44">
        <f t="shared" si="49"/>
        <v>7.8420017193920639</v>
      </c>
      <c r="AH244" s="44">
        <f t="shared" si="49"/>
        <v>3.6908342326666128</v>
      </c>
      <c r="AI244" s="44">
        <f t="shared" si="49"/>
        <v>9.9710216164567864</v>
      </c>
      <c r="AJ244" s="44">
        <f t="shared" si="49"/>
        <v>2.7123763726613381</v>
      </c>
      <c r="AK244" s="44">
        <f t="shared" si="49"/>
        <v>4.8671137444737003</v>
      </c>
    </row>
    <row r="245" spans="3:37" x14ac:dyDescent="0.35">
      <c r="C245" s="37" t="s">
        <v>123</v>
      </c>
      <c r="D245" s="44">
        <f t="shared" ref="D245:AK245" si="50">D$235*D130</f>
        <v>34.762639706597412</v>
      </c>
      <c r="E245" s="44">
        <f t="shared" si="50"/>
        <v>6.7406012620228344</v>
      </c>
      <c r="F245" s="44">
        <f t="shared" si="50"/>
        <v>5.3968465234735614</v>
      </c>
      <c r="G245" s="44">
        <f t="shared" si="50"/>
        <v>4.6297075261977829</v>
      </c>
      <c r="H245" s="44">
        <f t="shared" si="50"/>
        <v>1.5276929046571466</v>
      </c>
      <c r="I245" s="44">
        <f t="shared" si="50"/>
        <v>2.8439067838395862</v>
      </c>
      <c r="J245" s="44">
        <f t="shared" si="50"/>
        <v>2.4994021596078722</v>
      </c>
      <c r="K245" s="44">
        <f t="shared" si="50"/>
        <v>1.9633516300966654</v>
      </c>
      <c r="L245" s="44">
        <f t="shared" si="50"/>
        <v>1.7389913118397746</v>
      </c>
      <c r="M245" s="44">
        <f t="shared" si="50"/>
        <v>0.44780957622172457</v>
      </c>
      <c r="N245" s="44">
        <f t="shared" si="50"/>
        <v>0.71475317334446908</v>
      </c>
      <c r="O245" s="44">
        <f t="shared" si="50"/>
        <v>1.2836582650619681</v>
      </c>
      <c r="P245" s="44">
        <f t="shared" si="50"/>
        <v>0.58556515404214449</v>
      </c>
      <c r="Q245" s="44">
        <f t="shared" si="50"/>
        <v>0.42582613720781903</v>
      </c>
      <c r="R245" s="44">
        <f t="shared" si="50"/>
        <v>1.636943365430189</v>
      </c>
      <c r="S245" s="44">
        <f t="shared" si="50"/>
        <v>7.0806288992761406</v>
      </c>
      <c r="T245" s="44">
        <f t="shared" si="50"/>
        <v>13.846755793438094</v>
      </c>
      <c r="U245" s="44">
        <f t="shared" si="50"/>
        <v>5.2979294687958571</v>
      </c>
      <c r="V245" s="44">
        <f t="shared" si="50"/>
        <v>3.3469593977215042</v>
      </c>
      <c r="W245" s="44">
        <f t="shared" si="50"/>
        <v>1.9498229560082552</v>
      </c>
      <c r="X245" s="44">
        <f t="shared" si="50"/>
        <v>0.27796652211494921</v>
      </c>
      <c r="Y245" s="44">
        <f t="shared" si="50"/>
        <v>0.44783786092241556</v>
      </c>
      <c r="Z245" s="44">
        <f t="shared" si="50"/>
        <v>0.59235753355798904</v>
      </c>
      <c r="AA245" s="44">
        <f t="shared" si="50"/>
        <v>1.0894505236164544</v>
      </c>
      <c r="AB245" s="44">
        <f t="shared" si="50"/>
        <v>0.42632642409263893</v>
      </c>
      <c r="AC245" s="44">
        <f t="shared" si="50"/>
        <v>0.78806095406664822</v>
      </c>
      <c r="AD245" s="44">
        <f t="shared" si="50"/>
        <v>3.3857635692287613</v>
      </c>
      <c r="AE245" s="44">
        <f t="shared" si="50"/>
        <v>4.0973186270849169</v>
      </c>
      <c r="AF245" s="44">
        <f t="shared" si="50"/>
        <v>1.4024226652441498</v>
      </c>
      <c r="AG245" s="44">
        <f t="shared" si="50"/>
        <v>2.4618724347246173</v>
      </c>
      <c r="AH245" s="44">
        <f t="shared" si="50"/>
        <v>1.6155210562418918</v>
      </c>
      <c r="AI245" s="44">
        <f t="shared" si="50"/>
        <v>3.2352313779548463</v>
      </c>
      <c r="AJ245" s="44">
        <f t="shared" si="50"/>
        <v>1.0441027334606947</v>
      </c>
      <c r="AK245" s="44">
        <f t="shared" si="50"/>
        <v>1.9757258058807445</v>
      </c>
    </row>
    <row r="246" spans="3:37" x14ac:dyDescent="0.35">
      <c r="C246" s="37" t="s">
        <v>124</v>
      </c>
      <c r="D246" s="44">
        <f t="shared" ref="D246:AK246" si="51">D$235*D131</f>
        <v>55.229612675051726</v>
      </c>
      <c r="E246" s="44">
        <f t="shared" si="51"/>
        <v>9.2879445421441709</v>
      </c>
      <c r="F246" s="44">
        <f t="shared" si="51"/>
        <v>8.3954100497610913</v>
      </c>
      <c r="G246" s="44">
        <f t="shared" si="51"/>
        <v>6.6046015450575988</v>
      </c>
      <c r="H246" s="44">
        <f t="shared" si="51"/>
        <v>1.922789237890032</v>
      </c>
      <c r="I246" s="44">
        <f t="shared" si="51"/>
        <v>5.4532268836760425</v>
      </c>
      <c r="J246" s="44">
        <f t="shared" si="51"/>
        <v>3.0524595127140239</v>
      </c>
      <c r="K246" s="44">
        <f t="shared" si="51"/>
        <v>3.8480606584605814</v>
      </c>
      <c r="L246" s="44">
        <f t="shared" si="51"/>
        <v>2.1663946947487083</v>
      </c>
      <c r="M246" s="44">
        <f t="shared" si="51"/>
        <v>0.85957382917157044</v>
      </c>
      <c r="N246" s="44">
        <f t="shared" si="51"/>
        <v>1.4462769462936538</v>
      </c>
      <c r="O246" s="44">
        <f t="shared" si="51"/>
        <v>2.0245665427236852</v>
      </c>
      <c r="P246" s="44">
        <f t="shared" si="51"/>
        <v>0.91031486211928858</v>
      </c>
      <c r="Q246" s="44">
        <f t="shared" si="51"/>
        <v>0.57200002136903128</v>
      </c>
      <c r="R246" s="44">
        <f t="shared" si="51"/>
        <v>2.8404780760645436</v>
      </c>
      <c r="S246" s="44">
        <f t="shared" si="51"/>
        <v>10.991377341776987</v>
      </c>
      <c r="T246" s="44">
        <f t="shared" si="51"/>
        <v>17.691639284188895</v>
      </c>
      <c r="U246" s="44">
        <f t="shared" si="51"/>
        <v>7.4142506711884097</v>
      </c>
      <c r="V246" s="44">
        <f t="shared" si="51"/>
        <v>5.8789343059779542</v>
      </c>
      <c r="W246" s="44">
        <f t="shared" si="51"/>
        <v>3.0468456936029948</v>
      </c>
      <c r="X246" s="44">
        <f t="shared" si="51"/>
        <v>0.46108335112656557</v>
      </c>
      <c r="Y246" s="44">
        <f t="shared" si="51"/>
        <v>0.6420563688171117</v>
      </c>
      <c r="Z246" s="44">
        <f t="shared" si="51"/>
        <v>1.1224935531328928</v>
      </c>
      <c r="AA246" s="44">
        <f t="shared" si="51"/>
        <v>1.4912886974507802</v>
      </c>
      <c r="AB246" s="44">
        <f t="shared" si="51"/>
        <v>0.66434172963298765</v>
      </c>
      <c r="AC246" s="44">
        <f t="shared" si="51"/>
        <v>1.1073546516331807</v>
      </c>
      <c r="AD246" s="44">
        <f t="shared" si="51"/>
        <v>3.9530386875245829</v>
      </c>
      <c r="AE246" s="44">
        <f t="shared" si="51"/>
        <v>6.2291380153971598</v>
      </c>
      <c r="AF246" s="44">
        <f t="shared" si="51"/>
        <v>1.9398581172578446</v>
      </c>
      <c r="AG246" s="44">
        <f t="shared" si="51"/>
        <v>4.5074980692315219</v>
      </c>
      <c r="AH246" s="44">
        <f t="shared" si="51"/>
        <v>1.7908109178178628</v>
      </c>
      <c r="AI246" s="44">
        <f t="shared" si="51"/>
        <v>4.7410178614026526</v>
      </c>
      <c r="AJ246" s="44">
        <f t="shared" si="51"/>
        <v>1.3275530487666602</v>
      </c>
      <c r="AK246" s="44">
        <f t="shared" si="51"/>
        <v>2.7284013497492841</v>
      </c>
    </row>
    <row r="247" spans="3:37" x14ac:dyDescent="0.35">
      <c r="C247" s="41" t="s">
        <v>68</v>
      </c>
      <c r="D247" s="51">
        <f>D$232*D132</f>
        <v>183.41501797211023</v>
      </c>
      <c r="E247" s="51">
        <f t="shared" ref="E247:AK247" si="52">E$232*E132</f>
        <v>29.316820812138594</v>
      </c>
      <c r="F247" s="51">
        <f t="shared" si="52"/>
        <v>24.931740785100935</v>
      </c>
      <c r="G247" s="51">
        <f t="shared" si="52"/>
        <v>28.565810778955168</v>
      </c>
      <c r="H247" s="51">
        <f t="shared" si="52"/>
        <v>7.2034070327731969</v>
      </c>
      <c r="I247" s="51">
        <f t="shared" si="52"/>
        <v>19.354226043181978</v>
      </c>
      <c r="J247" s="51">
        <f t="shared" si="52"/>
        <v>12.478362123837931</v>
      </c>
      <c r="K247" s="51">
        <f t="shared" si="52"/>
        <v>10.58889207069624</v>
      </c>
      <c r="L247" s="51">
        <f t="shared" si="52"/>
        <v>7.2846234629877751</v>
      </c>
      <c r="M247" s="51">
        <f t="shared" si="52"/>
        <v>3.2297462543521944</v>
      </c>
      <c r="N247" s="51">
        <f t="shared" si="52"/>
        <v>4.6554027962064266</v>
      </c>
      <c r="O247" s="51">
        <f t="shared" si="52"/>
        <v>7.4196911114169284</v>
      </c>
      <c r="P247" s="51">
        <f t="shared" si="52"/>
        <v>2.604714506781348</v>
      </c>
      <c r="Q247" s="51">
        <f t="shared" si="52"/>
        <v>2.1572900854250787</v>
      </c>
      <c r="R247" s="51">
        <f t="shared" si="52"/>
        <v>12.282658946052507</v>
      </c>
      <c r="S247" s="51">
        <f t="shared" si="52"/>
        <v>35.283082204655486</v>
      </c>
      <c r="T247" s="51">
        <f t="shared" si="52"/>
        <v>61.359851945709551</v>
      </c>
      <c r="U247" s="51">
        <f t="shared" si="52"/>
        <v>22.124929886725305</v>
      </c>
      <c r="V247" s="51">
        <f t="shared" si="52"/>
        <v>14.990374676118776</v>
      </c>
      <c r="W247" s="51">
        <f t="shared" si="52"/>
        <v>10.42503668637208</v>
      </c>
      <c r="X247" s="51">
        <f t="shared" si="52"/>
        <v>1.291148463328998</v>
      </c>
      <c r="Y247" s="51">
        <f t="shared" si="52"/>
        <v>1.9996940525090734</v>
      </c>
      <c r="Z247" s="51">
        <f t="shared" si="52"/>
        <v>3.9627420475794377</v>
      </c>
      <c r="AA247" s="51">
        <f t="shared" si="52"/>
        <v>4.5635956623195204</v>
      </c>
      <c r="AB247" s="51">
        <f t="shared" si="52"/>
        <v>2.4507322533960791</v>
      </c>
      <c r="AC247" s="51">
        <f t="shared" si="52"/>
        <v>3.0681746673639183</v>
      </c>
      <c r="AD247" s="51">
        <f t="shared" si="52"/>
        <v>13.306266429384522</v>
      </c>
      <c r="AE247" s="51">
        <f t="shared" si="52"/>
        <v>18.899717368656493</v>
      </c>
      <c r="AF247" s="51">
        <f t="shared" si="52"/>
        <v>7.5613370109439417</v>
      </c>
      <c r="AG247" s="51">
        <f t="shared" si="52"/>
        <v>15.731353058103993</v>
      </c>
      <c r="AH247" s="51">
        <f t="shared" si="52"/>
        <v>7.4175660653088746</v>
      </c>
      <c r="AI247" s="51">
        <f t="shared" si="52"/>
        <v>16.268916101388907</v>
      </c>
      <c r="AJ247" s="51">
        <f t="shared" si="52"/>
        <v>4.4563049238837973</v>
      </c>
      <c r="AK247" s="51">
        <f t="shared" si="52"/>
        <v>9.4150576741106118</v>
      </c>
    </row>
    <row r="248" spans="3:37" x14ac:dyDescent="0.35">
      <c r="C248" s="37" t="s">
        <v>69</v>
      </c>
      <c r="D248" s="44">
        <f>D$247*D133</f>
        <v>58.370268615066948</v>
      </c>
      <c r="E248" s="44">
        <f t="shared" ref="E248:AK252" si="53">E$247*E133</f>
        <v>9.5057296633489852</v>
      </c>
      <c r="F248" s="44">
        <f t="shared" si="53"/>
        <v>7.9318211626507091</v>
      </c>
      <c r="G248" s="44">
        <f t="shared" si="53"/>
        <v>8.7908851733022129</v>
      </c>
      <c r="H248" s="44">
        <f t="shared" si="53"/>
        <v>2.0431851041368381</v>
      </c>
      <c r="I248" s="44">
        <f t="shared" si="53"/>
        <v>6.3296349237236269</v>
      </c>
      <c r="J248" s="44">
        <f t="shared" si="53"/>
        <v>4.0197981678256713</v>
      </c>
      <c r="K248" s="44">
        <f t="shared" si="53"/>
        <v>3.0256857981482419</v>
      </c>
      <c r="L248" s="44">
        <f t="shared" si="53"/>
        <v>2.2665485986507541</v>
      </c>
      <c r="M248" s="44">
        <f t="shared" si="53"/>
        <v>1.1160113331783672</v>
      </c>
      <c r="N248" s="44">
        <f t="shared" si="53"/>
        <v>1.4754902989637428</v>
      </c>
      <c r="O248" s="44">
        <f t="shared" si="53"/>
        <v>2.2907664893717326</v>
      </c>
      <c r="P248" s="44">
        <f t="shared" si="53"/>
        <v>0.85679867098817075</v>
      </c>
      <c r="Q248" s="44">
        <f t="shared" si="53"/>
        <v>0.68912795933563809</v>
      </c>
      <c r="R248" s="44">
        <f t="shared" si="53"/>
        <v>3.7184704709749909</v>
      </c>
      <c r="S248" s="44">
        <f t="shared" si="53"/>
        <v>11.606069633585715</v>
      </c>
      <c r="T248" s="44">
        <f t="shared" si="53"/>
        <v>18.686620740149802</v>
      </c>
      <c r="U248" s="44">
        <f t="shared" si="53"/>
        <v>7.0388581611823646</v>
      </c>
      <c r="V248" s="44">
        <f t="shared" si="53"/>
        <v>4.6776188501865645</v>
      </c>
      <c r="W248" s="44">
        <f t="shared" si="53"/>
        <v>3.2843190913911635</v>
      </c>
      <c r="X248" s="44">
        <f t="shared" si="53"/>
        <v>0.43310476440129608</v>
      </c>
      <c r="Y248" s="44">
        <f t="shared" si="53"/>
        <v>0.63678555370412537</v>
      </c>
      <c r="Z248" s="44">
        <f t="shared" si="53"/>
        <v>1.2242554328213902</v>
      </c>
      <c r="AA248" s="44">
        <f t="shared" si="53"/>
        <v>1.4085149651561182</v>
      </c>
      <c r="AB248" s="44">
        <f t="shared" si="53"/>
        <v>0.76718087629098208</v>
      </c>
      <c r="AC248" s="44">
        <f t="shared" si="53"/>
        <v>0.9969772481146939</v>
      </c>
      <c r="AD248" s="44">
        <f t="shared" si="53"/>
        <v>4.4129100255037255</v>
      </c>
      <c r="AE248" s="44">
        <f t="shared" si="53"/>
        <v>5.7292884844600414</v>
      </c>
      <c r="AF248" s="44">
        <f t="shared" si="53"/>
        <v>2.1847839826329993</v>
      </c>
      <c r="AG248" s="44">
        <f t="shared" si="53"/>
        <v>5.4704441527626049</v>
      </c>
      <c r="AH248" s="44">
        <f t="shared" si="53"/>
        <v>2.2982697221417694</v>
      </c>
      <c r="AI248" s="44">
        <f t="shared" si="53"/>
        <v>4.9317834683027275</v>
      </c>
      <c r="AJ248" s="44">
        <f t="shared" si="53"/>
        <v>1.2483959014471897</v>
      </c>
      <c r="AK248" s="44">
        <f t="shared" si="53"/>
        <v>2.9915544541797812</v>
      </c>
    </row>
    <row r="249" spans="3:37" x14ac:dyDescent="0.35">
      <c r="C249" s="37" t="s">
        <v>70</v>
      </c>
      <c r="D249" s="44">
        <f t="shared" ref="D249:S252" si="54">D$247*D134</f>
        <v>14.968132786667972</v>
      </c>
      <c r="E249" s="44">
        <f t="shared" si="54"/>
        <v>2.1227723613653313</v>
      </c>
      <c r="F249" s="44">
        <f t="shared" si="54"/>
        <v>1.9099707980650122</v>
      </c>
      <c r="G249" s="44">
        <f t="shared" si="54"/>
        <v>2.0055484431688844</v>
      </c>
      <c r="H249" s="44">
        <f t="shared" si="54"/>
        <v>0.66205073356811905</v>
      </c>
      <c r="I249" s="44">
        <f t="shared" si="54"/>
        <v>1.5736534111190403</v>
      </c>
      <c r="J249" s="44">
        <f t="shared" si="54"/>
        <v>1.1643310130510696</v>
      </c>
      <c r="K249" s="44">
        <f t="shared" si="54"/>
        <v>0.94461388384267009</v>
      </c>
      <c r="L249" s="44">
        <f t="shared" si="54"/>
        <v>0.67534287200667065</v>
      </c>
      <c r="M249" s="44">
        <f t="shared" si="54"/>
        <v>0.2454865533008016</v>
      </c>
      <c r="N249" s="44">
        <f t="shared" si="54"/>
        <v>0.39993634341650169</v>
      </c>
      <c r="O249" s="44">
        <f t="shared" si="54"/>
        <v>0.56098800555201123</v>
      </c>
      <c r="P249" s="44">
        <f t="shared" si="54"/>
        <v>0.24095692959332896</v>
      </c>
      <c r="Q249" s="44">
        <f t="shared" si="54"/>
        <v>0.15900953761651168</v>
      </c>
      <c r="R249" s="44">
        <f t="shared" si="54"/>
        <v>1.1423855432544514</v>
      </c>
      <c r="S249" s="44">
        <f t="shared" si="54"/>
        <v>2.5865321902588847</v>
      </c>
      <c r="T249" s="44">
        <f t="shared" si="53"/>
        <v>5.68241316898827</v>
      </c>
      <c r="U249" s="44">
        <f t="shared" si="53"/>
        <v>1.573259514385263</v>
      </c>
      <c r="V249" s="44">
        <f t="shared" si="53"/>
        <v>1.3792343932003364</v>
      </c>
      <c r="W249" s="44">
        <f t="shared" si="53"/>
        <v>0.89976406632740136</v>
      </c>
      <c r="X249" s="44">
        <f t="shared" si="53"/>
        <v>0.10188194294436459</v>
      </c>
      <c r="Y249" s="44">
        <f t="shared" si="53"/>
        <v>0.14459387754882608</v>
      </c>
      <c r="Z249" s="44">
        <f t="shared" si="53"/>
        <v>0.34320516325675998</v>
      </c>
      <c r="AA249" s="44">
        <f t="shared" si="53"/>
        <v>0.41441099490391103</v>
      </c>
      <c r="AB249" s="44">
        <f t="shared" si="53"/>
        <v>0.21960521576231584</v>
      </c>
      <c r="AC249" s="44">
        <f t="shared" si="53"/>
        <v>0.22614901838205967</v>
      </c>
      <c r="AD249" s="44">
        <f t="shared" si="53"/>
        <v>0.94485136661773617</v>
      </c>
      <c r="AE249" s="44">
        <f t="shared" si="53"/>
        <v>1.6179670044959451</v>
      </c>
      <c r="AF249" s="44">
        <f t="shared" si="53"/>
        <v>0.66772654876243753</v>
      </c>
      <c r="AG249" s="44">
        <f t="shared" si="53"/>
        <v>1.3341445901516833</v>
      </c>
      <c r="AH249" s="44">
        <f t="shared" si="53"/>
        <v>0.61052502770344286</v>
      </c>
      <c r="AI249" s="44">
        <f t="shared" si="53"/>
        <v>1.4041376108786736</v>
      </c>
      <c r="AJ249" s="44">
        <f t="shared" si="53"/>
        <v>0.39976620211176767</v>
      </c>
      <c r="AK249" s="44">
        <f t="shared" si="53"/>
        <v>0.78623263624962891</v>
      </c>
    </row>
    <row r="250" spans="3:37" x14ac:dyDescent="0.35">
      <c r="C250" s="37" t="s">
        <v>71</v>
      </c>
      <c r="D250" s="44">
        <f t="shared" si="54"/>
        <v>50.847727754644424</v>
      </c>
      <c r="E250" s="44">
        <f t="shared" si="53"/>
        <v>8.3795601316564774</v>
      </c>
      <c r="F250" s="44">
        <f t="shared" si="53"/>
        <v>7.009003511664134</v>
      </c>
      <c r="G250" s="44">
        <f t="shared" si="53"/>
        <v>8.4077100357136452</v>
      </c>
      <c r="H250" s="44">
        <f t="shared" si="53"/>
        <v>2.0697385389285294</v>
      </c>
      <c r="I250" s="44">
        <f t="shared" si="53"/>
        <v>5.0655375083019205</v>
      </c>
      <c r="J250" s="44">
        <f t="shared" si="53"/>
        <v>3.3857255789887826</v>
      </c>
      <c r="K250" s="44">
        <f t="shared" si="53"/>
        <v>2.9694188900667697</v>
      </c>
      <c r="L250" s="44">
        <f t="shared" si="53"/>
        <v>2.068306551099619</v>
      </c>
      <c r="M250" s="44">
        <f t="shared" si="53"/>
        <v>0.84789792928737373</v>
      </c>
      <c r="N250" s="44">
        <f t="shared" si="53"/>
        <v>1.2463803892160386</v>
      </c>
      <c r="O250" s="44">
        <f t="shared" si="53"/>
        <v>2.105172062716032</v>
      </c>
      <c r="P250" s="44">
        <f t="shared" si="53"/>
        <v>0.7332993435660683</v>
      </c>
      <c r="Q250" s="44">
        <f t="shared" si="53"/>
        <v>0.62977278199735465</v>
      </c>
      <c r="R250" s="44">
        <f t="shared" si="53"/>
        <v>3.3878978466782019</v>
      </c>
      <c r="S250" s="44">
        <f t="shared" si="53"/>
        <v>10.155449203353047</v>
      </c>
      <c r="T250" s="44">
        <f t="shared" si="53"/>
        <v>17.587434632842815</v>
      </c>
      <c r="U250" s="44">
        <f t="shared" si="53"/>
        <v>6.1004565341630661</v>
      </c>
      <c r="V250" s="44">
        <f t="shared" si="53"/>
        <v>4.3371309685446588</v>
      </c>
      <c r="W250" s="44">
        <f t="shared" si="53"/>
        <v>2.8932366913862908</v>
      </c>
      <c r="X250" s="44">
        <f t="shared" si="53"/>
        <v>0.35703834432529297</v>
      </c>
      <c r="Y250" s="44">
        <f t="shared" si="53"/>
        <v>0.56416912927565155</v>
      </c>
      <c r="Z250" s="44">
        <f t="shared" si="53"/>
        <v>1.1187919382270537</v>
      </c>
      <c r="AA250" s="44">
        <f t="shared" si="53"/>
        <v>1.2619607161546593</v>
      </c>
      <c r="AB250" s="44">
        <f t="shared" si="53"/>
        <v>0.64240486470728575</v>
      </c>
      <c r="AC250" s="44">
        <f t="shared" si="53"/>
        <v>0.81836724209356715</v>
      </c>
      <c r="AD250" s="44">
        <f t="shared" si="53"/>
        <v>3.663584034603641</v>
      </c>
      <c r="AE250" s="44">
        <f t="shared" si="53"/>
        <v>5.3831634591540851</v>
      </c>
      <c r="AF250" s="44">
        <f t="shared" si="53"/>
        <v>2.1045297113697647</v>
      </c>
      <c r="AG250" s="44">
        <f t="shared" si="53"/>
        <v>4.150367053446276</v>
      </c>
      <c r="AH250" s="44">
        <f t="shared" si="53"/>
        <v>2.0815746734205502</v>
      </c>
      <c r="AI250" s="44">
        <f t="shared" si="53"/>
        <v>4.7721241119936426</v>
      </c>
      <c r="AJ250" s="44">
        <f t="shared" si="53"/>
        <v>1.3076034057941088</v>
      </c>
      <c r="AK250" s="44">
        <f t="shared" si="53"/>
        <v>2.5103153874177657</v>
      </c>
    </row>
    <row r="251" spans="3:37" x14ac:dyDescent="0.35">
      <c r="C251" s="37" t="s">
        <v>72</v>
      </c>
      <c r="D251" s="44">
        <f t="shared" si="54"/>
        <v>39.951786092934903</v>
      </c>
      <c r="E251" s="44">
        <f t="shared" si="53"/>
        <v>6.3623887004497854</v>
      </c>
      <c r="F251" s="44">
        <f t="shared" si="53"/>
        <v>5.4032512957524341</v>
      </c>
      <c r="G251" s="44">
        <f t="shared" si="53"/>
        <v>6.2508216240167149</v>
      </c>
      <c r="H251" s="44">
        <f t="shared" si="53"/>
        <v>1.6036353113910771</v>
      </c>
      <c r="I251" s="44">
        <f t="shared" si="53"/>
        <v>4.3318973656650677</v>
      </c>
      <c r="J251" s="44">
        <f t="shared" si="53"/>
        <v>2.6556672658603597</v>
      </c>
      <c r="K251" s="44">
        <f t="shared" si="53"/>
        <v>2.4462647174650445</v>
      </c>
      <c r="L251" s="44">
        <f t="shared" si="53"/>
        <v>1.5874781275515566</v>
      </c>
      <c r="M251" s="44">
        <f t="shared" si="53"/>
        <v>0.66119940917440478</v>
      </c>
      <c r="N251" s="44">
        <f t="shared" si="53"/>
        <v>1.0643264840261719</v>
      </c>
      <c r="O251" s="44">
        <f t="shared" si="53"/>
        <v>1.5738781017656405</v>
      </c>
      <c r="P251" s="44">
        <f t="shared" si="53"/>
        <v>0.52751142397881623</v>
      </c>
      <c r="Q251" s="44">
        <f t="shared" si="53"/>
        <v>0.45523519850179989</v>
      </c>
      <c r="R251" s="44">
        <f t="shared" si="53"/>
        <v>2.789659389714676</v>
      </c>
      <c r="S251" s="44">
        <f t="shared" si="53"/>
        <v>7.318479791630204</v>
      </c>
      <c r="T251" s="44">
        <f t="shared" si="53"/>
        <v>13.795031268626008</v>
      </c>
      <c r="U251" s="44">
        <f t="shared" si="53"/>
        <v>4.8878789411434687</v>
      </c>
      <c r="V251" s="44">
        <f t="shared" si="53"/>
        <v>3.2022705538317178</v>
      </c>
      <c r="W251" s="44">
        <f t="shared" si="53"/>
        <v>2.3573278747957569</v>
      </c>
      <c r="X251" s="44">
        <f t="shared" si="53"/>
        <v>0.26355152539138238</v>
      </c>
      <c r="Y251" s="44">
        <f t="shared" si="53"/>
        <v>0.44397563734924717</v>
      </c>
      <c r="Z251" s="44">
        <f t="shared" si="53"/>
        <v>0.87030447080195616</v>
      </c>
      <c r="AA251" s="44">
        <f t="shared" si="53"/>
        <v>0.9287911223360531</v>
      </c>
      <c r="AB251" s="44">
        <f t="shared" si="53"/>
        <v>0.52573545064016658</v>
      </c>
      <c r="AC251" s="44">
        <f t="shared" si="53"/>
        <v>0.69286067141818075</v>
      </c>
      <c r="AD251" s="44">
        <f t="shared" si="53"/>
        <v>3.0860130244410491</v>
      </c>
      <c r="AE251" s="44">
        <f t="shared" si="53"/>
        <v>4.0468411656413457</v>
      </c>
      <c r="AF251" s="44">
        <f t="shared" si="53"/>
        <v>1.7173443375757065</v>
      </c>
      <c r="AG251" s="44">
        <f t="shared" si="53"/>
        <v>3.2520133402460143</v>
      </c>
      <c r="AH251" s="44">
        <f t="shared" si="53"/>
        <v>1.6490865070641398</v>
      </c>
      <c r="AI251" s="44">
        <f t="shared" si="53"/>
        <v>3.3224670403335459</v>
      </c>
      <c r="AJ251" s="44">
        <f t="shared" si="53"/>
        <v>0.97736473783576172</v>
      </c>
      <c r="AK251" s="44">
        <f t="shared" si="53"/>
        <v>2.1204760686738982</v>
      </c>
    </row>
    <row r="252" spans="3:37" x14ac:dyDescent="0.35">
      <c r="C252" s="37" t="s">
        <v>73</v>
      </c>
      <c r="D252" s="44">
        <f t="shared" si="54"/>
        <v>19.277102722795998</v>
      </c>
      <c r="E252" s="44">
        <f t="shared" si="53"/>
        <v>2.9463699553180134</v>
      </c>
      <c r="F252" s="44">
        <f t="shared" si="53"/>
        <v>2.6776940169686467</v>
      </c>
      <c r="G252" s="44">
        <f t="shared" si="53"/>
        <v>3.1108455027537087</v>
      </c>
      <c r="H252" s="44">
        <f t="shared" si="53"/>
        <v>0.82479734474863309</v>
      </c>
      <c r="I252" s="44">
        <f t="shared" si="53"/>
        <v>2.0535028343723236</v>
      </c>
      <c r="J252" s="44">
        <f t="shared" si="53"/>
        <v>1.2528400981120464</v>
      </c>
      <c r="K252" s="44">
        <f t="shared" si="53"/>
        <v>1.2029087811735129</v>
      </c>
      <c r="L252" s="44">
        <f t="shared" si="53"/>
        <v>0.68694731367917372</v>
      </c>
      <c r="M252" s="44">
        <f t="shared" si="53"/>
        <v>0.3591510294112471</v>
      </c>
      <c r="N252" s="44">
        <f t="shared" si="53"/>
        <v>0.46926928058397199</v>
      </c>
      <c r="O252" s="44">
        <f t="shared" si="53"/>
        <v>0.88888645201151195</v>
      </c>
      <c r="P252" s="44">
        <f t="shared" si="53"/>
        <v>0.24614813865496385</v>
      </c>
      <c r="Q252" s="44">
        <f t="shared" si="53"/>
        <v>0.22414460797377442</v>
      </c>
      <c r="R252" s="44">
        <f t="shared" si="53"/>
        <v>1.2442456954301864</v>
      </c>
      <c r="S252" s="44">
        <f t="shared" si="53"/>
        <v>3.6165513858276337</v>
      </c>
      <c r="T252" s="44">
        <f t="shared" si="53"/>
        <v>5.6083521351026562</v>
      </c>
      <c r="U252" s="44">
        <f t="shared" si="53"/>
        <v>2.5244767358511426</v>
      </c>
      <c r="V252" s="44">
        <f t="shared" si="53"/>
        <v>1.3941199103554993</v>
      </c>
      <c r="W252" s="44">
        <f t="shared" si="53"/>
        <v>0.99038896247146768</v>
      </c>
      <c r="X252" s="44">
        <f t="shared" si="53"/>
        <v>0.13557188626666192</v>
      </c>
      <c r="Y252" s="44">
        <f t="shared" si="53"/>
        <v>0.21016985463122331</v>
      </c>
      <c r="Z252" s="44">
        <f t="shared" si="53"/>
        <v>0.4061850424722776</v>
      </c>
      <c r="AA252" s="44">
        <f t="shared" si="53"/>
        <v>0.54991786376877883</v>
      </c>
      <c r="AB252" s="44">
        <f t="shared" si="53"/>
        <v>0.29580584599532872</v>
      </c>
      <c r="AC252" s="44">
        <f t="shared" si="53"/>
        <v>0.33382048735541675</v>
      </c>
      <c r="AD252" s="44">
        <f t="shared" si="53"/>
        <v>1.1989079782183696</v>
      </c>
      <c r="AE252" s="44">
        <f t="shared" si="53"/>
        <v>2.1224572549050769</v>
      </c>
      <c r="AF252" s="44">
        <f t="shared" si="53"/>
        <v>0.88695243060303375</v>
      </c>
      <c r="AG252" s="44">
        <f t="shared" si="53"/>
        <v>1.5243839214974138</v>
      </c>
      <c r="AH252" s="44">
        <f t="shared" si="53"/>
        <v>0.77811013497897219</v>
      </c>
      <c r="AI252" s="44">
        <f t="shared" si="53"/>
        <v>1.8384038698803176</v>
      </c>
      <c r="AJ252" s="44">
        <f t="shared" si="53"/>
        <v>0.52317467669496942</v>
      </c>
      <c r="AK252" s="44">
        <f t="shared" si="53"/>
        <v>1.0064791275895375</v>
      </c>
    </row>
    <row r="253" spans="3:37" x14ac:dyDescent="0.35">
      <c r="C253" s="41" t="s">
        <v>76</v>
      </c>
      <c r="D253" s="51">
        <f>D$232*D138</f>
        <v>346.81352519668349</v>
      </c>
      <c r="E253" s="51">
        <f t="shared" ref="E253:AK253" si="55">E$232*E138</f>
        <v>53.314972884034425</v>
      </c>
      <c r="F253" s="51">
        <f t="shared" si="55"/>
        <v>45.592211700419305</v>
      </c>
      <c r="G253" s="51">
        <f t="shared" si="55"/>
        <v>54.410676271171042</v>
      </c>
      <c r="H253" s="51">
        <f t="shared" si="55"/>
        <v>14.983231675117164</v>
      </c>
      <c r="I253" s="51">
        <f t="shared" si="55"/>
        <v>35.98930055944615</v>
      </c>
      <c r="J253" s="51">
        <f t="shared" si="55"/>
        <v>22.552582097973144</v>
      </c>
      <c r="K253" s="51">
        <f t="shared" si="55"/>
        <v>20.551063069710001</v>
      </c>
      <c r="L253" s="51">
        <f t="shared" si="55"/>
        <v>14.220559230291295</v>
      </c>
      <c r="M253" s="51">
        <f t="shared" si="55"/>
        <v>5.6370912173445165</v>
      </c>
      <c r="N253" s="51">
        <f t="shared" si="55"/>
        <v>8.3968568686841589</v>
      </c>
      <c r="O253" s="51">
        <f t="shared" si="55"/>
        <v>12.664503250116477</v>
      </c>
      <c r="P253" s="51">
        <f t="shared" si="55"/>
        <v>5.0506817416116743</v>
      </c>
      <c r="Q253" s="51">
        <f t="shared" si="55"/>
        <v>4.1514049395677572</v>
      </c>
      <c r="R253" s="51">
        <f t="shared" si="55"/>
        <v>22.32448237517902</v>
      </c>
      <c r="S253" s="51">
        <f t="shared" si="55"/>
        <v>65.821877108774927</v>
      </c>
      <c r="T253" s="51">
        <f t="shared" si="55"/>
        <v>111.90636213808796</v>
      </c>
      <c r="U253" s="51">
        <f t="shared" si="55"/>
        <v>38.261593918034237</v>
      </c>
      <c r="V253" s="51">
        <f t="shared" si="55"/>
        <v>28.581203609273931</v>
      </c>
      <c r="W253" s="51">
        <f t="shared" si="55"/>
        <v>18.765056317872308</v>
      </c>
      <c r="X253" s="51">
        <f t="shared" si="55"/>
        <v>2.4010213045732884</v>
      </c>
      <c r="Y253" s="51">
        <f t="shared" si="55"/>
        <v>3.6458524326428314</v>
      </c>
      <c r="Z253" s="51">
        <f t="shared" si="55"/>
        <v>7.6942002666237697</v>
      </c>
      <c r="AA253" s="51">
        <f t="shared" si="55"/>
        <v>9.4845031785011926</v>
      </c>
      <c r="AB253" s="51">
        <f t="shared" si="55"/>
        <v>4.5415626429024298</v>
      </c>
      <c r="AC253" s="51">
        <f t="shared" si="55"/>
        <v>6.0978457096380074</v>
      </c>
      <c r="AD253" s="51">
        <f t="shared" si="55"/>
        <v>24.640435928421077</v>
      </c>
      <c r="AE253" s="51">
        <f t="shared" si="55"/>
        <v>36.854283657263807</v>
      </c>
      <c r="AF253" s="51">
        <f t="shared" si="55"/>
        <v>14.013900859644748</v>
      </c>
      <c r="AG253" s="51">
        <f t="shared" si="55"/>
        <v>26.057776188694113</v>
      </c>
      <c r="AH253" s="51">
        <f t="shared" si="55"/>
        <v>12.582213064586432</v>
      </c>
      <c r="AI253" s="51">
        <f t="shared" si="55"/>
        <v>29.469125108309548</v>
      </c>
      <c r="AJ253" s="51">
        <f t="shared" si="55"/>
        <v>8.8280634422978164</v>
      </c>
      <c r="AK253" s="51">
        <f t="shared" si="55"/>
        <v>17.872955055704363</v>
      </c>
    </row>
    <row r="254" spans="3:37" x14ac:dyDescent="0.35">
      <c r="C254" s="37" t="s">
        <v>74</v>
      </c>
      <c r="D254" s="44">
        <f>D$253*D139</f>
        <v>199.16024219215487</v>
      </c>
      <c r="E254" s="44">
        <f t="shared" ref="E254:AK254" si="56">E$253*E139</f>
        <v>29.902098445274696</v>
      </c>
      <c r="F254" s="44">
        <f t="shared" si="56"/>
        <v>26.897463848689849</v>
      </c>
      <c r="G254" s="44">
        <f t="shared" si="56"/>
        <v>31.093384994835969</v>
      </c>
      <c r="H254" s="44">
        <f t="shared" si="56"/>
        <v>8.7495693983060185</v>
      </c>
      <c r="I254" s="44">
        <f t="shared" si="56"/>
        <v>21.185369021599357</v>
      </c>
      <c r="J254" s="44">
        <f t="shared" si="56"/>
        <v>12.709675110981808</v>
      </c>
      <c r="K254" s="44">
        <f t="shared" si="56"/>
        <v>11.7625535548525</v>
      </c>
      <c r="L254" s="44">
        <f t="shared" si="56"/>
        <v>8.1193338907469208</v>
      </c>
      <c r="M254" s="44">
        <f t="shared" si="56"/>
        <v>3.2980220762956569</v>
      </c>
      <c r="N254" s="44">
        <f t="shared" si="56"/>
        <v>4.9596658623858376</v>
      </c>
      <c r="O254" s="44">
        <f t="shared" si="56"/>
        <v>7.102980691168792</v>
      </c>
      <c r="P254" s="44">
        <f t="shared" si="56"/>
        <v>2.9615047442564428</v>
      </c>
      <c r="Q254" s="44">
        <f t="shared" si="56"/>
        <v>2.4259043037008214</v>
      </c>
      <c r="R254" s="44">
        <f t="shared" si="56"/>
        <v>12.907065261068972</v>
      </c>
      <c r="S254" s="44">
        <f t="shared" si="56"/>
        <v>38.641221733021482</v>
      </c>
      <c r="T254" s="44">
        <f t="shared" si="56"/>
        <v>64.733066166614634</v>
      </c>
      <c r="U254" s="44">
        <f t="shared" si="56"/>
        <v>21.861045805815774</v>
      </c>
      <c r="V254" s="44">
        <f t="shared" si="56"/>
        <v>16.44440773325622</v>
      </c>
      <c r="W254" s="44">
        <f t="shared" si="56"/>
        <v>10.787231968806504</v>
      </c>
      <c r="X254" s="44">
        <f t="shared" si="56"/>
        <v>1.397052075432091</v>
      </c>
      <c r="Y254" s="44">
        <f t="shared" si="56"/>
        <v>2.0528242853611745</v>
      </c>
      <c r="Z254" s="44">
        <f t="shared" si="56"/>
        <v>4.3053468943398245</v>
      </c>
      <c r="AA254" s="44">
        <f t="shared" si="56"/>
        <v>5.5783809739145243</v>
      </c>
      <c r="AB254" s="44">
        <f t="shared" si="56"/>
        <v>2.5848641026829888</v>
      </c>
      <c r="AC254" s="44">
        <f t="shared" si="56"/>
        <v>3.4956353340824848</v>
      </c>
      <c r="AD254" s="44">
        <f t="shared" si="56"/>
        <v>14.15734543620845</v>
      </c>
      <c r="AE254" s="44">
        <f t="shared" si="56"/>
        <v>21.510276326985217</v>
      </c>
      <c r="AF254" s="44">
        <f t="shared" si="56"/>
        <v>7.8289697788607837</v>
      </c>
      <c r="AG254" s="44">
        <f t="shared" si="56"/>
        <v>14.651178160431298</v>
      </c>
      <c r="AH254" s="44">
        <f t="shared" si="56"/>
        <v>7.4166789231957031</v>
      </c>
      <c r="AI254" s="44">
        <f t="shared" si="56"/>
        <v>16.604597372413956</v>
      </c>
      <c r="AJ254" s="44">
        <f t="shared" si="56"/>
        <v>5.0060189298815283</v>
      </c>
      <c r="AK254" s="44">
        <f t="shared" si="56"/>
        <v>10.336956276429902</v>
      </c>
    </row>
    <row r="255" spans="3:37" x14ac:dyDescent="0.35">
      <c r="C255" s="37" t="s">
        <v>75</v>
      </c>
      <c r="D255" s="44">
        <f>D$253*D140</f>
        <v>147.65328300452862</v>
      </c>
      <c r="E255" s="44">
        <f t="shared" ref="E255:AK255" si="57">E$253*E140</f>
        <v>23.412874438759729</v>
      </c>
      <c r="F255" s="44">
        <f t="shared" si="57"/>
        <v>18.694747851729456</v>
      </c>
      <c r="G255" s="44">
        <f t="shared" si="57"/>
        <v>23.317291276335073</v>
      </c>
      <c r="H255" s="44">
        <f t="shared" si="57"/>
        <v>6.2336622768111463</v>
      </c>
      <c r="I255" s="44">
        <f t="shared" si="57"/>
        <v>14.803931537846795</v>
      </c>
      <c r="J255" s="44">
        <f t="shared" si="57"/>
        <v>9.8429069869913359</v>
      </c>
      <c r="K255" s="44">
        <f t="shared" si="57"/>
        <v>8.7885095148575001</v>
      </c>
      <c r="L255" s="44">
        <f t="shared" si="57"/>
        <v>6.1012253395443743</v>
      </c>
      <c r="M255" s="44">
        <f t="shared" si="57"/>
        <v>2.3390691410488595</v>
      </c>
      <c r="N255" s="44">
        <f t="shared" si="57"/>
        <v>3.4371910062983213</v>
      </c>
      <c r="O255" s="44">
        <f t="shared" si="57"/>
        <v>5.5615225589476847</v>
      </c>
      <c r="P255" s="44">
        <f t="shared" si="57"/>
        <v>2.0891769973552314</v>
      </c>
      <c r="Q255" s="44">
        <f t="shared" si="57"/>
        <v>1.7255006358669358</v>
      </c>
      <c r="R255" s="44">
        <f t="shared" si="57"/>
        <v>9.417417114110048</v>
      </c>
      <c r="S255" s="44">
        <f t="shared" si="57"/>
        <v>27.180655375753442</v>
      </c>
      <c r="T255" s="44">
        <f t="shared" si="57"/>
        <v>47.173295971473323</v>
      </c>
      <c r="U255" s="44">
        <f t="shared" si="57"/>
        <v>16.400548112218463</v>
      </c>
      <c r="V255" s="44">
        <f t="shared" si="57"/>
        <v>12.136795876017711</v>
      </c>
      <c r="W255" s="44">
        <f t="shared" si="57"/>
        <v>7.9778243490658038</v>
      </c>
      <c r="X255" s="44">
        <f t="shared" si="57"/>
        <v>1.0039692291411975</v>
      </c>
      <c r="Y255" s="44">
        <f t="shared" si="57"/>
        <v>1.5930281472816568</v>
      </c>
      <c r="Z255" s="44">
        <f t="shared" si="57"/>
        <v>3.3888533722839451</v>
      </c>
      <c r="AA255" s="44">
        <f t="shared" si="57"/>
        <v>3.9061222045866679</v>
      </c>
      <c r="AB255" s="44">
        <f t="shared" si="57"/>
        <v>1.956698540219441</v>
      </c>
      <c r="AC255" s="44">
        <f t="shared" si="57"/>
        <v>2.6022103755555226</v>
      </c>
      <c r="AD255" s="44">
        <f t="shared" si="57"/>
        <v>10.483090492212627</v>
      </c>
      <c r="AE255" s="44">
        <f t="shared" si="57"/>
        <v>15.344007330278592</v>
      </c>
      <c r="AF255" s="44">
        <f t="shared" si="57"/>
        <v>6.1849310807839641</v>
      </c>
      <c r="AG255" s="44">
        <f t="shared" si="57"/>
        <v>11.406598028262815</v>
      </c>
      <c r="AH255" s="44">
        <f t="shared" si="57"/>
        <v>5.1655341413907285</v>
      </c>
      <c r="AI255" s="44">
        <f t="shared" si="57"/>
        <v>12.864527735895592</v>
      </c>
      <c r="AJ255" s="44">
        <f t="shared" si="57"/>
        <v>3.8220445124162881</v>
      </c>
      <c r="AK255" s="44">
        <f t="shared" si="57"/>
        <v>7.5359987792744603</v>
      </c>
    </row>
    <row r="256" spans="3:37" x14ac:dyDescent="0.35">
      <c r="C256" s="4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4"/>
      <c r="AA256" s="55"/>
      <c r="AB256" s="55"/>
      <c r="AC256" s="55"/>
      <c r="AD256" s="55"/>
      <c r="AE256" s="55"/>
      <c r="AF256" s="55"/>
      <c r="AG256" s="56"/>
      <c r="AH256" s="55"/>
      <c r="AI256" s="55"/>
      <c r="AJ256" s="55"/>
      <c r="AK256" s="55"/>
    </row>
    <row r="257" spans="3:37" x14ac:dyDescent="0.35">
      <c r="C257" s="7" t="s">
        <v>50</v>
      </c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4"/>
      <c r="AA257" s="55"/>
      <c r="AB257" s="55"/>
      <c r="AC257" s="55"/>
      <c r="AD257" s="55"/>
      <c r="AE257" s="55"/>
      <c r="AF257" s="55"/>
      <c r="AG257" s="56"/>
      <c r="AH257" s="55"/>
      <c r="AI257" s="55"/>
      <c r="AJ257" s="55"/>
      <c r="AK257" s="55"/>
    </row>
    <row r="258" spans="3:37" x14ac:dyDescent="0.35">
      <c r="C258" s="42" t="s">
        <v>84</v>
      </c>
      <c r="D258" s="51">
        <f>D$232*D143</f>
        <v>923.81279537084811</v>
      </c>
      <c r="E258" s="51">
        <f t="shared" ref="E258:AK258" si="58">E$232*E143</f>
        <v>148.92118228389671</v>
      </c>
      <c r="F258" s="51">
        <f t="shared" si="58"/>
        <v>128.32403642816473</v>
      </c>
      <c r="G258" s="51">
        <f t="shared" si="58"/>
        <v>137.81724492878729</v>
      </c>
      <c r="H258" s="51">
        <f t="shared" si="58"/>
        <v>37.396938830076962</v>
      </c>
      <c r="I258" s="51">
        <f t="shared" si="58"/>
        <v>99.777836270710324</v>
      </c>
      <c r="J258" s="51">
        <f t="shared" si="58"/>
        <v>58.437788498908844</v>
      </c>
      <c r="K258" s="51">
        <f t="shared" si="58"/>
        <v>53.959152163459819</v>
      </c>
      <c r="L258" s="51">
        <f t="shared" si="58"/>
        <v>37.530769830214716</v>
      </c>
      <c r="M258" s="51">
        <f t="shared" si="58"/>
        <v>15.312535593658337</v>
      </c>
      <c r="N258" s="51">
        <f t="shared" si="58"/>
        <v>24.223416467280888</v>
      </c>
      <c r="O258" s="51">
        <f t="shared" si="58"/>
        <v>35.110514514490205</v>
      </c>
      <c r="P258" s="51">
        <f t="shared" si="58"/>
        <v>13.356365682933825</v>
      </c>
      <c r="Q258" s="51">
        <f t="shared" si="58"/>
        <v>10.513549426347062</v>
      </c>
      <c r="R258" s="51">
        <f t="shared" si="58"/>
        <v>57.393077421046577</v>
      </c>
      <c r="S258" s="51">
        <f t="shared" si="58"/>
        <v>176.68931775817555</v>
      </c>
      <c r="T258" s="51">
        <f t="shared" si="58"/>
        <v>301.49609930173716</v>
      </c>
      <c r="U258" s="51">
        <f t="shared" si="58"/>
        <v>108.64488629720483</v>
      </c>
      <c r="V258" s="51">
        <f t="shared" si="58"/>
        <v>79.340922165022931</v>
      </c>
      <c r="W258" s="51">
        <f t="shared" si="58"/>
        <v>52.192779590536496</v>
      </c>
      <c r="X258" s="51">
        <f t="shared" si="58"/>
        <v>6.8651028684499238</v>
      </c>
      <c r="Y258" s="51">
        <f t="shared" si="58"/>
        <v>9.4628938848834689</v>
      </c>
      <c r="Z258" s="51">
        <f t="shared" si="58"/>
        <v>19.692006992681304</v>
      </c>
      <c r="AA258" s="51">
        <f t="shared" si="58"/>
        <v>25.607712571067044</v>
      </c>
      <c r="AB258" s="51">
        <f t="shared" si="58"/>
        <v>11.814205050058815</v>
      </c>
      <c r="AC258" s="51">
        <f t="shared" si="58"/>
        <v>17.065383007309137</v>
      </c>
      <c r="AD258" s="51">
        <f t="shared" si="58"/>
        <v>70.295349322020186</v>
      </c>
      <c r="AE258" s="51">
        <f t="shared" si="58"/>
        <v>100.48139974044452</v>
      </c>
      <c r="AF258" s="51">
        <f t="shared" si="58"/>
        <v>35.636420425900482</v>
      </c>
      <c r="AG258" s="51">
        <f t="shared" si="58"/>
        <v>72.676245423083188</v>
      </c>
      <c r="AH258" s="51">
        <f t="shared" si="58"/>
        <v>34.948201260849096</v>
      </c>
      <c r="AI258" s="51">
        <f t="shared" si="58"/>
        <v>82.086057699125718</v>
      </c>
      <c r="AJ258" s="51">
        <f t="shared" si="58"/>
        <v>23.839490162502038</v>
      </c>
      <c r="AK258" s="51">
        <f t="shared" si="58"/>
        <v>46.187162274795575</v>
      </c>
    </row>
    <row r="259" spans="3:37" x14ac:dyDescent="0.35">
      <c r="C259" s="37" t="s">
        <v>77</v>
      </c>
      <c r="D259" s="44">
        <f>D$258*D144</f>
        <v>349.19989847303918</v>
      </c>
      <c r="E259" s="44">
        <f t="shared" ref="E259:AK261" si="59">E$258*E144</f>
        <v>54.519829116271616</v>
      </c>
      <c r="F259" s="44">
        <f t="shared" si="59"/>
        <v>46.453115304863346</v>
      </c>
      <c r="G259" s="44">
        <f t="shared" si="59"/>
        <v>53.266165531578942</v>
      </c>
      <c r="H259" s="44">
        <f t="shared" si="59"/>
        <v>13.717142992017539</v>
      </c>
      <c r="I259" s="44">
        <f t="shared" si="59"/>
        <v>37.815655414697964</v>
      </c>
      <c r="J259" s="44">
        <f t="shared" si="59"/>
        <v>22.3582132303757</v>
      </c>
      <c r="K259" s="44">
        <f t="shared" si="59"/>
        <v>19.94322447777898</v>
      </c>
      <c r="L259" s="44">
        <f t="shared" si="59"/>
        <v>14.828352795203969</v>
      </c>
      <c r="M259" s="44">
        <f t="shared" si="59"/>
        <v>6.0223980682093607</v>
      </c>
      <c r="N259" s="44">
        <f t="shared" si="59"/>
        <v>9.0134981789568887</v>
      </c>
      <c r="O259" s="44">
        <f t="shared" si="59"/>
        <v>13.33141150226777</v>
      </c>
      <c r="P259" s="44">
        <f t="shared" si="59"/>
        <v>5.0887559780060858</v>
      </c>
      <c r="Q259" s="44">
        <f t="shared" si="59"/>
        <v>3.8468925058336083</v>
      </c>
      <c r="R259" s="44">
        <f t="shared" si="59"/>
        <v>21.264052048493728</v>
      </c>
      <c r="S259" s="44">
        <f t="shared" si="59"/>
        <v>65.710501333227072</v>
      </c>
      <c r="T259" s="44">
        <f t="shared" si="59"/>
        <v>109.26174965865316</v>
      </c>
      <c r="U259" s="44">
        <f t="shared" si="59"/>
        <v>41.730343450603868</v>
      </c>
      <c r="V259" s="44">
        <f t="shared" si="59"/>
        <v>29.546444485982331</v>
      </c>
      <c r="W259" s="44">
        <f t="shared" si="59"/>
        <v>18.940684110226194</v>
      </c>
      <c r="X259" s="44">
        <f t="shared" si="59"/>
        <v>2.5675385284438197</v>
      </c>
      <c r="Y259" s="44">
        <f t="shared" si="59"/>
        <v>3.5485714994780886</v>
      </c>
      <c r="Z259" s="44">
        <f t="shared" si="59"/>
        <v>7.4927801361118123</v>
      </c>
      <c r="AA259" s="44">
        <f t="shared" si="59"/>
        <v>9.6412666892840981</v>
      </c>
      <c r="AB259" s="44">
        <f t="shared" si="59"/>
        <v>4.3440660835918719</v>
      </c>
      <c r="AC259" s="44">
        <f t="shared" si="59"/>
        <v>6.4933535144400896</v>
      </c>
      <c r="AD259" s="44">
        <f t="shared" si="59"/>
        <v>25.875616260011604</v>
      </c>
      <c r="AE259" s="44">
        <f t="shared" si="59"/>
        <v>37.1980686328735</v>
      </c>
      <c r="AF259" s="44">
        <f t="shared" si="59"/>
        <v>12.978732698434554</v>
      </c>
      <c r="AG259" s="44">
        <f t="shared" si="59"/>
        <v>28.350898065304307</v>
      </c>
      <c r="AH259" s="44">
        <f t="shared" si="59"/>
        <v>13.070576647790178</v>
      </c>
      <c r="AI259" s="44">
        <f t="shared" si="59"/>
        <v>31.898523117177277</v>
      </c>
      <c r="AJ259" s="44">
        <f t="shared" si="59"/>
        <v>8.9731495647789483</v>
      </c>
      <c r="AK259" s="44">
        <f t="shared" si="59"/>
        <v>18.128394289037473</v>
      </c>
    </row>
    <row r="260" spans="3:37" x14ac:dyDescent="0.35">
      <c r="C260" s="37" t="s">
        <v>78</v>
      </c>
      <c r="D260" s="44">
        <f t="shared" ref="D260:S261" si="60">D$258*D145</f>
        <v>407.24884644869144</v>
      </c>
      <c r="E260" s="44">
        <f t="shared" si="60"/>
        <v>66.007053276722729</v>
      </c>
      <c r="F260" s="44">
        <f t="shared" si="60"/>
        <v>57.301150381397314</v>
      </c>
      <c r="G260" s="44">
        <f t="shared" si="60"/>
        <v>58.535782581622676</v>
      </c>
      <c r="H260" s="44">
        <f t="shared" si="60"/>
        <v>16.231573576732043</v>
      </c>
      <c r="I260" s="44">
        <f t="shared" si="60"/>
        <v>44.703944815001357</v>
      </c>
      <c r="J260" s="44">
        <f t="shared" si="60"/>
        <v>24.861469973520993</v>
      </c>
      <c r="K260" s="44">
        <f t="shared" si="60"/>
        <v>23.171938743380505</v>
      </c>
      <c r="L260" s="44">
        <f t="shared" si="60"/>
        <v>16.713758589736511</v>
      </c>
      <c r="M260" s="44">
        <f t="shared" si="60"/>
        <v>6.6706736719650168</v>
      </c>
      <c r="N260" s="44">
        <f t="shared" si="60"/>
        <v>10.584054089994526</v>
      </c>
      <c r="O260" s="44">
        <f t="shared" si="60"/>
        <v>15.734244067384992</v>
      </c>
      <c r="P260" s="44">
        <f t="shared" si="60"/>
        <v>5.8291830394952946</v>
      </c>
      <c r="Q260" s="44">
        <f t="shared" si="60"/>
        <v>4.488600321515908</v>
      </c>
      <c r="R260" s="44">
        <f t="shared" si="60"/>
        <v>25.714097054906013</v>
      </c>
      <c r="S260" s="44">
        <f t="shared" si="60"/>
        <v>79.746041251819065</v>
      </c>
      <c r="T260" s="44">
        <f t="shared" si="59"/>
        <v>137.46256946809655</v>
      </c>
      <c r="U260" s="44">
        <f t="shared" si="59"/>
        <v>46.253911004368483</v>
      </c>
      <c r="V260" s="44">
        <f t="shared" si="59"/>
        <v>36.340904924136993</v>
      </c>
      <c r="W260" s="44">
        <f t="shared" si="59"/>
        <v>23.029271656386957</v>
      </c>
      <c r="X260" s="44">
        <f t="shared" si="59"/>
        <v>2.93713004322511</v>
      </c>
      <c r="Y260" s="44">
        <f t="shared" si="59"/>
        <v>4.2434911066017182</v>
      </c>
      <c r="Z260" s="44">
        <f t="shared" si="59"/>
        <v>8.4840022686837084</v>
      </c>
      <c r="AA260" s="44">
        <f t="shared" si="59"/>
        <v>11.570456174870865</v>
      </c>
      <c r="AB260" s="44">
        <f t="shared" si="59"/>
        <v>5.1006036790630906</v>
      </c>
      <c r="AC260" s="44">
        <f t="shared" si="59"/>
        <v>7.2602081310926669</v>
      </c>
      <c r="AD260" s="44">
        <f t="shared" si="59"/>
        <v>32.134451789738499</v>
      </c>
      <c r="AE260" s="44">
        <f t="shared" si="59"/>
        <v>44.687577127684023</v>
      </c>
      <c r="AF260" s="44">
        <f t="shared" si="59"/>
        <v>16.269266749389978</v>
      </c>
      <c r="AG260" s="44">
        <f t="shared" si="59"/>
        <v>32.655967583685332</v>
      </c>
      <c r="AH260" s="44">
        <f t="shared" si="59"/>
        <v>14.910119519732959</v>
      </c>
      <c r="AI260" s="44">
        <f t="shared" si="59"/>
        <v>37.007252966230702</v>
      </c>
      <c r="AJ260" s="44">
        <f t="shared" si="59"/>
        <v>10.511661280151868</v>
      </c>
      <c r="AK260" s="44">
        <f t="shared" si="59"/>
        <v>20.393240335700426</v>
      </c>
    </row>
    <row r="261" spans="3:37" x14ac:dyDescent="0.35">
      <c r="C261" s="37" t="s">
        <v>79</v>
      </c>
      <c r="D261" s="44">
        <f t="shared" si="60"/>
        <v>167.36405044911754</v>
      </c>
      <c r="E261" s="44">
        <f t="shared" si="59"/>
        <v>28.394299890902371</v>
      </c>
      <c r="F261" s="44">
        <f t="shared" si="59"/>
        <v>24.56977074190408</v>
      </c>
      <c r="G261" s="44">
        <f t="shared" si="59"/>
        <v>26.015296815585671</v>
      </c>
      <c r="H261" s="44">
        <f t="shared" si="59"/>
        <v>7.4482222613273823</v>
      </c>
      <c r="I261" s="44">
        <f t="shared" si="59"/>
        <v>17.258236041011006</v>
      </c>
      <c r="J261" s="44">
        <f t="shared" si="59"/>
        <v>11.218105295012148</v>
      </c>
      <c r="K261" s="44">
        <f t="shared" si="59"/>
        <v>10.84398894230034</v>
      </c>
      <c r="L261" s="44">
        <f t="shared" si="59"/>
        <v>5.9886584452742353</v>
      </c>
      <c r="M261" s="44">
        <f t="shared" si="59"/>
        <v>2.6194638534839609</v>
      </c>
      <c r="N261" s="44">
        <f t="shared" si="59"/>
        <v>4.6258641983294755</v>
      </c>
      <c r="O261" s="44">
        <f t="shared" si="59"/>
        <v>6.0448589448374426</v>
      </c>
      <c r="P261" s="44">
        <f t="shared" si="59"/>
        <v>2.4384266654324458</v>
      </c>
      <c r="Q261" s="44">
        <f t="shared" si="59"/>
        <v>2.178056598997546</v>
      </c>
      <c r="R261" s="44">
        <f t="shared" si="59"/>
        <v>10.414928317646837</v>
      </c>
      <c r="S261" s="44">
        <f t="shared" si="59"/>
        <v>31.232775173129415</v>
      </c>
      <c r="T261" s="44">
        <f t="shared" si="59"/>
        <v>54.771780174987441</v>
      </c>
      <c r="U261" s="44">
        <f t="shared" si="59"/>
        <v>20.660631842232476</v>
      </c>
      <c r="V261" s="44">
        <f t="shared" si="59"/>
        <v>13.453572754903606</v>
      </c>
      <c r="W261" s="44">
        <f t="shared" si="59"/>
        <v>10.222823823923346</v>
      </c>
      <c r="X261" s="44">
        <f t="shared" si="59"/>
        <v>1.3604342967809935</v>
      </c>
      <c r="Y261" s="44">
        <f t="shared" si="59"/>
        <v>1.6708312788036617</v>
      </c>
      <c r="Z261" s="44">
        <f t="shared" si="59"/>
        <v>3.7152245878857828</v>
      </c>
      <c r="AA261" s="44">
        <f t="shared" si="59"/>
        <v>4.3959897069120792</v>
      </c>
      <c r="AB261" s="44">
        <f t="shared" si="59"/>
        <v>2.3695352874038518</v>
      </c>
      <c r="AC261" s="44">
        <f t="shared" si="59"/>
        <v>3.3118213617763796</v>
      </c>
      <c r="AD261" s="44">
        <f t="shared" si="59"/>
        <v>12.285281272270085</v>
      </c>
      <c r="AE261" s="44">
        <f t="shared" si="59"/>
        <v>18.595753979886993</v>
      </c>
      <c r="AF261" s="44">
        <f t="shared" si="59"/>
        <v>6.3884209780759527</v>
      </c>
      <c r="AG261" s="44">
        <f t="shared" si="59"/>
        <v>11.669379774093551</v>
      </c>
      <c r="AH261" s="44">
        <f t="shared" si="59"/>
        <v>6.9675050933259621</v>
      </c>
      <c r="AI261" s="44">
        <f t="shared" si="59"/>
        <v>13.180281615717739</v>
      </c>
      <c r="AJ261" s="44">
        <f t="shared" si="59"/>
        <v>4.3546793175712208</v>
      </c>
      <c r="AK261" s="44">
        <f t="shared" si="59"/>
        <v>7.6655276500576734</v>
      </c>
    </row>
    <row r="262" spans="3:37" x14ac:dyDescent="0.35">
      <c r="C262" s="42" t="s">
        <v>83</v>
      </c>
      <c r="D262" s="51">
        <f>D$232*D147</f>
        <v>140.93760462915179</v>
      </c>
      <c r="E262" s="51">
        <f t="shared" ref="E262:AK262" si="61">E$232*E147</f>
        <v>20.089794153416278</v>
      </c>
      <c r="F262" s="51">
        <f t="shared" si="61"/>
        <v>18.712923571835244</v>
      </c>
      <c r="G262" s="51">
        <f t="shared" si="61"/>
        <v>19.430615071212692</v>
      </c>
      <c r="H262" s="51">
        <f t="shared" si="61"/>
        <v>6.509931169923024</v>
      </c>
      <c r="I262" s="51">
        <f t="shared" si="61"/>
        <v>13.563153729289668</v>
      </c>
      <c r="J262" s="51">
        <f t="shared" si="61"/>
        <v>8.9541515010911539</v>
      </c>
      <c r="K262" s="51">
        <f t="shared" si="61"/>
        <v>9.348427836540175</v>
      </c>
      <c r="L262" s="51">
        <f t="shared" si="61"/>
        <v>5.3550101697852801</v>
      </c>
      <c r="M262" s="51">
        <f t="shared" si="61"/>
        <v>2.0459944063416611</v>
      </c>
      <c r="N262" s="51">
        <f t="shared" si="61"/>
        <v>3.3460135327191085</v>
      </c>
      <c r="O262" s="51">
        <f t="shared" si="61"/>
        <v>5.7330854855097906</v>
      </c>
      <c r="P262" s="51">
        <f t="shared" si="61"/>
        <v>1.9599843170661715</v>
      </c>
      <c r="Q262" s="51">
        <f t="shared" si="61"/>
        <v>1.7395305736529372</v>
      </c>
      <c r="R262" s="51">
        <f t="shared" si="61"/>
        <v>8.9777725789534095</v>
      </c>
      <c r="S262" s="51">
        <f t="shared" si="61"/>
        <v>29.570862241824447</v>
      </c>
      <c r="T262" s="51">
        <f t="shared" si="61"/>
        <v>43.491480698262876</v>
      </c>
      <c r="U262" s="51">
        <f t="shared" si="61"/>
        <v>16.878763702795176</v>
      </c>
      <c r="V262" s="51">
        <f t="shared" si="61"/>
        <v>13.789527834977067</v>
      </c>
      <c r="W262" s="51">
        <f t="shared" si="61"/>
        <v>7.7346404094635037</v>
      </c>
      <c r="X262" s="51">
        <f t="shared" si="61"/>
        <v>0.94295405955007738</v>
      </c>
      <c r="Y262" s="51">
        <f t="shared" si="61"/>
        <v>1.655100219116532</v>
      </c>
      <c r="Z262" s="51">
        <f t="shared" si="61"/>
        <v>3.3926830553186984</v>
      </c>
      <c r="AA262" s="51">
        <f t="shared" si="61"/>
        <v>3.8422412769329561</v>
      </c>
      <c r="AB262" s="51">
        <f t="shared" si="61"/>
        <v>1.595284021941185</v>
      </c>
      <c r="AC262" s="51">
        <f t="shared" si="61"/>
        <v>2.3705369926908664</v>
      </c>
      <c r="AD262" s="51">
        <f t="shared" si="61"/>
        <v>11.659446677979819</v>
      </c>
      <c r="AE262" s="51">
        <f t="shared" si="61"/>
        <v>15.852440259555472</v>
      </c>
      <c r="AF262" s="51">
        <f t="shared" si="61"/>
        <v>5.4888595740995125</v>
      </c>
      <c r="AG262" s="51">
        <f t="shared" si="61"/>
        <v>11.82775457691681</v>
      </c>
      <c r="AH262" s="51">
        <f t="shared" si="61"/>
        <v>4.7686787391508991</v>
      </c>
      <c r="AI262" s="51">
        <f t="shared" si="61"/>
        <v>13.861192300874295</v>
      </c>
      <c r="AJ262" s="51">
        <f t="shared" si="61"/>
        <v>3.6243098374979628</v>
      </c>
      <c r="AK262" s="51">
        <f t="shared" si="61"/>
        <v>6.4517877252044284</v>
      </c>
    </row>
    <row r="263" spans="3:37" x14ac:dyDescent="0.35">
      <c r="C263" s="37" t="s">
        <v>80</v>
      </c>
      <c r="D263" s="44">
        <f>D$262*D148</f>
        <v>71.238463837918943</v>
      </c>
      <c r="E263" s="44">
        <f t="shared" ref="E263:AK265" si="62">E$262*E148</f>
        <v>10.240993737681144</v>
      </c>
      <c r="F263" s="44">
        <f t="shared" si="62"/>
        <v>9.4081283357879659</v>
      </c>
      <c r="G263" s="44">
        <f t="shared" si="62"/>
        <v>10.108991401891677</v>
      </c>
      <c r="H263" s="44">
        <f t="shared" si="62"/>
        <v>3.2364839487758665</v>
      </c>
      <c r="I263" s="44">
        <f t="shared" si="62"/>
        <v>6.9912769061392126</v>
      </c>
      <c r="J263" s="44">
        <f t="shared" si="62"/>
        <v>4.5295561128282804</v>
      </c>
      <c r="K263" s="44">
        <f t="shared" si="62"/>
        <v>4.7009598541826039</v>
      </c>
      <c r="L263" s="44">
        <f t="shared" si="62"/>
        <v>2.6955033221173403</v>
      </c>
      <c r="M263" s="44">
        <f t="shared" si="62"/>
        <v>1.032942800336299</v>
      </c>
      <c r="N263" s="44">
        <f t="shared" si="62"/>
        <v>1.6939561871076552</v>
      </c>
      <c r="O263" s="44">
        <f t="shared" si="62"/>
        <v>2.9872873076012825</v>
      </c>
      <c r="P263" s="44">
        <f t="shared" si="62"/>
        <v>0.96149188414887499</v>
      </c>
      <c r="Q263" s="44">
        <f t="shared" si="62"/>
        <v>0.86308724456092611</v>
      </c>
      <c r="R263" s="44">
        <f t="shared" si="62"/>
        <v>4.6196117165455775</v>
      </c>
      <c r="S263" s="44">
        <f t="shared" si="62"/>
        <v>14.657123414948652</v>
      </c>
      <c r="T263" s="44">
        <f t="shared" si="62"/>
        <v>22.265942339959995</v>
      </c>
      <c r="U263" s="44">
        <f t="shared" si="62"/>
        <v>8.3745844289753606</v>
      </c>
      <c r="V263" s="44">
        <f t="shared" si="62"/>
        <v>7.1438167034328677</v>
      </c>
      <c r="W263" s="44">
        <f t="shared" si="62"/>
        <v>4.0062421505197312</v>
      </c>
      <c r="X263" s="44">
        <f t="shared" si="62"/>
        <v>0.46285938108480074</v>
      </c>
      <c r="Y263" s="44">
        <f t="shared" si="62"/>
        <v>0.81639640403085911</v>
      </c>
      <c r="Z263" s="44">
        <f t="shared" si="62"/>
        <v>1.7633843679539578</v>
      </c>
      <c r="AA263" s="44">
        <f t="shared" si="62"/>
        <v>1.9217392737838643</v>
      </c>
      <c r="AB263" s="44">
        <f t="shared" si="62"/>
        <v>0.79183678672730928</v>
      </c>
      <c r="AC263" s="44">
        <f t="shared" si="62"/>
        <v>1.2152818864778634</v>
      </c>
      <c r="AD263" s="44">
        <f t="shared" si="62"/>
        <v>5.7756352704569229</v>
      </c>
      <c r="AE263" s="44">
        <f t="shared" si="62"/>
        <v>8.155462410596007</v>
      </c>
      <c r="AF263" s="44">
        <f t="shared" si="62"/>
        <v>2.8144731733197612</v>
      </c>
      <c r="AG263" s="44">
        <f t="shared" si="62"/>
        <v>6.0068553733037335</v>
      </c>
      <c r="AH263" s="44">
        <f t="shared" si="62"/>
        <v>2.4900181018973795</v>
      </c>
      <c r="AI263" s="44">
        <f t="shared" si="62"/>
        <v>7.1144095458988135</v>
      </c>
      <c r="AJ263" s="44">
        <f t="shared" si="62"/>
        <v>1.8685528366468509</v>
      </c>
      <c r="AK263" s="44">
        <f t="shared" si="62"/>
        <v>3.340484122273685</v>
      </c>
    </row>
    <row r="264" spans="3:37" x14ac:dyDescent="0.35">
      <c r="C264" s="37" t="s">
        <v>81</v>
      </c>
      <c r="D264" s="44">
        <f t="shared" ref="D264:S265" si="63">D$262*D149</f>
        <v>32.317668041673492</v>
      </c>
      <c r="E264" s="44">
        <f t="shared" si="63"/>
        <v>4.3997611795156368</v>
      </c>
      <c r="F264" s="44">
        <f t="shared" si="63"/>
        <v>3.993427552894421</v>
      </c>
      <c r="G264" s="44">
        <f t="shared" si="63"/>
        <v>4.5837751967708407</v>
      </c>
      <c r="H264" s="44">
        <f t="shared" si="63"/>
        <v>1.572830562881276</v>
      </c>
      <c r="I264" s="44">
        <f t="shared" si="63"/>
        <v>2.9419130315104112</v>
      </c>
      <c r="J264" s="44">
        <f t="shared" si="63"/>
        <v>1.9359304582052004</v>
      </c>
      <c r="K264" s="44">
        <f t="shared" si="63"/>
        <v>2.1268121256507437</v>
      </c>
      <c r="L264" s="44">
        <f t="shared" si="63"/>
        <v>1.1529593479977127</v>
      </c>
      <c r="M264" s="44">
        <f t="shared" si="63"/>
        <v>0.50046003513963655</v>
      </c>
      <c r="N264" s="44">
        <f t="shared" si="63"/>
        <v>0.72041274596310134</v>
      </c>
      <c r="O264" s="44">
        <f t="shared" si="63"/>
        <v>1.287678470030083</v>
      </c>
      <c r="P264" s="44">
        <f t="shared" si="63"/>
        <v>0.42258200999200812</v>
      </c>
      <c r="Q264" s="44">
        <f t="shared" si="63"/>
        <v>0.42828076216541766</v>
      </c>
      <c r="R264" s="44">
        <f t="shared" si="63"/>
        <v>1.9805396477664203</v>
      </c>
      <c r="S264" s="44">
        <f t="shared" si="63"/>
        <v>6.8369250386087179</v>
      </c>
      <c r="T264" s="44">
        <f t="shared" si="62"/>
        <v>9.7205543247744881</v>
      </c>
      <c r="U264" s="44">
        <f t="shared" si="62"/>
        <v>3.8298723584822318</v>
      </c>
      <c r="V264" s="44">
        <f t="shared" si="62"/>
        <v>3.1413205131030533</v>
      </c>
      <c r="W264" s="44">
        <f t="shared" si="62"/>
        <v>1.9012116730481325</v>
      </c>
      <c r="X264" s="44">
        <f t="shared" si="62"/>
        <v>0.20745441124984715</v>
      </c>
      <c r="Y264" s="44">
        <f t="shared" si="62"/>
        <v>0.40319034376219998</v>
      </c>
      <c r="Z264" s="44">
        <f t="shared" si="62"/>
        <v>0.75556677240439951</v>
      </c>
      <c r="AA264" s="44">
        <f t="shared" si="62"/>
        <v>0.82341071568246493</v>
      </c>
      <c r="AB264" s="44">
        <f t="shared" si="62"/>
        <v>0.34315323689663907</v>
      </c>
      <c r="AC264" s="44">
        <f t="shared" si="62"/>
        <v>0.55305763878369729</v>
      </c>
      <c r="AD264" s="44">
        <f t="shared" si="62"/>
        <v>2.7330301673650013</v>
      </c>
      <c r="AE264" s="44">
        <f t="shared" si="62"/>
        <v>3.8506336957521734</v>
      </c>
      <c r="AF264" s="44">
        <f t="shared" si="62"/>
        <v>1.2438018792711056</v>
      </c>
      <c r="AG264" s="44">
        <f t="shared" si="62"/>
        <v>2.6530220240934952</v>
      </c>
      <c r="AH264" s="44">
        <f t="shared" si="62"/>
        <v>1.1545199717939916</v>
      </c>
      <c r="AI264" s="44">
        <f t="shared" si="62"/>
        <v>3.2103185525568709</v>
      </c>
      <c r="AJ264" s="44">
        <f t="shared" si="62"/>
        <v>0.77960641186664525</v>
      </c>
      <c r="AK264" s="44">
        <f t="shared" si="62"/>
        <v>1.4394247551276245</v>
      </c>
    </row>
    <row r="265" spans="3:37" x14ac:dyDescent="0.35">
      <c r="C265" s="37" t="s">
        <v>82</v>
      </c>
      <c r="D265" s="44">
        <f t="shared" si="63"/>
        <v>37.381472749559364</v>
      </c>
      <c r="E265" s="44">
        <f t="shared" si="62"/>
        <v>5.449039236219499</v>
      </c>
      <c r="F265" s="44">
        <f t="shared" si="62"/>
        <v>5.3113676831528558</v>
      </c>
      <c r="G265" s="44">
        <f t="shared" si="62"/>
        <v>4.7378484725501755</v>
      </c>
      <c r="H265" s="44">
        <f t="shared" si="62"/>
        <v>1.7006166582658813</v>
      </c>
      <c r="I265" s="44">
        <f t="shared" si="62"/>
        <v>3.6299637916400451</v>
      </c>
      <c r="J265" s="44">
        <f t="shared" si="62"/>
        <v>2.4886649300576722</v>
      </c>
      <c r="K265" s="44">
        <f t="shared" si="62"/>
        <v>2.5206558567068273</v>
      </c>
      <c r="L265" s="44">
        <f t="shared" si="62"/>
        <v>1.5065474996702275</v>
      </c>
      <c r="M265" s="44">
        <f t="shared" si="62"/>
        <v>0.51259157086572538</v>
      </c>
      <c r="N265" s="44">
        <f t="shared" si="62"/>
        <v>0.93164459964835189</v>
      </c>
      <c r="O265" s="44">
        <f t="shared" si="62"/>
        <v>1.4581197078784247</v>
      </c>
      <c r="P265" s="44">
        <f t="shared" si="62"/>
        <v>0.57591042292528838</v>
      </c>
      <c r="Q265" s="44">
        <f t="shared" si="62"/>
        <v>0.4481625669265934</v>
      </c>
      <c r="R265" s="44">
        <f t="shared" si="62"/>
        <v>2.3776212146414113</v>
      </c>
      <c r="S265" s="44">
        <f t="shared" si="62"/>
        <v>8.0768137882670761</v>
      </c>
      <c r="T265" s="44">
        <f t="shared" si="62"/>
        <v>11.504984033528395</v>
      </c>
      <c r="U265" s="44">
        <f t="shared" si="62"/>
        <v>4.674306915337584</v>
      </c>
      <c r="V265" s="44">
        <f t="shared" si="62"/>
        <v>3.5043906184411462</v>
      </c>
      <c r="W265" s="44">
        <f t="shared" si="62"/>
        <v>1.82718658589564</v>
      </c>
      <c r="X265" s="44">
        <f t="shared" si="62"/>
        <v>0.27264026721542944</v>
      </c>
      <c r="Y265" s="44">
        <f t="shared" si="62"/>
        <v>0.43551347132347296</v>
      </c>
      <c r="Z265" s="44">
        <f t="shared" si="62"/>
        <v>0.87373191496034108</v>
      </c>
      <c r="AA265" s="44">
        <f t="shared" si="62"/>
        <v>1.0970912874666272</v>
      </c>
      <c r="AB265" s="44">
        <f t="shared" si="62"/>
        <v>0.46029399831723661</v>
      </c>
      <c r="AC265" s="44">
        <f t="shared" si="62"/>
        <v>0.60219746742930558</v>
      </c>
      <c r="AD265" s="44">
        <f t="shared" si="62"/>
        <v>3.1507812401578943</v>
      </c>
      <c r="AE265" s="44">
        <f t="shared" si="62"/>
        <v>3.8463441532072915</v>
      </c>
      <c r="AF265" s="44">
        <f t="shared" si="62"/>
        <v>1.4305845215086457</v>
      </c>
      <c r="AG265" s="44">
        <f t="shared" si="62"/>
        <v>3.1678771795195813</v>
      </c>
      <c r="AH265" s="44">
        <f t="shared" si="62"/>
        <v>1.1241406654595283</v>
      </c>
      <c r="AI265" s="44">
        <f t="shared" si="62"/>
        <v>3.5364642024186104</v>
      </c>
      <c r="AJ265" s="44">
        <f t="shared" si="62"/>
        <v>0.97615058898446683</v>
      </c>
      <c r="AK265" s="44">
        <f t="shared" si="62"/>
        <v>1.6718788478031192</v>
      </c>
    </row>
    <row r="266" spans="3:37" x14ac:dyDescent="0.35">
      <c r="C266" s="4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4"/>
      <c r="AA266" s="55"/>
      <c r="AB266" s="55"/>
      <c r="AC266" s="55"/>
      <c r="AD266" s="55"/>
      <c r="AE266" s="55"/>
      <c r="AF266" s="55"/>
      <c r="AG266" s="56"/>
      <c r="AH266" s="55"/>
      <c r="AI266" s="55"/>
      <c r="AJ266" s="55"/>
      <c r="AK266" s="55"/>
    </row>
    <row r="267" spans="3:37" x14ac:dyDescent="0.35">
      <c r="C267" s="4" t="s">
        <v>85</v>
      </c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4"/>
      <c r="AA267" s="55"/>
      <c r="AB267" s="55"/>
      <c r="AC267" s="55"/>
      <c r="AD267" s="55"/>
      <c r="AE267" s="55"/>
      <c r="AF267" s="55"/>
      <c r="AG267" s="56"/>
      <c r="AH267" s="55"/>
      <c r="AI267" s="55"/>
      <c r="AJ267" s="55"/>
      <c r="AK267" s="55"/>
    </row>
    <row r="268" spans="3:37" x14ac:dyDescent="0.35">
      <c r="C268" t="s">
        <v>86</v>
      </c>
      <c r="D268" s="51">
        <f t="shared" ref="D268:AK268" si="64">D$232*D153</f>
        <v>320.76134152900494</v>
      </c>
      <c r="E268" s="51">
        <f t="shared" si="64"/>
        <v>53.518164359042522</v>
      </c>
      <c r="F268" s="51">
        <f t="shared" si="64"/>
        <v>42.045948342195913</v>
      </c>
      <c r="G268" s="51">
        <f t="shared" si="64"/>
        <v>44.840007577959518</v>
      </c>
      <c r="H268" s="51">
        <f t="shared" si="64"/>
        <v>13.806733147183502</v>
      </c>
      <c r="I268" s="51">
        <f t="shared" si="64"/>
        <v>35.232609164776022</v>
      </c>
      <c r="J268" s="51">
        <f t="shared" si="64"/>
        <v>20.315634726839793</v>
      </c>
      <c r="K268" s="51">
        <f t="shared" si="64"/>
        <v>18.109447405334354</v>
      </c>
      <c r="L268" s="51">
        <f t="shared" si="64"/>
        <v>13.232620227807143</v>
      </c>
      <c r="M268" s="51">
        <f t="shared" si="64"/>
        <v>4.9568143783981293</v>
      </c>
      <c r="N268" s="51">
        <f t="shared" si="64"/>
        <v>8.3826219971617348</v>
      </c>
      <c r="O268" s="51">
        <f t="shared" si="64"/>
        <v>12.953750415054422</v>
      </c>
      <c r="P268" s="51">
        <f t="shared" si="64"/>
        <v>4.3782546506454079</v>
      </c>
      <c r="Q268" s="51">
        <f t="shared" si="64"/>
        <v>3.6680203005163263</v>
      </c>
      <c r="R268" s="51">
        <f t="shared" si="64"/>
        <v>21.049844424463437</v>
      </c>
      <c r="S268" s="51">
        <f t="shared" si="64"/>
        <v>63.065073544024834</v>
      </c>
      <c r="T268" s="51">
        <f t="shared" si="64"/>
        <v>107.06860735833038</v>
      </c>
      <c r="U268" s="51">
        <f t="shared" si="64"/>
        <v>36.170262623852601</v>
      </c>
      <c r="V268" s="51">
        <f t="shared" si="64"/>
        <v>28.549601581568066</v>
      </c>
      <c r="W268" s="51">
        <f t="shared" si="64"/>
        <v>19.048227820226405</v>
      </c>
      <c r="X268" s="51">
        <f t="shared" si="64"/>
        <v>2.3553391176514666</v>
      </c>
      <c r="Y268" s="51">
        <f t="shared" si="64"/>
        <v>3.3282267049993006</v>
      </c>
      <c r="Z268" s="51">
        <f t="shared" si="64"/>
        <v>6.6588933957272571</v>
      </c>
      <c r="AA268" s="51">
        <f t="shared" si="64"/>
        <v>8.7894848631761686</v>
      </c>
      <c r="AB268" s="51">
        <f t="shared" si="64"/>
        <v>3.82110045194251</v>
      </c>
      <c r="AC268" s="51">
        <f t="shared" si="64"/>
        <v>6.0164854813707258</v>
      </c>
      <c r="AD268" s="51">
        <f t="shared" si="64"/>
        <v>23.95989128857989</v>
      </c>
      <c r="AE268" s="51">
        <f t="shared" si="64"/>
        <v>33.405839430465356</v>
      </c>
      <c r="AF268" s="51">
        <f t="shared" si="64"/>
        <v>11.945041648813419</v>
      </c>
      <c r="AG268" s="51">
        <f t="shared" si="64"/>
        <v>24.899522927698808</v>
      </c>
      <c r="AH268" s="51">
        <f t="shared" si="64"/>
        <v>12.028454192018437</v>
      </c>
      <c r="AI268" s="51">
        <f t="shared" si="64"/>
        <v>30.171088874158023</v>
      </c>
      <c r="AJ268" s="51">
        <f t="shared" si="64"/>
        <v>7.9687578515021125</v>
      </c>
      <c r="AK268" s="51">
        <f t="shared" si="64"/>
        <v>16.115675748712384</v>
      </c>
    </row>
    <row r="269" spans="3:37" x14ac:dyDescent="0.35">
      <c r="C269" t="s">
        <v>87</v>
      </c>
      <c r="D269" s="51">
        <f t="shared" ref="D269:AK269" si="65">D$232*D154</f>
        <v>743.98905847099502</v>
      </c>
      <c r="E269" s="51">
        <f t="shared" si="65"/>
        <v>115.49281207827048</v>
      </c>
      <c r="F269" s="51">
        <f t="shared" si="65"/>
        <v>104.99101165780405</v>
      </c>
      <c r="G269" s="51">
        <f t="shared" si="65"/>
        <v>112.40785242204045</v>
      </c>
      <c r="H269" s="51">
        <f t="shared" si="65"/>
        <v>30.10013685281649</v>
      </c>
      <c r="I269" s="51">
        <f t="shared" si="65"/>
        <v>78.108380835223983</v>
      </c>
      <c r="J269" s="51">
        <f t="shared" si="65"/>
        <v>47.076305273160195</v>
      </c>
      <c r="K269" s="51">
        <f t="shared" si="65"/>
        <v>45.198132594665637</v>
      </c>
      <c r="L269" s="51">
        <f t="shared" si="65"/>
        <v>29.653159772192854</v>
      </c>
      <c r="M269" s="51">
        <f t="shared" si="65"/>
        <v>12.401715621601868</v>
      </c>
      <c r="N269" s="51">
        <f t="shared" si="65"/>
        <v>19.186808002838262</v>
      </c>
      <c r="O269" s="51">
        <f t="shared" si="65"/>
        <v>27.889849584945573</v>
      </c>
      <c r="P269" s="51">
        <f t="shared" si="65"/>
        <v>10.93809534935459</v>
      </c>
      <c r="Q269" s="51">
        <f t="shared" si="65"/>
        <v>8.5850596994836721</v>
      </c>
      <c r="R269" s="51">
        <f t="shared" si="65"/>
        <v>45.321005575536553</v>
      </c>
      <c r="S269" s="51">
        <f t="shared" si="65"/>
        <v>143.19510645597515</v>
      </c>
      <c r="T269" s="51">
        <f t="shared" si="65"/>
        <v>237.91897264166965</v>
      </c>
      <c r="U269" s="51">
        <f t="shared" si="65"/>
        <v>89.353387376147396</v>
      </c>
      <c r="V269" s="51">
        <f t="shared" si="65"/>
        <v>64.580848418431955</v>
      </c>
      <c r="W269" s="51">
        <f t="shared" si="65"/>
        <v>40.87919217977359</v>
      </c>
      <c r="X269" s="51">
        <f t="shared" si="65"/>
        <v>5.4527178103485339</v>
      </c>
      <c r="Y269" s="51">
        <f t="shared" si="65"/>
        <v>7.7897673990007004</v>
      </c>
      <c r="Z269" s="51">
        <f t="shared" si="65"/>
        <v>16.425796652272748</v>
      </c>
      <c r="AA269" s="51">
        <f t="shared" si="65"/>
        <v>20.660468984823833</v>
      </c>
      <c r="AB269" s="51">
        <f t="shared" si="65"/>
        <v>9.5883886200574917</v>
      </c>
      <c r="AC269" s="51">
        <f t="shared" si="65"/>
        <v>13.419434518629277</v>
      </c>
      <c r="AD269" s="51">
        <f t="shared" si="65"/>
        <v>57.994904711420112</v>
      </c>
      <c r="AE269" s="51">
        <f t="shared" si="65"/>
        <v>82.928000569534646</v>
      </c>
      <c r="AF269" s="51">
        <f t="shared" si="65"/>
        <v>29.180238351186581</v>
      </c>
      <c r="AG269" s="51">
        <f t="shared" si="65"/>
        <v>59.604477072301201</v>
      </c>
      <c r="AH269" s="51">
        <f t="shared" si="65"/>
        <v>27.68842580798156</v>
      </c>
      <c r="AI269" s="51">
        <f t="shared" si="65"/>
        <v>65.776161125841995</v>
      </c>
      <c r="AJ269" s="51">
        <f t="shared" si="65"/>
        <v>19.495042148497891</v>
      </c>
      <c r="AK269" s="51">
        <f t="shared" si="65"/>
        <v>36.523274251287617</v>
      </c>
    </row>
    <row r="270" spans="3:37" x14ac:dyDescent="0.35">
      <c r="C270" s="4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4"/>
      <c r="AA270" s="55"/>
      <c r="AB270" s="55"/>
      <c r="AC270" s="55"/>
      <c r="AD270" s="55"/>
      <c r="AE270" s="55"/>
      <c r="AF270" s="55"/>
      <c r="AG270" s="56"/>
      <c r="AH270" s="55"/>
      <c r="AI270" s="55"/>
      <c r="AJ270" s="55"/>
      <c r="AK270" s="55"/>
    </row>
    <row r="271" spans="3:37" x14ac:dyDescent="0.35">
      <c r="C271" s="4" t="s">
        <v>88</v>
      </c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4"/>
      <c r="AA271" s="55"/>
      <c r="AB271" s="55"/>
      <c r="AC271" s="55"/>
      <c r="AD271" s="55"/>
      <c r="AE271" s="55"/>
      <c r="AF271" s="55"/>
      <c r="AG271" s="56"/>
      <c r="AH271" s="55"/>
      <c r="AI271" s="55"/>
      <c r="AJ271" s="55"/>
      <c r="AK271" s="55"/>
    </row>
    <row r="272" spans="3:37" x14ac:dyDescent="0.35">
      <c r="C272" t="s">
        <v>89</v>
      </c>
      <c r="D272" s="51">
        <f t="shared" ref="D272:AK272" si="66">D$232*D157</f>
        <v>906.21437219953464</v>
      </c>
      <c r="E272" s="51">
        <f t="shared" si="66"/>
        <v>143.87988659870251</v>
      </c>
      <c r="F272" s="51">
        <f t="shared" si="66"/>
        <v>127.79055477422143</v>
      </c>
      <c r="G272" s="51">
        <f t="shared" si="66"/>
        <v>133.85016216176459</v>
      </c>
      <c r="H272" s="51">
        <f t="shared" si="66"/>
        <v>37.404481386635567</v>
      </c>
      <c r="I272" s="51">
        <f t="shared" si="66"/>
        <v>96.873109049129027</v>
      </c>
      <c r="J272" s="51">
        <f t="shared" si="66"/>
        <v>57.458703928184825</v>
      </c>
      <c r="K272" s="51">
        <f t="shared" si="66"/>
        <v>52.393668735567566</v>
      </c>
      <c r="L272" s="51">
        <f t="shared" si="66"/>
        <v>36.230120688481257</v>
      </c>
      <c r="M272" s="51">
        <f t="shared" si="66"/>
        <v>14.780874810623365</v>
      </c>
      <c r="N272" s="51">
        <f t="shared" si="66"/>
        <v>23.792555497166521</v>
      </c>
      <c r="O272" s="51">
        <f t="shared" si="66"/>
        <v>34.941903366172625</v>
      </c>
      <c r="P272" s="51">
        <f t="shared" si="66"/>
        <v>12.904101212314734</v>
      </c>
      <c r="Q272" s="51">
        <f t="shared" si="66"/>
        <v>10.380870445851787</v>
      </c>
      <c r="R272" s="51">
        <f t="shared" si="66"/>
        <v>55.254063420030512</v>
      </c>
      <c r="S272" s="51">
        <f t="shared" si="66"/>
        <v>176.08534367517177</v>
      </c>
      <c r="T272" s="51">
        <f t="shared" si="66"/>
        <v>287.03138599220637</v>
      </c>
      <c r="U272" s="51">
        <f t="shared" si="66"/>
        <v>107.07229906500467</v>
      </c>
      <c r="V272" s="51">
        <f t="shared" si="66"/>
        <v>81.033268710971214</v>
      </c>
      <c r="W272" s="51">
        <f t="shared" si="66"/>
        <v>50.609004870711907</v>
      </c>
      <c r="X272" s="51">
        <f t="shared" si="66"/>
        <v>6.6798316175790271</v>
      </c>
      <c r="Y272" s="51">
        <f t="shared" si="66"/>
        <v>9.6093377166244647</v>
      </c>
      <c r="Z272" s="51">
        <f t="shared" si="66"/>
        <v>19.208885643980011</v>
      </c>
      <c r="AA272" s="51">
        <f t="shared" si="66"/>
        <v>24.755777984403082</v>
      </c>
      <c r="AB272" s="51">
        <f t="shared" si="66"/>
        <v>11.367290719776292</v>
      </c>
      <c r="AC272" s="51">
        <f t="shared" si="66"/>
        <v>16.330156853420078</v>
      </c>
      <c r="AD272" s="51">
        <f t="shared" si="66"/>
        <v>68.801459708054665</v>
      </c>
      <c r="AE272" s="51">
        <f t="shared" si="66"/>
        <v>99.826647916615812</v>
      </c>
      <c r="AF272" s="51">
        <f t="shared" si="66"/>
        <v>35.914911994077265</v>
      </c>
      <c r="AG272" s="51">
        <f t="shared" si="66"/>
        <v>72.276692371391647</v>
      </c>
      <c r="AH272" s="51">
        <f t="shared" si="66"/>
        <v>32.881802902554064</v>
      </c>
      <c r="AI272" s="51">
        <f t="shared" si="66"/>
        <v>79.838184930017604</v>
      </c>
      <c r="AJ272" s="51">
        <f t="shared" si="66"/>
        <v>22.990083860702288</v>
      </c>
      <c r="AK272" s="51">
        <f t="shared" si="66"/>
        <v>44.922342284679381</v>
      </c>
    </row>
    <row r="273" spans="1:37" x14ac:dyDescent="0.35">
      <c r="C273" t="s">
        <v>90</v>
      </c>
      <c r="D273" s="51">
        <f t="shared" ref="D273:AK273" si="67">D$232*D158</f>
        <v>37.768345017452539</v>
      </c>
      <c r="E273" s="51">
        <f t="shared" si="67"/>
        <v>5.437344756191794</v>
      </c>
      <c r="F273" s="51">
        <f t="shared" si="67"/>
        <v>4.3775179256482071</v>
      </c>
      <c r="G273" s="51">
        <f t="shared" si="67"/>
        <v>6.4741378300404424</v>
      </c>
      <c r="H273" s="51">
        <f t="shared" si="67"/>
        <v>1.2457058736866178</v>
      </c>
      <c r="I273" s="51">
        <f t="shared" si="67"/>
        <v>3.3403344373538273</v>
      </c>
      <c r="J273" s="51">
        <f t="shared" si="67"/>
        <v>2.2826693365887625</v>
      </c>
      <c r="K273" s="51">
        <f t="shared" si="67"/>
        <v>2.6697786544318669</v>
      </c>
      <c r="L273" s="51">
        <f t="shared" si="67"/>
        <v>1.512647851647394</v>
      </c>
      <c r="M273" s="51">
        <f t="shared" si="67"/>
        <v>0.50984689866680244</v>
      </c>
      <c r="N273" s="51">
        <f t="shared" si="67"/>
        <v>0.96690259005903922</v>
      </c>
      <c r="O273" s="51">
        <f t="shared" si="67"/>
        <v>1.2568208015689468</v>
      </c>
      <c r="P273" s="51">
        <f t="shared" si="67"/>
        <v>0.53716810558835504</v>
      </c>
      <c r="Q273" s="51">
        <f t="shared" si="67"/>
        <v>0.35866662047068404</v>
      </c>
      <c r="R273" s="51">
        <f t="shared" si="67"/>
        <v>2.566663517549538</v>
      </c>
      <c r="S273" s="51">
        <f t="shared" si="67"/>
        <v>7.6051321459231787</v>
      </c>
      <c r="T273" s="51">
        <f t="shared" si="67"/>
        <v>14.272670256424604</v>
      </c>
      <c r="U273" s="51">
        <f t="shared" si="67"/>
        <v>4.2265756174080149</v>
      </c>
      <c r="V273" s="51">
        <f t="shared" si="67"/>
        <v>2.8564550758188489</v>
      </c>
      <c r="W273" s="51">
        <f t="shared" si="67"/>
        <v>2.3714207824399547</v>
      </c>
      <c r="X273" s="51">
        <f t="shared" si="67"/>
        <v>0.24104680494225234</v>
      </c>
      <c r="Y273" s="51">
        <f t="shared" si="67"/>
        <v>0.39659606134523312</v>
      </c>
      <c r="Z273" s="51">
        <f t="shared" si="67"/>
        <v>0.88117835631010211</v>
      </c>
      <c r="AA273" s="51">
        <f t="shared" si="67"/>
        <v>1.253730126488573</v>
      </c>
      <c r="AB273" s="51">
        <f t="shared" si="67"/>
        <v>0.43944971598545063</v>
      </c>
      <c r="AC273" s="51">
        <f t="shared" si="67"/>
        <v>0.56697587495349888</v>
      </c>
      <c r="AD273" s="51">
        <f t="shared" si="67"/>
        <v>3.3004465083205865</v>
      </c>
      <c r="AE273" s="51">
        <f t="shared" si="67"/>
        <v>3.6379392720549997</v>
      </c>
      <c r="AF273" s="51">
        <f t="shared" si="67"/>
        <v>1.1832379712349397</v>
      </c>
      <c r="AG273" s="51">
        <f t="shared" si="67"/>
        <v>3.1326940997978201</v>
      </c>
      <c r="AH273" s="51">
        <f t="shared" si="67"/>
        <v>1.6709506269049754</v>
      </c>
      <c r="AI273" s="51">
        <f t="shared" si="67"/>
        <v>3.9215126424787763</v>
      </c>
      <c r="AJ273" s="51">
        <f t="shared" si="67"/>
        <v>0.92749504243429182</v>
      </c>
      <c r="AK273" s="51">
        <f t="shared" si="67"/>
        <v>1.5881986113323927</v>
      </c>
    </row>
    <row r="274" spans="1:37" x14ac:dyDescent="0.35">
      <c r="C274" t="s">
        <v>91</v>
      </c>
      <c r="D274" s="51">
        <f t="shared" ref="D274:AK274" si="68">D$232*D159</f>
        <v>120.76768278301275</v>
      </c>
      <c r="E274" s="51">
        <f t="shared" si="68"/>
        <v>19.69374508241868</v>
      </c>
      <c r="F274" s="51">
        <f t="shared" si="68"/>
        <v>14.86888730013033</v>
      </c>
      <c r="G274" s="51">
        <f t="shared" si="68"/>
        <v>16.923560008194936</v>
      </c>
      <c r="H274" s="51">
        <f t="shared" si="68"/>
        <v>5.2566827396778066</v>
      </c>
      <c r="I274" s="51">
        <f t="shared" si="68"/>
        <v>13.127546513517132</v>
      </c>
      <c r="J274" s="51">
        <f t="shared" si="68"/>
        <v>7.650566735226402</v>
      </c>
      <c r="K274" s="51">
        <f t="shared" si="68"/>
        <v>8.244132610000559</v>
      </c>
      <c r="L274" s="51">
        <f t="shared" si="68"/>
        <v>5.1430114598713477</v>
      </c>
      <c r="M274" s="51">
        <f t="shared" si="68"/>
        <v>2.0678082907098307</v>
      </c>
      <c r="N274" s="51">
        <f t="shared" si="68"/>
        <v>2.8099719127744374</v>
      </c>
      <c r="O274" s="51">
        <f t="shared" si="68"/>
        <v>4.6448758322584256</v>
      </c>
      <c r="P274" s="51">
        <f t="shared" si="68"/>
        <v>1.8750806820969095</v>
      </c>
      <c r="Q274" s="51">
        <f t="shared" si="68"/>
        <v>1.5135429336775277</v>
      </c>
      <c r="R274" s="51">
        <f t="shared" si="68"/>
        <v>8.5501230624199422</v>
      </c>
      <c r="S274" s="51">
        <f t="shared" si="68"/>
        <v>22.569704178905049</v>
      </c>
      <c r="T274" s="51">
        <f t="shared" si="68"/>
        <v>43.683523751369023</v>
      </c>
      <c r="U274" s="51">
        <f t="shared" si="68"/>
        <v>14.224775317587318</v>
      </c>
      <c r="V274" s="51">
        <f t="shared" si="68"/>
        <v>9.2407262132099461</v>
      </c>
      <c r="W274" s="51">
        <f t="shared" si="68"/>
        <v>6.9469943468481388</v>
      </c>
      <c r="X274" s="51">
        <f t="shared" si="68"/>
        <v>0.88717850547872201</v>
      </c>
      <c r="Y274" s="51">
        <f t="shared" si="68"/>
        <v>1.1120603260303019</v>
      </c>
      <c r="Z274" s="51">
        <f t="shared" si="68"/>
        <v>2.9946260477098909</v>
      </c>
      <c r="AA274" s="51">
        <f t="shared" si="68"/>
        <v>3.4404457371083441</v>
      </c>
      <c r="AB274" s="51">
        <f t="shared" si="68"/>
        <v>1.6027486362382573</v>
      </c>
      <c r="AC274" s="51">
        <f t="shared" si="68"/>
        <v>2.5387872716264241</v>
      </c>
      <c r="AD274" s="51">
        <f t="shared" si="68"/>
        <v>9.852889783624752</v>
      </c>
      <c r="AE274" s="51">
        <f t="shared" si="68"/>
        <v>12.869252811329172</v>
      </c>
      <c r="AF274" s="51">
        <f t="shared" si="68"/>
        <v>4.0271300346877945</v>
      </c>
      <c r="AG274" s="51">
        <f t="shared" si="68"/>
        <v>9.0946135288105374</v>
      </c>
      <c r="AH274" s="51">
        <f t="shared" si="68"/>
        <v>5.1641264705409515</v>
      </c>
      <c r="AI274" s="51">
        <f t="shared" si="68"/>
        <v>12.187552427503631</v>
      </c>
      <c r="AJ274" s="51">
        <f t="shared" si="68"/>
        <v>3.5462210968634249</v>
      </c>
      <c r="AK274" s="51">
        <f t="shared" si="68"/>
        <v>6.12840910398823</v>
      </c>
    </row>
    <row r="275" spans="1:37" x14ac:dyDescent="0.35">
      <c r="C275" s="4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4"/>
      <c r="AA275" s="55"/>
      <c r="AB275" s="55"/>
      <c r="AC275" s="55"/>
      <c r="AD275" s="55"/>
      <c r="AE275" s="55"/>
      <c r="AF275" s="55"/>
      <c r="AG275" s="56"/>
      <c r="AH275" s="55"/>
      <c r="AI275" s="55"/>
      <c r="AJ275" s="55"/>
      <c r="AK275" s="55"/>
    </row>
    <row r="276" spans="1:37" x14ac:dyDescent="0.35">
      <c r="C276" s="4" t="s">
        <v>92</v>
      </c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4"/>
      <c r="AA276" s="55"/>
      <c r="AB276" s="55"/>
      <c r="AC276" s="55"/>
      <c r="AD276" s="55"/>
      <c r="AE276" s="55"/>
      <c r="AF276" s="55"/>
      <c r="AG276" s="56"/>
      <c r="AH276" s="55"/>
      <c r="AI276" s="55"/>
      <c r="AJ276" s="55"/>
      <c r="AK276" s="55"/>
    </row>
    <row r="277" spans="1:37" x14ac:dyDescent="0.35">
      <c r="A277" s="12">
        <f>B277/$B$283</f>
        <v>0.54925891466512577</v>
      </c>
      <c r="B277" s="57">
        <f>SUM(D277:AK277)</f>
        <v>1934.7158496260504</v>
      </c>
      <c r="C277" t="s">
        <v>93</v>
      </c>
      <c r="D277" s="51">
        <f>D303+D310+D317+D325+D332+D339</f>
        <v>589.84879870606335</v>
      </c>
      <c r="E277" s="51">
        <f t="shared" ref="E277:AK282" si="69">E303+E310+E317+E325+E332+E339</f>
        <v>93.979833213074059</v>
      </c>
      <c r="F277" s="51">
        <f t="shared" si="69"/>
        <v>79.805557221436544</v>
      </c>
      <c r="G277" s="51">
        <f t="shared" si="69"/>
        <v>89.367561150594511</v>
      </c>
      <c r="H277" s="51">
        <f t="shared" si="69"/>
        <v>23.673030713747757</v>
      </c>
      <c r="I277" s="51">
        <f t="shared" si="69"/>
        <v>60.712680754831609</v>
      </c>
      <c r="J277" s="51">
        <f t="shared" si="69"/>
        <v>36.760514472870419</v>
      </c>
      <c r="K277" s="51">
        <f t="shared" si="69"/>
        <v>34.765145704991781</v>
      </c>
      <c r="L277" s="51">
        <f t="shared" si="69"/>
        <v>23.693571372477322</v>
      </c>
      <c r="M277" s="51">
        <f t="shared" si="69"/>
        <v>9.4650847886887988</v>
      </c>
      <c r="N277" s="51">
        <f t="shared" si="69"/>
        <v>15.228299618365702</v>
      </c>
      <c r="O277" s="51">
        <f t="shared" si="69"/>
        <v>22.098246665512001</v>
      </c>
      <c r="P277" s="51">
        <f t="shared" si="69"/>
        <v>8.3405870258126171</v>
      </c>
      <c r="Q277" s="51">
        <f t="shared" si="69"/>
        <v>6.5993447663817646</v>
      </c>
      <c r="R277" s="51">
        <f t="shared" si="69"/>
        <v>36.653707378870024</v>
      </c>
      <c r="S277" s="51">
        <f t="shared" si="69"/>
        <v>111.10206604654165</v>
      </c>
      <c r="T277" s="51">
        <f t="shared" si="69"/>
        <v>187.97076843351147</v>
      </c>
      <c r="U277" s="51">
        <f t="shared" si="69"/>
        <v>69.873203021273355</v>
      </c>
      <c r="V277" s="51">
        <f t="shared" si="69"/>
        <v>49.844290769731728</v>
      </c>
      <c r="W277" s="51">
        <f t="shared" si="69"/>
        <v>33.200619152480691</v>
      </c>
      <c r="X277" s="51">
        <f t="shared" si="69"/>
        <v>4.3419120533799251</v>
      </c>
      <c r="Y277" s="51">
        <f t="shared" si="69"/>
        <v>6.1033960873601494</v>
      </c>
      <c r="Z277" s="51">
        <f t="shared" si="69"/>
        <v>12.665454343486351</v>
      </c>
      <c r="AA277" s="51">
        <f t="shared" si="69"/>
        <v>15.739500200098428</v>
      </c>
      <c r="AB277" s="51">
        <f t="shared" si="69"/>
        <v>7.2617217999655281</v>
      </c>
      <c r="AC277" s="51">
        <f t="shared" si="69"/>
        <v>10.867820807244</v>
      </c>
      <c r="AD277" s="51">
        <f t="shared" si="69"/>
        <v>45.253789854945268</v>
      </c>
      <c r="AE277" s="51">
        <f t="shared" si="69"/>
        <v>62.720217330259956</v>
      </c>
      <c r="AF277" s="51">
        <f t="shared" si="69"/>
        <v>21.518834541314337</v>
      </c>
      <c r="AG277" s="51">
        <f t="shared" si="69"/>
        <v>46.599468266192702</v>
      </c>
      <c r="AH277" s="51">
        <f t="shared" si="69"/>
        <v>22.675608339735987</v>
      </c>
      <c r="AI277" s="51">
        <f t="shared" si="69"/>
        <v>51.627235322446623</v>
      </c>
      <c r="AJ277" s="51">
        <f t="shared" si="69"/>
        <v>15.373276534311046</v>
      </c>
      <c r="AK277" s="51">
        <f t="shared" si="69"/>
        <v>28.984703168052622</v>
      </c>
    </row>
    <row r="278" spans="1:37" x14ac:dyDescent="0.35">
      <c r="A278" s="12">
        <f t="shared" ref="A278:A282" si="70">B278/$B$283</f>
        <v>0.12982243904175658</v>
      </c>
      <c r="B278" s="57">
        <f t="shared" ref="B278:B282" si="71">SUM(D278:AK278)</f>
        <v>457.28803619752296</v>
      </c>
      <c r="C278" t="s">
        <v>94</v>
      </c>
      <c r="D278" s="51">
        <f t="shared" ref="D278:S282" si="72">D304+D311+D318+D326+D333+D340</f>
        <v>137.88913952611782</v>
      </c>
      <c r="E278" s="51">
        <f t="shared" si="72"/>
        <v>21.23866195932062</v>
      </c>
      <c r="F278" s="51">
        <f t="shared" si="72"/>
        <v>18.158060635988967</v>
      </c>
      <c r="G278" s="51">
        <f t="shared" si="72"/>
        <v>20.887785507163336</v>
      </c>
      <c r="H278" s="51">
        <f t="shared" si="72"/>
        <v>6.0944560386278468</v>
      </c>
      <c r="I278" s="51">
        <f t="shared" si="72"/>
        <v>15.117970101762024</v>
      </c>
      <c r="J278" s="51">
        <f t="shared" si="72"/>
        <v>9.1674656932042957</v>
      </c>
      <c r="K278" s="51">
        <f t="shared" si="72"/>
        <v>8.1826910068952063</v>
      </c>
      <c r="L278" s="51">
        <f t="shared" si="72"/>
        <v>5.5884009643031449</v>
      </c>
      <c r="M278" s="51">
        <f t="shared" si="72"/>
        <v>2.4305189798160001</v>
      </c>
      <c r="N278" s="51">
        <f t="shared" si="72"/>
        <v>3.7070594075038712</v>
      </c>
      <c r="O278" s="51">
        <f t="shared" si="72"/>
        <v>5.2248568744771191</v>
      </c>
      <c r="P278" s="51">
        <f t="shared" si="72"/>
        <v>2.0830256863255512</v>
      </c>
      <c r="Q278" s="51">
        <f t="shared" si="72"/>
        <v>1.5104862148348481</v>
      </c>
      <c r="R278" s="51">
        <f t="shared" si="72"/>
        <v>8.1124497934941839</v>
      </c>
      <c r="S278" s="51">
        <f t="shared" si="72"/>
        <v>28.176512770764042</v>
      </c>
      <c r="T278" s="51">
        <f t="shared" si="69"/>
        <v>42.647150554753928</v>
      </c>
      <c r="U278" s="51">
        <f t="shared" si="69"/>
        <v>16.318629738175616</v>
      </c>
      <c r="V278" s="51">
        <f t="shared" si="69"/>
        <v>12.28589860080946</v>
      </c>
      <c r="W278" s="51">
        <f t="shared" si="69"/>
        <v>7.9515929415184052</v>
      </c>
      <c r="X278" s="51">
        <f t="shared" si="69"/>
        <v>1.0281741154442969</v>
      </c>
      <c r="Y278" s="51">
        <f t="shared" si="69"/>
        <v>1.399262607068082</v>
      </c>
      <c r="Z278" s="51">
        <f t="shared" si="69"/>
        <v>2.7895869961885738</v>
      </c>
      <c r="AA278" s="51">
        <f t="shared" si="69"/>
        <v>3.9528444030262873</v>
      </c>
      <c r="AB278" s="51">
        <f t="shared" si="69"/>
        <v>1.784429380342242</v>
      </c>
      <c r="AC278" s="51">
        <f t="shared" si="69"/>
        <v>2.5855440030749222</v>
      </c>
      <c r="AD278" s="51">
        <f t="shared" si="69"/>
        <v>10.753215954710647</v>
      </c>
      <c r="AE278" s="51">
        <f t="shared" si="69"/>
        <v>15.960179774683713</v>
      </c>
      <c r="AF278" s="51">
        <f t="shared" si="69"/>
        <v>5.6725206608081349</v>
      </c>
      <c r="AG278" s="51">
        <f t="shared" si="69"/>
        <v>11.395956106712859</v>
      </c>
      <c r="AH278" s="51">
        <f t="shared" si="69"/>
        <v>4.7573104395123167</v>
      </c>
      <c r="AI278" s="51">
        <f t="shared" si="69"/>
        <v>12.297808548997875</v>
      </c>
      <c r="AJ278" s="51">
        <f t="shared" si="69"/>
        <v>3.3868461763102808</v>
      </c>
      <c r="AK278" s="51">
        <f t="shared" si="69"/>
        <v>6.7515440347865878</v>
      </c>
    </row>
    <row r="279" spans="1:37" x14ac:dyDescent="0.35">
      <c r="A279" s="12">
        <f t="shared" si="70"/>
        <v>9.7492604155992188E-2</v>
      </c>
      <c r="B279" s="57">
        <f t="shared" si="71"/>
        <v>343.40905799756655</v>
      </c>
      <c r="C279" t="s">
        <v>95</v>
      </c>
      <c r="D279" s="51">
        <f t="shared" si="72"/>
        <v>103.05001884234576</v>
      </c>
      <c r="E279" s="51">
        <f t="shared" si="69"/>
        <v>16.879100109529773</v>
      </c>
      <c r="F279" s="51">
        <f t="shared" si="69"/>
        <v>15.261426822751771</v>
      </c>
      <c r="G279" s="51">
        <f t="shared" si="69"/>
        <v>13.864895753148707</v>
      </c>
      <c r="H279" s="51">
        <f t="shared" si="69"/>
        <v>4.1344503559793813</v>
      </c>
      <c r="I279" s="51">
        <f t="shared" si="69"/>
        <v>11.751598734519394</v>
      </c>
      <c r="J279" s="51">
        <f t="shared" si="69"/>
        <v>6.219985281985422</v>
      </c>
      <c r="K279" s="51">
        <f t="shared" si="69"/>
        <v>6.1982860024249122</v>
      </c>
      <c r="L279" s="51">
        <f t="shared" si="69"/>
        <v>4.1249988085530678</v>
      </c>
      <c r="M279" s="51">
        <f t="shared" si="69"/>
        <v>1.6739005330328707</v>
      </c>
      <c r="N279" s="51">
        <f t="shared" si="69"/>
        <v>2.6336037911634733</v>
      </c>
      <c r="O279" s="51">
        <f t="shared" si="69"/>
        <v>4.1389739430042933</v>
      </c>
      <c r="P279" s="51">
        <f t="shared" si="69"/>
        <v>1.5910757084518354</v>
      </c>
      <c r="Q279" s="51">
        <f t="shared" si="69"/>
        <v>1.2211247598564725</v>
      </c>
      <c r="R279" s="51">
        <f t="shared" si="69"/>
        <v>6.4848736581590476</v>
      </c>
      <c r="S279" s="51">
        <f t="shared" si="69"/>
        <v>19.10233770344356</v>
      </c>
      <c r="T279" s="51">
        <f t="shared" si="69"/>
        <v>35.036298491956934</v>
      </c>
      <c r="U279" s="51">
        <f t="shared" si="69"/>
        <v>12.427698455142185</v>
      </c>
      <c r="V279" s="51">
        <f t="shared" si="69"/>
        <v>9.5774731217828748</v>
      </c>
      <c r="W279" s="51">
        <f t="shared" si="69"/>
        <v>5.7865513637940937</v>
      </c>
      <c r="X279" s="51">
        <f t="shared" si="69"/>
        <v>0.70503248474312774</v>
      </c>
      <c r="Y279" s="51">
        <f t="shared" si="69"/>
        <v>1.0706413762994793</v>
      </c>
      <c r="Z279" s="51">
        <f t="shared" si="69"/>
        <v>2.4265451624509113</v>
      </c>
      <c r="AA279" s="51">
        <f t="shared" si="69"/>
        <v>2.9650045423166702</v>
      </c>
      <c r="AB279" s="51">
        <f t="shared" si="69"/>
        <v>1.2731091366528167</v>
      </c>
      <c r="AC279" s="51">
        <f t="shared" si="69"/>
        <v>1.7909553142833221</v>
      </c>
      <c r="AD279" s="51">
        <f t="shared" si="69"/>
        <v>7.4262046722851931</v>
      </c>
      <c r="AE279" s="51">
        <f t="shared" si="69"/>
        <v>11.164786103789577</v>
      </c>
      <c r="AF279" s="51">
        <f t="shared" si="69"/>
        <v>4.3481009071681571</v>
      </c>
      <c r="AG279" s="51">
        <f t="shared" si="69"/>
        <v>7.5516607567907119</v>
      </c>
      <c r="AH279" s="51">
        <f t="shared" si="69"/>
        <v>3.7984769726704459</v>
      </c>
      <c r="AI279" s="51">
        <f t="shared" si="69"/>
        <v>9.8229993962303688</v>
      </c>
      <c r="AJ279" s="51">
        <f t="shared" si="69"/>
        <v>2.898552291514005</v>
      </c>
      <c r="AK279" s="51">
        <f t="shared" si="69"/>
        <v>5.0083166393458578</v>
      </c>
    </row>
    <row r="280" spans="1:37" x14ac:dyDescent="0.35">
      <c r="A280" s="12">
        <f t="shared" si="70"/>
        <v>6.0238074548878001E-2</v>
      </c>
      <c r="B280" s="57">
        <f t="shared" si="71"/>
        <v>212.18327908564683</v>
      </c>
      <c r="C280" t="s">
        <v>96</v>
      </c>
      <c r="D280" s="51">
        <f t="shared" si="72"/>
        <v>62.697453739092474</v>
      </c>
      <c r="E280" s="51">
        <f t="shared" si="69"/>
        <v>9.538752723212184</v>
      </c>
      <c r="F280" s="51">
        <f t="shared" si="69"/>
        <v>9.1350700437540979</v>
      </c>
      <c r="G280" s="51">
        <f t="shared" si="69"/>
        <v>9.087272452395446</v>
      </c>
      <c r="H280" s="51">
        <f t="shared" si="69"/>
        <v>2.6222614928737489</v>
      </c>
      <c r="I280" s="51">
        <f t="shared" si="69"/>
        <v>6.7500110304719314</v>
      </c>
      <c r="J280" s="51">
        <f t="shared" si="69"/>
        <v>3.6400873667015725</v>
      </c>
      <c r="K280" s="51">
        <f t="shared" si="69"/>
        <v>3.9226782115446301</v>
      </c>
      <c r="L280" s="51">
        <f t="shared" si="69"/>
        <v>2.4044886260549072</v>
      </c>
      <c r="M280" s="51">
        <f t="shared" si="69"/>
        <v>0.96869547176355264</v>
      </c>
      <c r="N280" s="51">
        <f t="shared" si="69"/>
        <v>1.7168102544071073</v>
      </c>
      <c r="O280" s="51">
        <f t="shared" si="69"/>
        <v>2.7130877536073861</v>
      </c>
      <c r="P280" s="51">
        <f t="shared" si="69"/>
        <v>0.91649504539023852</v>
      </c>
      <c r="Q280" s="51">
        <f t="shared" si="69"/>
        <v>0.82747109098908056</v>
      </c>
      <c r="R280" s="51">
        <f t="shared" si="69"/>
        <v>3.8432077900727375</v>
      </c>
      <c r="S280" s="51">
        <f t="shared" si="69"/>
        <v>13.267563498629455</v>
      </c>
      <c r="T280" s="51">
        <f t="shared" si="69"/>
        <v>21.906634695484112</v>
      </c>
      <c r="U280" s="51">
        <f t="shared" si="69"/>
        <v>7.974871229729704</v>
      </c>
      <c r="V280" s="51">
        <f t="shared" si="69"/>
        <v>5.8363744253779464</v>
      </c>
      <c r="W280" s="51">
        <f t="shared" si="69"/>
        <v>3.3263204825385828</v>
      </c>
      <c r="X280" s="51">
        <f t="shared" si="69"/>
        <v>0.48062788587123451</v>
      </c>
      <c r="Y280" s="51">
        <f t="shared" si="69"/>
        <v>0.5752652950992041</v>
      </c>
      <c r="Z280" s="51">
        <f t="shared" si="69"/>
        <v>1.4009211163488726</v>
      </c>
      <c r="AA280" s="51">
        <f t="shared" si="69"/>
        <v>1.8381106616896397</v>
      </c>
      <c r="AB280" s="51">
        <f t="shared" si="69"/>
        <v>0.80327172458657325</v>
      </c>
      <c r="AC280" s="51">
        <f t="shared" si="69"/>
        <v>1.1308401607496661</v>
      </c>
      <c r="AD280" s="51">
        <f t="shared" si="69"/>
        <v>5.1448727988483789</v>
      </c>
      <c r="AE280" s="51">
        <f t="shared" si="69"/>
        <v>7.0603662448169864</v>
      </c>
      <c r="AF280" s="51">
        <f t="shared" si="69"/>
        <v>2.5008803163426672</v>
      </c>
      <c r="AG280" s="51">
        <f t="shared" si="69"/>
        <v>5.0774176522340451</v>
      </c>
      <c r="AH280" s="51">
        <f t="shared" si="69"/>
        <v>2.251794337874975</v>
      </c>
      <c r="AI280" s="51">
        <f t="shared" si="69"/>
        <v>6.2306342129775638</v>
      </c>
      <c r="AJ280" s="51">
        <f t="shared" si="69"/>
        <v>1.5889205160266089</v>
      </c>
      <c r="AK280" s="51">
        <f t="shared" si="69"/>
        <v>3.0037487380895249</v>
      </c>
    </row>
    <row r="281" spans="1:37" x14ac:dyDescent="0.35">
      <c r="A281" s="12">
        <f t="shared" si="70"/>
        <v>0.11503296890361317</v>
      </c>
      <c r="B281" s="57">
        <f t="shared" si="71"/>
        <v>405.19343833144666</v>
      </c>
      <c r="C281" t="s">
        <v>98</v>
      </c>
      <c r="D281" s="51">
        <f t="shared" si="72"/>
        <v>122.05865977918683</v>
      </c>
      <c r="E281" s="51">
        <f t="shared" si="69"/>
        <v>18.383361553291412</v>
      </c>
      <c r="F281" s="51">
        <f t="shared" si="69"/>
        <v>16.753636583323829</v>
      </c>
      <c r="G281" s="51">
        <f t="shared" si="69"/>
        <v>17.667745095470142</v>
      </c>
      <c r="H281" s="51">
        <f t="shared" si="69"/>
        <v>5.2527437535434789</v>
      </c>
      <c r="I281" s="51">
        <f t="shared" si="69"/>
        <v>13.572345783573294</v>
      </c>
      <c r="J281" s="51">
        <f t="shared" si="69"/>
        <v>8.1844005083100608</v>
      </c>
      <c r="K281" s="51">
        <f t="shared" si="69"/>
        <v>7.4249154312736518</v>
      </c>
      <c r="L281" s="51">
        <f t="shared" si="69"/>
        <v>4.9909248947105089</v>
      </c>
      <c r="M281" s="51">
        <f t="shared" si="69"/>
        <v>1.986497868004637</v>
      </c>
      <c r="N281" s="51">
        <f t="shared" si="69"/>
        <v>2.850898049473523</v>
      </c>
      <c r="O281" s="51">
        <f t="shared" si="69"/>
        <v>4.8022567096433892</v>
      </c>
      <c r="P281" s="51">
        <f t="shared" si="69"/>
        <v>1.7055607503639765</v>
      </c>
      <c r="Q281" s="51">
        <f t="shared" si="69"/>
        <v>1.5287629480197948</v>
      </c>
      <c r="R281" s="51">
        <f t="shared" si="69"/>
        <v>7.9386413458935223</v>
      </c>
      <c r="S281" s="51">
        <f t="shared" si="69"/>
        <v>24.170290131469169</v>
      </c>
      <c r="T281" s="51">
        <f t="shared" si="69"/>
        <v>39.607342932710914</v>
      </c>
      <c r="U281" s="51">
        <f t="shared" si="69"/>
        <v>13.582590151614014</v>
      </c>
      <c r="V281" s="51">
        <f t="shared" si="69"/>
        <v>11.244312512167683</v>
      </c>
      <c r="W281" s="51">
        <f t="shared" si="69"/>
        <v>7.1040235544684114</v>
      </c>
      <c r="X281" s="51">
        <f t="shared" si="69"/>
        <v>0.8883007617060471</v>
      </c>
      <c r="Y281" s="51">
        <f t="shared" si="69"/>
        <v>1.3992332457922856</v>
      </c>
      <c r="Z281" s="51">
        <f t="shared" si="69"/>
        <v>2.6644043631749494</v>
      </c>
      <c r="AA281" s="51">
        <f t="shared" si="69"/>
        <v>3.5595252489930895</v>
      </c>
      <c r="AB281" s="51">
        <f t="shared" si="69"/>
        <v>1.6058776096485368</v>
      </c>
      <c r="AC281" s="51">
        <f t="shared" si="69"/>
        <v>2.1187020315219196</v>
      </c>
      <c r="AD281" s="51">
        <f t="shared" si="69"/>
        <v>9.3099565402579589</v>
      </c>
      <c r="AE281" s="51">
        <f t="shared" si="69"/>
        <v>13.792897954842669</v>
      </c>
      <c r="AF281" s="51">
        <f t="shared" si="69"/>
        <v>4.9410258555522883</v>
      </c>
      <c r="AG281" s="51">
        <f t="shared" si="69"/>
        <v>9.4931665308399804</v>
      </c>
      <c r="AH281" s="51">
        <f t="shared" si="69"/>
        <v>4.4274782855398103</v>
      </c>
      <c r="AI281" s="51">
        <f t="shared" si="69"/>
        <v>11.146276550762968</v>
      </c>
      <c r="AJ281" s="51">
        <f t="shared" si="69"/>
        <v>2.9655642630459536</v>
      </c>
      <c r="AK281" s="51">
        <f t="shared" si="69"/>
        <v>6.0711187532558029</v>
      </c>
    </row>
    <row r="282" spans="1:37" x14ac:dyDescent="0.35">
      <c r="A282" s="12">
        <f t="shared" si="70"/>
        <v>4.8154998684634298E-2</v>
      </c>
      <c r="B282" s="57">
        <f t="shared" si="71"/>
        <v>169.62171519907969</v>
      </c>
      <c r="C282" t="s">
        <v>97</v>
      </c>
      <c r="D282" s="51">
        <f t="shared" si="72"/>
        <v>49.206329407193564</v>
      </c>
      <c r="E282" s="51">
        <f t="shared" si="69"/>
        <v>8.9912668788849412</v>
      </c>
      <c r="F282" s="51">
        <f t="shared" si="69"/>
        <v>7.9232086927447618</v>
      </c>
      <c r="G282" s="51">
        <f t="shared" si="69"/>
        <v>6.3726000412278365</v>
      </c>
      <c r="H282" s="51">
        <f t="shared" si="69"/>
        <v>2.1299276452277711</v>
      </c>
      <c r="I282" s="51">
        <f t="shared" si="69"/>
        <v>5.4363835948417352</v>
      </c>
      <c r="J282" s="51">
        <f t="shared" si="69"/>
        <v>3.4194866769282286</v>
      </c>
      <c r="K282" s="51">
        <f t="shared" si="69"/>
        <v>2.8138636428698058</v>
      </c>
      <c r="L282" s="51">
        <f t="shared" si="69"/>
        <v>2.0833953339010476</v>
      </c>
      <c r="M282" s="51">
        <f t="shared" si="69"/>
        <v>0.83383235869413852</v>
      </c>
      <c r="N282" s="51">
        <f t="shared" si="69"/>
        <v>1.4327588790863222</v>
      </c>
      <c r="O282" s="51">
        <f t="shared" si="69"/>
        <v>1.8661780537558093</v>
      </c>
      <c r="P282" s="51">
        <f t="shared" si="69"/>
        <v>0.67960578365577984</v>
      </c>
      <c r="Q282" s="51">
        <f t="shared" si="69"/>
        <v>0.56589021991803923</v>
      </c>
      <c r="R282" s="51">
        <f t="shared" si="69"/>
        <v>3.3379700335104769</v>
      </c>
      <c r="S282" s="51">
        <f t="shared" si="69"/>
        <v>10.441409849152098</v>
      </c>
      <c r="T282" s="51">
        <f t="shared" si="69"/>
        <v>17.819384891582661</v>
      </c>
      <c r="U282" s="51">
        <f t="shared" si="69"/>
        <v>5.3466574040651382</v>
      </c>
      <c r="V282" s="51">
        <f t="shared" si="69"/>
        <v>4.3421005701303033</v>
      </c>
      <c r="W282" s="51">
        <f t="shared" si="69"/>
        <v>2.5583125051998161</v>
      </c>
      <c r="X282" s="51">
        <f t="shared" si="69"/>
        <v>0.36400962685537086</v>
      </c>
      <c r="Y282" s="51">
        <f t="shared" si="69"/>
        <v>0.57019549238079992</v>
      </c>
      <c r="Z282" s="51">
        <f t="shared" si="69"/>
        <v>1.1377780663503463</v>
      </c>
      <c r="AA282" s="51">
        <f t="shared" si="69"/>
        <v>1.3949687918758871</v>
      </c>
      <c r="AB282" s="51">
        <f t="shared" si="69"/>
        <v>0.68107942080430162</v>
      </c>
      <c r="AC282" s="51">
        <f t="shared" si="69"/>
        <v>0.94205768312617355</v>
      </c>
      <c r="AD282" s="51">
        <f t="shared" si="69"/>
        <v>4.0667561789525539</v>
      </c>
      <c r="AE282" s="51">
        <f t="shared" si="69"/>
        <v>5.6353925916070891</v>
      </c>
      <c r="AF282" s="51">
        <f t="shared" si="69"/>
        <v>2.1439177188144138</v>
      </c>
      <c r="AG282" s="51">
        <f t="shared" si="69"/>
        <v>4.386330687229699</v>
      </c>
      <c r="AH282" s="51">
        <f t="shared" si="69"/>
        <v>1.8062116246664617</v>
      </c>
      <c r="AI282" s="51">
        <f t="shared" si="69"/>
        <v>4.8222959685846307</v>
      </c>
      <c r="AJ282" s="51">
        <f t="shared" si="69"/>
        <v>1.2506402187921057</v>
      </c>
      <c r="AK282" s="51">
        <f t="shared" si="69"/>
        <v>2.8195186664696061</v>
      </c>
    </row>
    <row r="283" spans="1:37" x14ac:dyDescent="0.35">
      <c r="B283" s="57">
        <f>SUM(B277:B282)</f>
        <v>3522.4113764373128</v>
      </c>
      <c r="C283" s="4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4"/>
      <c r="AA283" s="55"/>
      <c r="AB283" s="55"/>
      <c r="AC283" s="55"/>
      <c r="AD283" s="55"/>
      <c r="AE283" s="55"/>
      <c r="AF283" s="55"/>
      <c r="AG283" s="56"/>
      <c r="AH283" s="55"/>
      <c r="AI283" s="55"/>
      <c r="AJ283" s="55"/>
      <c r="AK283" s="55"/>
    </row>
    <row r="284" spans="1:37" x14ac:dyDescent="0.35">
      <c r="C284" s="4" t="s">
        <v>99</v>
      </c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4"/>
      <c r="AA284" s="55"/>
      <c r="AB284" s="55"/>
      <c r="AC284" s="55"/>
      <c r="AD284" s="55"/>
      <c r="AE284" s="55"/>
      <c r="AF284" s="55"/>
      <c r="AG284" s="56"/>
      <c r="AH284" s="55"/>
      <c r="AI284" s="55"/>
      <c r="AJ284" s="55"/>
      <c r="AK284" s="55"/>
    </row>
    <row r="285" spans="1:37" x14ac:dyDescent="0.35">
      <c r="C285" s="4" t="s">
        <v>84</v>
      </c>
      <c r="D285" s="52">
        <f>D301</f>
        <v>923.81279537084811</v>
      </c>
      <c r="E285" s="52">
        <f t="shared" ref="E285:AK285" si="73">E301</f>
        <v>148.92118228389671</v>
      </c>
      <c r="F285" s="52">
        <f t="shared" si="73"/>
        <v>128.32403642816473</v>
      </c>
      <c r="G285" s="52">
        <f t="shared" si="73"/>
        <v>137.81724492878729</v>
      </c>
      <c r="H285" s="52">
        <f t="shared" si="73"/>
        <v>37.396938830076962</v>
      </c>
      <c r="I285" s="52">
        <f t="shared" si="73"/>
        <v>99.777836270710324</v>
      </c>
      <c r="J285" s="52">
        <f t="shared" si="73"/>
        <v>58.437788498908844</v>
      </c>
      <c r="K285" s="52">
        <f t="shared" si="73"/>
        <v>53.959152163459819</v>
      </c>
      <c r="L285" s="52">
        <f t="shared" si="73"/>
        <v>37.530769830214716</v>
      </c>
      <c r="M285" s="52">
        <f t="shared" si="73"/>
        <v>15.312535593658337</v>
      </c>
      <c r="N285" s="52">
        <f t="shared" si="73"/>
        <v>24.223416467280888</v>
      </c>
      <c r="O285" s="52">
        <f t="shared" si="73"/>
        <v>35.110514514490205</v>
      </c>
      <c r="P285" s="52">
        <f t="shared" si="73"/>
        <v>13.356365682933825</v>
      </c>
      <c r="Q285" s="52">
        <f t="shared" si="73"/>
        <v>10.513549426347062</v>
      </c>
      <c r="R285" s="52">
        <f t="shared" si="73"/>
        <v>57.393077421046577</v>
      </c>
      <c r="S285" s="52">
        <f t="shared" si="73"/>
        <v>176.68931775817555</v>
      </c>
      <c r="T285" s="52">
        <f t="shared" si="73"/>
        <v>301.49609930173716</v>
      </c>
      <c r="U285" s="52">
        <f t="shared" si="73"/>
        <v>108.64488629720483</v>
      </c>
      <c r="V285" s="52">
        <f t="shared" si="73"/>
        <v>79.340922165022931</v>
      </c>
      <c r="W285" s="52">
        <f t="shared" si="73"/>
        <v>52.192779590536496</v>
      </c>
      <c r="X285" s="52">
        <f t="shared" si="73"/>
        <v>6.8651028684499238</v>
      </c>
      <c r="Y285" s="52">
        <f t="shared" si="73"/>
        <v>9.4628938848834689</v>
      </c>
      <c r="Z285" s="52">
        <f t="shared" si="73"/>
        <v>19.692006992681304</v>
      </c>
      <c r="AA285" s="52">
        <f t="shared" si="73"/>
        <v>25.607712571067044</v>
      </c>
      <c r="AB285" s="52">
        <f t="shared" si="73"/>
        <v>11.814205050058815</v>
      </c>
      <c r="AC285" s="52">
        <f t="shared" si="73"/>
        <v>17.065383007309137</v>
      </c>
      <c r="AD285" s="52">
        <f t="shared" si="73"/>
        <v>70.295349322020186</v>
      </c>
      <c r="AE285" s="52">
        <f t="shared" si="73"/>
        <v>100.48139974044452</v>
      </c>
      <c r="AF285" s="52">
        <f t="shared" si="73"/>
        <v>35.636420425900482</v>
      </c>
      <c r="AG285" s="52">
        <f t="shared" si="73"/>
        <v>72.676245423083188</v>
      </c>
      <c r="AH285" s="52">
        <f t="shared" si="73"/>
        <v>34.948201260849096</v>
      </c>
      <c r="AI285" s="52">
        <f t="shared" si="73"/>
        <v>82.086057699125718</v>
      </c>
      <c r="AJ285" s="52">
        <f t="shared" si="73"/>
        <v>23.839490162502038</v>
      </c>
      <c r="AK285" s="52">
        <f t="shared" si="73"/>
        <v>46.187162274795575</v>
      </c>
    </row>
    <row r="286" spans="1:37" x14ac:dyDescent="0.35">
      <c r="C286" s="37" t="s">
        <v>100</v>
      </c>
      <c r="D286" s="52">
        <f>D$285*D171</f>
        <v>787.91603861537692</v>
      </c>
      <c r="E286" s="52">
        <f t="shared" ref="E286:AK286" si="74">E$285*E171</f>
        <v>123.32100323600915</v>
      </c>
      <c r="F286" s="52">
        <f t="shared" si="74"/>
        <v>107.90714125141128</v>
      </c>
      <c r="G286" s="52">
        <f t="shared" si="74"/>
        <v>114.69093022778635</v>
      </c>
      <c r="H286" s="52">
        <f t="shared" si="74"/>
        <v>32.314537187223081</v>
      </c>
      <c r="I286" s="52">
        <f t="shared" si="74"/>
        <v>84.022495285948196</v>
      </c>
      <c r="J286" s="52">
        <f t="shared" si="74"/>
        <v>49.128402432392178</v>
      </c>
      <c r="K286" s="52">
        <f t="shared" si="74"/>
        <v>46.469394365306499</v>
      </c>
      <c r="L286" s="52">
        <f t="shared" si="74"/>
        <v>31.416849204829347</v>
      </c>
      <c r="M286" s="52">
        <f t="shared" si="74"/>
        <v>13.059997054131472</v>
      </c>
      <c r="N286" s="52">
        <f t="shared" si="74"/>
        <v>20.112600573108669</v>
      </c>
      <c r="O286" s="52">
        <f t="shared" si="74"/>
        <v>30.426623861385853</v>
      </c>
      <c r="P286" s="52">
        <f t="shared" si="74"/>
        <v>11.065692661318639</v>
      </c>
      <c r="Q286" s="52">
        <f t="shared" si="74"/>
        <v>8.9091374614744119</v>
      </c>
      <c r="R286" s="52">
        <f t="shared" si="74"/>
        <v>49.529983859955095</v>
      </c>
      <c r="S286" s="52">
        <f t="shared" si="74"/>
        <v>148.06490340476986</v>
      </c>
      <c r="T286" s="52">
        <f t="shared" si="74"/>
        <v>257.8683427030013</v>
      </c>
      <c r="U286" s="52">
        <f t="shared" si="74"/>
        <v>91.228653004950544</v>
      </c>
      <c r="V286" s="52">
        <f t="shared" si="74"/>
        <v>68.232858581060299</v>
      </c>
      <c r="W286" s="52">
        <f t="shared" si="74"/>
        <v>44.812500525140607</v>
      </c>
      <c r="X286" s="52">
        <f t="shared" si="74"/>
        <v>5.9362255088460198</v>
      </c>
      <c r="Y286" s="52">
        <f t="shared" si="74"/>
        <v>7.9213485779165769</v>
      </c>
      <c r="Z286" s="52">
        <f t="shared" si="74"/>
        <v>16.336405984707085</v>
      </c>
      <c r="AA286" s="52">
        <f t="shared" si="74"/>
        <v>22.178731902291265</v>
      </c>
      <c r="AB286" s="52">
        <f t="shared" si="74"/>
        <v>10.15071517336988</v>
      </c>
      <c r="AC286" s="52">
        <f t="shared" si="74"/>
        <v>14.543047455576627</v>
      </c>
      <c r="AD286" s="52">
        <f t="shared" si="74"/>
        <v>59.146210572489885</v>
      </c>
      <c r="AE286" s="52">
        <f t="shared" si="74"/>
        <v>84.755637077405908</v>
      </c>
      <c r="AF286" s="52">
        <f t="shared" si="74"/>
        <v>30.893062633258118</v>
      </c>
      <c r="AG286" s="52">
        <f t="shared" si="74"/>
        <v>62.973660274799947</v>
      </c>
      <c r="AH286" s="52">
        <f t="shared" si="74"/>
        <v>30.079769492612261</v>
      </c>
      <c r="AI286" s="52">
        <f t="shared" si="74"/>
        <v>69.313121067499111</v>
      </c>
      <c r="AJ286" s="52">
        <f t="shared" si="74"/>
        <v>19.886802192418802</v>
      </c>
      <c r="AK286" s="52">
        <f t="shared" si="74"/>
        <v>39.753095856755799</v>
      </c>
    </row>
    <row r="287" spans="1:37" x14ac:dyDescent="0.35">
      <c r="C287" s="39" t="s">
        <v>77</v>
      </c>
      <c r="D287" s="52">
        <f>D$286*D172</f>
        <v>295.64637832243693</v>
      </c>
      <c r="E287" s="52">
        <f t="shared" ref="E287:AK289" si="75">E$286*E172</f>
        <v>49.405568128118816</v>
      </c>
      <c r="F287" s="52">
        <f t="shared" si="75"/>
        <v>38.180324060071079</v>
      </c>
      <c r="G287" s="52">
        <f t="shared" si="75"/>
        <v>40.282406793251383</v>
      </c>
      <c r="H287" s="52">
        <f t="shared" si="75"/>
        <v>11.908738716354442</v>
      </c>
      <c r="I287" s="52">
        <f t="shared" si="75"/>
        <v>32.57768412674524</v>
      </c>
      <c r="J287" s="52">
        <f t="shared" si="75"/>
        <v>19.05817184834611</v>
      </c>
      <c r="K287" s="52">
        <f t="shared" si="75"/>
        <v>17.292457746380489</v>
      </c>
      <c r="L287" s="52">
        <f t="shared" si="75"/>
        <v>11.756993629191363</v>
      </c>
      <c r="M287" s="52">
        <f t="shared" si="75"/>
        <v>4.9709710377414984</v>
      </c>
      <c r="N287" s="52">
        <f t="shared" si="75"/>
        <v>7.8524769537872183</v>
      </c>
      <c r="O287" s="52">
        <f t="shared" si="75"/>
        <v>11.745459979247125</v>
      </c>
      <c r="P287" s="52">
        <f t="shared" si="75"/>
        <v>3.8467195954406725</v>
      </c>
      <c r="Q287" s="52">
        <f t="shared" si="75"/>
        <v>3.2912646957933442</v>
      </c>
      <c r="R287" s="52">
        <f t="shared" si="75"/>
        <v>18.089624987017139</v>
      </c>
      <c r="S287" s="52">
        <f t="shared" si="75"/>
        <v>51.782107850209115</v>
      </c>
      <c r="T287" s="52">
        <f t="shared" si="75"/>
        <v>100.24006223346926</v>
      </c>
      <c r="U287" s="52">
        <f t="shared" si="75"/>
        <v>34.058004354659488</v>
      </c>
      <c r="V287" s="52">
        <f t="shared" si="75"/>
        <v>26.44198898580585</v>
      </c>
      <c r="W287" s="52">
        <f t="shared" si="75"/>
        <v>16.286016146121785</v>
      </c>
      <c r="X287" s="52">
        <f t="shared" si="75"/>
        <v>2.2090223078384796</v>
      </c>
      <c r="Y287" s="52">
        <f t="shared" si="75"/>
        <v>3.1687433234127655</v>
      </c>
      <c r="Z287" s="52">
        <f t="shared" si="75"/>
        <v>6.4843400276841923</v>
      </c>
      <c r="AA287" s="52">
        <f t="shared" si="75"/>
        <v>8.8587563931891982</v>
      </c>
      <c r="AB287" s="52">
        <f t="shared" si="75"/>
        <v>3.6585790237055575</v>
      </c>
      <c r="AC287" s="52">
        <f t="shared" si="75"/>
        <v>5.5310952794006694</v>
      </c>
      <c r="AD287" s="52">
        <f t="shared" si="75"/>
        <v>22.051229700496226</v>
      </c>
      <c r="AE287" s="52">
        <f t="shared" si="75"/>
        <v>31.768594351762264</v>
      </c>
      <c r="AF287" s="52">
        <f t="shared" si="75"/>
        <v>12.200465608567475</v>
      </c>
      <c r="AG287" s="52">
        <f t="shared" si="75"/>
        <v>24.8825140906226</v>
      </c>
      <c r="AH287" s="52">
        <f t="shared" si="75"/>
        <v>11.861227351800771</v>
      </c>
      <c r="AI287" s="52">
        <f t="shared" si="75"/>
        <v>26.763580135317362</v>
      </c>
      <c r="AJ287" s="52">
        <f t="shared" si="75"/>
        <v>8.0208592022908807</v>
      </c>
      <c r="AK287" s="52">
        <f t="shared" si="75"/>
        <v>15.270187346875607</v>
      </c>
    </row>
    <row r="288" spans="1:37" x14ac:dyDescent="0.35">
      <c r="C288" s="39" t="s">
        <v>78</v>
      </c>
      <c r="D288" s="52">
        <f t="shared" ref="D288:S289" si="76">D$286*D173</f>
        <v>345.24015798452109</v>
      </c>
      <c r="E288" s="52">
        <f t="shared" si="76"/>
        <v>52.444564549972725</v>
      </c>
      <c r="F288" s="52">
        <f t="shared" si="76"/>
        <v>48.749070517347015</v>
      </c>
      <c r="G288" s="52">
        <f t="shared" si="76"/>
        <v>51.790835958409964</v>
      </c>
      <c r="H288" s="52">
        <f t="shared" si="76"/>
        <v>14.398346802806151</v>
      </c>
      <c r="I288" s="52">
        <f t="shared" si="76"/>
        <v>35.925390320941496</v>
      </c>
      <c r="J288" s="52">
        <f t="shared" si="76"/>
        <v>21.261235579229517</v>
      </c>
      <c r="K288" s="52">
        <f t="shared" si="76"/>
        <v>20.375375623363624</v>
      </c>
      <c r="L288" s="52">
        <f t="shared" si="76"/>
        <v>13.869556040489263</v>
      </c>
      <c r="M288" s="52">
        <f t="shared" si="76"/>
        <v>5.7930061081638167</v>
      </c>
      <c r="N288" s="52">
        <f t="shared" si="76"/>
        <v>8.5452147561216556</v>
      </c>
      <c r="O288" s="52">
        <f t="shared" si="76"/>
        <v>13.371549283066635</v>
      </c>
      <c r="P288" s="52">
        <f t="shared" si="76"/>
        <v>4.9858549204185847</v>
      </c>
      <c r="Q288" s="52">
        <f t="shared" si="76"/>
        <v>3.8395595214554659</v>
      </c>
      <c r="R288" s="52">
        <f t="shared" si="76"/>
        <v>22.296849176673497</v>
      </c>
      <c r="S288" s="52">
        <f t="shared" si="76"/>
        <v>66.387670441718356</v>
      </c>
      <c r="T288" s="52">
        <f t="shared" si="75"/>
        <v>109.25074933211465</v>
      </c>
      <c r="U288" s="52">
        <f t="shared" si="75"/>
        <v>38.824060609254786</v>
      </c>
      <c r="V288" s="52">
        <f t="shared" si="75"/>
        <v>29.085532932237037</v>
      </c>
      <c r="W288" s="52">
        <f t="shared" si="75"/>
        <v>19.886385763543725</v>
      </c>
      <c r="X288" s="52">
        <f t="shared" si="75"/>
        <v>2.5221165025113588</v>
      </c>
      <c r="Y288" s="52">
        <f t="shared" si="75"/>
        <v>3.3972185838336464</v>
      </c>
      <c r="Z288" s="52">
        <f t="shared" si="75"/>
        <v>6.9587978612199981</v>
      </c>
      <c r="AA288" s="52">
        <f t="shared" si="75"/>
        <v>9.3875633474479336</v>
      </c>
      <c r="AB288" s="52">
        <f t="shared" si="75"/>
        <v>4.5989714775660646</v>
      </c>
      <c r="AC288" s="52">
        <f t="shared" si="75"/>
        <v>6.3388594032598045</v>
      </c>
      <c r="AD288" s="52">
        <f t="shared" si="75"/>
        <v>25.655775743375951</v>
      </c>
      <c r="AE288" s="52">
        <f t="shared" si="75"/>
        <v>35.857458447608828</v>
      </c>
      <c r="AF288" s="52">
        <f t="shared" si="75"/>
        <v>13.400444073649332</v>
      </c>
      <c r="AG288" s="52">
        <f t="shared" si="75"/>
        <v>26.591806588422685</v>
      </c>
      <c r="AH288" s="52">
        <f t="shared" si="75"/>
        <v>13.01457520686057</v>
      </c>
      <c r="AI288" s="52">
        <f t="shared" si="75"/>
        <v>29.400457479700723</v>
      </c>
      <c r="AJ288" s="52">
        <f t="shared" si="75"/>
        <v>8.4612121696368998</v>
      </c>
      <c r="AK288" s="52">
        <f t="shared" si="75"/>
        <v>17.458316015426622</v>
      </c>
    </row>
    <row r="289" spans="3:37" x14ac:dyDescent="0.35">
      <c r="C289" s="39" t="s">
        <v>79</v>
      </c>
      <c r="D289" s="52">
        <f t="shared" si="76"/>
        <v>147.02950230841893</v>
      </c>
      <c r="E289" s="52">
        <f t="shared" si="75"/>
        <v>21.470870557917603</v>
      </c>
      <c r="F289" s="52">
        <f t="shared" si="75"/>
        <v>20.977746673993192</v>
      </c>
      <c r="G289" s="52">
        <f t="shared" si="75"/>
        <v>22.617687476125013</v>
      </c>
      <c r="H289" s="52">
        <f t="shared" si="75"/>
        <v>6.0074516680624868</v>
      </c>
      <c r="I289" s="52">
        <f t="shared" si="75"/>
        <v>15.519420838261457</v>
      </c>
      <c r="J289" s="52">
        <f t="shared" si="75"/>
        <v>8.8089950048165555</v>
      </c>
      <c r="K289" s="52">
        <f t="shared" si="75"/>
        <v>8.8015609955623901</v>
      </c>
      <c r="L289" s="52">
        <f t="shared" si="75"/>
        <v>5.7902995351487236</v>
      </c>
      <c r="M289" s="52">
        <f t="shared" si="75"/>
        <v>2.2960199082261563</v>
      </c>
      <c r="N289" s="52">
        <f t="shared" si="75"/>
        <v>3.7149088631997955</v>
      </c>
      <c r="O289" s="52">
        <f t="shared" si="75"/>
        <v>5.3096145990720931</v>
      </c>
      <c r="P289" s="52">
        <f t="shared" si="75"/>
        <v>2.2331181454593816</v>
      </c>
      <c r="Q289" s="52">
        <f t="shared" si="75"/>
        <v>1.7783132442256022</v>
      </c>
      <c r="R289" s="52">
        <f t="shared" si="75"/>
        <v>9.1435096962644593</v>
      </c>
      <c r="S289" s="52">
        <f t="shared" si="75"/>
        <v>29.895125112842397</v>
      </c>
      <c r="T289" s="52">
        <f t="shared" si="75"/>
        <v>48.377531137417385</v>
      </c>
      <c r="U289" s="52">
        <f t="shared" si="75"/>
        <v>18.346588041036274</v>
      </c>
      <c r="V289" s="52">
        <f t="shared" si="75"/>
        <v>12.705336663017411</v>
      </c>
      <c r="W289" s="52">
        <f t="shared" si="75"/>
        <v>8.6400986154750949</v>
      </c>
      <c r="X289" s="52">
        <f t="shared" si="75"/>
        <v>1.2050866984961814</v>
      </c>
      <c r="Y289" s="52">
        <f t="shared" si="75"/>
        <v>1.3553866706701652</v>
      </c>
      <c r="Z289" s="52">
        <f t="shared" si="75"/>
        <v>2.893268095802894</v>
      </c>
      <c r="AA289" s="52">
        <f t="shared" si="75"/>
        <v>3.9324121616541334</v>
      </c>
      <c r="AB289" s="52">
        <f t="shared" si="75"/>
        <v>1.8931646720982582</v>
      </c>
      <c r="AC289" s="52">
        <f t="shared" si="75"/>
        <v>2.6730927729161529</v>
      </c>
      <c r="AD289" s="52">
        <f t="shared" si="75"/>
        <v>11.439205128617706</v>
      </c>
      <c r="AE289" s="52">
        <f t="shared" si="75"/>
        <v>17.129584278034809</v>
      </c>
      <c r="AF289" s="52">
        <f t="shared" si="75"/>
        <v>5.2921529510413094</v>
      </c>
      <c r="AG289" s="52">
        <f t="shared" si="75"/>
        <v>11.499339595754664</v>
      </c>
      <c r="AH289" s="52">
        <f t="shared" si="75"/>
        <v>5.2039669339509214</v>
      </c>
      <c r="AI289" s="52">
        <f t="shared" si="75"/>
        <v>13.149083452481026</v>
      </c>
      <c r="AJ289" s="52">
        <f t="shared" si="75"/>
        <v>3.4047308204910203</v>
      </c>
      <c r="AK289" s="52">
        <f t="shared" si="75"/>
        <v>7.0245924944535725</v>
      </c>
    </row>
    <row r="290" spans="3:37" x14ac:dyDescent="0.35">
      <c r="C290" s="37" t="s">
        <v>101</v>
      </c>
      <c r="D290" s="52">
        <f t="shared" ref="D290:AK290" si="77">D$285*D175</f>
        <v>31.21648305371399</v>
      </c>
      <c r="E290" s="52">
        <f t="shared" si="77"/>
        <v>6.1639845472210739</v>
      </c>
      <c r="F290" s="52">
        <f t="shared" si="77"/>
        <v>4.1308686227088893</v>
      </c>
      <c r="G290" s="52">
        <f t="shared" si="77"/>
        <v>5.8835447974176258</v>
      </c>
      <c r="H290" s="52">
        <f t="shared" si="77"/>
        <v>1.2861150825825904</v>
      </c>
      <c r="I290" s="52">
        <f t="shared" si="77"/>
        <v>3.660940477732824</v>
      </c>
      <c r="J290" s="52">
        <f t="shared" si="77"/>
        <v>2.4187937522169274</v>
      </c>
      <c r="K290" s="52">
        <f t="shared" si="77"/>
        <v>2.0607495928885102</v>
      </c>
      <c r="L290" s="52">
        <f t="shared" si="77"/>
        <v>1.3807915012191256</v>
      </c>
      <c r="M290" s="52">
        <f t="shared" si="77"/>
        <v>0.50058085603923241</v>
      </c>
      <c r="N290" s="52">
        <f t="shared" si="77"/>
        <v>1.0365422444600036</v>
      </c>
      <c r="O290" s="52">
        <f t="shared" si="77"/>
        <v>1.0178860714747839</v>
      </c>
      <c r="P290" s="52">
        <f t="shared" si="77"/>
        <v>0.56351733853060659</v>
      </c>
      <c r="Q290" s="52">
        <f t="shared" si="77"/>
        <v>0.4467303738245374</v>
      </c>
      <c r="R290" s="52">
        <f t="shared" si="77"/>
        <v>1.7270104260801329</v>
      </c>
      <c r="S290" s="52">
        <f t="shared" si="77"/>
        <v>7.3310021166023844</v>
      </c>
      <c r="T290" s="52">
        <f t="shared" si="77"/>
        <v>10.609924716061071</v>
      </c>
      <c r="U290" s="52">
        <f t="shared" si="77"/>
        <v>4.5295051207664567</v>
      </c>
      <c r="V290" s="52">
        <f t="shared" si="77"/>
        <v>2.5461230820351259</v>
      </c>
      <c r="W290" s="52">
        <f t="shared" si="77"/>
        <v>1.7532034154622185</v>
      </c>
      <c r="X290" s="52">
        <f t="shared" si="77"/>
        <v>0.19971214934869472</v>
      </c>
      <c r="Y290" s="52">
        <f t="shared" si="77"/>
        <v>0.3443634019425883</v>
      </c>
      <c r="Z290" s="52">
        <f t="shared" si="77"/>
        <v>0.84460827077785805</v>
      </c>
      <c r="AA290" s="52">
        <f t="shared" si="77"/>
        <v>0.91140201596915127</v>
      </c>
      <c r="AB290" s="52">
        <f t="shared" si="77"/>
        <v>0.49372648264110641</v>
      </c>
      <c r="AC290" s="52">
        <f t="shared" si="77"/>
        <v>0.54423074191007526</v>
      </c>
      <c r="AD290" s="52">
        <f t="shared" si="77"/>
        <v>2.9658253675728115</v>
      </c>
      <c r="AE290" s="52">
        <f t="shared" si="77"/>
        <v>3.7369955676647395</v>
      </c>
      <c r="AF290" s="52">
        <f t="shared" si="77"/>
        <v>1.2825875099726898</v>
      </c>
      <c r="AG290" s="52">
        <f t="shared" si="77"/>
        <v>2.1360216199680679</v>
      </c>
      <c r="AH290" s="52">
        <f t="shared" si="77"/>
        <v>1.2717971504663506</v>
      </c>
      <c r="AI290" s="52">
        <f t="shared" si="77"/>
        <v>2.4207932532369743</v>
      </c>
      <c r="AJ290" s="52">
        <f t="shared" si="77"/>
        <v>0.93190757156777126</v>
      </c>
      <c r="AK290" s="52">
        <f t="shared" si="77"/>
        <v>1.8563044835359448</v>
      </c>
    </row>
    <row r="291" spans="3:37" x14ac:dyDescent="0.35">
      <c r="C291" s="37" t="s">
        <v>102</v>
      </c>
      <c r="D291" s="52">
        <f t="shared" ref="D291:AK291" si="78">D$285*D176</f>
        <v>104.68027370175719</v>
      </c>
      <c r="E291" s="52">
        <f t="shared" si="78"/>
        <v>19.436194500666488</v>
      </c>
      <c r="F291" s="52">
        <f t="shared" si="78"/>
        <v>16.286026554044579</v>
      </c>
      <c r="G291" s="52">
        <f t="shared" si="78"/>
        <v>17.242769903583312</v>
      </c>
      <c r="H291" s="52">
        <f t="shared" si="78"/>
        <v>3.7962865602712887</v>
      </c>
      <c r="I291" s="52">
        <f t="shared" si="78"/>
        <v>12.094400507029301</v>
      </c>
      <c r="J291" s="52">
        <f t="shared" si="78"/>
        <v>6.8905923142997416</v>
      </c>
      <c r="K291" s="52">
        <f t="shared" si="78"/>
        <v>5.4290082052648145</v>
      </c>
      <c r="L291" s="52">
        <f t="shared" si="78"/>
        <v>4.7331291241662434</v>
      </c>
      <c r="M291" s="52">
        <f t="shared" si="78"/>
        <v>1.7519576834876336</v>
      </c>
      <c r="N291" s="52">
        <f t="shared" si="78"/>
        <v>3.0742736497122154</v>
      </c>
      <c r="O291" s="52">
        <f t="shared" si="78"/>
        <v>3.6660045816295681</v>
      </c>
      <c r="P291" s="52">
        <f t="shared" si="78"/>
        <v>1.7271556830845793</v>
      </c>
      <c r="Q291" s="52">
        <f t="shared" si="78"/>
        <v>1.1576815910481131</v>
      </c>
      <c r="R291" s="52">
        <f t="shared" si="78"/>
        <v>6.1360831350113498</v>
      </c>
      <c r="S291" s="52">
        <f t="shared" si="78"/>
        <v>21.293412236803292</v>
      </c>
      <c r="T291" s="52">
        <f t="shared" si="78"/>
        <v>33.017831882674784</v>
      </c>
      <c r="U291" s="52">
        <f t="shared" si="78"/>
        <v>12.886728171487825</v>
      </c>
      <c r="V291" s="52">
        <f t="shared" si="78"/>
        <v>8.5619405019275074</v>
      </c>
      <c r="W291" s="52">
        <f t="shared" si="78"/>
        <v>5.6270756499336665</v>
      </c>
      <c r="X291" s="52">
        <f t="shared" si="78"/>
        <v>0.72916521025520953</v>
      </c>
      <c r="Y291" s="52">
        <f t="shared" si="78"/>
        <v>1.1971819050243035</v>
      </c>
      <c r="Z291" s="52">
        <f t="shared" si="78"/>
        <v>2.5109927371963594</v>
      </c>
      <c r="AA291" s="52">
        <f t="shared" si="78"/>
        <v>2.51757865280663</v>
      </c>
      <c r="AB291" s="52">
        <f t="shared" si="78"/>
        <v>1.1697633940478289</v>
      </c>
      <c r="AC291" s="52">
        <f t="shared" si="78"/>
        <v>1.978104809822435</v>
      </c>
      <c r="AD291" s="52">
        <f t="shared" si="78"/>
        <v>8.1833133819574897</v>
      </c>
      <c r="AE291" s="52">
        <f t="shared" si="78"/>
        <v>11.988767095373873</v>
      </c>
      <c r="AF291" s="52">
        <f t="shared" si="78"/>
        <v>3.4607702826696727</v>
      </c>
      <c r="AG291" s="52">
        <f t="shared" si="78"/>
        <v>7.5665635283151742</v>
      </c>
      <c r="AH291" s="52">
        <f t="shared" si="78"/>
        <v>3.5966346177704835</v>
      </c>
      <c r="AI291" s="52">
        <f t="shared" si="78"/>
        <v>10.352143378389631</v>
      </c>
      <c r="AJ291" s="52">
        <f t="shared" si="78"/>
        <v>3.0207803985154635</v>
      </c>
      <c r="AK291" s="52">
        <f t="shared" si="78"/>
        <v>4.5777619345038332</v>
      </c>
    </row>
    <row r="292" spans="3:37" x14ac:dyDescent="0.35">
      <c r="C292" s="4" t="s">
        <v>83</v>
      </c>
      <c r="D292" s="52">
        <f>D323</f>
        <v>140.93760462915179</v>
      </c>
      <c r="E292" s="52">
        <f t="shared" ref="E292:AK292" si="79">E323</f>
        <v>20.089794153416278</v>
      </c>
      <c r="F292" s="52">
        <f t="shared" si="79"/>
        <v>18.712923571835244</v>
      </c>
      <c r="G292" s="52">
        <f t="shared" si="79"/>
        <v>19.430615071212692</v>
      </c>
      <c r="H292" s="52">
        <f t="shared" si="79"/>
        <v>6.509931169923024</v>
      </c>
      <c r="I292" s="52">
        <f t="shared" si="79"/>
        <v>13.563153729289668</v>
      </c>
      <c r="J292" s="52">
        <f t="shared" si="79"/>
        <v>8.9541515010911539</v>
      </c>
      <c r="K292" s="52">
        <f t="shared" si="79"/>
        <v>9.348427836540175</v>
      </c>
      <c r="L292" s="52">
        <f t="shared" si="79"/>
        <v>5.3550101697852801</v>
      </c>
      <c r="M292" s="52">
        <f t="shared" si="79"/>
        <v>2.0459944063416611</v>
      </c>
      <c r="N292" s="52">
        <f t="shared" si="79"/>
        <v>3.3460135327191085</v>
      </c>
      <c r="O292" s="52">
        <f t="shared" si="79"/>
        <v>5.7330854855097906</v>
      </c>
      <c r="P292" s="52">
        <f t="shared" si="79"/>
        <v>1.9599843170661715</v>
      </c>
      <c r="Q292" s="52">
        <f t="shared" si="79"/>
        <v>1.7395305736529372</v>
      </c>
      <c r="R292" s="52">
        <f t="shared" si="79"/>
        <v>8.9777725789534095</v>
      </c>
      <c r="S292" s="52">
        <f t="shared" si="79"/>
        <v>29.570862241824447</v>
      </c>
      <c r="T292" s="52">
        <f t="shared" si="79"/>
        <v>43.491480698262876</v>
      </c>
      <c r="U292" s="52">
        <f t="shared" si="79"/>
        <v>16.878763702795176</v>
      </c>
      <c r="V292" s="52">
        <f t="shared" si="79"/>
        <v>13.789527834977067</v>
      </c>
      <c r="W292" s="52">
        <f t="shared" si="79"/>
        <v>7.7346404094635037</v>
      </c>
      <c r="X292" s="52">
        <f t="shared" si="79"/>
        <v>0.94295405955007738</v>
      </c>
      <c r="Y292" s="52">
        <f t="shared" si="79"/>
        <v>1.655100219116532</v>
      </c>
      <c r="Z292" s="52">
        <f t="shared" si="79"/>
        <v>3.3926830553186984</v>
      </c>
      <c r="AA292" s="52">
        <f t="shared" si="79"/>
        <v>3.8422412769329561</v>
      </c>
      <c r="AB292" s="52">
        <f t="shared" si="79"/>
        <v>1.595284021941185</v>
      </c>
      <c r="AC292" s="52">
        <f t="shared" si="79"/>
        <v>2.3705369926908664</v>
      </c>
      <c r="AD292" s="52">
        <f t="shared" si="79"/>
        <v>11.659446677979819</v>
      </c>
      <c r="AE292" s="52">
        <f t="shared" si="79"/>
        <v>15.852440259555472</v>
      </c>
      <c r="AF292" s="52">
        <f t="shared" si="79"/>
        <v>5.4888595740995125</v>
      </c>
      <c r="AG292" s="52">
        <f t="shared" si="79"/>
        <v>11.82775457691681</v>
      </c>
      <c r="AH292" s="52">
        <f t="shared" si="79"/>
        <v>4.7686787391508991</v>
      </c>
      <c r="AI292" s="52">
        <f t="shared" si="79"/>
        <v>13.861192300874295</v>
      </c>
      <c r="AJ292" s="52">
        <f t="shared" si="79"/>
        <v>3.6243098374979628</v>
      </c>
      <c r="AK292" s="52">
        <f t="shared" si="79"/>
        <v>6.4517877252044284</v>
      </c>
    </row>
    <row r="293" spans="3:37" x14ac:dyDescent="0.35">
      <c r="C293" s="37" t="s">
        <v>103</v>
      </c>
      <c r="D293" s="52">
        <f>D$292*D178</f>
        <v>127.76456089371813</v>
      </c>
      <c r="E293" s="52">
        <f t="shared" ref="E293:AK293" si="80">E$292*E178</f>
        <v>18.053347906502413</v>
      </c>
      <c r="F293" s="52">
        <f t="shared" si="80"/>
        <v>17.003176080712191</v>
      </c>
      <c r="G293" s="52">
        <f t="shared" si="80"/>
        <v>17.437671226207861</v>
      </c>
      <c r="H293" s="52">
        <f t="shared" si="80"/>
        <v>5.9066740551489794</v>
      </c>
      <c r="I293" s="52">
        <f t="shared" si="80"/>
        <v>12.417512066719945</v>
      </c>
      <c r="J293" s="52">
        <f t="shared" si="80"/>
        <v>8.1387219665375294</v>
      </c>
      <c r="K293" s="52">
        <f t="shared" si="80"/>
        <v>8.3858463675603367</v>
      </c>
      <c r="L293" s="52">
        <f t="shared" si="80"/>
        <v>4.8528858428654793</v>
      </c>
      <c r="M293" s="52">
        <f t="shared" si="80"/>
        <v>1.8455540565163659</v>
      </c>
      <c r="N293" s="52">
        <f t="shared" si="80"/>
        <v>3.0690733506269536</v>
      </c>
      <c r="O293" s="52">
        <f t="shared" si="80"/>
        <v>5.1542318781263567</v>
      </c>
      <c r="P293" s="52">
        <f t="shared" si="80"/>
        <v>1.7926659375322878</v>
      </c>
      <c r="Q293" s="52">
        <f t="shared" si="80"/>
        <v>1.5710271120400856</v>
      </c>
      <c r="R293" s="52">
        <f t="shared" si="80"/>
        <v>8.2212407924383388</v>
      </c>
      <c r="S293" s="52">
        <f t="shared" si="80"/>
        <v>26.910454468657658</v>
      </c>
      <c r="T293" s="52">
        <f t="shared" si="80"/>
        <v>39.082870935298068</v>
      </c>
      <c r="U293" s="52">
        <f t="shared" si="80"/>
        <v>15.368667920228885</v>
      </c>
      <c r="V293" s="52">
        <f t="shared" si="80"/>
        <v>12.551680487289556</v>
      </c>
      <c r="W293" s="52">
        <f t="shared" si="80"/>
        <v>6.9521484712038122</v>
      </c>
      <c r="X293" s="52">
        <f t="shared" si="80"/>
        <v>0.84124024236660733</v>
      </c>
      <c r="Y293" s="52">
        <f t="shared" si="80"/>
        <v>1.493947739706267</v>
      </c>
      <c r="Z293" s="52">
        <f t="shared" si="80"/>
        <v>3.1098445575314364</v>
      </c>
      <c r="AA293" s="52">
        <f t="shared" si="80"/>
        <v>3.5472831599458301</v>
      </c>
      <c r="AB293" s="52">
        <f t="shared" si="80"/>
        <v>1.4567061605884648</v>
      </c>
      <c r="AC293" s="52">
        <f t="shared" si="80"/>
        <v>2.1499177446142257</v>
      </c>
      <c r="AD293" s="52">
        <f t="shared" si="80"/>
        <v>10.548683801692247</v>
      </c>
      <c r="AE293" s="52">
        <f t="shared" si="80"/>
        <v>14.321614439228286</v>
      </c>
      <c r="AF293" s="52">
        <f t="shared" si="80"/>
        <v>5.0257798428789293</v>
      </c>
      <c r="AG293" s="52">
        <f t="shared" si="80"/>
        <v>10.599238788453539</v>
      </c>
      <c r="AH293" s="52">
        <f t="shared" si="80"/>
        <v>4.2552484361767071</v>
      </c>
      <c r="AI293" s="52">
        <f t="shared" si="80"/>
        <v>12.695920630626789</v>
      </c>
      <c r="AJ293" s="52">
        <f t="shared" si="80"/>
        <v>3.3131004880921724</v>
      </c>
      <c r="AK293" s="52">
        <f t="shared" si="80"/>
        <v>5.8468216343412243</v>
      </c>
    </row>
    <row r="294" spans="3:37" x14ac:dyDescent="0.35">
      <c r="C294" s="39" t="s">
        <v>80</v>
      </c>
      <c r="D294" s="52">
        <f>D$293*D179</f>
        <v>64.16504175472933</v>
      </c>
      <c r="E294" s="52">
        <f t="shared" ref="E294:AK296" si="81">E$293*E179</f>
        <v>9.1749486903189705</v>
      </c>
      <c r="F294" s="52">
        <f t="shared" si="81"/>
        <v>8.5001112040458064</v>
      </c>
      <c r="G294" s="52">
        <f t="shared" si="81"/>
        <v>8.9893487091962321</v>
      </c>
      <c r="H294" s="52">
        <f t="shared" si="81"/>
        <v>3.0449681098181425</v>
      </c>
      <c r="I294" s="52">
        <f t="shared" si="81"/>
        <v>6.0872276247146466</v>
      </c>
      <c r="J294" s="52">
        <f t="shared" si="81"/>
        <v>4.1646910015947736</v>
      </c>
      <c r="K294" s="52">
        <f t="shared" si="81"/>
        <v>4.271021774396333</v>
      </c>
      <c r="L294" s="52">
        <f t="shared" si="81"/>
        <v>2.3352724515070613</v>
      </c>
      <c r="M294" s="52">
        <f t="shared" si="81"/>
        <v>0.92593872719975157</v>
      </c>
      <c r="N294" s="52">
        <f t="shared" si="81"/>
        <v>1.4885409134292165</v>
      </c>
      <c r="O294" s="52">
        <f t="shared" si="81"/>
        <v>2.6318185416340634</v>
      </c>
      <c r="P294" s="52">
        <f t="shared" si="81"/>
        <v>0.91302832389552835</v>
      </c>
      <c r="Q294" s="52">
        <f t="shared" si="81"/>
        <v>0.80517204372028461</v>
      </c>
      <c r="R294" s="52">
        <f t="shared" si="81"/>
        <v>4.1090842039646462</v>
      </c>
      <c r="S294" s="52">
        <f t="shared" si="81"/>
        <v>14.082594521090687</v>
      </c>
      <c r="T294" s="52">
        <f t="shared" si="81"/>
        <v>19.045596692606626</v>
      </c>
      <c r="U294" s="52">
        <f t="shared" si="81"/>
        <v>7.87818117404401</v>
      </c>
      <c r="V294" s="52">
        <f t="shared" si="81"/>
        <v>6.3801841647408635</v>
      </c>
      <c r="W294" s="52">
        <f t="shared" si="81"/>
        <v>3.4949364120592437</v>
      </c>
      <c r="X294" s="52">
        <f t="shared" si="81"/>
        <v>0.44040032372266491</v>
      </c>
      <c r="Y294" s="52">
        <f t="shared" si="81"/>
        <v>0.75252111219681717</v>
      </c>
      <c r="Z294" s="52">
        <f t="shared" si="81"/>
        <v>1.5630487488669291</v>
      </c>
      <c r="AA294" s="52">
        <f t="shared" si="81"/>
        <v>1.7371511871527356</v>
      </c>
      <c r="AB294" s="52">
        <f t="shared" si="81"/>
        <v>0.73390770992642795</v>
      </c>
      <c r="AC294" s="52">
        <f t="shared" si="81"/>
        <v>1.0423083800395498</v>
      </c>
      <c r="AD294" s="52">
        <f t="shared" si="81"/>
        <v>5.448533830232452</v>
      </c>
      <c r="AE294" s="52">
        <f t="shared" si="81"/>
        <v>7.410191547040708</v>
      </c>
      <c r="AF294" s="52">
        <f t="shared" si="81"/>
        <v>2.456667243552241</v>
      </c>
      <c r="AG294" s="52">
        <f t="shared" si="81"/>
        <v>5.3930320066931934</v>
      </c>
      <c r="AH294" s="52">
        <f t="shared" si="81"/>
        <v>2.1464032400786066</v>
      </c>
      <c r="AI294" s="52">
        <f t="shared" si="81"/>
        <v>6.4649296539875172</v>
      </c>
      <c r="AJ294" s="52">
        <f t="shared" si="81"/>
        <v>1.6254506452046051</v>
      </c>
      <c r="AK294" s="52">
        <f t="shared" si="81"/>
        <v>3.002419756952583</v>
      </c>
    </row>
    <row r="295" spans="3:37" x14ac:dyDescent="0.35">
      <c r="C295" s="39" t="s">
        <v>81</v>
      </c>
      <c r="D295" s="52">
        <f t="shared" ref="D295:S296" si="82">D$293*D180</f>
        <v>29.623884071354173</v>
      </c>
      <c r="E295" s="52">
        <f t="shared" si="82"/>
        <v>4.0685580133045125</v>
      </c>
      <c r="F295" s="52">
        <f t="shared" si="82"/>
        <v>4.0427274438914109</v>
      </c>
      <c r="G295" s="52">
        <f t="shared" si="82"/>
        <v>3.856569003764204</v>
      </c>
      <c r="H295" s="52">
        <f t="shared" si="82"/>
        <v>1.3772182906454011</v>
      </c>
      <c r="I295" s="52">
        <f t="shared" si="82"/>
        <v>2.869228532337873</v>
      </c>
      <c r="J295" s="52">
        <f t="shared" si="82"/>
        <v>1.8927662138929251</v>
      </c>
      <c r="K295" s="52">
        <f t="shared" si="82"/>
        <v>1.8563167453916636</v>
      </c>
      <c r="L295" s="52">
        <f t="shared" si="82"/>
        <v>1.1484988902421578</v>
      </c>
      <c r="M295" s="52">
        <f t="shared" si="82"/>
        <v>0.43677449963244769</v>
      </c>
      <c r="N295" s="52">
        <f t="shared" si="82"/>
        <v>0.71774293373672993</v>
      </c>
      <c r="O295" s="52">
        <f t="shared" si="82"/>
        <v>1.2337327959082163</v>
      </c>
      <c r="P295" s="52">
        <f t="shared" si="82"/>
        <v>0.42354076834360638</v>
      </c>
      <c r="Q295" s="52">
        <f t="shared" si="82"/>
        <v>0.35845037810113461</v>
      </c>
      <c r="R295" s="52">
        <f t="shared" si="82"/>
        <v>1.9390871404736458</v>
      </c>
      <c r="S295" s="52">
        <f t="shared" si="82"/>
        <v>5.9031600643263484</v>
      </c>
      <c r="T295" s="52">
        <f t="shared" si="81"/>
        <v>9.198664715741625</v>
      </c>
      <c r="U295" s="52">
        <f t="shared" si="81"/>
        <v>3.5572791482822441</v>
      </c>
      <c r="V295" s="52">
        <f t="shared" si="81"/>
        <v>3.0282570412447845</v>
      </c>
      <c r="W295" s="52">
        <f t="shared" si="81"/>
        <v>1.6508785596243198</v>
      </c>
      <c r="X295" s="52">
        <f t="shared" si="81"/>
        <v>0.18739726390463732</v>
      </c>
      <c r="Y295" s="52">
        <f t="shared" si="81"/>
        <v>0.35221771424789045</v>
      </c>
      <c r="Z295" s="52">
        <f t="shared" si="81"/>
        <v>0.67752030066835967</v>
      </c>
      <c r="AA295" s="52">
        <f t="shared" si="81"/>
        <v>0.87001757866125184</v>
      </c>
      <c r="AB295" s="52">
        <f t="shared" si="81"/>
        <v>0.35742190414782421</v>
      </c>
      <c r="AC295" s="52">
        <f t="shared" si="81"/>
        <v>0.51826578430606596</v>
      </c>
      <c r="AD295" s="52">
        <f t="shared" si="81"/>
        <v>2.2812908049506495</v>
      </c>
      <c r="AE295" s="52">
        <f t="shared" si="81"/>
        <v>3.124447456965771</v>
      </c>
      <c r="AF295" s="52">
        <f t="shared" si="81"/>
        <v>1.1698159746912977</v>
      </c>
      <c r="AG295" s="52">
        <f t="shared" si="81"/>
        <v>2.4098755324382104</v>
      </c>
      <c r="AH295" s="52">
        <f t="shared" si="81"/>
        <v>1.0155706802142956</v>
      </c>
      <c r="AI295" s="52">
        <f t="shared" si="81"/>
        <v>2.9513327603354971</v>
      </c>
      <c r="AJ295" s="52">
        <f t="shared" si="81"/>
        <v>0.75195147732339285</v>
      </c>
      <c r="AK295" s="52">
        <f t="shared" si="81"/>
        <v>1.3503999085182239</v>
      </c>
    </row>
    <row r="296" spans="3:37" x14ac:dyDescent="0.35">
      <c r="C296" s="39" t="s">
        <v>104</v>
      </c>
      <c r="D296" s="52">
        <f t="shared" si="82"/>
        <v>33.97563506763462</v>
      </c>
      <c r="E296" s="52">
        <f t="shared" si="81"/>
        <v>4.8098412028789284</v>
      </c>
      <c r="F296" s="52">
        <f t="shared" si="81"/>
        <v>4.4603374327749741</v>
      </c>
      <c r="G296" s="52">
        <f t="shared" si="81"/>
        <v>4.5917535132474248</v>
      </c>
      <c r="H296" s="52">
        <f t="shared" si="81"/>
        <v>1.4844876546854362</v>
      </c>
      <c r="I296" s="52">
        <f t="shared" si="81"/>
        <v>3.4610559096674254</v>
      </c>
      <c r="J296" s="52">
        <f t="shared" si="81"/>
        <v>2.0812647510498317</v>
      </c>
      <c r="K296" s="52">
        <f t="shared" si="81"/>
        <v>2.2585078477723397</v>
      </c>
      <c r="L296" s="52">
        <f t="shared" si="81"/>
        <v>1.3691145011162604</v>
      </c>
      <c r="M296" s="52">
        <f t="shared" si="81"/>
        <v>0.48284082968416669</v>
      </c>
      <c r="N296" s="52">
        <f t="shared" si="81"/>
        <v>0.86278950346100713</v>
      </c>
      <c r="O296" s="52">
        <f t="shared" si="81"/>
        <v>1.2886805405840771</v>
      </c>
      <c r="P296" s="52">
        <f t="shared" si="81"/>
        <v>0.45609684529315309</v>
      </c>
      <c r="Q296" s="52">
        <f t="shared" si="81"/>
        <v>0.40740469021866627</v>
      </c>
      <c r="R296" s="52">
        <f t="shared" si="81"/>
        <v>2.1730694480000468</v>
      </c>
      <c r="S296" s="52">
        <f t="shared" si="81"/>
        <v>6.9246998832406224</v>
      </c>
      <c r="T296" s="52">
        <f t="shared" si="81"/>
        <v>10.838609526949815</v>
      </c>
      <c r="U296" s="52">
        <f t="shared" si="81"/>
        <v>3.9332075979026313</v>
      </c>
      <c r="V296" s="52">
        <f t="shared" si="81"/>
        <v>3.1432392813039067</v>
      </c>
      <c r="W296" s="52">
        <f t="shared" si="81"/>
        <v>1.8063334995202489</v>
      </c>
      <c r="X296" s="52">
        <f t="shared" si="81"/>
        <v>0.21344265473930507</v>
      </c>
      <c r="Y296" s="52">
        <f t="shared" si="81"/>
        <v>0.38920891326155937</v>
      </c>
      <c r="Z296" s="52">
        <f t="shared" si="81"/>
        <v>0.86927550799614772</v>
      </c>
      <c r="AA296" s="52">
        <f t="shared" si="81"/>
        <v>0.94011439413184272</v>
      </c>
      <c r="AB296" s="52">
        <f t="shared" si="81"/>
        <v>0.36537654651421275</v>
      </c>
      <c r="AC296" s="52">
        <f t="shared" si="81"/>
        <v>0.58934358026860978</v>
      </c>
      <c r="AD296" s="52">
        <f t="shared" si="81"/>
        <v>2.8188591665091458</v>
      </c>
      <c r="AE296" s="52">
        <f t="shared" si="81"/>
        <v>3.7869754352218061</v>
      </c>
      <c r="AF296" s="52">
        <f t="shared" si="81"/>
        <v>1.3992966246353908</v>
      </c>
      <c r="AG296" s="52">
        <f t="shared" si="81"/>
        <v>2.7963312493221353</v>
      </c>
      <c r="AH296" s="52">
        <f t="shared" si="81"/>
        <v>1.0932745158838044</v>
      </c>
      <c r="AI296" s="52">
        <f t="shared" si="81"/>
        <v>3.2796582163037744</v>
      </c>
      <c r="AJ296" s="52">
        <f t="shared" si="81"/>
        <v>0.93569836556417429</v>
      </c>
      <c r="AK296" s="52">
        <f t="shared" si="81"/>
        <v>1.4940019688704178</v>
      </c>
    </row>
    <row r="297" spans="3:37" x14ac:dyDescent="0.35">
      <c r="C297" s="37" t="s">
        <v>105</v>
      </c>
      <c r="D297" s="52">
        <f t="shared" ref="D297:AK297" si="83">D$292*D182</f>
        <v>6.0790912134997646</v>
      </c>
      <c r="E297" s="52">
        <f t="shared" si="83"/>
        <v>0.97502218654988004</v>
      </c>
      <c r="F297" s="52">
        <f t="shared" si="83"/>
        <v>0.92878245421952554</v>
      </c>
      <c r="G297" s="52">
        <f t="shared" si="83"/>
        <v>0.88862438791854192</v>
      </c>
      <c r="H297" s="52">
        <f t="shared" si="83"/>
        <v>0.32571274943650097</v>
      </c>
      <c r="I297" s="52">
        <f t="shared" si="83"/>
        <v>0.58773498074269426</v>
      </c>
      <c r="J297" s="52">
        <f t="shared" si="83"/>
        <v>0.40860667049284538</v>
      </c>
      <c r="K297" s="52">
        <f t="shared" si="83"/>
        <v>0.4041625382641062</v>
      </c>
      <c r="L297" s="52">
        <f t="shared" si="83"/>
        <v>0.20527472620395931</v>
      </c>
      <c r="M297" s="52">
        <f t="shared" si="83"/>
        <v>0.10154926881129039</v>
      </c>
      <c r="N297" s="52">
        <f t="shared" si="83"/>
        <v>0.12190601170931646</v>
      </c>
      <c r="O297" s="52">
        <f t="shared" si="83"/>
        <v>0.28913790082713409</v>
      </c>
      <c r="P297" s="52">
        <f t="shared" si="83"/>
        <v>7.2388511212602105E-2</v>
      </c>
      <c r="Q297" s="52">
        <f t="shared" si="83"/>
        <v>8.6686391343141225E-2</v>
      </c>
      <c r="R297" s="52">
        <f t="shared" si="83"/>
        <v>0.38275125834844376</v>
      </c>
      <c r="S297" s="52">
        <f t="shared" si="83"/>
        <v>1.458825539260542</v>
      </c>
      <c r="T297" s="52">
        <f t="shared" si="83"/>
        <v>2.0107507344536679</v>
      </c>
      <c r="U297" s="52">
        <f t="shared" si="83"/>
        <v>0.80905331506257183</v>
      </c>
      <c r="V297" s="52">
        <f t="shared" si="83"/>
        <v>0.68441852262865766</v>
      </c>
      <c r="W297" s="52">
        <f t="shared" si="83"/>
        <v>0.32820561616667132</v>
      </c>
      <c r="X297" s="52">
        <f t="shared" si="83"/>
        <v>4.6990427108796723E-2</v>
      </c>
      <c r="Y297" s="52">
        <f t="shared" si="83"/>
        <v>7.5031004819370861E-2</v>
      </c>
      <c r="Z297" s="52">
        <f t="shared" si="83"/>
        <v>0.14226608900326873</v>
      </c>
      <c r="AA297" s="52">
        <f t="shared" si="83"/>
        <v>0.13921673277141366</v>
      </c>
      <c r="AB297" s="52">
        <f t="shared" si="83"/>
        <v>6.2269055288784257E-2</v>
      </c>
      <c r="AC297" s="52">
        <f t="shared" si="83"/>
        <v>0.11576092936622845</v>
      </c>
      <c r="AD297" s="52">
        <f t="shared" si="83"/>
        <v>0.5215644697917966</v>
      </c>
      <c r="AE297" s="52">
        <f t="shared" si="83"/>
        <v>0.58865198373736571</v>
      </c>
      <c r="AF297" s="52">
        <f t="shared" si="83"/>
        <v>0.20217231408711403</v>
      </c>
      <c r="AG297" s="52">
        <f t="shared" si="83"/>
        <v>0.56457668601020083</v>
      </c>
      <c r="AH297" s="52">
        <f t="shared" si="83"/>
        <v>0.22857807658860252</v>
      </c>
      <c r="AI297" s="52">
        <f t="shared" si="83"/>
        <v>0.59371935242548268</v>
      </c>
      <c r="AJ297" s="52">
        <f t="shared" si="83"/>
        <v>0.13313253220919466</v>
      </c>
      <c r="AK297" s="52">
        <f t="shared" si="83"/>
        <v>0.29635131661803277</v>
      </c>
    </row>
    <row r="298" spans="3:37" x14ac:dyDescent="0.35">
      <c r="C298" s="37" t="s">
        <v>106</v>
      </c>
      <c r="D298" s="52">
        <f t="shared" ref="D298:AK298" si="84">D$292*D183</f>
        <v>7.0939525219338986</v>
      </c>
      <c r="E298" s="52">
        <f t="shared" si="84"/>
        <v>1.0614240603639857</v>
      </c>
      <c r="F298" s="52">
        <f t="shared" si="84"/>
        <v>0.78096503690352836</v>
      </c>
      <c r="G298" s="52">
        <f t="shared" si="84"/>
        <v>1.1043194570862884</v>
      </c>
      <c r="H298" s="52">
        <f t="shared" si="84"/>
        <v>0.27754436533754367</v>
      </c>
      <c r="I298" s="52">
        <f t="shared" si="84"/>
        <v>0.55790668182702829</v>
      </c>
      <c r="J298" s="52">
        <f t="shared" si="84"/>
        <v>0.40682286406077922</v>
      </c>
      <c r="K298" s="52">
        <f t="shared" si="84"/>
        <v>0.55841893071573179</v>
      </c>
      <c r="L298" s="52">
        <f t="shared" si="84"/>
        <v>0.29684960071584121</v>
      </c>
      <c r="M298" s="52">
        <f t="shared" si="84"/>
        <v>9.8891081014004609E-2</v>
      </c>
      <c r="N298" s="52">
        <f t="shared" si="84"/>
        <v>0.15503417038283848</v>
      </c>
      <c r="O298" s="52">
        <f t="shared" si="84"/>
        <v>0.28971570655630013</v>
      </c>
      <c r="P298" s="52">
        <f t="shared" si="84"/>
        <v>9.4929868321281669E-2</v>
      </c>
      <c r="Q298" s="52">
        <f t="shared" si="84"/>
        <v>8.1817070269710399E-2</v>
      </c>
      <c r="R298" s="52">
        <f t="shared" si="84"/>
        <v>0.37378052816662732</v>
      </c>
      <c r="S298" s="52">
        <f t="shared" si="84"/>
        <v>1.2015822339062436</v>
      </c>
      <c r="T298" s="52">
        <f t="shared" si="84"/>
        <v>2.3978590285111365</v>
      </c>
      <c r="U298" s="52">
        <f t="shared" si="84"/>
        <v>0.70104246750371846</v>
      </c>
      <c r="V298" s="52">
        <f t="shared" si="84"/>
        <v>0.55342882505885349</v>
      </c>
      <c r="W298" s="52">
        <f t="shared" si="84"/>
        <v>0.45428632209301983</v>
      </c>
      <c r="X298" s="52">
        <f t="shared" si="84"/>
        <v>5.4723390074673348E-2</v>
      </c>
      <c r="Y298" s="52">
        <f t="shared" si="84"/>
        <v>8.6121474590894045E-2</v>
      </c>
      <c r="Z298" s="52">
        <f t="shared" si="84"/>
        <v>0.14057240878399346</v>
      </c>
      <c r="AA298" s="52">
        <f t="shared" si="84"/>
        <v>0.15574138421571218</v>
      </c>
      <c r="AB298" s="52">
        <f t="shared" si="84"/>
        <v>7.6308806063936099E-2</v>
      </c>
      <c r="AC298" s="52">
        <f t="shared" si="84"/>
        <v>0.10485831871041205</v>
      </c>
      <c r="AD298" s="52">
        <f t="shared" si="84"/>
        <v>0.58919840649577582</v>
      </c>
      <c r="AE298" s="52">
        <f t="shared" si="84"/>
        <v>0.94217383658982023</v>
      </c>
      <c r="AF298" s="52">
        <f t="shared" si="84"/>
        <v>0.26090741713346888</v>
      </c>
      <c r="AG298" s="52">
        <f t="shared" si="84"/>
        <v>0.66393910245306964</v>
      </c>
      <c r="AH298" s="52">
        <f t="shared" si="84"/>
        <v>0.2848522263855896</v>
      </c>
      <c r="AI298" s="52">
        <f t="shared" si="84"/>
        <v>0.57155231782202343</v>
      </c>
      <c r="AJ298" s="52">
        <f t="shared" si="84"/>
        <v>0.17807681719659546</v>
      </c>
      <c r="AK298" s="52">
        <f t="shared" si="84"/>
        <v>0.30861477424517159</v>
      </c>
    </row>
    <row r="299" spans="3:37" x14ac:dyDescent="0.35"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4"/>
      <c r="AA299" s="55"/>
      <c r="AB299" s="55"/>
      <c r="AC299" s="55"/>
      <c r="AD299" s="55"/>
      <c r="AE299" s="55"/>
      <c r="AF299" s="55"/>
      <c r="AG299" s="56"/>
      <c r="AH299" s="55"/>
      <c r="AI299" s="55"/>
      <c r="AJ299" s="55"/>
      <c r="AK299" s="55"/>
    </row>
    <row r="300" spans="3:37" x14ac:dyDescent="0.35">
      <c r="C300" s="4" t="s">
        <v>107</v>
      </c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4"/>
      <c r="AA300" s="55"/>
      <c r="AB300" s="55"/>
      <c r="AC300" s="55"/>
      <c r="AD300" s="55"/>
      <c r="AE300" s="55"/>
      <c r="AF300" s="55"/>
      <c r="AG300" s="56"/>
      <c r="AH300" s="55"/>
      <c r="AI300" s="55"/>
      <c r="AJ300" s="55"/>
      <c r="AK300" s="55"/>
    </row>
    <row r="301" spans="3:37" x14ac:dyDescent="0.35">
      <c r="C301" s="40" t="s">
        <v>84</v>
      </c>
      <c r="D301" s="51">
        <f>D$232*D186</f>
        <v>923.81279537084811</v>
      </c>
      <c r="E301" s="51">
        <f t="shared" ref="E301:AK301" si="85">E$232*E186</f>
        <v>148.92118228389671</v>
      </c>
      <c r="F301" s="51">
        <f t="shared" si="85"/>
        <v>128.32403642816473</v>
      </c>
      <c r="G301" s="51">
        <f t="shared" si="85"/>
        <v>137.81724492878729</v>
      </c>
      <c r="H301" s="51">
        <f t="shared" si="85"/>
        <v>37.396938830076962</v>
      </c>
      <c r="I301" s="51">
        <f t="shared" si="85"/>
        <v>99.777836270710324</v>
      </c>
      <c r="J301" s="51">
        <f t="shared" si="85"/>
        <v>58.437788498908844</v>
      </c>
      <c r="K301" s="51">
        <f t="shared" si="85"/>
        <v>53.959152163459819</v>
      </c>
      <c r="L301" s="51">
        <f t="shared" si="85"/>
        <v>37.530769830214716</v>
      </c>
      <c r="M301" s="51">
        <f t="shared" si="85"/>
        <v>15.312535593658337</v>
      </c>
      <c r="N301" s="51">
        <f t="shared" si="85"/>
        <v>24.223416467280888</v>
      </c>
      <c r="O301" s="51">
        <f t="shared" si="85"/>
        <v>35.110514514490205</v>
      </c>
      <c r="P301" s="51">
        <f t="shared" si="85"/>
        <v>13.356365682933825</v>
      </c>
      <c r="Q301" s="51">
        <f t="shared" si="85"/>
        <v>10.513549426347062</v>
      </c>
      <c r="R301" s="51">
        <f t="shared" si="85"/>
        <v>57.393077421046577</v>
      </c>
      <c r="S301" s="51">
        <f t="shared" si="85"/>
        <v>176.68931775817555</v>
      </c>
      <c r="T301" s="51">
        <f t="shared" si="85"/>
        <v>301.49609930173716</v>
      </c>
      <c r="U301" s="51">
        <f t="shared" si="85"/>
        <v>108.64488629720483</v>
      </c>
      <c r="V301" s="51">
        <f t="shared" si="85"/>
        <v>79.340922165022931</v>
      </c>
      <c r="W301" s="51">
        <f t="shared" si="85"/>
        <v>52.192779590536496</v>
      </c>
      <c r="X301" s="51">
        <f t="shared" si="85"/>
        <v>6.8651028684499238</v>
      </c>
      <c r="Y301" s="51">
        <f t="shared" si="85"/>
        <v>9.4628938848834689</v>
      </c>
      <c r="Z301" s="51">
        <f t="shared" si="85"/>
        <v>19.692006992681304</v>
      </c>
      <c r="AA301" s="51">
        <f t="shared" si="85"/>
        <v>25.607712571067044</v>
      </c>
      <c r="AB301" s="51">
        <f t="shared" si="85"/>
        <v>11.814205050058815</v>
      </c>
      <c r="AC301" s="51">
        <f t="shared" si="85"/>
        <v>17.065383007309137</v>
      </c>
      <c r="AD301" s="51">
        <f t="shared" si="85"/>
        <v>70.295349322020186</v>
      </c>
      <c r="AE301" s="51">
        <f t="shared" si="85"/>
        <v>100.48139974044452</v>
      </c>
      <c r="AF301" s="51">
        <f t="shared" si="85"/>
        <v>35.636420425900482</v>
      </c>
      <c r="AG301" s="51">
        <f t="shared" si="85"/>
        <v>72.676245423083188</v>
      </c>
      <c r="AH301" s="51">
        <f t="shared" si="85"/>
        <v>34.948201260849096</v>
      </c>
      <c r="AI301" s="51">
        <f t="shared" si="85"/>
        <v>82.086057699125718</v>
      </c>
      <c r="AJ301" s="51">
        <f t="shared" si="85"/>
        <v>23.839490162502038</v>
      </c>
      <c r="AK301" s="51">
        <f t="shared" si="85"/>
        <v>46.187162274795575</v>
      </c>
    </row>
    <row r="302" spans="3:37" x14ac:dyDescent="0.35">
      <c r="C302" s="37" t="s">
        <v>77</v>
      </c>
      <c r="D302" s="52">
        <f>D$301*D187</f>
        <v>349.19989847303913</v>
      </c>
      <c r="E302" s="52">
        <f t="shared" ref="E302:AK302" si="86">E$301*E187</f>
        <v>55.175082318320761</v>
      </c>
      <c r="F302" s="52">
        <f t="shared" si="86"/>
        <v>50.379830819565171</v>
      </c>
      <c r="G302" s="52">
        <f t="shared" si="86"/>
        <v>52.453043786499094</v>
      </c>
      <c r="H302" s="52">
        <f t="shared" si="86"/>
        <v>14.595971054524345</v>
      </c>
      <c r="I302" s="52">
        <f t="shared" si="86"/>
        <v>37.835610981952094</v>
      </c>
      <c r="J302" s="52">
        <f t="shared" si="86"/>
        <v>21.861492028134972</v>
      </c>
      <c r="K302" s="52">
        <f t="shared" si="86"/>
        <v>21.394725670976044</v>
      </c>
      <c r="L302" s="52">
        <f t="shared" si="86"/>
        <v>14.974722797541805</v>
      </c>
      <c r="M302" s="52">
        <f t="shared" si="86"/>
        <v>5.9519604044785304</v>
      </c>
      <c r="N302" s="52">
        <f t="shared" si="86"/>
        <v>9.3598930344390041</v>
      </c>
      <c r="O302" s="52">
        <f t="shared" si="86"/>
        <v>12.523869668434495</v>
      </c>
      <c r="P302" s="52">
        <f t="shared" si="86"/>
        <v>5.0339948787060562</v>
      </c>
      <c r="Q302" s="52">
        <f t="shared" si="86"/>
        <v>4.1065771766643797</v>
      </c>
      <c r="R302" s="52">
        <f t="shared" si="86"/>
        <v>21.918333131093657</v>
      </c>
      <c r="S302" s="52">
        <f t="shared" si="86"/>
        <v>68.378510031375512</v>
      </c>
      <c r="T302" s="52">
        <f t="shared" si="86"/>
        <v>110.52803327572042</v>
      </c>
      <c r="U302" s="52">
        <f t="shared" si="86"/>
        <v>42.414806234276249</v>
      </c>
      <c r="V302" s="52">
        <f t="shared" si="86"/>
        <v>31.839397136551487</v>
      </c>
      <c r="W302" s="52">
        <f t="shared" si="86"/>
        <v>20.516906053860392</v>
      </c>
      <c r="X302" s="52">
        <f t="shared" si="86"/>
        <v>2.6046100839334487</v>
      </c>
      <c r="Y302" s="52">
        <f t="shared" si="86"/>
        <v>3.5457326313126232</v>
      </c>
      <c r="Z302" s="52">
        <f t="shared" si="86"/>
        <v>7.1836156263267155</v>
      </c>
      <c r="AA302" s="52">
        <f t="shared" si="86"/>
        <v>9.8358853048242061</v>
      </c>
      <c r="AB302" s="52">
        <f t="shared" si="86"/>
        <v>4.579168764088041</v>
      </c>
      <c r="AC302" s="52">
        <f t="shared" si="86"/>
        <v>6.4455704420196218</v>
      </c>
      <c r="AD302" s="52">
        <f t="shared" si="86"/>
        <v>27.604881853333293</v>
      </c>
      <c r="AE302" s="52">
        <f t="shared" si="86"/>
        <v>39.830681306073132</v>
      </c>
      <c r="AF302" s="52">
        <f t="shared" si="86"/>
        <v>14.329353032576179</v>
      </c>
      <c r="AG302" s="52">
        <f t="shared" si="86"/>
        <v>28.074728332696584</v>
      </c>
      <c r="AH302" s="52">
        <f t="shared" si="86"/>
        <v>13.178916071698808</v>
      </c>
      <c r="AI302" s="52">
        <f t="shared" si="86"/>
        <v>31.8492714825578</v>
      </c>
      <c r="AJ302" s="52">
        <f t="shared" si="86"/>
        <v>8.8181928787226838</v>
      </c>
      <c r="AK302" s="52">
        <f t="shared" si="86"/>
        <v>17.643429085152111</v>
      </c>
    </row>
    <row r="303" spans="3:37" x14ac:dyDescent="0.35">
      <c r="C303" s="39" t="s">
        <v>93</v>
      </c>
      <c r="D303" s="52">
        <f>D$302*D188</f>
        <v>202.07617181847553</v>
      </c>
      <c r="E303" s="52">
        <f t="shared" ref="E303:AK308" si="87">E$302*E188</f>
        <v>31.018513364828816</v>
      </c>
      <c r="F303" s="52">
        <f t="shared" si="87"/>
        <v>29.551970619929737</v>
      </c>
      <c r="G303" s="52">
        <f t="shared" si="87"/>
        <v>30.815290594948653</v>
      </c>
      <c r="H303" s="52">
        <f t="shared" si="87"/>
        <v>8.120955470379613</v>
      </c>
      <c r="I303" s="52">
        <f t="shared" si="87"/>
        <v>20.283041599208861</v>
      </c>
      <c r="J303" s="52">
        <f t="shared" si="87"/>
        <v>12.679301679874863</v>
      </c>
      <c r="K303" s="52">
        <f t="shared" si="87"/>
        <v>11.997806225150006</v>
      </c>
      <c r="L303" s="52">
        <f t="shared" si="87"/>
        <v>8.9651174134664817</v>
      </c>
      <c r="M303" s="52">
        <f t="shared" si="87"/>
        <v>3.4722746808011786</v>
      </c>
      <c r="N303" s="52">
        <f t="shared" si="87"/>
        <v>5.1833530475831884</v>
      </c>
      <c r="O303" s="52">
        <f t="shared" si="87"/>
        <v>7.2886837949708196</v>
      </c>
      <c r="P303" s="52">
        <f t="shared" si="87"/>
        <v>2.757035247533917</v>
      </c>
      <c r="Q303" s="52">
        <f t="shared" si="87"/>
        <v>2.3501257995599909</v>
      </c>
      <c r="R303" s="52">
        <f t="shared" si="87"/>
        <v>12.859121405938119</v>
      </c>
      <c r="S303" s="52">
        <f t="shared" si="87"/>
        <v>39.08401876194818</v>
      </c>
      <c r="T303" s="52">
        <f t="shared" si="87"/>
        <v>61.573328549748453</v>
      </c>
      <c r="U303" s="52">
        <f t="shared" si="87"/>
        <v>24.621089389475102</v>
      </c>
      <c r="V303" s="52">
        <f t="shared" si="87"/>
        <v>17.711726934237308</v>
      </c>
      <c r="W303" s="52">
        <f t="shared" si="87"/>
        <v>11.366024626460263</v>
      </c>
      <c r="X303" s="52">
        <f t="shared" si="87"/>
        <v>1.5205280356749831</v>
      </c>
      <c r="Y303" s="52">
        <f t="shared" si="87"/>
        <v>2.0713580149998769</v>
      </c>
      <c r="Z303" s="52">
        <f t="shared" si="87"/>
        <v>4.0672436581503089</v>
      </c>
      <c r="AA303" s="52">
        <f t="shared" si="87"/>
        <v>5.4085896954376906</v>
      </c>
      <c r="AB303" s="52">
        <f t="shared" si="87"/>
        <v>2.5528104051131488</v>
      </c>
      <c r="AC303" s="52">
        <f t="shared" si="87"/>
        <v>3.7757079338713337</v>
      </c>
      <c r="AD303" s="52">
        <f t="shared" si="87"/>
        <v>16.540385960765093</v>
      </c>
      <c r="AE303" s="52">
        <f t="shared" si="87"/>
        <v>22.682910364812585</v>
      </c>
      <c r="AF303" s="52">
        <f t="shared" si="87"/>
        <v>7.6201115539293331</v>
      </c>
      <c r="AG303" s="52">
        <f t="shared" si="87"/>
        <v>16.187421294328438</v>
      </c>
      <c r="AH303" s="52">
        <f t="shared" si="87"/>
        <v>7.9611639492436828</v>
      </c>
      <c r="AI303" s="52">
        <f t="shared" si="87"/>
        <v>17.561158438382552</v>
      </c>
      <c r="AJ303" s="52">
        <f t="shared" si="87"/>
        <v>4.9644958877701635</v>
      </c>
      <c r="AK303" s="52">
        <f t="shared" si="87"/>
        <v>10.134092143434369</v>
      </c>
    </row>
    <row r="304" spans="3:37" x14ac:dyDescent="0.35">
      <c r="C304" s="39" t="s">
        <v>94</v>
      </c>
      <c r="D304" s="52">
        <f t="shared" ref="D304:S308" si="88">D$302*D189</f>
        <v>43.682579832865066</v>
      </c>
      <c r="E304" s="52">
        <f t="shared" si="88"/>
        <v>7.6634511843822617</v>
      </c>
      <c r="F304" s="52">
        <f t="shared" si="88"/>
        <v>5.7328889586552361</v>
      </c>
      <c r="G304" s="52">
        <f t="shared" si="88"/>
        <v>6.0422410373393296</v>
      </c>
      <c r="H304" s="52">
        <f t="shared" si="88"/>
        <v>1.91781331237813</v>
      </c>
      <c r="I304" s="52">
        <f t="shared" si="88"/>
        <v>5.3572703354109823</v>
      </c>
      <c r="J304" s="52">
        <f t="shared" si="88"/>
        <v>2.938038818682573</v>
      </c>
      <c r="K304" s="52">
        <f t="shared" si="88"/>
        <v>2.9223769278195455</v>
      </c>
      <c r="L304" s="52">
        <f t="shared" si="88"/>
        <v>1.9960307402926689</v>
      </c>
      <c r="M304" s="52">
        <f t="shared" si="88"/>
        <v>0.8344251780602101</v>
      </c>
      <c r="N304" s="52">
        <f t="shared" si="88"/>
        <v>1.2429314099786986</v>
      </c>
      <c r="O304" s="52">
        <f t="shared" si="88"/>
        <v>1.5228190783405096</v>
      </c>
      <c r="P304" s="52">
        <f t="shared" si="88"/>
        <v>0.70673932869113421</v>
      </c>
      <c r="Q304" s="52">
        <f t="shared" si="88"/>
        <v>0.53670226607939742</v>
      </c>
      <c r="R304" s="52">
        <f t="shared" si="88"/>
        <v>2.4919683882526886</v>
      </c>
      <c r="S304" s="52">
        <f t="shared" si="88"/>
        <v>9.2443188039190396</v>
      </c>
      <c r="T304" s="52">
        <f t="shared" si="87"/>
        <v>12.942096011802544</v>
      </c>
      <c r="U304" s="52">
        <f t="shared" si="87"/>
        <v>5.4797102648589133</v>
      </c>
      <c r="V304" s="52">
        <f t="shared" si="87"/>
        <v>4.148461232862271</v>
      </c>
      <c r="W304" s="52">
        <f t="shared" si="87"/>
        <v>2.6465441329026014</v>
      </c>
      <c r="X304" s="52">
        <f t="shared" si="87"/>
        <v>0.35499099435001397</v>
      </c>
      <c r="Y304" s="52">
        <f t="shared" si="87"/>
        <v>0.40206244758746823</v>
      </c>
      <c r="Z304" s="52">
        <f t="shared" si="87"/>
        <v>0.83540661753998158</v>
      </c>
      <c r="AA304" s="52">
        <f t="shared" si="87"/>
        <v>1.1851586216815297</v>
      </c>
      <c r="AB304" s="52">
        <f t="shared" si="87"/>
        <v>0.56091765280118921</v>
      </c>
      <c r="AC304" s="52">
        <f t="shared" si="87"/>
        <v>0.82821284117197602</v>
      </c>
      <c r="AD304" s="52">
        <f t="shared" si="87"/>
        <v>3.1329700999589329</v>
      </c>
      <c r="AE304" s="52">
        <f t="shared" si="87"/>
        <v>5.1020447982520807</v>
      </c>
      <c r="AF304" s="52">
        <f t="shared" si="87"/>
        <v>2.0045809821174059</v>
      </c>
      <c r="AG304" s="52">
        <f t="shared" si="87"/>
        <v>3.6523350340969998</v>
      </c>
      <c r="AH304" s="52">
        <f t="shared" si="87"/>
        <v>1.4667255194631541</v>
      </c>
      <c r="AI304" s="52">
        <f t="shared" si="87"/>
        <v>4.3854324033039251</v>
      </c>
      <c r="AJ304" s="52">
        <f t="shared" si="87"/>
        <v>1.1754063362461546</v>
      </c>
      <c r="AK304" s="52">
        <f t="shared" si="87"/>
        <v>2.2758847560647002</v>
      </c>
    </row>
    <row r="305" spans="3:37" x14ac:dyDescent="0.35">
      <c r="C305" s="39" t="s">
        <v>95</v>
      </c>
      <c r="D305" s="52">
        <f t="shared" si="88"/>
        <v>34.665315592715267</v>
      </c>
      <c r="E305" s="52">
        <f t="shared" si="87"/>
        <v>4.9862103742084933</v>
      </c>
      <c r="F305" s="52">
        <f t="shared" si="87"/>
        <v>5.2329878936731946</v>
      </c>
      <c r="G305" s="52">
        <f t="shared" si="87"/>
        <v>4.8188974339222348</v>
      </c>
      <c r="H305" s="52">
        <f t="shared" si="87"/>
        <v>1.5044168380453697</v>
      </c>
      <c r="I305" s="52">
        <f t="shared" si="87"/>
        <v>4.0662192971783435</v>
      </c>
      <c r="J305" s="52">
        <f t="shared" si="87"/>
        <v>2.1068071164668933</v>
      </c>
      <c r="K305" s="52">
        <f t="shared" si="87"/>
        <v>2.4619058896390476</v>
      </c>
      <c r="L305" s="52">
        <f t="shared" si="87"/>
        <v>1.3742406747092428</v>
      </c>
      <c r="M305" s="52">
        <f t="shared" si="87"/>
        <v>0.50931337099337815</v>
      </c>
      <c r="N305" s="52">
        <f t="shared" si="87"/>
        <v>1.0124661072504562</v>
      </c>
      <c r="O305" s="52">
        <f t="shared" si="87"/>
        <v>1.3108821056082749</v>
      </c>
      <c r="P305" s="52">
        <f t="shared" si="87"/>
        <v>0.57624487764985655</v>
      </c>
      <c r="Q305" s="52">
        <f t="shared" si="87"/>
        <v>0.37973803357117153</v>
      </c>
      <c r="R305" s="52">
        <f t="shared" si="87"/>
        <v>1.9522811010401453</v>
      </c>
      <c r="S305" s="52">
        <f t="shared" si="87"/>
        <v>5.8170071711869502</v>
      </c>
      <c r="T305" s="52">
        <f t="shared" si="87"/>
        <v>12.541692429097504</v>
      </c>
      <c r="U305" s="52">
        <f t="shared" si="87"/>
        <v>4.5413826575824254</v>
      </c>
      <c r="V305" s="52">
        <f t="shared" si="87"/>
        <v>3.5618953928052712</v>
      </c>
      <c r="W305" s="52">
        <f t="shared" si="87"/>
        <v>2.338325982124366</v>
      </c>
      <c r="X305" s="52">
        <f t="shared" si="87"/>
        <v>0.24137101905451397</v>
      </c>
      <c r="Y305" s="52">
        <f t="shared" si="87"/>
        <v>0.32716720379170772</v>
      </c>
      <c r="Z305" s="52">
        <f t="shared" si="87"/>
        <v>0.82159509075861059</v>
      </c>
      <c r="AA305" s="52">
        <f t="shared" si="87"/>
        <v>1.0836262911683552</v>
      </c>
      <c r="AB305" s="52">
        <f t="shared" si="87"/>
        <v>0.52280686690811562</v>
      </c>
      <c r="AC305" s="52">
        <f t="shared" si="87"/>
        <v>0.56250939327064065</v>
      </c>
      <c r="AD305" s="52">
        <f t="shared" si="87"/>
        <v>2.4449834903016527</v>
      </c>
      <c r="AE305" s="52">
        <f t="shared" si="87"/>
        <v>4.0535960021983213</v>
      </c>
      <c r="AF305" s="52">
        <f t="shared" si="87"/>
        <v>1.6259616055432309</v>
      </c>
      <c r="AG305" s="52">
        <f t="shared" si="87"/>
        <v>2.7055809991412496</v>
      </c>
      <c r="AH305" s="52">
        <f t="shared" si="87"/>
        <v>1.243703430438398</v>
      </c>
      <c r="AI305" s="52">
        <f t="shared" si="87"/>
        <v>3.2731716722354753</v>
      </c>
      <c r="AJ305" s="52">
        <f t="shared" si="87"/>
        <v>0.97238823155670129</v>
      </c>
      <c r="AK305" s="52">
        <f t="shared" si="87"/>
        <v>1.9843686797214464</v>
      </c>
    </row>
    <row r="306" spans="3:37" x14ac:dyDescent="0.35">
      <c r="C306" s="39" t="s">
        <v>96</v>
      </c>
      <c r="D306" s="52">
        <f t="shared" si="88"/>
        <v>19.145208359480389</v>
      </c>
      <c r="E306" s="52">
        <f t="shared" si="87"/>
        <v>2.8098422487103676</v>
      </c>
      <c r="F306" s="52">
        <f t="shared" si="87"/>
        <v>2.2835125653633099</v>
      </c>
      <c r="G306" s="52">
        <f t="shared" si="87"/>
        <v>3.0908442617450511</v>
      </c>
      <c r="H306" s="52">
        <f t="shared" si="87"/>
        <v>0.93889937763398956</v>
      </c>
      <c r="I306" s="52">
        <f t="shared" si="87"/>
        <v>2.2824683296517376</v>
      </c>
      <c r="J306" s="52">
        <f t="shared" si="87"/>
        <v>0.99963700219918661</v>
      </c>
      <c r="K306" s="52">
        <f t="shared" si="87"/>
        <v>1.102383086426763</v>
      </c>
      <c r="L306" s="52">
        <f t="shared" si="87"/>
        <v>0.70719517500427598</v>
      </c>
      <c r="M306" s="52">
        <f t="shared" si="87"/>
        <v>0.28644361563814452</v>
      </c>
      <c r="N306" s="52">
        <f t="shared" si="87"/>
        <v>0.59646786606735558</v>
      </c>
      <c r="O306" s="52">
        <f t="shared" si="87"/>
        <v>0.74048541156995429</v>
      </c>
      <c r="P306" s="52">
        <f t="shared" si="87"/>
        <v>0.28857842606892931</v>
      </c>
      <c r="Q306" s="52">
        <f t="shared" si="87"/>
        <v>0.26580201711314422</v>
      </c>
      <c r="R306" s="52">
        <f t="shared" si="87"/>
        <v>1.346353944517231</v>
      </c>
      <c r="S306" s="52">
        <f t="shared" si="87"/>
        <v>4.4190246402246478</v>
      </c>
      <c r="T306" s="52">
        <f t="shared" si="87"/>
        <v>6.8113925789109953</v>
      </c>
      <c r="U306" s="52">
        <f t="shared" si="87"/>
        <v>2.3084651742306836</v>
      </c>
      <c r="V306" s="52">
        <f t="shared" si="87"/>
        <v>1.8379587346498081</v>
      </c>
      <c r="W306" s="52">
        <f t="shared" si="87"/>
        <v>1.1310134781635151</v>
      </c>
      <c r="X306" s="52">
        <f t="shared" si="87"/>
        <v>0.16493934966010165</v>
      </c>
      <c r="Y306" s="52">
        <f t="shared" si="87"/>
        <v>0.16319563345766527</v>
      </c>
      <c r="Z306" s="52">
        <f t="shared" si="87"/>
        <v>0.43335827634191687</v>
      </c>
      <c r="AA306" s="52">
        <f t="shared" si="87"/>
        <v>0.63368603475218721</v>
      </c>
      <c r="AB306" s="52">
        <f t="shared" si="87"/>
        <v>0.22770341453442774</v>
      </c>
      <c r="AC306" s="52">
        <f t="shared" si="87"/>
        <v>0.41526185478352501</v>
      </c>
      <c r="AD306" s="52">
        <f t="shared" si="87"/>
        <v>1.5879964355235578</v>
      </c>
      <c r="AE306" s="52">
        <f t="shared" si="87"/>
        <v>2.2355339361410298</v>
      </c>
      <c r="AF306" s="52">
        <f t="shared" si="87"/>
        <v>0.91601718483825723</v>
      </c>
      <c r="AG306" s="52">
        <f t="shared" si="87"/>
        <v>1.7048639207537437</v>
      </c>
      <c r="AH306" s="52">
        <f t="shared" si="87"/>
        <v>0.60525394565233948</v>
      </c>
      <c r="AI306" s="52">
        <f t="shared" si="87"/>
        <v>1.911782064842571</v>
      </c>
      <c r="AJ306" s="52">
        <f t="shared" si="87"/>
        <v>0.55753842471169857</v>
      </c>
      <c r="AK306" s="52">
        <f t="shared" si="87"/>
        <v>0.82440559044619555</v>
      </c>
    </row>
    <row r="307" spans="3:37" x14ac:dyDescent="0.35">
      <c r="C307" s="39" t="s">
        <v>98</v>
      </c>
      <c r="D307" s="52">
        <f t="shared" si="88"/>
        <v>32.067930805979152</v>
      </c>
      <c r="E307" s="52">
        <f t="shared" si="87"/>
        <v>5.4420612253490424</v>
      </c>
      <c r="F307" s="52">
        <f t="shared" si="87"/>
        <v>4.7826877803925498</v>
      </c>
      <c r="G307" s="52">
        <f t="shared" si="87"/>
        <v>5.4568259536498873</v>
      </c>
      <c r="H307" s="52">
        <f t="shared" si="87"/>
        <v>1.3476837985509142</v>
      </c>
      <c r="I307" s="52">
        <f t="shared" si="87"/>
        <v>3.5956160735010281</v>
      </c>
      <c r="J307" s="52">
        <f t="shared" si="87"/>
        <v>1.9048484029859829</v>
      </c>
      <c r="K307" s="52">
        <f t="shared" si="87"/>
        <v>1.789296301912491</v>
      </c>
      <c r="L307" s="52">
        <f t="shared" si="87"/>
        <v>1.1655214470625732</v>
      </c>
      <c r="M307" s="52">
        <f t="shared" si="87"/>
        <v>0.52991844529973664</v>
      </c>
      <c r="N307" s="52">
        <f t="shared" si="87"/>
        <v>0.77062422764638694</v>
      </c>
      <c r="O307" s="52">
        <f t="shared" si="87"/>
        <v>1.0261130680504051</v>
      </c>
      <c r="P307" s="52">
        <f t="shared" si="87"/>
        <v>0.49802614709347609</v>
      </c>
      <c r="Q307" s="52">
        <f t="shared" si="87"/>
        <v>0.38492011129285553</v>
      </c>
      <c r="R307" s="52">
        <f t="shared" si="87"/>
        <v>2.0106254478596659</v>
      </c>
      <c r="S307" s="52">
        <f t="shared" si="87"/>
        <v>5.862266706872826</v>
      </c>
      <c r="T307" s="52">
        <f t="shared" si="87"/>
        <v>10.58113479859856</v>
      </c>
      <c r="U307" s="52">
        <f t="shared" si="87"/>
        <v>3.3394275129115596</v>
      </c>
      <c r="V307" s="52">
        <f t="shared" si="87"/>
        <v>3.1754255132468088</v>
      </c>
      <c r="W307" s="52">
        <f t="shared" si="87"/>
        <v>2.1877708137695526</v>
      </c>
      <c r="X307" s="52">
        <f t="shared" si="87"/>
        <v>0.20532815662986464</v>
      </c>
      <c r="Y307" s="52">
        <f t="shared" si="87"/>
        <v>0.36958089257792126</v>
      </c>
      <c r="Z307" s="52">
        <f t="shared" si="87"/>
        <v>0.71931403208716815</v>
      </c>
      <c r="AA307" s="52">
        <f t="shared" si="87"/>
        <v>0.97800754239274068</v>
      </c>
      <c r="AB307" s="52">
        <f t="shared" si="87"/>
        <v>0.44387068443534172</v>
      </c>
      <c r="AC307" s="52">
        <f t="shared" si="87"/>
        <v>0.54228252980412528</v>
      </c>
      <c r="AD307" s="52">
        <f t="shared" si="87"/>
        <v>2.6399263246783686</v>
      </c>
      <c r="AE307" s="52">
        <f t="shared" si="87"/>
        <v>4.1038582223773545</v>
      </c>
      <c r="AF307" s="52">
        <f t="shared" si="87"/>
        <v>1.4133411903769295</v>
      </c>
      <c r="AG307" s="52">
        <f t="shared" si="87"/>
        <v>2.2918127633428296</v>
      </c>
      <c r="AH307" s="52">
        <f t="shared" si="87"/>
        <v>1.3301821212423015</v>
      </c>
      <c r="AI307" s="52">
        <f t="shared" si="87"/>
        <v>2.8865819368488563</v>
      </c>
      <c r="AJ307" s="52">
        <f t="shared" si="87"/>
        <v>0.78510654357340981</v>
      </c>
      <c r="AK307" s="52">
        <f t="shared" si="87"/>
        <v>1.3785267958205902</v>
      </c>
    </row>
    <row r="308" spans="3:37" x14ac:dyDescent="0.35">
      <c r="C308" s="39" t="s">
        <v>97</v>
      </c>
      <c r="D308" s="52">
        <f t="shared" si="88"/>
        <v>17.562692063523752</v>
      </c>
      <c r="E308" s="52">
        <f t="shared" si="87"/>
        <v>3.2550039208417818</v>
      </c>
      <c r="F308" s="52">
        <f t="shared" si="87"/>
        <v>2.7957830015511438</v>
      </c>
      <c r="G308" s="52">
        <f t="shared" si="87"/>
        <v>2.2289445048939398</v>
      </c>
      <c r="H308" s="52">
        <f t="shared" si="87"/>
        <v>0.7662022575363272</v>
      </c>
      <c r="I308" s="52">
        <f t="shared" si="87"/>
        <v>2.2509953470011421</v>
      </c>
      <c r="J308" s="52">
        <f t="shared" si="87"/>
        <v>1.2328590079254718</v>
      </c>
      <c r="K308" s="52">
        <f t="shared" si="87"/>
        <v>1.1209572400281893</v>
      </c>
      <c r="L308" s="52">
        <f t="shared" si="87"/>
        <v>0.76661734700656414</v>
      </c>
      <c r="M308" s="52">
        <f t="shared" si="87"/>
        <v>0.31958511368588255</v>
      </c>
      <c r="N308" s="52">
        <f t="shared" si="87"/>
        <v>0.55405037591291806</v>
      </c>
      <c r="O308" s="52">
        <f t="shared" si="87"/>
        <v>0.63488620989453182</v>
      </c>
      <c r="P308" s="52">
        <f t="shared" si="87"/>
        <v>0.20737085166874292</v>
      </c>
      <c r="Q308" s="52">
        <f t="shared" si="87"/>
        <v>0.1892889490478202</v>
      </c>
      <c r="R308" s="52">
        <f t="shared" si="87"/>
        <v>1.2579828434858074</v>
      </c>
      <c r="S308" s="52">
        <f t="shared" si="87"/>
        <v>3.9518739472238682</v>
      </c>
      <c r="T308" s="52">
        <f t="shared" si="87"/>
        <v>6.0783889075623607</v>
      </c>
      <c r="U308" s="52">
        <f t="shared" si="87"/>
        <v>2.1247312352175651</v>
      </c>
      <c r="V308" s="52">
        <f t="shared" si="87"/>
        <v>1.4039293287500203</v>
      </c>
      <c r="W308" s="52">
        <f t="shared" si="87"/>
        <v>0.84722702044009324</v>
      </c>
      <c r="X308" s="52">
        <f t="shared" si="87"/>
        <v>0.11745252856397145</v>
      </c>
      <c r="Y308" s="52">
        <f t="shared" si="87"/>
        <v>0.21236843889798371</v>
      </c>
      <c r="Z308" s="52">
        <f t="shared" si="87"/>
        <v>0.30669795144872958</v>
      </c>
      <c r="AA308" s="52">
        <f t="shared" si="87"/>
        <v>0.54681711939170319</v>
      </c>
      <c r="AB308" s="52">
        <f t="shared" si="87"/>
        <v>0.27105974029581792</v>
      </c>
      <c r="AC308" s="52">
        <f t="shared" si="87"/>
        <v>0.32159588911802095</v>
      </c>
      <c r="AD308" s="52">
        <f t="shared" si="87"/>
        <v>1.2586195421056894</v>
      </c>
      <c r="AE308" s="52">
        <f t="shared" si="87"/>
        <v>1.6527379822917614</v>
      </c>
      <c r="AF308" s="52">
        <f t="shared" si="87"/>
        <v>0.74934051577102168</v>
      </c>
      <c r="AG308" s="52">
        <f t="shared" si="87"/>
        <v>1.5327143210333234</v>
      </c>
      <c r="AH308" s="52">
        <f t="shared" si="87"/>
        <v>0.57188710565893131</v>
      </c>
      <c r="AI308" s="52">
        <f t="shared" si="87"/>
        <v>1.8311449669444175</v>
      </c>
      <c r="AJ308" s="52">
        <f t="shared" si="87"/>
        <v>0.36325745486455524</v>
      </c>
      <c r="AK308" s="52">
        <f t="shared" si="87"/>
        <v>1.046151119664809</v>
      </c>
    </row>
    <row r="309" spans="3:37" x14ac:dyDescent="0.35">
      <c r="C309" s="37" t="s">
        <v>78</v>
      </c>
      <c r="D309" s="52">
        <f>D$301*D194</f>
        <v>407.24884644869144</v>
      </c>
      <c r="E309" s="52">
        <f t="shared" ref="E309:AK309" si="89">E$301*E194</f>
        <v>66.721874951685422</v>
      </c>
      <c r="F309" s="52">
        <f t="shared" si="89"/>
        <v>55.735597136973702</v>
      </c>
      <c r="G309" s="52">
        <f t="shared" si="89"/>
        <v>59.941518479896303</v>
      </c>
      <c r="H309" s="52">
        <f t="shared" si="89"/>
        <v>16.014671331517594</v>
      </c>
      <c r="I309" s="52">
        <f t="shared" si="89"/>
        <v>45.043189458321777</v>
      </c>
      <c r="J309" s="52">
        <f t="shared" si="89"/>
        <v>26.07113219544841</v>
      </c>
      <c r="K309" s="52">
        <f t="shared" si="89"/>
        <v>23.657571112851642</v>
      </c>
      <c r="L309" s="52">
        <f t="shared" si="89"/>
        <v>16.060723194690773</v>
      </c>
      <c r="M309" s="52">
        <f t="shared" si="89"/>
        <v>6.7502988570520399</v>
      </c>
      <c r="N309" s="52">
        <f t="shared" si="89"/>
        <v>10.290950750740427</v>
      </c>
      <c r="O309" s="52">
        <f t="shared" si="89"/>
        <v>15.95895136027773</v>
      </c>
      <c r="P309" s="52">
        <f t="shared" si="89"/>
        <v>5.8091484909708937</v>
      </c>
      <c r="Q309" s="52">
        <f t="shared" si="89"/>
        <v>4.6063520750909959</v>
      </c>
      <c r="R309" s="52">
        <f t="shared" si="89"/>
        <v>24.818765047137688</v>
      </c>
      <c r="S309" s="52">
        <f t="shared" si="89"/>
        <v>78.13816846021966</v>
      </c>
      <c r="T309" s="52">
        <f t="shared" si="89"/>
        <v>131.19145060262042</v>
      </c>
      <c r="U309" s="52">
        <f t="shared" si="89"/>
        <v>46.590710151889816</v>
      </c>
      <c r="V309" s="52">
        <f t="shared" si="89"/>
        <v>33.857534060371776</v>
      </c>
      <c r="W309" s="52">
        <f t="shared" si="89"/>
        <v>22.355984799669034</v>
      </c>
      <c r="X309" s="52">
        <f t="shared" si="89"/>
        <v>3.0215708085070445</v>
      </c>
      <c r="Y309" s="52">
        <f t="shared" si="89"/>
        <v>4.2425448172132301</v>
      </c>
      <c r="Z309" s="52">
        <f t="shared" si="89"/>
        <v>8.8463351973490454</v>
      </c>
      <c r="AA309" s="52">
        <f t="shared" si="89"/>
        <v>11.019890354592924</v>
      </c>
      <c r="AB309" s="52">
        <f t="shared" si="89"/>
        <v>5.1797588528984848</v>
      </c>
      <c r="AC309" s="52">
        <f t="shared" si="89"/>
        <v>7.3813723504445621</v>
      </c>
      <c r="AD309" s="52">
        <f t="shared" si="89"/>
        <v>30.384097591620201</v>
      </c>
      <c r="AE309" s="52">
        <f t="shared" si="89"/>
        <v>44.014351749423042</v>
      </c>
      <c r="AF309" s="52">
        <f t="shared" si="89"/>
        <v>15.246501483166634</v>
      </c>
      <c r="AG309" s="52">
        <f t="shared" si="89"/>
        <v>31.144301678885203</v>
      </c>
      <c r="AH309" s="52">
        <f t="shared" si="89"/>
        <v>15.378425416628335</v>
      </c>
      <c r="AI309" s="52">
        <f t="shared" si="89"/>
        <v>35.365531812248186</v>
      </c>
      <c r="AJ309" s="52">
        <f t="shared" si="89"/>
        <v>10.659466119159381</v>
      </c>
      <c r="AK309" s="52">
        <f t="shared" si="89"/>
        <v>20.305484727378317</v>
      </c>
    </row>
    <row r="310" spans="3:37" x14ac:dyDescent="0.35">
      <c r="C310" s="39" t="s">
        <v>93</v>
      </c>
      <c r="D310" s="52">
        <f>D$309*D195</f>
        <v>238.08171570097778</v>
      </c>
      <c r="E310" s="52">
        <f t="shared" ref="E310:AK315" si="90">E$309*E195</f>
        <v>39.733538440698759</v>
      </c>
      <c r="F310" s="52">
        <f t="shared" si="90"/>
        <v>31.284943591801252</v>
      </c>
      <c r="G310" s="52">
        <f t="shared" si="90"/>
        <v>36.492991093755599</v>
      </c>
      <c r="H310" s="52">
        <f t="shared" si="90"/>
        <v>8.9955997586865308</v>
      </c>
      <c r="I310" s="52">
        <f t="shared" si="90"/>
        <v>25.859741913994394</v>
      </c>
      <c r="J310" s="52">
        <f t="shared" si="90"/>
        <v>15.009409440698857</v>
      </c>
      <c r="K310" s="52">
        <f t="shared" si="90"/>
        <v>14.123804646686255</v>
      </c>
      <c r="L310" s="52">
        <f t="shared" si="90"/>
        <v>9.1676201281550007</v>
      </c>
      <c r="M310" s="52">
        <f t="shared" si="90"/>
        <v>3.7903597738268431</v>
      </c>
      <c r="N310" s="52">
        <f t="shared" si="90"/>
        <v>6.0347156104712454</v>
      </c>
      <c r="O310" s="52">
        <f t="shared" si="90"/>
        <v>8.8174789455627423</v>
      </c>
      <c r="P310" s="52">
        <f t="shared" si="90"/>
        <v>3.4100277932140761</v>
      </c>
      <c r="Q310" s="52">
        <f t="shared" si="90"/>
        <v>2.5533466520284831</v>
      </c>
      <c r="R310" s="52">
        <f t="shared" si="90"/>
        <v>14.432358086720196</v>
      </c>
      <c r="S310" s="52">
        <f t="shared" si="90"/>
        <v>44.203537058991586</v>
      </c>
      <c r="T310" s="52">
        <f t="shared" si="90"/>
        <v>74.898500619290445</v>
      </c>
      <c r="U310" s="52">
        <f t="shared" si="90"/>
        <v>27.721934738353941</v>
      </c>
      <c r="V310" s="52">
        <f t="shared" si="90"/>
        <v>19.12307111721444</v>
      </c>
      <c r="W310" s="52">
        <f t="shared" si="90"/>
        <v>13.655257295708818</v>
      </c>
      <c r="X310" s="52">
        <f t="shared" si="90"/>
        <v>1.7507281016075067</v>
      </c>
      <c r="Y310" s="52">
        <f t="shared" si="90"/>
        <v>2.4653848809785468</v>
      </c>
      <c r="Z310" s="52">
        <f t="shared" si="90"/>
        <v>5.1628089802613744</v>
      </c>
      <c r="AA310" s="52">
        <f t="shared" si="90"/>
        <v>6.123862391648947</v>
      </c>
      <c r="AB310" s="52">
        <f t="shared" si="90"/>
        <v>2.8654939826474122</v>
      </c>
      <c r="AC310" s="52">
        <f t="shared" si="90"/>
        <v>4.4370161459390403</v>
      </c>
      <c r="AD310" s="52">
        <f t="shared" si="90"/>
        <v>17.380005244481453</v>
      </c>
      <c r="AE310" s="52">
        <f t="shared" si="90"/>
        <v>25.000588433173625</v>
      </c>
      <c r="AF310" s="52">
        <f t="shared" si="90"/>
        <v>8.4284172711237204</v>
      </c>
      <c r="AG310" s="52">
        <f t="shared" si="90"/>
        <v>17.640441434515726</v>
      </c>
      <c r="AH310" s="52">
        <f t="shared" si="90"/>
        <v>9.0380531773184458</v>
      </c>
      <c r="AI310" s="52">
        <f t="shared" si="90"/>
        <v>20.020778398754821</v>
      </c>
      <c r="AJ310" s="52">
        <f t="shared" si="90"/>
        <v>6.3808621649817576</v>
      </c>
      <c r="AK310" s="52">
        <f t="shared" si="90"/>
        <v>11.584480475281458</v>
      </c>
    </row>
    <row r="311" spans="3:37" x14ac:dyDescent="0.35">
      <c r="C311" s="39" t="s">
        <v>94</v>
      </c>
      <c r="D311" s="52">
        <f t="shared" ref="D311:S315" si="91">D$309*D196</f>
        <v>52.481696185619754</v>
      </c>
      <c r="E311" s="52">
        <f t="shared" si="91"/>
        <v>7.6309050386463539</v>
      </c>
      <c r="F311" s="52">
        <f t="shared" si="91"/>
        <v>7.0543912110413585</v>
      </c>
      <c r="G311" s="52">
        <f t="shared" si="91"/>
        <v>8.3060281190247913</v>
      </c>
      <c r="H311" s="52">
        <f t="shared" si="91"/>
        <v>2.3216287094166868</v>
      </c>
      <c r="I311" s="52">
        <f t="shared" si="91"/>
        <v>5.827186248778176</v>
      </c>
      <c r="J311" s="52">
        <f t="shared" si="91"/>
        <v>3.4431848108681695</v>
      </c>
      <c r="K311" s="52">
        <f t="shared" si="91"/>
        <v>2.6843977179235821</v>
      </c>
      <c r="L311" s="52">
        <f t="shared" si="91"/>
        <v>1.9283927881557508</v>
      </c>
      <c r="M311" s="52">
        <f t="shared" si="91"/>
        <v>0.92120561632546383</v>
      </c>
      <c r="N311" s="52">
        <f t="shared" si="91"/>
        <v>1.4486454461175362</v>
      </c>
      <c r="O311" s="52">
        <f t="shared" si="91"/>
        <v>2.1060846808032667</v>
      </c>
      <c r="P311" s="52">
        <f t="shared" si="91"/>
        <v>0.81077625538495934</v>
      </c>
      <c r="Q311" s="52">
        <f t="shared" si="91"/>
        <v>0.5282051593911633</v>
      </c>
      <c r="R311" s="52">
        <f t="shared" si="91"/>
        <v>2.9452146527144274</v>
      </c>
      <c r="S311" s="52">
        <f t="shared" si="91"/>
        <v>10.882213952363815</v>
      </c>
      <c r="T311" s="52">
        <f t="shared" si="90"/>
        <v>15.922557319215322</v>
      </c>
      <c r="U311" s="52">
        <f t="shared" si="90"/>
        <v>5.9901146747182272</v>
      </c>
      <c r="V311" s="52">
        <f t="shared" si="90"/>
        <v>4.2988526356964725</v>
      </c>
      <c r="W311" s="52">
        <f t="shared" si="90"/>
        <v>2.9860634921109734</v>
      </c>
      <c r="X311" s="52">
        <f t="shared" si="90"/>
        <v>0.4002640523387222</v>
      </c>
      <c r="Y311" s="52">
        <f t="shared" si="90"/>
        <v>0.52848898812501244</v>
      </c>
      <c r="Z311" s="52">
        <f t="shared" si="90"/>
        <v>1.0338611446096431</v>
      </c>
      <c r="AA311" s="52">
        <f t="shared" si="90"/>
        <v>1.5931330293853723</v>
      </c>
      <c r="AB311" s="52">
        <f t="shared" si="90"/>
        <v>0.75660149116294162</v>
      </c>
      <c r="AC311" s="52">
        <f t="shared" si="90"/>
        <v>0.94753838299728343</v>
      </c>
      <c r="AD311" s="52">
        <f t="shared" si="90"/>
        <v>4.2528276219576364</v>
      </c>
      <c r="AE311" s="52">
        <f t="shared" si="90"/>
        <v>6.2398646448848298</v>
      </c>
      <c r="AF311" s="52">
        <f t="shared" si="90"/>
        <v>2.0791480864275806</v>
      </c>
      <c r="AG311" s="52">
        <f t="shared" si="90"/>
        <v>4.4682375802961776</v>
      </c>
      <c r="AH311" s="52">
        <f t="shared" si="90"/>
        <v>1.8679998646534264</v>
      </c>
      <c r="AI311" s="52">
        <f t="shared" si="90"/>
        <v>4.1684950575955799</v>
      </c>
      <c r="AJ311" s="52">
        <f t="shared" si="90"/>
        <v>1.2212429235549527</v>
      </c>
      <c r="AK311" s="52">
        <f t="shared" si="90"/>
        <v>2.5720726823126951</v>
      </c>
    </row>
    <row r="312" spans="3:37" x14ac:dyDescent="0.35">
      <c r="C312" s="39" t="s">
        <v>95</v>
      </c>
      <c r="D312" s="52">
        <f t="shared" si="91"/>
        <v>38.860158164615413</v>
      </c>
      <c r="E312" s="52">
        <f t="shared" si="90"/>
        <v>7.1072916528547951</v>
      </c>
      <c r="F312" s="52">
        <f t="shared" si="90"/>
        <v>5.7698137822065831</v>
      </c>
      <c r="G312" s="52">
        <f t="shared" si="90"/>
        <v>5.1562390736459278</v>
      </c>
      <c r="H312" s="52">
        <f t="shared" si="90"/>
        <v>1.484898935430262</v>
      </c>
      <c r="I312" s="52">
        <f t="shared" si="90"/>
        <v>4.6584189954392174</v>
      </c>
      <c r="J312" s="52">
        <f t="shared" si="90"/>
        <v>2.3260967099863432</v>
      </c>
      <c r="K312" s="52">
        <f t="shared" si="90"/>
        <v>2.1344135566729823</v>
      </c>
      <c r="L312" s="52">
        <f t="shared" si="90"/>
        <v>1.6208668478939148</v>
      </c>
      <c r="M312" s="52">
        <f t="shared" si="90"/>
        <v>0.67449770586472391</v>
      </c>
      <c r="N312" s="52">
        <f t="shared" si="90"/>
        <v>0.91919967947753933</v>
      </c>
      <c r="O312" s="52">
        <f t="shared" si="90"/>
        <v>1.7223085756246939</v>
      </c>
      <c r="P312" s="52">
        <f t="shared" si="90"/>
        <v>0.57813320824199566</v>
      </c>
      <c r="Q312" s="52">
        <f t="shared" si="90"/>
        <v>0.49574096305308474</v>
      </c>
      <c r="R312" s="52">
        <f t="shared" si="90"/>
        <v>2.5022567322692648</v>
      </c>
      <c r="S312" s="52">
        <f t="shared" si="90"/>
        <v>7.5576144525802098</v>
      </c>
      <c r="T312" s="52">
        <f t="shared" si="90"/>
        <v>13.082563902850373</v>
      </c>
      <c r="U312" s="52">
        <f t="shared" si="90"/>
        <v>4.3013085011517145</v>
      </c>
      <c r="V312" s="52">
        <f t="shared" si="90"/>
        <v>3.5760720910185748</v>
      </c>
      <c r="W312" s="52">
        <f t="shared" si="90"/>
        <v>1.7889518820551504</v>
      </c>
      <c r="X312" s="52">
        <f t="shared" si="90"/>
        <v>0.26626433080976025</v>
      </c>
      <c r="Y312" s="52">
        <f t="shared" si="90"/>
        <v>0.3848885957934417</v>
      </c>
      <c r="Z312" s="52">
        <f t="shared" si="90"/>
        <v>0.94939897311037547</v>
      </c>
      <c r="AA312" s="52">
        <f t="shared" si="90"/>
        <v>1.0989162716330751</v>
      </c>
      <c r="AB312" s="52">
        <f t="shared" si="90"/>
        <v>0.42795769547569734</v>
      </c>
      <c r="AC312" s="52">
        <f t="shared" si="90"/>
        <v>0.67333736320367965</v>
      </c>
      <c r="AD312" s="52">
        <f t="shared" si="90"/>
        <v>2.6197522016648036</v>
      </c>
      <c r="AE312" s="52">
        <f t="shared" si="90"/>
        <v>3.8433843408761268</v>
      </c>
      <c r="AF312" s="52">
        <f t="shared" si="90"/>
        <v>1.5798602006191853</v>
      </c>
      <c r="AG312" s="52">
        <f t="shared" si="90"/>
        <v>2.6977556021223625</v>
      </c>
      <c r="AH312" s="52">
        <f t="shared" si="90"/>
        <v>1.5074111295712944</v>
      </c>
      <c r="AI312" s="52">
        <f t="shared" si="90"/>
        <v>3.9616879695128659</v>
      </c>
      <c r="AJ312" s="52">
        <f t="shared" si="90"/>
        <v>1.1482500770041657</v>
      </c>
      <c r="AK312" s="52">
        <f t="shared" si="90"/>
        <v>1.7426402949410826</v>
      </c>
    </row>
    <row r="313" spans="3:37" x14ac:dyDescent="0.35">
      <c r="C313" s="39" t="s">
        <v>96</v>
      </c>
      <c r="D313" s="52">
        <f t="shared" si="91"/>
        <v>23.459848908753671</v>
      </c>
      <c r="E313" s="52">
        <f t="shared" si="90"/>
        <v>3.8635758970912666</v>
      </c>
      <c r="F313" s="52">
        <f t="shared" si="90"/>
        <v>3.8962351163994366</v>
      </c>
      <c r="G313" s="52">
        <f t="shared" si="90"/>
        <v>3.0513640792977563</v>
      </c>
      <c r="H313" s="52">
        <f t="shared" si="90"/>
        <v>0.85847743242346308</v>
      </c>
      <c r="I313" s="52">
        <f t="shared" si="90"/>
        <v>2.297458748791037</v>
      </c>
      <c r="J313" s="52">
        <f t="shared" si="90"/>
        <v>1.3271688523288834</v>
      </c>
      <c r="K313" s="52">
        <f t="shared" si="90"/>
        <v>1.6419699368665621</v>
      </c>
      <c r="L313" s="52">
        <f t="shared" si="90"/>
        <v>0.94606790704248911</v>
      </c>
      <c r="M313" s="52">
        <f t="shared" si="90"/>
        <v>0.35915427702467495</v>
      </c>
      <c r="N313" s="52">
        <f t="shared" si="90"/>
        <v>0.60825369705289811</v>
      </c>
      <c r="O313" s="52">
        <f t="shared" si="90"/>
        <v>1.0581692074528475</v>
      </c>
      <c r="P313" s="52">
        <f t="shared" si="90"/>
        <v>0.29629960009729267</v>
      </c>
      <c r="Q313" s="52">
        <f t="shared" si="90"/>
        <v>0.32201019878484521</v>
      </c>
      <c r="R313" s="52">
        <f t="shared" si="90"/>
        <v>1.2485249853026974</v>
      </c>
      <c r="S313" s="52">
        <f t="shared" si="90"/>
        <v>4.5558994642740576</v>
      </c>
      <c r="T313" s="52">
        <f t="shared" si="90"/>
        <v>8.5806667390729352</v>
      </c>
      <c r="U313" s="52">
        <f t="shared" si="90"/>
        <v>3.2522964532194143</v>
      </c>
      <c r="V313" s="52">
        <f t="shared" si="90"/>
        <v>2.0959738503580616</v>
      </c>
      <c r="W313" s="52">
        <f t="shared" si="90"/>
        <v>1.1715807051601188</v>
      </c>
      <c r="X313" s="52">
        <f t="shared" si="90"/>
        <v>0.16680788732519722</v>
      </c>
      <c r="Y313" s="52">
        <f t="shared" si="90"/>
        <v>0.21596965155957976</v>
      </c>
      <c r="Z313" s="52">
        <f t="shared" si="90"/>
        <v>0.49544506558681828</v>
      </c>
      <c r="AA313" s="52">
        <f t="shared" si="90"/>
        <v>0.67668391973485398</v>
      </c>
      <c r="AB313" s="52">
        <f t="shared" si="90"/>
        <v>0.3522530507528262</v>
      </c>
      <c r="AC313" s="52">
        <f t="shared" si="90"/>
        <v>0.37427754387240475</v>
      </c>
      <c r="AD313" s="52">
        <f t="shared" si="90"/>
        <v>2.0845218390949567</v>
      </c>
      <c r="AE313" s="52">
        <f t="shared" si="90"/>
        <v>2.7951615731997932</v>
      </c>
      <c r="AF313" s="52">
        <f t="shared" si="90"/>
        <v>0.7791829075274509</v>
      </c>
      <c r="AG313" s="52">
        <f t="shared" si="90"/>
        <v>1.7722878318667026</v>
      </c>
      <c r="AH313" s="52">
        <f t="shared" si="90"/>
        <v>0.9535498076026776</v>
      </c>
      <c r="AI313" s="52">
        <f t="shared" si="90"/>
        <v>2.4121303351153922</v>
      </c>
      <c r="AJ313" s="52">
        <f t="shared" si="90"/>
        <v>0.54582526812492627</v>
      </c>
      <c r="AK313" s="52">
        <f t="shared" si="90"/>
        <v>1.1494058794110511</v>
      </c>
    </row>
    <row r="314" spans="3:37" x14ac:dyDescent="0.35">
      <c r="C314" s="39" t="s">
        <v>98</v>
      </c>
      <c r="D314" s="52">
        <f t="shared" si="91"/>
        <v>34.868331008476162</v>
      </c>
      <c r="E314" s="52">
        <f t="shared" si="90"/>
        <v>4.7652246640484384</v>
      </c>
      <c r="F314" s="52">
        <f t="shared" si="90"/>
        <v>4.4654929013661544</v>
      </c>
      <c r="G314" s="52">
        <f t="shared" si="90"/>
        <v>4.4008598900196132</v>
      </c>
      <c r="H314" s="52">
        <f t="shared" si="90"/>
        <v>1.4880708642242226</v>
      </c>
      <c r="I314" s="52">
        <f t="shared" si="90"/>
        <v>4.5232022204437685</v>
      </c>
      <c r="J314" s="52">
        <f t="shared" si="90"/>
        <v>2.6727922927341727</v>
      </c>
      <c r="K314" s="52">
        <f t="shared" si="90"/>
        <v>2.0823210975883848</v>
      </c>
      <c r="L314" s="52">
        <f t="shared" si="90"/>
        <v>1.5887143068727105</v>
      </c>
      <c r="M314" s="52">
        <f t="shared" si="90"/>
        <v>0.66098403912159109</v>
      </c>
      <c r="N314" s="52">
        <f t="shared" si="90"/>
        <v>0.73497173707192609</v>
      </c>
      <c r="O314" s="52">
        <f t="shared" si="90"/>
        <v>1.5962019622837396</v>
      </c>
      <c r="P314" s="52">
        <f t="shared" si="90"/>
        <v>0.40849482540652765</v>
      </c>
      <c r="Q314" s="52">
        <f t="shared" si="90"/>
        <v>0.46763329719003444</v>
      </c>
      <c r="R314" s="52">
        <f t="shared" si="90"/>
        <v>2.3657054737247418</v>
      </c>
      <c r="S314" s="52">
        <f t="shared" si="90"/>
        <v>6.6354327840413871</v>
      </c>
      <c r="T314" s="52">
        <f t="shared" si="90"/>
        <v>11.219391308890506</v>
      </c>
      <c r="U314" s="52">
        <f t="shared" si="90"/>
        <v>3.4206538765571857</v>
      </c>
      <c r="V314" s="52">
        <f t="shared" si="90"/>
        <v>3.0275144887953274</v>
      </c>
      <c r="W314" s="52">
        <f t="shared" si="90"/>
        <v>1.8470341598559223</v>
      </c>
      <c r="X314" s="52">
        <f t="shared" si="90"/>
        <v>0.29526556060871584</v>
      </c>
      <c r="Y314" s="52">
        <f t="shared" si="90"/>
        <v>0.41033565084685364</v>
      </c>
      <c r="Z314" s="52">
        <f t="shared" si="90"/>
        <v>0.67426082137756982</v>
      </c>
      <c r="AA314" s="52">
        <f t="shared" si="90"/>
        <v>1.0768551556808152</v>
      </c>
      <c r="AB314" s="52">
        <f t="shared" si="90"/>
        <v>0.52791701297785809</v>
      </c>
      <c r="AC314" s="52">
        <f t="shared" si="90"/>
        <v>0.54045837006625463</v>
      </c>
      <c r="AD314" s="52">
        <f t="shared" si="90"/>
        <v>2.2429305658882712</v>
      </c>
      <c r="AE314" s="52">
        <f t="shared" si="90"/>
        <v>3.658438848806524</v>
      </c>
      <c r="AF314" s="52">
        <f t="shared" si="90"/>
        <v>1.491400973772562</v>
      </c>
      <c r="AG314" s="52">
        <f t="shared" si="90"/>
        <v>2.7568694778659624</v>
      </c>
      <c r="AH314" s="52">
        <f t="shared" si="90"/>
        <v>1.1721316818310012</v>
      </c>
      <c r="AI314" s="52">
        <f t="shared" si="90"/>
        <v>2.900653545115921</v>
      </c>
      <c r="AJ314" s="52">
        <f t="shared" si="90"/>
        <v>0.82204977632018505</v>
      </c>
      <c r="AK314" s="52">
        <f t="shared" si="90"/>
        <v>2.0674887378057361</v>
      </c>
    </row>
    <row r="315" spans="3:37" x14ac:dyDescent="0.35">
      <c r="C315" s="39" t="s">
        <v>97</v>
      </c>
      <c r="D315" s="52">
        <f t="shared" si="91"/>
        <v>19.497096480248647</v>
      </c>
      <c r="E315" s="52">
        <f t="shared" si="90"/>
        <v>3.6213392583458068</v>
      </c>
      <c r="F315" s="52">
        <f t="shared" si="90"/>
        <v>3.2647205341589172</v>
      </c>
      <c r="G315" s="52">
        <f t="shared" si="90"/>
        <v>2.5340362241526138</v>
      </c>
      <c r="H315" s="52">
        <f t="shared" si="90"/>
        <v>0.86599563133642776</v>
      </c>
      <c r="I315" s="52">
        <f t="shared" si="90"/>
        <v>1.8771813308751786</v>
      </c>
      <c r="J315" s="52">
        <f t="shared" si="90"/>
        <v>1.2924800888319834</v>
      </c>
      <c r="K315" s="52">
        <f t="shared" si="90"/>
        <v>0.9906641571138769</v>
      </c>
      <c r="L315" s="52">
        <f t="shared" si="90"/>
        <v>0.8090612165709079</v>
      </c>
      <c r="M315" s="52">
        <f t="shared" si="90"/>
        <v>0.34409744488874289</v>
      </c>
      <c r="N315" s="52">
        <f t="shared" si="90"/>
        <v>0.5451645805492823</v>
      </c>
      <c r="O315" s="52">
        <f t="shared" si="90"/>
        <v>0.65870798855044033</v>
      </c>
      <c r="P315" s="52">
        <f t="shared" si="90"/>
        <v>0.30541680862604237</v>
      </c>
      <c r="Q315" s="52">
        <f t="shared" si="90"/>
        <v>0.23941580464338502</v>
      </c>
      <c r="R315" s="52">
        <f t="shared" si="90"/>
        <v>1.3247051164063608</v>
      </c>
      <c r="S315" s="52">
        <f t="shared" si="90"/>
        <v>4.3034707479685954</v>
      </c>
      <c r="T315" s="52">
        <f t="shared" si="90"/>
        <v>7.4877707133008418</v>
      </c>
      <c r="U315" s="52">
        <f t="shared" si="90"/>
        <v>1.9044019078893348</v>
      </c>
      <c r="V315" s="52">
        <f t="shared" si="90"/>
        <v>1.7360498772889021</v>
      </c>
      <c r="W315" s="52">
        <f t="shared" si="90"/>
        <v>0.90709726477805142</v>
      </c>
      <c r="X315" s="52">
        <f t="shared" si="90"/>
        <v>0.14224087581714218</v>
      </c>
      <c r="Y315" s="52">
        <f t="shared" si="90"/>
        <v>0.23747704990979565</v>
      </c>
      <c r="Z315" s="52">
        <f t="shared" si="90"/>
        <v>0.5305602124032639</v>
      </c>
      <c r="AA315" s="52">
        <f t="shared" si="90"/>
        <v>0.45043958650986121</v>
      </c>
      <c r="AB315" s="52">
        <f t="shared" si="90"/>
        <v>0.24953561988174894</v>
      </c>
      <c r="AC315" s="52">
        <f t="shared" si="90"/>
        <v>0.40874454436589924</v>
      </c>
      <c r="AD315" s="52">
        <f t="shared" si="90"/>
        <v>1.8040601185330771</v>
      </c>
      <c r="AE315" s="52">
        <f t="shared" si="90"/>
        <v>2.4769139084821457</v>
      </c>
      <c r="AF315" s="52">
        <f t="shared" si="90"/>
        <v>0.88849204369613632</v>
      </c>
      <c r="AG315" s="52">
        <f t="shared" si="90"/>
        <v>1.8087097522182733</v>
      </c>
      <c r="AH315" s="52">
        <f t="shared" si="90"/>
        <v>0.8392797556514896</v>
      </c>
      <c r="AI315" s="52">
        <f t="shared" si="90"/>
        <v>1.901786506153605</v>
      </c>
      <c r="AJ315" s="52">
        <f t="shared" si="90"/>
        <v>0.54123590917339315</v>
      </c>
      <c r="AK315" s="52">
        <f t="shared" si="90"/>
        <v>1.189396657626296</v>
      </c>
    </row>
    <row r="316" spans="3:37" x14ac:dyDescent="0.35">
      <c r="C316" s="37" t="s">
        <v>79</v>
      </c>
      <c r="D316" s="52">
        <f>D$301*D201</f>
        <v>167.36405044911757</v>
      </c>
      <c r="E316" s="52">
        <f t="shared" ref="E316:AK316" si="92">E$301*E201</f>
        <v>27.024225013890533</v>
      </c>
      <c r="F316" s="52">
        <f t="shared" si="92"/>
        <v>22.208608471625855</v>
      </c>
      <c r="G316" s="52">
        <f t="shared" si="92"/>
        <v>25.4226826623919</v>
      </c>
      <c r="H316" s="52">
        <f t="shared" si="92"/>
        <v>6.7862964440350249</v>
      </c>
      <c r="I316" s="52">
        <f t="shared" si="92"/>
        <v>16.89903583043645</v>
      </c>
      <c r="J316" s="52">
        <f t="shared" si="92"/>
        <v>10.505164275325464</v>
      </c>
      <c r="K316" s="52">
        <f t="shared" si="92"/>
        <v>8.9068553796321321</v>
      </c>
      <c r="L316" s="52">
        <f t="shared" si="92"/>
        <v>6.4953238379821379</v>
      </c>
      <c r="M316" s="52">
        <f t="shared" si="92"/>
        <v>2.6102763321277664</v>
      </c>
      <c r="N316" s="52">
        <f t="shared" si="92"/>
        <v>4.5725726821014572</v>
      </c>
      <c r="O316" s="52">
        <f t="shared" si="92"/>
        <v>6.6276934857779812</v>
      </c>
      <c r="P316" s="52">
        <f t="shared" si="92"/>
        <v>2.5132223132568763</v>
      </c>
      <c r="Q316" s="52">
        <f t="shared" si="92"/>
        <v>1.8006201745916868</v>
      </c>
      <c r="R316" s="52">
        <f t="shared" si="92"/>
        <v>10.655979242815237</v>
      </c>
      <c r="S316" s="52">
        <f t="shared" si="92"/>
        <v>30.172639266580379</v>
      </c>
      <c r="T316" s="52">
        <f t="shared" si="92"/>
        <v>59.776615423396308</v>
      </c>
      <c r="U316" s="52">
        <f t="shared" si="92"/>
        <v>19.639369911038763</v>
      </c>
      <c r="V316" s="52">
        <f t="shared" si="92"/>
        <v>13.643990968099667</v>
      </c>
      <c r="W316" s="52">
        <f t="shared" si="92"/>
        <v>9.3198887370070693</v>
      </c>
      <c r="X316" s="52">
        <f t="shared" si="92"/>
        <v>1.2389219760094308</v>
      </c>
      <c r="Y316" s="52">
        <f t="shared" si="92"/>
        <v>1.6746164363576157</v>
      </c>
      <c r="Z316" s="52">
        <f t="shared" si="92"/>
        <v>3.6620561690055449</v>
      </c>
      <c r="AA316" s="52">
        <f t="shared" si="92"/>
        <v>4.7519369116499135</v>
      </c>
      <c r="AB316" s="52">
        <f t="shared" si="92"/>
        <v>2.0552774330722889</v>
      </c>
      <c r="AC316" s="52">
        <f t="shared" si="92"/>
        <v>3.2384402148449523</v>
      </c>
      <c r="AD316" s="52">
        <f t="shared" si="92"/>
        <v>12.306369877066691</v>
      </c>
      <c r="AE316" s="52">
        <f t="shared" si="92"/>
        <v>16.636366684948339</v>
      </c>
      <c r="AF316" s="52">
        <f t="shared" si="92"/>
        <v>6.0605659101576697</v>
      </c>
      <c r="AG316" s="52">
        <f t="shared" si="92"/>
        <v>13.457215411501403</v>
      </c>
      <c r="AH316" s="52">
        <f t="shared" si="92"/>
        <v>6.3908597725219538</v>
      </c>
      <c r="AI316" s="52">
        <f t="shared" si="92"/>
        <v>14.871254404319737</v>
      </c>
      <c r="AJ316" s="52">
        <f t="shared" si="92"/>
        <v>4.3618311646199732</v>
      </c>
      <c r="AK316" s="52">
        <f t="shared" si="92"/>
        <v>8.238248462265144</v>
      </c>
    </row>
    <row r="317" spans="3:37" x14ac:dyDescent="0.35">
      <c r="C317" s="39" t="s">
        <v>93</v>
      </c>
      <c r="D317" s="52">
        <f>D$316*D202</f>
        <v>97.42152779840238</v>
      </c>
      <c r="E317" s="52">
        <f t="shared" ref="E317:AK322" si="93">E$316*E202</f>
        <v>15.692792114621433</v>
      </c>
      <c r="F317" s="52">
        <f t="shared" si="93"/>
        <v>11.968075001301564</v>
      </c>
      <c r="G317" s="52">
        <f t="shared" si="93"/>
        <v>15.04243637225254</v>
      </c>
      <c r="H317" s="52">
        <f t="shared" si="93"/>
        <v>4.0914140921542712</v>
      </c>
      <c r="I317" s="52">
        <f t="shared" si="93"/>
        <v>9.8249897797573649</v>
      </c>
      <c r="J317" s="52">
        <f t="shared" si="93"/>
        <v>5.7136906849348135</v>
      </c>
      <c r="K317" s="52">
        <f t="shared" si="93"/>
        <v>5.2469707106058499</v>
      </c>
      <c r="L317" s="52">
        <f t="shared" si="93"/>
        <v>3.6782597435164708</v>
      </c>
      <c r="M317" s="52">
        <f t="shared" si="93"/>
        <v>1.4875795444900812</v>
      </c>
      <c r="N317" s="52">
        <f t="shared" si="93"/>
        <v>2.8345081357759065</v>
      </c>
      <c r="O317" s="52">
        <f t="shared" si="93"/>
        <v>3.9228887693978427</v>
      </c>
      <c r="P317" s="52">
        <f t="shared" si="93"/>
        <v>1.4707213902786951</v>
      </c>
      <c r="Q317" s="52">
        <f t="shared" si="93"/>
        <v>1.0477691959870032</v>
      </c>
      <c r="R317" s="52">
        <f t="shared" si="93"/>
        <v>5.9182617284581802</v>
      </c>
      <c r="S317" s="52">
        <f t="shared" si="93"/>
        <v>17.264588408410212</v>
      </c>
      <c r="T317" s="52">
        <f t="shared" si="93"/>
        <v>35.734072830112403</v>
      </c>
      <c r="U317" s="52">
        <f t="shared" si="93"/>
        <v>11.24537577791267</v>
      </c>
      <c r="V317" s="52">
        <f t="shared" si="93"/>
        <v>8.0389509472177352</v>
      </c>
      <c r="W317" s="52">
        <f t="shared" si="93"/>
        <v>5.2712685960836989</v>
      </c>
      <c r="X317" s="52">
        <f t="shared" si="93"/>
        <v>0.73058425031218421</v>
      </c>
      <c r="Y317" s="52">
        <f t="shared" si="93"/>
        <v>0.98801283143821594</v>
      </c>
      <c r="Z317" s="52">
        <f t="shared" si="93"/>
        <v>2.1561949104816311</v>
      </c>
      <c r="AA317" s="52">
        <f t="shared" si="93"/>
        <v>2.7271057599040152</v>
      </c>
      <c r="AB317" s="52">
        <f t="shared" si="93"/>
        <v>1.2553501201288826</v>
      </c>
      <c r="AC317" s="52">
        <f t="shared" si="93"/>
        <v>1.7901887376363641</v>
      </c>
      <c r="AD317" s="52">
        <f t="shared" si="93"/>
        <v>7.04777817677485</v>
      </c>
      <c r="AE317" s="52">
        <f t="shared" si="93"/>
        <v>9.2613573858225173</v>
      </c>
      <c r="AF317" s="52">
        <f t="shared" si="93"/>
        <v>3.4635740927176553</v>
      </c>
      <c r="AG317" s="52">
        <f t="shared" si="93"/>
        <v>8.2801373234328715</v>
      </c>
      <c r="AH317" s="52">
        <f t="shared" si="93"/>
        <v>3.922029174295468</v>
      </c>
      <c r="AI317" s="52">
        <f t="shared" si="93"/>
        <v>8.4794927668642224</v>
      </c>
      <c r="AJ317" s="52">
        <f t="shared" si="93"/>
        <v>2.66723145473589</v>
      </c>
      <c r="AK317" s="52">
        <f t="shared" si="93"/>
        <v>4.8226171946359768</v>
      </c>
    </row>
    <row r="318" spans="3:37" x14ac:dyDescent="0.35">
      <c r="C318" s="39" t="s">
        <v>94</v>
      </c>
      <c r="D318" s="52">
        <f t="shared" ref="D318:S322" si="94">D$316*D203</f>
        <v>19.329541709022489</v>
      </c>
      <c r="E318" s="52">
        <f t="shared" si="94"/>
        <v>2.8887271964253931</v>
      </c>
      <c r="F318" s="52">
        <f t="shared" si="94"/>
        <v>2.4805680580549159</v>
      </c>
      <c r="G318" s="52">
        <f t="shared" si="94"/>
        <v>3.3175072576392797</v>
      </c>
      <c r="H318" s="52">
        <f t="shared" si="94"/>
        <v>0.85774707434564423</v>
      </c>
      <c r="I318" s="52">
        <f t="shared" si="94"/>
        <v>1.8013356300758885</v>
      </c>
      <c r="J318" s="52">
        <f t="shared" si="94"/>
        <v>1.3792649169989821</v>
      </c>
      <c r="K318" s="52">
        <f t="shared" si="94"/>
        <v>1.0001863150999883</v>
      </c>
      <c r="L318" s="52">
        <f t="shared" si="94"/>
        <v>0.76835776305013115</v>
      </c>
      <c r="M318" s="52">
        <f t="shared" si="94"/>
        <v>0.34062536952829831</v>
      </c>
      <c r="N318" s="52">
        <f t="shared" si="94"/>
        <v>0.49518213320880833</v>
      </c>
      <c r="O318" s="52">
        <f t="shared" si="94"/>
        <v>0.70050735871643066</v>
      </c>
      <c r="P318" s="52">
        <f t="shared" si="94"/>
        <v>0.25180976741933692</v>
      </c>
      <c r="Q318" s="52">
        <f t="shared" si="94"/>
        <v>0.18437268135467291</v>
      </c>
      <c r="R318" s="52">
        <f t="shared" si="94"/>
        <v>1.2701286667601628</v>
      </c>
      <c r="S318" s="52">
        <f t="shared" si="94"/>
        <v>3.3942405330718106</v>
      </c>
      <c r="T318" s="52">
        <f t="shared" si="93"/>
        <v>6.6766885925047967</v>
      </c>
      <c r="U318" s="52">
        <f t="shared" si="93"/>
        <v>2.1680683750666261</v>
      </c>
      <c r="V318" s="52">
        <f t="shared" si="93"/>
        <v>1.5034857831104791</v>
      </c>
      <c r="W318" s="52">
        <f t="shared" si="93"/>
        <v>1.1118066993203468</v>
      </c>
      <c r="X318" s="52">
        <f t="shared" si="93"/>
        <v>0.13020325183353598</v>
      </c>
      <c r="Y318" s="52">
        <f t="shared" si="93"/>
        <v>0.19089620669939619</v>
      </c>
      <c r="Z318" s="52">
        <f t="shared" si="93"/>
        <v>0.40390278079675912</v>
      </c>
      <c r="AA318" s="52">
        <f t="shared" si="93"/>
        <v>0.5616503764366777</v>
      </c>
      <c r="AB318" s="52">
        <f t="shared" si="93"/>
        <v>0.21496966409025306</v>
      </c>
      <c r="AC318" s="52">
        <f t="shared" si="93"/>
        <v>0.42486388813284265</v>
      </c>
      <c r="AD318" s="52">
        <f t="shared" si="93"/>
        <v>1.4914580487063895</v>
      </c>
      <c r="AE318" s="52">
        <f t="shared" si="93"/>
        <v>2.0744549152138965</v>
      </c>
      <c r="AF318" s="52">
        <f t="shared" si="93"/>
        <v>0.64601989260995385</v>
      </c>
      <c r="AG318" s="52">
        <f t="shared" si="93"/>
        <v>1.3685179085867361</v>
      </c>
      <c r="AH318" s="52">
        <f t="shared" si="93"/>
        <v>0.63968664423755239</v>
      </c>
      <c r="AI318" s="52">
        <f t="shared" si="93"/>
        <v>1.6565683413079884</v>
      </c>
      <c r="AJ318" s="52">
        <f t="shared" si="93"/>
        <v>0.44051872624762817</v>
      </c>
      <c r="AK318" s="52">
        <f t="shared" si="93"/>
        <v>0.89462425833517856</v>
      </c>
    </row>
    <row r="319" spans="3:37" x14ac:dyDescent="0.35">
      <c r="C319" s="39" t="s">
        <v>95</v>
      </c>
      <c r="D319" s="52">
        <f t="shared" si="94"/>
        <v>17.2799990961155</v>
      </c>
      <c r="E319" s="52">
        <f t="shared" si="93"/>
        <v>2.8766739962896408</v>
      </c>
      <c r="F319" s="52">
        <f t="shared" si="93"/>
        <v>2.528405075449689</v>
      </c>
      <c r="G319" s="52">
        <f t="shared" si="93"/>
        <v>2.2384156970270039</v>
      </c>
      <c r="H319" s="52">
        <f t="shared" si="93"/>
        <v>0.60702046653655839</v>
      </c>
      <c r="I319" s="52">
        <f t="shared" si="93"/>
        <v>1.7295820764473593</v>
      </c>
      <c r="J319" s="52">
        <f t="shared" si="93"/>
        <v>0.98903993097580944</v>
      </c>
      <c r="K319" s="52">
        <f t="shared" si="93"/>
        <v>0.83589033032317317</v>
      </c>
      <c r="L319" s="52">
        <f t="shared" si="93"/>
        <v>0.65958697493291385</v>
      </c>
      <c r="M319" s="52">
        <f t="shared" si="93"/>
        <v>0.2937813122434918</v>
      </c>
      <c r="N319" s="52">
        <f t="shared" si="93"/>
        <v>0.41083639054778293</v>
      </c>
      <c r="O319" s="52">
        <f t="shared" si="93"/>
        <v>0.57891559696137795</v>
      </c>
      <c r="P319" s="52">
        <f t="shared" si="93"/>
        <v>0.27079461196662896</v>
      </c>
      <c r="Q319" s="52">
        <f t="shared" si="93"/>
        <v>0.18104871014164248</v>
      </c>
      <c r="R319" s="52">
        <f t="shared" si="93"/>
        <v>1.2483263771686899</v>
      </c>
      <c r="S319" s="52">
        <f t="shared" si="93"/>
        <v>3.1062120767438115</v>
      </c>
      <c r="T319" s="52">
        <f t="shared" si="93"/>
        <v>5.7772887613942068</v>
      </c>
      <c r="U319" s="52">
        <f t="shared" si="93"/>
        <v>2.2025155422649076</v>
      </c>
      <c r="V319" s="52">
        <f t="shared" si="93"/>
        <v>1.2654525168598263</v>
      </c>
      <c r="W319" s="52">
        <f t="shared" si="93"/>
        <v>1.0032671385960186</v>
      </c>
      <c r="X319" s="52">
        <f t="shared" si="93"/>
        <v>0.11168630583563828</v>
      </c>
      <c r="Y319" s="52">
        <f t="shared" si="93"/>
        <v>0.192158842967046</v>
      </c>
      <c r="Z319" s="52">
        <f t="shared" si="93"/>
        <v>0.37626885131330523</v>
      </c>
      <c r="AA319" s="52">
        <f t="shared" si="93"/>
        <v>0.493479019908312</v>
      </c>
      <c r="AB319" s="52">
        <f t="shared" si="93"/>
        <v>0.18260723552881492</v>
      </c>
      <c r="AC319" s="52">
        <f t="shared" si="93"/>
        <v>0.36415604043723004</v>
      </c>
      <c r="AD319" s="52">
        <f t="shared" si="93"/>
        <v>1.3936714534319765</v>
      </c>
      <c r="AE319" s="52">
        <f t="shared" si="93"/>
        <v>1.89568027517183</v>
      </c>
      <c r="AF319" s="52">
        <f t="shared" si="93"/>
        <v>0.72695260101501802</v>
      </c>
      <c r="AG319" s="52">
        <f t="shared" si="93"/>
        <v>1.2508209055119544</v>
      </c>
      <c r="AH319" s="52">
        <f t="shared" si="93"/>
        <v>0.61510730395597835</v>
      </c>
      <c r="AI319" s="52">
        <f t="shared" si="93"/>
        <v>1.3896885919731632</v>
      </c>
      <c r="AJ319" s="52">
        <f t="shared" si="93"/>
        <v>0.43552000385237749</v>
      </c>
      <c r="AK319" s="52">
        <f t="shared" si="93"/>
        <v>0.81680564270849143</v>
      </c>
    </row>
    <row r="320" spans="3:37" x14ac:dyDescent="0.35">
      <c r="C320" s="39" t="s">
        <v>96</v>
      </c>
      <c r="D320" s="52">
        <f t="shared" si="94"/>
        <v>9.9349320823175624</v>
      </c>
      <c r="E320" s="52">
        <f t="shared" si="93"/>
        <v>1.3528653287724852</v>
      </c>
      <c r="F320" s="52">
        <f t="shared" si="93"/>
        <v>1.5226490078133019</v>
      </c>
      <c r="G320" s="52">
        <f t="shared" si="93"/>
        <v>1.4430221590572883</v>
      </c>
      <c r="H320" s="52">
        <f t="shared" si="93"/>
        <v>0.36076771161618487</v>
      </c>
      <c r="I320" s="52">
        <f t="shared" si="93"/>
        <v>1.1096110937257488</v>
      </c>
      <c r="J320" s="52">
        <f t="shared" si="93"/>
        <v>0.67927660423942282</v>
      </c>
      <c r="K320" s="52">
        <f t="shared" si="93"/>
        <v>0.47884329787224028</v>
      </c>
      <c r="L320" s="52">
        <f t="shared" si="93"/>
        <v>0.36738335765538027</v>
      </c>
      <c r="M320" s="52">
        <f t="shared" si="93"/>
        <v>0.18183500051169688</v>
      </c>
      <c r="N320" s="52">
        <f t="shared" si="93"/>
        <v>0.23119479497460485</v>
      </c>
      <c r="O320" s="52">
        <f t="shared" si="93"/>
        <v>0.46036759070245642</v>
      </c>
      <c r="P320" s="52">
        <f t="shared" si="93"/>
        <v>0.17306352253958399</v>
      </c>
      <c r="Q320" s="52">
        <f t="shared" si="93"/>
        <v>0.11282903391073472</v>
      </c>
      <c r="R320" s="52">
        <f t="shared" si="93"/>
        <v>0.62402700872517236</v>
      </c>
      <c r="S320" s="52">
        <f t="shared" si="93"/>
        <v>1.9751373918418234</v>
      </c>
      <c r="T320" s="52">
        <f t="shared" si="93"/>
        <v>3.6619876252304691</v>
      </c>
      <c r="U320" s="52">
        <f t="shared" si="93"/>
        <v>1.3170398555594303</v>
      </c>
      <c r="V320" s="52">
        <f t="shared" si="93"/>
        <v>0.95182128143142508</v>
      </c>
      <c r="W320" s="52">
        <f t="shared" si="93"/>
        <v>0.49266056992953472</v>
      </c>
      <c r="X320" s="52">
        <f t="shared" si="93"/>
        <v>8.4818094146974027E-2</v>
      </c>
      <c r="Y320" s="52">
        <f t="shared" si="93"/>
        <v>8.5173013607906398E-2</v>
      </c>
      <c r="Z320" s="52">
        <f t="shared" si="93"/>
        <v>0.22690542119217944</v>
      </c>
      <c r="AA320" s="52">
        <f t="shared" si="93"/>
        <v>0.28160551808661738</v>
      </c>
      <c r="AB320" s="52">
        <f t="shared" si="93"/>
        <v>0.10987761277389563</v>
      </c>
      <c r="AC320" s="52">
        <f t="shared" si="93"/>
        <v>0.16762557507717049</v>
      </c>
      <c r="AD320" s="52">
        <f t="shared" si="93"/>
        <v>0.67391167114261785</v>
      </c>
      <c r="AE320" s="52">
        <f t="shared" si="93"/>
        <v>0.85612751360347505</v>
      </c>
      <c r="AF320" s="52">
        <f t="shared" si="93"/>
        <v>0.3858229423649725</v>
      </c>
      <c r="AG320" s="52">
        <f t="shared" si="93"/>
        <v>0.68041305722040502</v>
      </c>
      <c r="AH320" s="52">
        <f t="shared" si="93"/>
        <v>0.35124936836429194</v>
      </c>
      <c r="AI320" s="52">
        <f t="shared" si="93"/>
        <v>1.0225654059325939</v>
      </c>
      <c r="AJ320" s="52">
        <f t="shared" si="93"/>
        <v>0.21923090008692181</v>
      </c>
      <c r="AK320" s="52">
        <f t="shared" si="93"/>
        <v>0.52775214199057563</v>
      </c>
    </row>
    <row r="321" spans="3:37" x14ac:dyDescent="0.35">
      <c r="C321" s="39" t="s">
        <v>98</v>
      </c>
      <c r="D321" s="52">
        <f t="shared" si="94"/>
        <v>15.361942554276835</v>
      </c>
      <c r="E321" s="52">
        <f t="shared" si="93"/>
        <v>2.7155991965849293</v>
      </c>
      <c r="F321" s="52">
        <f t="shared" si="93"/>
        <v>2.3827080418136362</v>
      </c>
      <c r="G321" s="52">
        <f t="shared" si="93"/>
        <v>2.3004372415423067</v>
      </c>
      <c r="H321" s="52">
        <f t="shared" si="93"/>
        <v>0.588287672037071</v>
      </c>
      <c r="I321" s="52">
        <f t="shared" si="93"/>
        <v>1.5409823215116296</v>
      </c>
      <c r="J321" s="52">
        <f t="shared" si="93"/>
        <v>1.1260232230807783</v>
      </c>
      <c r="K321" s="52">
        <f t="shared" si="93"/>
        <v>0.89324704511712838</v>
      </c>
      <c r="L321" s="52">
        <f t="shared" si="93"/>
        <v>0.69361996770836154</v>
      </c>
      <c r="M321" s="52">
        <f t="shared" si="93"/>
        <v>0.20043682426942916</v>
      </c>
      <c r="N321" s="52">
        <f t="shared" si="93"/>
        <v>0.36894986192044821</v>
      </c>
      <c r="O321" s="52">
        <f t="shared" si="93"/>
        <v>0.5851430736700951</v>
      </c>
      <c r="P321" s="52">
        <f t="shared" si="93"/>
        <v>0.23797095963545739</v>
      </c>
      <c r="Q321" s="52">
        <f t="shared" si="93"/>
        <v>0.19588512618901741</v>
      </c>
      <c r="R321" s="52">
        <f t="shared" si="93"/>
        <v>1.0857120257345134</v>
      </c>
      <c r="S321" s="52">
        <f t="shared" si="93"/>
        <v>3.2069770594673281</v>
      </c>
      <c r="T321" s="52">
        <f t="shared" si="93"/>
        <v>5.0503820722280928</v>
      </c>
      <c r="U321" s="52">
        <f t="shared" si="93"/>
        <v>1.9047751228672962</v>
      </c>
      <c r="V321" s="52">
        <f t="shared" si="93"/>
        <v>1.0790703400816539</v>
      </c>
      <c r="W321" s="52">
        <f t="shared" si="93"/>
        <v>0.88340977635090256</v>
      </c>
      <c r="X321" s="52">
        <f t="shared" si="93"/>
        <v>0.1092575411223332</v>
      </c>
      <c r="Y321" s="52">
        <f t="shared" si="93"/>
        <v>0.15052723274602789</v>
      </c>
      <c r="Z321" s="52">
        <f t="shared" si="93"/>
        <v>0.29767971409766408</v>
      </c>
      <c r="AA321" s="52">
        <f t="shared" si="93"/>
        <v>0.41003317573034553</v>
      </c>
      <c r="AB321" s="52">
        <f t="shared" si="93"/>
        <v>0.184538403946889</v>
      </c>
      <c r="AC321" s="52">
        <f t="shared" si="93"/>
        <v>0.34776828443755947</v>
      </c>
      <c r="AD321" s="52">
        <f t="shared" si="93"/>
        <v>1.0581950661209036</v>
      </c>
      <c r="AE321" s="52">
        <f t="shared" si="93"/>
        <v>1.5702665290127498</v>
      </c>
      <c r="AF321" s="52">
        <f t="shared" si="93"/>
        <v>0.48355793753928816</v>
      </c>
      <c r="AG321" s="52">
        <f t="shared" si="93"/>
        <v>1.2365510690292221</v>
      </c>
      <c r="AH321" s="52">
        <f t="shared" si="93"/>
        <v>0.59554880919040731</v>
      </c>
      <c r="AI321" s="52">
        <f t="shared" si="93"/>
        <v>1.5910396433081002</v>
      </c>
      <c r="AJ321" s="52">
        <f t="shared" si="93"/>
        <v>0.35674365140701791</v>
      </c>
      <c r="AK321" s="52">
        <f t="shared" si="93"/>
        <v>0.79488872571533364</v>
      </c>
    </row>
    <row r="322" spans="3:37" x14ac:dyDescent="0.35">
      <c r="C322" s="39" t="s">
        <v>97</v>
      </c>
      <c r="D322" s="52">
        <f t="shared" si="94"/>
        <v>8.0361072089827967</v>
      </c>
      <c r="E322" s="52">
        <f t="shared" si="93"/>
        <v>1.4975671811966547</v>
      </c>
      <c r="F322" s="52">
        <f t="shared" si="93"/>
        <v>1.326203287192748</v>
      </c>
      <c r="G322" s="52">
        <f t="shared" si="93"/>
        <v>1.0808639348734805</v>
      </c>
      <c r="H322" s="52">
        <f t="shared" si="93"/>
        <v>0.28105942734529482</v>
      </c>
      <c r="I322" s="52">
        <f t="shared" si="93"/>
        <v>0.89253492891845976</v>
      </c>
      <c r="J322" s="52">
        <f t="shared" si="93"/>
        <v>0.61786891509565867</v>
      </c>
      <c r="K322" s="52">
        <f t="shared" si="93"/>
        <v>0.45171768061375156</v>
      </c>
      <c r="L322" s="52">
        <f t="shared" si="93"/>
        <v>0.3281160311188806</v>
      </c>
      <c r="M322" s="52">
        <f t="shared" si="93"/>
        <v>0.10601828108476888</v>
      </c>
      <c r="N322" s="52">
        <f t="shared" si="93"/>
        <v>0.23190136567390637</v>
      </c>
      <c r="O322" s="52">
        <f t="shared" si="93"/>
        <v>0.379871096329778</v>
      </c>
      <c r="P322" s="52">
        <f t="shared" si="93"/>
        <v>0.10886206141717418</v>
      </c>
      <c r="Q322" s="52">
        <f t="shared" si="93"/>
        <v>7.8715427008616071E-2</v>
      </c>
      <c r="R322" s="52">
        <f t="shared" si="93"/>
        <v>0.50952343596851768</v>
      </c>
      <c r="S322" s="52">
        <f t="shared" si="93"/>
        <v>1.2254837970453918</v>
      </c>
      <c r="T322" s="52">
        <f t="shared" si="93"/>
        <v>2.8761955419263407</v>
      </c>
      <c r="U322" s="52">
        <f t="shared" si="93"/>
        <v>0.80159523736783445</v>
      </c>
      <c r="V322" s="52">
        <f t="shared" si="93"/>
        <v>0.80521009939854815</v>
      </c>
      <c r="W322" s="52">
        <f t="shared" si="93"/>
        <v>0.55747595672656747</v>
      </c>
      <c r="X322" s="52">
        <f t="shared" si="93"/>
        <v>7.2372532758765068E-2</v>
      </c>
      <c r="Y322" s="52">
        <f t="shared" si="93"/>
        <v>6.7848308899023213E-2</v>
      </c>
      <c r="Z322" s="52">
        <f t="shared" si="93"/>
        <v>0.2011044911240063</v>
      </c>
      <c r="AA322" s="52">
        <f t="shared" si="93"/>
        <v>0.27806306158394534</v>
      </c>
      <c r="AB322" s="52">
        <f t="shared" si="93"/>
        <v>0.10793439660355397</v>
      </c>
      <c r="AC322" s="52">
        <f t="shared" si="93"/>
        <v>0.14383768912378578</v>
      </c>
      <c r="AD322" s="52">
        <f t="shared" si="93"/>
        <v>0.64135546088995221</v>
      </c>
      <c r="AE322" s="52">
        <f t="shared" si="93"/>
        <v>0.97848006612387117</v>
      </c>
      <c r="AF322" s="52">
        <f t="shared" si="93"/>
        <v>0.35463844391078186</v>
      </c>
      <c r="AG322" s="52">
        <f t="shared" si="93"/>
        <v>0.6407751477202146</v>
      </c>
      <c r="AH322" s="52">
        <f t="shared" si="93"/>
        <v>0.26723847247825572</v>
      </c>
      <c r="AI322" s="52">
        <f t="shared" si="93"/>
        <v>0.73189965493366993</v>
      </c>
      <c r="AJ322" s="52">
        <f t="shared" si="93"/>
        <v>0.24258642829013813</v>
      </c>
      <c r="AK322" s="52">
        <f t="shared" si="93"/>
        <v>0.38156049887958787</v>
      </c>
    </row>
    <row r="323" spans="3:37" x14ac:dyDescent="0.35">
      <c r="C323" s="40" t="s">
        <v>83</v>
      </c>
      <c r="D323" s="51">
        <f>D$232*D208</f>
        <v>140.93760462915179</v>
      </c>
      <c r="E323" s="51">
        <f t="shared" ref="E323:AK323" si="95">E$232*E208</f>
        <v>20.089794153416278</v>
      </c>
      <c r="F323" s="51">
        <f t="shared" si="95"/>
        <v>18.712923571835244</v>
      </c>
      <c r="G323" s="51">
        <f t="shared" si="95"/>
        <v>19.430615071212692</v>
      </c>
      <c r="H323" s="51">
        <f t="shared" si="95"/>
        <v>6.509931169923024</v>
      </c>
      <c r="I323" s="51">
        <f t="shared" si="95"/>
        <v>13.563153729289668</v>
      </c>
      <c r="J323" s="51">
        <f t="shared" si="95"/>
        <v>8.9541515010911539</v>
      </c>
      <c r="K323" s="51">
        <f t="shared" si="95"/>
        <v>9.348427836540175</v>
      </c>
      <c r="L323" s="51">
        <f t="shared" si="95"/>
        <v>5.3550101697852801</v>
      </c>
      <c r="M323" s="51">
        <f t="shared" si="95"/>
        <v>2.0459944063416611</v>
      </c>
      <c r="N323" s="51">
        <f t="shared" si="95"/>
        <v>3.3460135327191085</v>
      </c>
      <c r="O323" s="51">
        <f t="shared" si="95"/>
        <v>5.7330854855097906</v>
      </c>
      <c r="P323" s="51">
        <f t="shared" si="95"/>
        <v>1.9599843170661715</v>
      </c>
      <c r="Q323" s="51">
        <f t="shared" si="95"/>
        <v>1.7395305736529372</v>
      </c>
      <c r="R323" s="51">
        <f t="shared" si="95"/>
        <v>8.9777725789534095</v>
      </c>
      <c r="S323" s="51">
        <f t="shared" si="95"/>
        <v>29.570862241824447</v>
      </c>
      <c r="T323" s="51">
        <f t="shared" si="95"/>
        <v>43.491480698262876</v>
      </c>
      <c r="U323" s="51">
        <f t="shared" si="95"/>
        <v>16.878763702795176</v>
      </c>
      <c r="V323" s="51">
        <f t="shared" si="95"/>
        <v>13.789527834977067</v>
      </c>
      <c r="W323" s="51">
        <f t="shared" si="95"/>
        <v>7.7346404094635037</v>
      </c>
      <c r="X323" s="51">
        <f t="shared" si="95"/>
        <v>0.94295405955007738</v>
      </c>
      <c r="Y323" s="51">
        <f t="shared" si="95"/>
        <v>1.655100219116532</v>
      </c>
      <c r="Z323" s="51">
        <f t="shared" si="95"/>
        <v>3.3926830553186984</v>
      </c>
      <c r="AA323" s="51">
        <f t="shared" si="95"/>
        <v>3.8422412769329561</v>
      </c>
      <c r="AB323" s="51">
        <f t="shared" si="95"/>
        <v>1.595284021941185</v>
      </c>
      <c r="AC323" s="51">
        <f t="shared" si="95"/>
        <v>2.3705369926908664</v>
      </c>
      <c r="AD323" s="51">
        <f t="shared" si="95"/>
        <v>11.659446677979819</v>
      </c>
      <c r="AE323" s="51">
        <f t="shared" si="95"/>
        <v>15.852440259555472</v>
      </c>
      <c r="AF323" s="51">
        <f t="shared" si="95"/>
        <v>5.4888595740995125</v>
      </c>
      <c r="AG323" s="51">
        <f t="shared" si="95"/>
        <v>11.82775457691681</v>
      </c>
      <c r="AH323" s="51">
        <f t="shared" si="95"/>
        <v>4.7686787391508991</v>
      </c>
      <c r="AI323" s="51">
        <f t="shared" si="95"/>
        <v>13.861192300874295</v>
      </c>
      <c r="AJ323" s="51">
        <f t="shared" si="95"/>
        <v>3.6243098374979628</v>
      </c>
      <c r="AK323" s="51">
        <f t="shared" si="95"/>
        <v>6.4517877252044284</v>
      </c>
    </row>
    <row r="324" spans="3:37" x14ac:dyDescent="0.35">
      <c r="C324" s="37" t="s">
        <v>80</v>
      </c>
      <c r="D324" s="52">
        <f>D$323*D209</f>
        <v>71.238463837918943</v>
      </c>
      <c r="E324" s="52">
        <f t="shared" ref="E324:AK324" si="96">E$323*E209</f>
        <v>10.230948840604436</v>
      </c>
      <c r="F324" s="52">
        <f t="shared" si="96"/>
        <v>9.3482469803580948</v>
      </c>
      <c r="G324" s="52">
        <f t="shared" si="96"/>
        <v>9.768955638145453</v>
      </c>
      <c r="H324" s="52">
        <f t="shared" si="96"/>
        <v>3.4161580490657419</v>
      </c>
      <c r="I324" s="52">
        <f t="shared" si="96"/>
        <v>6.8258064306418786</v>
      </c>
      <c r="J324" s="52">
        <f t="shared" si="96"/>
        <v>4.5528369067311178</v>
      </c>
      <c r="K324" s="52">
        <f t="shared" si="96"/>
        <v>4.5495153232306533</v>
      </c>
      <c r="L324" s="52">
        <f t="shared" si="96"/>
        <v>2.6296366970289813</v>
      </c>
      <c r="M324" s="52">
        <f t="shared" si="96"/>
        <v>1.0640419153126925</v>
      </c>
      <c r="N324" s="52">
        <f t="shared" si="96"/>
        <v>1.6822451397431379</v>
      </c>
      <c r="O324" s="52">
        <f t="shared" si="96"/>
        <v>2.8754921406338418</v>
      </c>
      <c r="P324" s="52">
        <f t="shared" si="96"/>
        <v>0.97677976182199122</v>
      </c>
      <c r="Q324" s="52">
        <f t="shared" si="96"/>
        <v>0.89926948049290711</v>
      </c>
      <c r="R324" s="52">
        <f t="shared" si="96"/>
        <v>4.5468917586560549</v>
      </c>
      <c r="S324" s="52">
        <f t="shared" si="96"/>
        <v>14.388028568548048</v>
      </c>
      <c r="T324" s="52">
        <f t="shared" si="96"/>
        <v>21.439604206692998</v>
      </c>
      <c r="U324" s="52">
        <f t="shared" si="96"/>
        <v>8.0960848278792401</v>
      </c>
      <c r="V324" s="52">
        <f t="shared" si="96"/>
        <v>6.9300790219907222</v>
      </c>
      <c r="W324" s="52">
        <f t="shared" si="96"/>
        <v>3.9219345700565791</v>
      </c>
      <c r="X324" s="52">
        <f t="shared" si="96"/>
        <v>0.47794664603760195</v>
      </c>
      <c r="Y324" s="52">
        <f t="shared" si="96"/>
        <v>0.85529125918009752</v>
      </c>
      <c r="Z324" s="52">
        <f t="shared" si="96"/>
        <v>1.6588897298501422</v>
      </c>
      <c r="AA324" s="52">
        <f t="shared" si="96"/>
        <v>1.8383626380744189</v>
      </c>
      <c r="AB324" s="52">
        <f t="shared" si="96"/>
        <v>0.80061084884798583</v>
      </c>
      <c r="AC324" s="52">
        <f t="shared" si="96"/>
        <v>1.219785906763976</v>
      </c>
      <c r="AD324" s="52">
        <f t="shared" si="96"/>
        <v>5.8770724565553474</v>
      </c>
      <c r="AE324" s="52">
        <f t="shared" si="96"/>
        <v>7.8510955576125419</v>
      </c>
      <c r="AF324" s="52">
        <f t="shared" si="96"/>
        <v>2.7897733052363138</v>
      </c>
      <c r="AG324" s="52">
        <f t="shared" si="96"/>
        <v>5.9926620678114331</v>
      </c>
      <c r="AH324" s="52">
        <f t="shared" si="96"/>
        <v>2.5214913815757751</v>
      </c>
      <c r="AI324" s="52">
        <f t="shared" si="96"/>
        <v>6.9827282190405064</v>
      </c>
      <c r="AJ324" s="52">
        <f t="shared" si="96"/>
        <v>1.8417329438493661</v>
      </c>
      <c r="AK324" s="52">
        <f t="shared" si="96"/>
        <v>3.1766087140534927</v>
      </c>
    </row>
    <row r="325" spans="3:37" x14ac:dyDescent="0.35">
      <c r="C325" s="39" t="s">
        <v>93</v>
      </c>
      <c r="D325" s="52">
        <f>D$324*D210</f>
        <v>26.718304006815554</v>
      </c>
      <c r="E325" s="52">
        <f t="shared" ref="E325:AK330" si="97">E$324*E210</f>
        <v>3.894456366649266</v>
      </c>
      <c r="F325" s="52">
        <f t="shared" si="97"/>
        <v>3.4500122965093092</v>
      </c>
      <c r="G325" s="52">
        <f t="shared" si="97"/>
        <v>3.5583857184486685</v>
      </c>
      <c r="H325" s="52">
        <f t="shared" si="97"/>
        <v>1.2740714006455973</v>
      </c>
      <c r="I325" s="52">
        <f t="shared" si="97"/>
        <v>2.3750698309633265</v>
      </c>
      <c r="J325" s="52">
        <f t="shared" si="97"/>
        <v>1.5941961754412912</v>
      </c>
      <c r="K325" s="52">
        <f t="shared" si="97"/>
        <v>1.6344336975861167</v>
      </c>
      <c r="L325" s="52">
        <f t="shared" si="97"/>
        <v>0.88264930107254602</v>
      </c>
      <c r="M325" s="52">
        <f t="shared" si="97"/>
        <v>0.37289824113431386</v>
      </c>
      <c r="N325" s="52">
        <f t="shared" si="97"/>
        <v>0.55977458300104876</v>
      </c>
      <c r="O325" s="52">
        <f t="shared" si="97"/>
        <v>0.99076365873787697</v>
      </c>
      <c r="P325" s="52">
        <f t="shared" si="97"/>
        <v>0.35257301723790541</v>
      </c>
      <c r="Q325" s="52">
        <f t="shared" si="97"/>
        <v>0.34635765646633887</v>
      </c>
      <c r="R325" s="52">
        <f t="shared" si="97"/>
        <v>1.8230965566320527</v>
      </c>
      <c r="S325" s="52">
        <f t="shared" si="97"/>
        <v>4.7963135789330371</v>
      </c>
      <c r="T325" s="52">
        <f t="shared" si="97"/>
        <v>7.9381092048215551</v>
      </c>
      <c r="U325" s="52">
        <f t="shared" si="97"/>
        <v>3.1287681381014902</v>
      </c>
      <c r="V325" s="52">
        <f t="shared" si="97"/>
        <v>2.5090660590049936</v>
      </c>
      <c r="W325" s="52">
        <f t="shared" si="97"/>
        <v>1.3748516785311218</v>
      </c>
      <c r="X325" s="52">
        <f t="shared" si="97"/>
        <v>0.17643613885038661</v>
      </c>
      <c r="Y325" s="52">
        <f t="shared" si="97"/>
        <v>0.30136569482392589</v>
      </c>
      <c r="Z325" s="52">
        <f t="shared" si="97"/>
        <v>0.65137046087407302</v>
      </c>
      <c r="AA325" s="52">
        <f t="shared" si="97"/>
        <v>0.69371435143523941</v>
      </c>
      <c r="AB325" s="52">
        <f t="shared" si="97"/>
        <v>0.31980757902648099</v>
      </c>
      <c r="AC325" s="52">
        <f t="shared" si="97"/>
        <v>0.44699599298493015</v>
      </c>
      <c r="AD325" s="52">
        <f t="shared" si="97"/>
        <v>2.2365461698052629</v>
      </c>
      <c r="AE325" s="52">
        <f t="shared" si="97"/>
        <v>2.7200471182029538</v>
      </c>
      <c r="AF325" s="52">
        <f t="shared" si="97"/>
        <v>1.0359947757695849</v>
      </c>
      <c r="AG325" s="52">
        <f t="shared" si="97"/>
        <v>2.2116186988014701</v>
      </c>
      <c r="AH325" s="52">
        <f t="shared" si="97"/>
        <v>0.97116366636168139</v>
      </c>
      <c r="AI325" s="52">
        <f t="shared" si="97"/>
        <v>2.9010056228200853</v>
      </c>
      <c r="AJ325" s="52">
        <f t="shared" si="97"/>
        <v>0.70419481609013701</v>
      </c>
      <c r="AK325" s="52">
        <f t="shared" si="97"/>
        <v>1.2409563805863071</v>
      </c>
    </row>
    <row r="326" spans="3:37" x14ac:dyDescent="0.35">
      <c r="C326" s="39" t="s">
        <v>94</v>
      </c>
      <c r="D326" s="52">
        <f t="shared" ref="D326:S330" si="98">D$324*D211</f>
        <v>11.546645698549458</v>
      </c>
      <c r="E326" s="52">
        <f t="shared" si="98"/>
        <v>1.5160673069810362</v>
      </c>
      <c r="F326" s="52">
        <f t="shared" si="98"/>
        <v>1.5189445681016531</v>
      </c>
      <c r="G326" s="52">
        <f t="shared" si="98"/>
        <v>1.7182071794793425</v>
      </c>
      <c r="H326" s="52">
        <f t="shared" si="98"/>
        <v>0.5403830086649295</v>
      </c>
      <c r="I326" s="52">
        <f t="shared" si="98"/>
        <v>1.1548201600353363</v>
      </c>
      <c r="J326" s="52">
        <f t="shared" si="98"/>
        <v>0.7597975852439125</v>
      </c>
      <c r="K326" s="52">
        <f t="shared" si="98"/>
        <v>0.80928793323525205</v>
      </c>
      <c r="L326" s="52">
        <f t="shared" si="98"/>
        <v>0.453571382855668</v>
      </c>
      <c r="M326" s="52">
        <f t="shared" si="98"/>
        <v>0.18023213172771221</v>
      </c>
      <c r="N326" s="52">
        <f t="shared" si="98"/>
        <v>0.2750208852716457</v>
      </c>
      <c r="O326" s="52">
        <f t="shared" si="98"/>
        <v>0.47354877984308302</v>
      </c>
      <c r="P326" s="52">
        <f t="shared" si="98"/>
        <v>0.15480438232495181</v>
      </c>
      <c r="Q326" s="52">
        <f t="shared" si="98"/>
        <v>0.13766415449079925</v>
      </c>
      <c r="R326" s="52">
        <f t="shared" si="98"/>
        <v>0.72879594699791428</v>
      </c>
      <c r="S326" s="52">
        <f t="shared" si="98"/>
        <v>2.4960989134890408</v>
      </c>
      <c r="T326" s="52">
        <f t="shared" si="97"/>
        <v>3.6315351058657792</v>
      </c>
      <c r="U326" s="52">
        <f t="shared" si="97"/>
        <v>1.2037617457392078</v>
      </c>
      <c r="V326" s="52">
        <f t="shared" si="97"/>
        <v>1.1759264983221376</v>
      </c>
      <c r="W326" s="52">
        <f t="shared" si="97"/>
        <v>0.63529232995395168</v>
      </c>
      <c r="X326" s="52">
        <f t="shared" si="97"/>
        <v>7.2210295871172767E-2</v>
      </c>
      <c r="Y326" s="52">
        <f t="shared" si="97"/>
        <v>0.14470196288738055</v>
      </c>
      <c r="Z326" s="52">
        <f t="shared" si="97"/>
        <v>0.27219797327076284</v>
      </c>
      <c r="AA326" s="52">
        <f t="shared" si="97"/>
        <v>0.30752944329022364</v>
      </c>
      <c r="AB326" s="52">
        <f t="shared" si="97"/>
        <v>0.12296135967304346</v>
      </c>
      <c r="AC326" s="52">
        <f t="shared" si="97"/>
        <v>0.19990391622515005</v>
      </c>
      <c r="AD326" s="52">
        <f t="shared" si="97"/>
        <v>0.94788027242202211</v>
      </c>
      <c r="AE326" s="52">
        <f t="shared" si="97"/>
        <v>1.3055149379143938</v>
      </c>
      <c r="AF326" s="52">
        <f t="shared" si="97"/>
        <v>0.4917935927645013</v>
      </c>
      <c r="AG326" s="52">
        <f t="shared" si="97"/>
        <v>1.0654020009331493</v>
      </c>
      <c r="AH326" s="52">
        <f t="shared" si="97"/>
        <v>0.44475181631266847</v>
      </c>
      <c r="AI326" s="52">
        <f t="shared" si="97"/>
        <v>1.0682486859766578</v>
      </c>
      <c r="AJ326" s="52">
        <f t="shared" si="97"/>
        <v>0.2754945698595298</v>
      </c>
      <c r="AK326" s="52">
        <f t="shared" si="97"/>
        <v>0.48565400782343193</v>
      </c>
    </row>
    <row r="327" spans="3:37" x14ac:dyDescent="0.35">
      <c r="C327" s="39" t="s">
        <v>95</v>
      </c>
      <c r="D327" s="52">
        <f t="shared" si="98"/>
        <v>6.151901396768154</v>
      </c>
      <c r="E327" s="52">
        <f t="shared" si="97"/>
        <v>1.0584577270698561</v>
      </c>
      <c r="F327" s="52">
        <f t="shared" si="97"/>
        <v>0.93254800548038974</v>
      </c>
      <c r="G327" s="52">
        <f t="shared" si="97"/>
        <v>0.9100413037389038</v>
      </c>
      <c r="H327" s="52">
        <f t="shared" si="97"/>
        <v>0.27451036013723323</v>
      </c>
      <c r="I327" s="52">
        <f t="shared" si="97"/>
        <v>0.64132859391021957</v>
      </c>
      <c r="J327" s="52">
        <f t="shared" si="97"/>
        <v>0.45326431541437706</v>
      </c>
      <c r="K327" s="52">
        <f t="shared" si="97"/>
        <v>0.35739380853891162</v>
      </c>
      <c r="L327" s="52">
        <f t="shared" si="97"/>
        <v>0.2336602022214809</v>
      </c>
      <c r="M327" s="52">
        <f t="shared" si="97"/>
        <v>9.8590354832743921E-2</v>
      </c>
      <c r="N327" s="52">
        <f t="shared" si="97"/>
        <v>0.15351573261867862</v>
      </c>
      <c r="O327" s="52">
        <f t="shared" si="97"/>
        <v>0.28569871354982418</v>
      </c>
      <c r="P327" s="52">
        <f t="shared" si="97"/>
        <v>7.3802018862389809E-2</v>
      </c>
      <c r="Q327" s="52">
        <f t="shared" si="97"/>
        <v>8.7100056495915693E-2</v>
      </c>
      <c r="R327" s="52">
        <f t="shared" si="97"/>
        <v>0.41493323593403092</v>
      </c>
      <c r="S327" s="52">
        <f t="shared" si="97"/>
        <v>1.3791854534298422</v>
      </c>
      <c r="T327" s="52">
        <f t="shared" si="97"/>
        <v>1.6220445110965802</v>
      </c>
      <c r="U327" s="52">
        <f t="shared" si="97"/>
        <v>0.65381113281741166</v>
      </c>
      <c r="V327" s="52">
        <f t="shared" si="97"/>
        <v>0.64003755080469471</v>
      </c>
      <c r="W327" s="52">
        <f t="shared" si="97"/>
        <v>0.35084237439432481</v>
      </c>
      <c r="X327" s="52">
        <f t="shared" si="97"/>
        <v>4.2468645988398231E-2</v>
      </c>
      <c r="Y327" s="52">
        <f t="shared" si="97"/>
        <v>8.3952360395768769E-2</v>
      </c>
      <c r="Z327" s="52">
        <f t="shared" si="97"/>
        <v>0.12318327523372366</v>
      </c>
      <c r="AA327" s="52">
        <f t="shared" si="97"/>
        <v>0.13779715151771707</v>
      </c>
      <c r="AB327" s="52">
        <f t="shared" si="97"/>
        <v>6.3293457793051816E-2</v>
      </c>
      <c r="AC327" s="52">
        <f t="shared" si="97"/>
        <v>9.3992381260073449E-2</v>
      </c>
      <c r="AD327" s="52">
        <f t="shared" si="97"/>
        <v>0.44992784955831755</v>
      </c>
      <c r="AE327" s="52">
        <f t="shared" si="97"/>
        <v>0.76278463429440702</v>
      </c>
      <c r="AF327" s="52">
        <f t="shared" si="97"/>
        <v>0.19962629581167851</v>
      </c>
      <c r="AG327" s="52">
        <f t="shared" si="97"/>
        <v>0.45458211730808767</v>
      </c>
      <c r="AH327" s="52">
        <f t="shared" si="97"/>
        <v>0.20135737012753421</v>
      </c>
      <c r="AI327" s="52">
        <f t="shared" si="97"/>
        <v>0.614874312808805</v>
      </c>
      <c r="AJ327" s="52">
        <f t="shared" si="97"/>
        <v>0.18630318082919237</v>
      </c>
      <c r="AK327" s="52">
        <f t="shared" si="97"/>
        <v>0.22635388480735838</v>
      </c>
    </row>
    <row r="328" spans="3:37" x14ac:dyDescent="0.35">
      <c r="C328" s="39" t="s">
        <v>96</v>
      </c>
      <c r="D328" s="52">
        <f t="shared" si="98"/>
        <v>5.0446849174621295</v>
      </c>
      <c r="E328" s="52">
        <f t="shared" si="97"/>
        <v>0.68561742878700005</v>
      </c>
      <c r="F328" s="52">
        <f t="shared" si="97"/>
        <v>0.78631901592185527</v>
      </c>
      <c r="G328" s="52">
        <f t="shared" si="97"/>
        <v>0.72694765989897792</v>
      </c>
      <c r="H328" s="52">
        <f t="shared" si="97"/>
        <v>0.24157040836504404</v>
      </c>
      <c r="I328" s="52">
        <f t="shared" si="97"/>
        <v>0.56800307208973777</v>
      </c>
      <c r="J328" s="52">
        <f t="shared" si="97"/>
        <v>0.35609586314332375</v>
      </c>
      <c r="K328" s="52">
        <f t="shared" si="97"/>
        <v>0.31807509142628126</v>
      </c>
      <c r="L328" s="52">
        <f t="shared" si="97"/>
        <v>0.21514125690592031</v>
      </c>
      <c r="M328" s="52">
        <f t="shared" si="97"/>
        <v>6.8007239787715126E-2</v>
      </c>
      <c r="N328" s="52">
        <f t="shared" si="97"/>
        <v>0.14536963397388669</v>
      </c>
      <c r="O328" s="52">
        <f t="shared" si="97"/>
        <v>0.23640588600069287</v>
      </c>
      <c r="P328" s="52">
        <f t="shared" si="97"/>
        <v>8.5677319525602674E-2</v>
      </c>
      <c r="Q328" s="52">
        <f t="shared" si="97"/>
        <v>6.0983115326024809E-2</v>
      </c>
      <c r="R328" s="52">
        <f t="shared" si="97"/>
        <v>0.26696647967585962</v>
      </c>
      <c r="S328" s="52">
        <f t="shared" si="97"/>
        <v>1.1109581142886846</v>
      </c>
      <c r="T328" s="52">
        <f t="shared" si="97"/>
        <v>1.4581945464330854</v>
      </c>
      <c r="U328" s="52">
        <f t="shared" si="97"/>
        <v>0.4680675413839141</v>
      </c>
      <c r="V328" s="52">
        <f t="shared" si="97"/>
        <v>0.41798120825405594</v>
      </c>
      <c r="W328" s="52">
        <f t="shared" si="97"/>
        <v>0.3122411377515148</v>
      </c>
      <c r="X328" s="52">
        <f t="shared" si="97"/>
        <v>3.1742377662402163E-2</v>
      </c>
      <c r="Y328" s="52">
        <f t="shared" si="97"/>
        <v>5.2783496866138653E-2</v>
      </c>
      <c r="Z328" s="52">
        <f t="shared" si="97"/>
        <v>0.1149843837803422</v>
      </c>
      <c r="AA328" s="52">
        <f t="shared" si="97"/>
        <v>0.10426101063323126</v>
      </c>
      <c r="AB328" s="52">
        <f t="shared" si="97"/>
        <v>5.6694505416752E-2</v>
      </c>
      <c r="AC328" s="52">
        <f t="shared" si="97"/>
        <v>9.2598901625104799E-2</v>
      </c>
      <c r="AD328" s="52">
        <f t="shared" si="97"/>
        <v>0.36504883654794668</v>
      </c>
      <c r="AE328" s="52">
        <f t="shared" si="97"/>
        <v>0.59443832727130874</v>
      </c>
      <c r="AF328" s="52">
        <f t="shared" si="97"/>
        <v>0.22182620452191712</v>
      </c>
      <c r="AG328" s="52">
        <f t="shared" si="97"/>
        <v>0.51365540150259692</v>
      </c>
      <c r="AH328" s="52">
        <f t="shared" si="97"/>
        <v>0.18410432532226839</v>
      </c>
      <c r="AI328" s="52">
        <f t="shared" si="97"/>
        <v>0.40369987458425843</v>
      </c>
      <c r="AJ328" s="52">
        <f t="shared" si="97"/>
        <v>0.13428822805060184</v>
      </c>
      <c r="AK328" s="52">
        <f t="shared" si="97"/>
        <v>0.25671465010961192</v>
      </c>
    </row>
    <row r="329" spans="3:37" x14ac:dyDescent="0.35">
      <c r="C329" s="39" t="s">
        <v>98</v>
      </c>
      <c r="D329" s="52">
        <f t="shared" si="98"/>
        <v>19.535166561227683</v>
      </c>
      <c r="E329" s="52">
        <f t="shared" si="97"/>
        <v>2.6838047613630991</v>
      </c>
      <c r="F329" s="52">
        <f t="shared" si="97"/>
        <v>2.4129898513970267</v>
      </c>
      <c r="G329" s="52">
        <f t="shared" si="97"/>
        <v>2.5889898794672095</v>
      </c>
      <c r="H329" s="52">
        <f t="shared" si="97"/>
        <v>0.95694162591396714</v>
      </c>
      <c r="I329" s="52">
        <f t="shared" si="97"/>
        <v>1.9031862012465424</v>
      </c>
      <c r="J329" s="52">
        <f t="shared" si="97"/>
        <v>1.2211718216297476</v>
      </c>
      <c r="K329" s="52">
        <f t="shared" si="97"/>
        <v>1.2903434352535801</v>
      </c>
      <c r="L329" s="52">
        <f t="shared" si="97"/>
        <v>0.74634920917061331</v>
      </c>
      <c r="M329" s="52">
        <f t="shared" si="97"/>
        <v>0.31008541020654112</v>
      </c>
      <c r="N329" s="52">
        <f t="shared" si="97"/>
        <v>0.48973886547497331</v>
      </c>
      <c r="O329" s="52">
        <f t="shared" si="97"/>
        <v>0.77558399694784652</v>
      </c>
      <c r="P329" s="52">
        <f t="shared" si="97"/>
        <v>0.27752479130148106</v>
      </c>
      <c r="Q329" s="52">
        <f t="shared" si="97"/>
        <v>0.23445949567230223</v>
      </c>
      <c r="R329" s="52">
        <f t="shared" si="97"/>
        <v>1.1918411613492195</v>
      </c>
      <c r="S329" s="52">
        <f t="shared" si="97"/>
        <v>4.0404774894946884</v>
      </c>
      <c r="T329" s="52">
        <f t="shared" si="97"/>
        <v>6.1643616518890179</v>
      </c>
      <c r="U329" s="52">
        <f t="shared" si="97"/>
        <v>2.3229462750656418</v>
      </c>
      <c r="V329" s="52">
        <f t="shared" si="97"/>
        <v>2.0084905812947933</v>
      </c>
      <c r="W329" s="52">
        <f t="shared" si="97"/>
        <v>1.0950911043787241</v>
      </c>
      <c r="X329" s="52">
        <f t="shared" si="97"/>
        <v>0.13875851024053665</v>
      </c>
      <c r="Y329" s="52">
        <f t="shared" si="97"/>
        <v>0.23898734466619365</v>
      </c>
      <c r="Z329" s="52">
        <f t="shared" si="97"/>
        <v>0.45075712696885428</v>
      </c>
      <c r="AA329" s="52">
        <f t="shared" si="97"/>
        <v>0.52397411919259218</v>
      </c>
      <c r="AB329" s="52">
        <f t="shared" si="97"/>
        <v>0.21145907944485409</v>
      </c>
      <c r="AC329" s="52">
        <f t="shared" si="97"/>
        <v>0.3516913267672635</v>
      </c>
      <c r="AD329" s="52">
        <f t="shared" si="97"/>
        <v>1.7021305127746755</v>
      </c>
      <c r="AE329" s="52">
        <f t="shared" si="97"/>
        <v>2.1969106421101374</v>
      </c>
      <c r="AF329" s="52">
        <f t="shared" si="97"/>
        <v>0.7658546380141622</v>
      </c>
      <c r="AG329" s="52">
        <f t="shared" si="97"/>
        <v>1.5486367709820894</v>
      </c>
      <c r="AH329" s="52">
        <f t="shared" si="97"/>
        <v>0.65413078071511677</v>
      </c>
      <c r="AI329" s="52">
        <f t="shared" si="97"/>
        <v>1.8156641852156095</v>
      </c>
      <c r="AJ329" s="52">
        <f t="shared" si="97"/>
        <v>0.48073314042562276</v>
      </c>
      <c r="AK329" s="52">
        <f t="shared" si="97"/>
        <v>0.84504836208738854</v>
      </c>
    </row>
    <row r="330" spans="3:37" x14ac:dyDescent="0.35">
      <c r="C330" s="39" t="s">
        <v>97</v>
      </c>
      <c r="D330" s="52">
        <f t="shared" si="98"/>
        <v>2.2417612570959626</v>
      </c>
      <c r="E330" s="52">
        <f t="shared" si="97"/>
        <v>0.39254524975417926</v>
      </c>
      <c r="F330" s="52">
        <f t="shared" si="97"/>
        <v>0.24743324294786123</v>
      </c>
      <c r="G330" s="52">
        <f t="shared" si="97"/>
        <v>0.26638389711235128</v>
      </c>
      <c r="H330" s="52">
        <f t="shared" si="97"/>
        <v>0.12868124533897041</v>
      </c>
      <c r="I330" s="52">
        <f t="shared" si="97"/>
        <v>0.18339857239671628</v>
      </c>
      <c r="J330" s="52">
        <f t="shared" si="97"/>
        <v>0.16831114585846607</v>
      </c>
      <c r="K330" s="52">
        <f t="shared" si="97"/>
        <v>0.13998135719051163</v>
      </c>
      <c r="L330" s="52">
        <f t="shared" si="97"/>
        <v>9.8265344802752633E-2</v>
      </c>
      <c r="M330" s="52">
        <f t="shared" si="97"/>
        <v>3.4228537623666316E-2</v>
      </c>
      <c r="N330" s="52">
        <f t="shared" si="97"/>
        <v>5.8825439402904765E-2</v>
      </c>
      <c r="O330" s="52">
        <f t="shared" si="97"/>
        <v>0.1134911055545183</v>
      </c>
      <c r="P330" s="52">
        <f t="shared" si="97"/>
        <v>3.2398232569660478E-2</v>
      </c>
      <c r="Q330" s="52">
        <f t="shared" si="97"/>
        <v>3.2705002041526356E-2</v>
      </c>
      <c r="R330" s="52">
        <f t="shared" si="97"/>
        <v>0.12125837806697788</v>
      </c>
      <c r="S330" s="52">
        <f t="shared" si="97"/>
        <v>0.56499501891275516</v>
      </c>
      <c r="T330" s="52">
        <f t="shared" si="97"/>
        <v>0.62535918658698131</v>
      </c>
      <c r="U330" s="52">
        <f t="shared" si="97"/>
        <v>0.31872999477157515</v>
      </c>
      <c r="V330" s="52">
        <f t="shared" si="97"/>
        <v>0.17857712431004705</v>
      </c>
      <c r="W330" s="52">
        <f t="shared" si="97"/>
        <v>0.15361594504694215</v>
      </c>
      <c r="X330" s="52">
        <f t="shared" si="97"/>
        <v>1.633067742470555E-2</v>
      </c>
      <c r="Y330" s="52">
        <f t="shared" si="97"/>
        <v>3.3500399540690035E-2</v>
      </c>
      <c r="Z330" s="52">
        <f t="shared" si="97"/>
        <v>4.6396509722386035E-2</v>
      </c>
      <c r="AA330" s="52">
        <f t="shared" si="97"/>
        <v>7.108656200541541E-2</v>
      </c>
      <c r="AB330" s="52">
        <f t="shared" si="97"/>
        <v>2.6394867493803473E-2</v>
      </c>
      <c r="AC330" s="52">
        <f t="shared" si="97"/>
        <v>3.4603387901454147E-2</v>
      </c>
      <c r="AD330" s="52">
        <f t="shared" si="97"/>
        <v>0.17553881544712213</v>
      </c>
      <c r="AE330" s="52">
        <f t="shared" si="97"/>
        <v>0.27139989781934087</v>
      </c>
      <c r="AF330" s="52">
        <f t="shared" si="97"/>
        <v>7.4677798354469749E-2</v>
      </c>
      <c r="AG330" s="52">
        <f t="shared" si="97"/>
        <v>0.19876707828403964</v>
      </c>
      <c r="AH330" s="52">
        <f t="shared" si="97"/>
        <v>6.598342273650587E-2</v>
      </c>
      <c r="AI330" s="52">
        <f t="shared" si="97"/>
        <v>0.17923553763509015</v>
      </c>
      <c r="AJ330" s="52">
        <f t="shared" si="97"/>
        <v>6.0719008594282413E-2</v>
      </c>
      <c r="AK330" s="52">
        <f t="shared" si="97"/>
        <v>0.12188142863939502</v>
      </c>
    </row>
    <row r="331" spans="3:37" x14ac:dyDescent="0.35">
      <c r="C331" s="37" t="s">
        <v>81</v>
      </c>
      <c r="D331" s="52">
        <f>D$323*D216</f>
        <v>32.317668041673492</v>
      </c>
      <c r="E331" s="52">
        <f t="shared" ref="E331:AK331" si="99">E$323*E216</f>
        <v>4.7995480831686201</v>
      </c>
      <c r="F331" s="52">
        <f t="shared" si="99"/>
        <v>4.2104974663277099</v>
      </c>
      <c r="G331" s="52">
        <f t="shared" si="99"/>
        <v>4.4497039527794735</v>
      </c>
      <c r="H331" s="52">
        <f t="shared" si="99"/>
        <v>1.3944584488253851</v>
      </c>
      <c r="I331" s="52">
        <f t="shared" si="99"/>
        <v>3.237589782808926</v>
      </c>
      <c r="J331" s="52">
        <f t="shared" si="99"/>
        <v>1.9690608187592378</v>
      </c>
      <c r="K331" s="52">
        <f t="shared" si="99"/>
        <v>2.203469233910373</v>
      </c>
      <c r="L331" s="52">
        <f t="shared" si="99"/>
        <v>1.2316779974935566</v>
      </c>
      <c r="M331" s="52">
        <f t="shared" si="99"/>
        <v>0.46301833750358418</v>
      </c>
      <c r="N331" s="52">
        <f t="shared" si="99"/>
        <v>0.73312759738743405</v>
      </c>
      <c r="O331" s="52">
        <f t="shared" si="99"/>
        <v>1.3874341574779534</v>
      </c>
      <c r="P331" s="52">
        <f t="shared" si="99"/>
        <v>0.43630190021147131</v>
      </c>
      <c r="Q331" s="52">
        <f t="shared" si="99"/>
        <v>0.38861946508613071</v>
      </c>
      <c r="R331" s="52">
        <f t="shared" si="99"/>
        <v>2.1376506678981051</v>
      </c>
      <c r="S331" s="52">
        <f t="shared" si="99"/>
        <v>7.271616713563537</v>
      </c>
      <c r="T331" s="52">
        <f t="shared" si="99"/>
        <v>10.677366900136271</v>
      </c>
      <c r="U331" s="52">
        <f t="shared" si="99"/>
        <v>4.0341053992860534</v>
      </c>
      <c r="V331" s="52">
        <f t="shared" si="99"/>
        <v>3.2019944355769523</v>
      </c>
      <c r="W331" s="52">
        <f t="shared" si="99"/>
        <v>1.8292795172401219</v>
      </c>
      <c r="X331" s="52">
        <f t="shared" si="99"/>
        <v>0.2090574331510823</v>
      </c>
      <c r="Y331" s="52">
        <f t="shared" si="99"/>
        <v>0.37703976030015873</v>
      </c>
      <c r="Z331" s="52">
        <f t="shared" si="99"/>
        <v>0.81120677451162615</v>
      </c>
      <c r="AA331" s="52">
        <f t="shared" si="99"/>
        <v>0.94597821241662627</v>
      </c>
      <c r="AB331" s="52">
        <f t="shared" si="99"/>
        <v>0.34426993571199788</v>
      </c>
      <c r="AC331" s="52">
        <f t="shared" si="99"/>
        <v>0.54167906121878107</v>
      </c>
      <c r="AD331" s="52">
        <f t="shared" si="99"/>
        <v>2.4998412338054048</v>
      </c>
      <c r="AE331" s="52">
        <f t="shared" si="99"/>
        <v>3.8078321070513734</v>
      </c>
      <c r="AF331" s="52">
        <f t="shared" si="99"/>
        <v>1.1982443448060796</v>
      </c>
      <c r="AG331" s="52">
        <f t="shared" si="99"/>
        <v>2.7003330424011622</v>
      </c>
      <c r="AH331" s="52">
        <f t="shared" si="99"/>
        <v>1.0181357598542757</v>
      </c>
      <c r="AI331" s="52">
        <f t="shared" si="99"/>
        <v>3.1479431872029364</v>
      </c>
      <c r="AJ331" s="52">
        <f t="shared" si="99"/>
        <v>0.83324619746161499</v>
      </c>
      <c r="AK331" s="52">
        <f t="shared" si="99"/>
        <v>1.5891062303523673</v>
      </c>
    </row>
    <row r="332" spans="3:37" x14ac:dyDescent="0.35">
      <c r="C332" s="39" t="s">
        <v>93</v>
      </c>
      <c r="D332" s="52">
        <f>D$331*D217</f>
        <v>12.22429403720268</v>
      </c>
      <c r="E332" s="52">
        <f t="shared" ref="E332:AK337" si="100">E$331*E217</f>
        <v>1.8125695461005569</v>
      </c>
      <c r="F332" s="52">
        <f t="shared" si="100"/>
        <v>1.6579011091705669</v>
      </c>
      <c r="G332" s="52">
        <f t="shared" si="100"/>
        <v>1.6003547657991744</v>
      </c>
      <c r="H332" s="52">
        <f t="shared" si="100"/>
        <v>0.56817796750182681</v>
      </c>
      <c r="I332" s="52">
        <f t="shared" si="100"/>
        <v>1.1893422412813253</v>
      </c>
      <c r="J332" s="52">
        <f t="shared" si="100"/>
        <v>0.76351162484334523</v>
      </c>
      <c r="K332" s="52">
        <f t="shared" si="100"/>
        <v>0.89627039043422829</v>
      </c>
      <c r="L332" s="52">
        <f t="shared" si="100"/>
        <v>0.49594033269612969</v>
      </c>
      <c r="M332" s="52">
        <f t="shared" si="100"/>
        <v>0.16703581517850394</v>
      </c>
      <c r="N332" s="52">
        <f t="shared" si="100"/>
        <v>0.27430277800644837</v>
      </c>
      <c r="O332" s="52">
        <f t="shared" si="100"/>
        <v>0.50829234653834676</v>
      </c>
      <c r="P332" s="52">
        <f t="shared" si="100"/>
        <v>0.16498940097725814</v>
      </c>
      <c r="Q332" s="52">
        <f t="shared" si="100"/>
        <v>0.15026135278126299</v>
      </c>
      <c r="R332" s="52">
        <f t="shared" si="100"/>
        <v>0.83358588030419634</v>
      </c>
      <c r="S332" s="52">
        <f t="shared" si="100"/>
        <v>2.7243418249310078</v>
      </c>
      <c r="T332" s="52">
        <f t="shared" si="100"/>
        <v>4.1925130792787435</v>
      </c>
      <c r="U332" s="52">
        <f t="shared" si="100"/>
        <v>1.4996956711430098</v>
      </c>
      <c r="V332" s="52">
        <f t="shared" si="100"/>
        <v>1.1714631489184584</v>
      </c>
      <c r="W332" s="52">
        <f t="shared" si="100"/>
        <v>0.7378475969827426</v>
      </c>
      <c r="X332" s="52">
        <f t="shared" si="100"/>
        <v>8.0373010585256963E-2</v>
      </c>
      <c r="Y332" s="52">
        <f t="shared" si="100"/>
        <v>0.13911040740246913</v>
      </c>
      <c r="Z332" s="52">
        <f t="shared" si="100"/>
        <v>0.31073617123797997</v>
      </c>
      <c r="AA332" s="52">
        <f t="shared" si="100"/>
        <v>0.36718542697812617</v>
      </c>
      <c r="AB332" s="52">
        <f t="shared" si="100"/>
        <v>0.12588375182819642</v>
      </c>
      <c r="AC332" s="52">
        <f t="shared" si="100"/>
        <v>0.19590051368030562</v>
      </c>
      <c r="AD332" s="52">
        <f t="shared" si="100"/>
        <v>0.92182698262790697</v>
      </c>
      <c r="AE332" s="52">
        <f t="shared" si="100"/>
        <v>1.5766489199710136</v>
      </c>
      <c r="AF332" s="52">
        <f t="shared" si="100"/>
        <v>0.45623658049004218</v>
      </c>
      <c r="AG332" s="52">
        <f t="shared" si="100"/>
        <v>1.090810904477745</v>
      </c>
      <c r="AH332" s="52">
        <f t="shared" si="100"/>
        <v>0.37391464551450654</v>
      </c>
      <c r="AI332" s="52">
        <f t="shared" si="100"/>
        <v>1.2203134335540797</v>
      </c>
      <c r="AJ332" s="52">
        <f t="shared" si="100"/>
        <v>0.27618296122528768</v>
      </c>
      <c r="AK332" s="52">
        <f t="shared" si="100"/>
        <v>0.58392377659739303</v>
      </c>
    </row>
    <row r="333" spans="3:37" x14ac:dyDescent="0.35">
      <c r="C333" s="39" t="s">
        <v>94</v>
      </c>
      <c r="D333" s="52">
        <f t="shared" ref="D333:S337" si="101">D$331*D218</f>
        <v>4.9491068976529089</v>
      </c>
      <c r="E333" s="52">
        <f t="shared" si="101"/>
        <v>0.66060671116856184</v>
      </c>
      <c r="F333" s="52">
        <f t="shared" si="101"/>
        <v>0.58205646161507252</v>
      </c>
      <c r="G333" s="52">
        <f t="shared" si="101"/>
        <v>0.68854432766893015</v>
      </c>
      <c r="H333" s="52">
        <f t="shared" si="101"/>
        <v>0.21061810721541238</v>
      </c>
      <c r="I333" s="52">
        <f t="shared" si="101"/>
        <v>0.44497225737910762</v>
      </c>
      <c r="J333" s="52">
        <f t="shared" si="101"/>
        <v>0.30272214380507451</v>
      </c>
      <c r="K333" s="52">
        <f t="shared" si="101"/>
        <v>0.31452178120934948</v>
      </c>
      <c r="L333" s="52">
        <f t="shared" si="101"/>
        <v>0.19391459172820494</v>
      </c>
      <c r="M333" s="52">
        <f t="shared" si="101"/>
        <v>7.7944209128765693E-2</v>
      </c>
      <c r="N333" s="52">
        <f t="shared" si="101"/>
        <v>0.10501272551288342</v>
      </c>
      <c r="O333" s="52">
        <f t="shared" si="101"/>
        <v>0.20678229445326132</v>
      </c>
      <c r="P333" s="52">
        <f t="shared" si="101"/>
        <v>7.3185000118504234E-2</v>
      </c>
      <c r="Q333" s="52">
        <f t="shared" si="101"/>
        <v>5.8541386266248031E-2</v>
      </c>
      <c r="R333" s="52">
        <f t="shared" si="101"/>
        <v>0.32864103877717149</v>
      </c>
      <c r="S333" s="52">
        <f t="shared" si="101"/>
        <v>1.0321285993262412</v>
      </c>
      <c r="T333" s="52">
        <f t="shared" si="100"/>
        <v>1.5881446852008509</v>
      </c>
      <c r="U333" s="52">
        <f t="shared" si="100"/>
        <v>0.64682586504424</v>
      </c>
      <c r="V333" s="52">
        <f t="shared" si="100"/>
        <v>0.53806108547860387</v>
      </c>
      <c r="W333" s="52">
        <f t="shared" si="100"/>
        <v>0.26897608364929498</v>
      </c>
      <c r="X333" s="52">
        <f t="shared" si="100"/>
        <v>3.0802387737812898E-2</v>
      </c>
      <c r="Y333" s="52">
        <f t="shared" si="100"/>
        <v>6.1698543869087165E-2</v>
      </c>
      <c r="Z333" s="52">
        <f t="shared" si="100"/>
        <v>0.11254630613947152</v>
      </c>
      <c r="AA333" s="52">
        <f t="shared" si="100"/>
        <v>0.14306913640661151</v>
      </c>
      <c r="AB333" s="52">
        <f t="shared" si="100"/>
        <v>5.1275342795583559E-2</v>
      </c>
      <c r="AC333" s="52">
        <f t="shared" si="100"/>
        <v>8.2627375598304131E-2</v>
      </c>
      <c r="AD333" s="52">
        <f t="shared" si="100"/>
        <v>0.36932493602128008</v>
      </c>
      <c r="AE333" s="52">
        <f t="shared" si="100"/>
        <v>0.56599371525048536</v>
      </c>
      <c r="AF333" s="52">
        <f t="shared" si="100"/>
        <v>0.19895572031845474</v>
      </c>
      <c r="AG333" s="52">
        <f t="shared" si="100"/>
        <v>0.37275223635854221</v>
      </c>
      <c r="AH333" s="52">
        <f t="shared" si="100"/>
        <v>0.14257907696004005</v>
      </c>
      <c r="AI333" s="52">
        <f t="shared" si="100"/>
        <v>0.45940880402961765</v>
      </c>
      <c r="AJ333" s="52">
        <f t="shared" si="100"/>
        <v>0.13793503959609141</v>
      </c>
      <c r="AK333" s="52">
        <f t="shared" si="100"/>
        <v>0.25114132655512283</v>
      </c>
    </row>
    <row r="334" spans="3:37" x14ac:dyDescent="0.35">
      <c r="C334" s="39" t="s">
        <v>95</v>
      </c>
      <c r="D334" s="52">
        <f t="shared" si="101"/>
        <v>2.6230266557560418</v>
      </c>
      <c r="E334" s="52">
        <f t="shared" si="100"/>
        <v>0.45626356277861174</v>
      </c>
      <c r="F334" s="52">
        <f t="shared" si="100"/>
        <v>0.29247740279154411</v>
      </c>
      <c r="G334" s="52">
        <f t="shared" si="100"/>
        <v>0.3148782236036694</v>
      </c>
      <c r="H334" s="52">
        <f t="shared" si="100"/>
        <v>9.4493885863451046E-2</v>
      </c>
      <c r="I334" s="52">
        <f t="shared" si="100"/>
        <v>0.27766819399460113</v>
      </c>
      <c r="J334" s="52">
        <f t="shared" si="100"/>
        <v>0.15331867417441858</v>
      </c>
      <c r="K334" s="52">
        <f t="shared" si="100"/>
        <v>0.14909523180047915</v>
      </c>
      <c r="L334" s="52">
        <f t="shared" si="100"/>
        <v>8.3216918693748421E-2</v>
      </c>
      <c r="M334" s="52">
        <f t="shared" si="100"/>
        <v>4.4155215503867841E-2</v>
      </c>
      <c r="N334" s="52">
        <f t="shared" si="100"/>
        <v>5.6790892914986568E-2</v>
      </c>
      <c r="O334" s="52">
        <f t="shared" si="100"/>
        <v>0.10941841192222879</v>
      </c>
      <c r="P334" s="52">
        <f t="shared" si="100"/>
        <v>3.5760987479140048E-2</v>
      </c>
      <c r="Q334" s="52">
        <f t="shared" si="100"/>
        <v>3.5622359895754949E-2</v>
      </c>
      <c r="R334" s="52">
        <f t="shared" si="100"/>
        <v>0.1452829888232543</v>
      </c>
      <c r="S334" s="52">
        <f t="shared" si="100"/>
        <v>0.60691719289581703</v>
      </c>
      <c r="T334" s="52">
        <f t="shared" si="100"/>
        <v>0.80682304812680561</v>
      </c>
      <c r="U334" s="52">
        <f t="shared" si="100"/>
        <v>0.33589518360827231</v>
      </c>
      <c r="V334" s="52">
        <f t="shared" si="100"/>
        <v>0.23843286252754328</v>
      </c>
      <c r="W334" s="52">
        <f t="shared" si="100"/>
        <v>0.14883724091681169</v>
      </c>
      <c r="X334" s="52">
        <f t="shared" si="100"/>
        <v>1.5441788788544361E-2</v>
      </c>
      <c r="Y334" s="52">
        <f t="shared" si="100"/>
        <v>3.659693417331833E-2</v>
      </c>
      <c r="Z334" s="52">
        <f t="shared" si="100"/>
        <v>7.1113516391318202E-2</v>
      </c>
      <c r="AA334" s="52">
        <f t="shared" si="100"/>
        <v>6.4103134309024867E-2</v>
      </c>
      <c r="AB334" s="52">
        <f t="shared" si="100"/>
        <v>3.0180031140682181E-2</v>
      </c>
      <c r="AC334" s="52">
        <f t="shared" si="100"/>
        <v>4.9381553620756566E-2</v>
      </c>
      <c r="AD334" s="52">
        <f t="shared" si="100"/>
        <v>0.20564658705961544</v>
      </c>
      <c r="AE334" s="52">
        <f t="shared" si="100"/>
        <v>0.24737146852384245</v>
      </c>
      <c r="AF334" s="52">
        <f t="shared" si="100"/>
        <v>9.4857646493729672E-2</v>
      </c>
      <c r="AG334" s="52">
        <f t="shared" si="100"/>
        <v>0.19459641992251331</v>
      </c>
      <c r="AH334" s="52">
        <f t="shared" si="100"/>
        <v>9.6787914431463881E-2</v>
      </c>
      <c r="AI334" s="52">
        <f t="shared" si="100"/>
        <v>0.23881511844588821</v>
      </c>
      <c r="AJ334" s="52">
        <f t="shared" si="100"/>
        <v>7.2628954160980405E-2</v>
      </c>
      <c r="AK334" s="52">
        <f t="shared" si="100"/>
        <v>0.10323447326228163</v>
      </c>
    </row>
    <row r="335" spans="3:37" x14ac:dyDescent="0.35">
      <c r="C335" s="39" t="s">
        <v>96</v>
      </c>
      <c r="D335" s="52">
        <f t="shared" si="101"/>
        <v>2.5240445178029836</v>
      </c>
      <c r="E335" s="52">
        <f t="shared" si="100"/>
        <v>0.43196447248312098</v>
      </c>
      <c r="F335" s="52">
        <f t="shared" si="100"/>
        <v>0.28168679404744085</v>
      </c>
      <c r="G335" s="52">
        <f t="shared" si="100"/>
        <v>0.40581777046709738</v>
      </c>
      <c r="H335" s="52">
        <f t="shared" si="100"/>
        <v>0.11574154607779667</v>
      </c>
      <c r="I335" s="52">
        <f t="shared" si="100"/>
        <v>0.27390356624255396</v>
      </c>
      <c r="J335" s="52">
        <f t="shared" si="100"/>
        <v>0.12503747277616278</v>
      </c>
      <c r="K335" s="52">
        <f t="shared" si="100"/>
        <v>0.16195735075744114</v>
      </c>
      <c r="L335" s="52">
        <f t="shared" si="100"/>
        <v>8.3632256358446858E-2</v>
      </c>
      <c r="M335" s="52">
        <f t="shared" si="100"/>
        <v>3.690305784334845E-2</v>
      </c>
      <c r="N335" s="52">
        <f t="shared" si="100"/>
        <v>6.4002825146744088E-2</v>
      </c>
      <c r="O335" s="52">
        <f t="shared" si="100"/>
        <v>0.12084700241175123</v>
      </c>
      <c r="P335" s="52">
        <f t="shared" si="100"/>
        <v>2.7400227038227028E-2</v>
      </c>
      <c r="Q335" s="52">
        <f t="shared" si="100"/>
        <v>2.996297734868518E-2</v>
      </c>
      <c r="R335" s="52">
        <f t="shared" si="100"/>
        <v>0.17742729694468137</v>
      </c>
      <c r="S335" s="52">
        <f t="shared" si="100"/>
        <v>0.53447162344186561</v>
      </c>
      <c r="T335" s="52">
        <f t="shared" si="100"/>
        <v>0.70792087135473158</v>
      </c>
      <c r="U335" s="52">
        <f t="shared" si="100"/>
        <v>0.27593713377330925</v>
      </c>
      <c r="V335" s="52">
        <f t="shared" si="100"/>
        <v>0.27825674891121588</v>
      </c>
      <c r="W335" s="52">
        <f t="shared" si="100"/>
        <v>0.1136002189634325</v>
      </c>
      <c r="X335" s="52">
        <f t="shared" si="100"/>
        <v>1.2982690703128161E-2</v>
      </c>
      <c r="Y335" s="52">
        <f t="shared" si="100"/>
        <v>2.4130948836594862E-2</v>
      </c>
      <c r="Z335" s="52">
        <f t="shared" si="100"/>
        <v>5.9786808875292696E-2</v>
      </c>
      <c r="AA335" s="52">
        <f t="shared" si="100"/>
        <v>7.7287434019903442E-2</v>
      </c>
      <c r="AB335" s="52">
        <f t="shared" si="100"/>
        <v>2.8299357764461908E-2</v>
      </c>
      <c r="AC335" s="52">
        <f t="shared" si="100"/>
        <v>4.6205804588643269E-2</v>
      </c>
      <c r="AD335" s="52">
        <f t="shared" si="100"/>
        <v>0.19524028012875291</v>
      </c>
      <c r="AE335" s="52">
        <f t="shared" si="100"/>
        <v>0.23837437180413412</v>
      </c>
      <c r="AF335" s="52">
        <f t="shared" si="100"/>
        <v>7.8486289073376111E-2</v>
      </c>
      <c r="AG335" s="52">
        <f t="shared" si="100"/>
        <v>0.17876494209781404</v>
      </c>
      <c r="AH335" s="52">
        <f t="shared" si="100"/>
        <v>7.7684849893469146E-2</v>
      </c>
      <c r="AI335" s="52">
        <f t="shared" si="100"/>
        <v>0.25120924085675916</v>
      </c>
      <c r="AJ335" s="52">
        <f t="shared" si="100"/>
        <v>7.8825983499376015E-2</v>
      </c>
      <c r="AK335" s="52">
        <f t="shared" si="100"/>
        <v>0.14826531477481805</v>
      </c>
    </row>
    <row r="336" spans="3:37" x14ac:dyDescent="0.35">
      <c r="C336" s="39" t="s">
        <v>98</v>
      </c>
      <c r="D336" s="52">
        <f t="shared" si="101"/>
        <v>9.2053388296344103</v>
      </c>
      <c r="E336" s="52">
        <f t="shared" si="100"/>
        <v>1.3378222107039477</v>
      </c>
      <c r="F336" s="52">
        <f t="shared" si="100"/>
        <v>1.2578406601677963</v>
      </c>
      <c r="G336" s="52">
        <f t="shared" si="100"/>
        <v>1.2950382950079711</v>
      </c>
      <c r="H336" s="52">
        <f t="shared" si="100"/>
        <v>0.37488509894057276</v>
      </c>
      <c r="I336" s="52">
        <f t="shared" si="100"/>
        <v>0.95489215236909653</v>
      </c>
      <c r="J336" s="52">
        <f t="shared" si="100"/>
        <v>0.57464914133501799</v>
      </c>
      <c r="K336" s="52">
        <f t="shared" si="100"/>
        <v>0.63468552345866536</v>
      </c>
      <c r="L336" s="52">
        <f t="shared" si="100"/>
        <v>0.34368644760504513</v>
      </c>
      <c r="M336" s="52">
        <f t="shared" si="100"/>
        <v>0.12716298749906632</v>
      </c>
      <c r="N336" s="52">
        <f t="shared" si="100"/>
        <v>0.21505506561004856</v>
      </c>
      <c r="O336" s="52">
        <f t="shared" si="100"/>
        <v>0.3996354298719223</v>
      </c>
      <c r="P336" s="52">
        <f t="shared" si="100"/>
        <v>0.12401410467814827</v>
      </c>
      <c r="Q336" s="52">
        <f t="shared" si="100"/>
        <v>0.10626379706588995</v>
      </c>
      <c r="R336" s="52">
        <f t="shared" si="100"/>
        <v>0.60803165371300549</v>
      </c>
      <c r="S336" s="52">
        <f t="shared" si="100"/>
        <v>2.1934046749116316</v>
      </c>
      <c r="T336" s="52">
        <f t="shared" si="100"/>
        <v>3.0466713686343661</v>
      </c>
      <c r="U336" s="52">
        <f t="shared" si="100"/>
        <v>1.1877987813081936</v>
      </c>
      <c r="V336" s="52">
        <f t="shared" si="100"/>
        <v>0.8906001824842581</v>
      </c>
      <c r="W336" s="52">
        <f t="shared" si="100"/>
        <v>0.51830660171443499</v>
      </c>
      <c r="X336" s="52">
        <f t="shared" si="100"/>
        <v>6.2829954481637862E-2</v>
      </c>
      <c r="Y336" s="52">
        <f t="shared" si="100"/>
        <v>0.10796126471829026</v>
      </c>
      <c r="Z336" s="52">
        <f t="shared" si="100"/>
        <v>0.23860771467089453</v>
      </c>
      <c r="AA336" s="52">
        <f t="shared" si="100"/>
        <v>0.26926248507649453</v>
      </c>
      <c r="AB336" s="52">
        <f t="shared" si="100"/>
        <v>9.9955058983983547E-2</v>
      </c>
      <c r="AC336" s="52">
        <f t="shared" si="100"/>
        <v>0.15006633576765935</v>
      </c>
      <c r="AD336" s="52">
        <f t="shared" si="100"/>
        <v>0.75030035722914512</v>
      </c>
      <c r="AE336" s="52">
        <f t="shared" si="100"/>
        <v>1.0678654038308966</v>
      </c>
      <c r="AF336" s="52">
        <f t="shared" si="100"/>
        <v>0.3420259115899324</v>
      </c>
      <c r="AG336" s="52">
        <f t="shared" si="100"/>
        <v>0.77969201232113217</v>
      </c>
      <c r="AH336" s="52">
        <f t="shared" si="100"/>
        <v>0.3051752018921125</v>
      </c>
      <c r="AI336" s="52">
        <f t="shared" si="100"/>
        <v>0.8928800988334672</v>
      </c>
      <c r="AJ336" s="52">
        <f t="shared" si="100"/>
        <v>0.25008985017163804</v>
      </c>
      <c r="AK336" s="52">
        <f t="shared" si="100"/>
        <v>0.4597907312456827</v>
      </c>
    </row>
    <row r="337" spans="2:37" x14ac:dyDescent="0.35">
      <c r="C337" s="39" t="s">
        <v>97</v>
      </c>
      <c r="D337" s="52">
        <f t="shared" si="101"/>
        <v>0.79185710362446537</v>
      </c>
      <c r="E337" s="52">
        <f t="shared" si="100"/>
        <v>0.10032157993382106</v>
      </c>
      <c r="F337" s="52">
        <f t="shared" si="100"/>
        <v>0.13853503853528962</v>
      </c>
      <c r="G337" s="52">
        <f t="shared" si="100"/>
        <v>0.14507057023263101</v>
      </c>
      <c r="H337" s="52">
        <f t="shared" si="100"/>
        <v>3.0541843226325312E-2</v>
      </c>
      <c r="I337" s="52">
        <f t="shared" si="100"/>
        <v>9.6811371542241439E-2</v>
      </c>
      <c r="J337" s="52">
        <f t="shared" si="100"/>
        <v>4.9821761825218421E-2</v>
      </c>
      <c r="K337" s="52">
        <f t="shared" si="100"/>
        <v>4.6938956250209586E-2</v>
      </c>
      <c r="L337" s="52">
        <f t="shared" si="100"/>
        <v>3.1287450411981436E-2</v>
      </c>
      <c r="M337" s="52">
        <f t="shared" si="100"/>
        <v>9.8170523500319684E-3</v>
      </c>
      <c r="N337" s="52">
        <f t="shared" si="100"/>
        <v>1.7963310196323048E-2</v>
      </c>
      <c r="O337" s="52">
        <f t="shared" si="100"/>
        <v>4.2458672280442887E-2</v>
      </c>
      <c r="P337" s="52">
        <f t="shared" si="100"/>
        <v>1.0952179920193556E-2</v>
      </c>
      <c r="Q337" s="52">
        <f t="shared" si="100"/>
        <v>7.9675917282896139E-3</v>
      </c>
      <c r="R337" s="52">
        <f t="shared" si="100"/>
        <v>4.4681809335796061E-2</v>
      </c>
      <c r="S337" s="52">
        <f t="shared" si="100"/>
        <v>0.18035279805697357</v>
      </c>
      <c r="T337" s="52">
        <f t="shared" si="100"/>
        <v>0.33529384754077241</v>
      </c>
      <c r="U337" s="52">
        <f t="shared" si="100"/>
        <v>8.795276440902855E-2</v>
      </c>
      <c r="V337" s="52">
        <f t="shared" si="100"/>
        <v>8.5180407256872787E-2</v>
      </c>
      <c r="W337" s="52">
        <f t="shared" si="100"/>
        <v>4.171177501340536E-2</v>
      </c>
      <c r="X337" s="52">
        <f t="shared" si="100"/>
        <v>6.6276008547020591E-3</v>
      </c>
      <c r="Y337" s="52">
        <f t="shared" si="100"/>
        <v>7.5416613003989642E-3</v>
      </c>
      <c r="Z337" s="52">
        <f t="shared" si="100"/>
        <v>1.8416257196669308E-2</v>
      </c>
      <c r="AA337" s="52">
        <f t="shared" si="100"/>
        <v>2.5070595626465748E-2</v>
      </c>
      <c r="AB337" s="52">
        <f t="shared" si="100"/>
        <v>8.6763931990902297E-3</v>
      </c>
      <c r="AC337" s="52">
        <f t="shared" si="100"/>
        <v>1.749747796311215E-2</v>
      </c>
      <c r="AD337" s="52">
        <f t="shared" si="100"/>
        <v>5.7502090738704582E-2</v>
      </c>
      <c r="AE337" s="52">
        <f t="shared" si="100"/>
        <v>0.11157822767100123</v>
      </c>
      <c r="AF337" s="52">
        <f t="shared" si="100"/>
        <v>2.7682196840544498E-2</v>
      </c>
      <c r="AG337" s="52">
        <f t="shared" si="100"/>
        <v>8.3716527223415507E-2</v>
      </c>
      <c r="AH337" s="52">
        <f t="shared" si="100"/>
        <v>2.1994071162683572E-2</v>
      </c>
      <c r="AI337" s="52">
        <f t="shared" si="100"/>
        <v>8.5316491483124285E-2</v>
      </c>
      <c r="AJ337" s="52">
        <f t="shared" si="100"/>
        <v>1.7583408808241292E-2</v>
      </c>
      <c r="AK337" s="52">
        <f t="shared" si="100"/>
        <v>4.2750607917069104E-2</v>
      </c>
    </row>
    <row r="338" spans="2:37" x14ac:dyDescent="0.35">
      <c r="C338" s="37" t="s">
        <v>82</v>
      </c>
      <c r="D338" s="52">
        <f>D$323*D223</f>
        <v>37.381472749559357</v>
      </c>
      <c r="E338" s="52">
        <f t="shared" ref="E338:AK338" si="102">E$323*E223</f>
        <v>5.0592972296432217</v>
      </c>
      <c r="F338" s="52">
        <f t="shared" si="102"/>
        <v>5.1541791251494393</v>
      </c>
      <c r="G338" s="52">
        <f t="shared" si="102"/>
        <v>5.2119554802877657</v>
      </c>
      <c r="H338" s="52">
        <f t="shared" si="102"/>
        <v>1.6993146720318972</v>
      </c>
      <c r="I338" s="52">
        <f t="shared" si="102"/>
        <v>3.4997575158388643</v>
      </c>
      <c r="J338" s="52">
        <f t="shared" si="102"/>
        <v>2.432253775600798</v>
      </c>
      <c r="K338" s="52">
        <f t="shared" si="102"/>
        <v>2.5954432793991487</v>
      </c>
      <c r="L338" s="52">
        <f t="shared" si="102"/>
        <v>1.4936954752627423</v>
      </c>
      <c r="M338" s="52">
        <f t="shared" si="102"/>
        <v>0.51893415352538452</v>
      </c>
      <c r="N338" s="52">
        <f t="shared" si="102"/>
        <v>0.93064079558853652</v>
      </c>
      <c r="O338" s="52">
        <f t="shared" si="102"/>
        <v>1.4701591873979953</v>
      </c>
      <c r="P338" s="52">
        <f t="shared" si="102"/>
        <v>0.54690265503270896</v>
      </c>
      <c r="Q338" s="52">
        <f t="shared" si="102"/>
        <v>0.45164162807389929</v>
      </c>
      <c r="R338" s="52">
        <f t="shared" si="102"/>
        <v>2.2932301523992495</v>
      </c>
      <c r="S338" s="52">
        <f t="shared" si="102"/>
        <v>7.9112169597128608</v>
      </c>
      <c r="T338" s="52">
        <f t="shared" si="102"/>
        <v>11.374509591433606</v>
      </c>
      <c r="U338" s="52">
        <f t="shared" si="102"/>
        <v>4.7485734756298825</v>
      </c>
      <c r="V338" s="52">
        <f t="shared" si="102"/>
        <v>3.6574543774093922</v>
      </c>
      <c r="W338" s="52">
        <f t="shared" si="102"/>
        <v>1.9834263221668027</v>
      </c>
      <c r="X338" s="52">
        <f t="shared" si="102"/>
        <v>0.2559499803613931</v>
      </c>
      <c r="Y338" s="52">
        <f t="shared" si="102"/>
        <v>0.42276919963627579</v>
      </c>
      <c r="Z338" s="52">
        <f t="shared" si="102"/>
        <v>0.92258655095693032</v>
      </c>
      <c r="AA338" s="52">
        <f t="shared" si="102"/>
        <v>1.0579004264419107</v>
      </c>
      <c r="AB338" s="52">
        <f t="shared" si="102"/>
        <v>0.45040323738120136</v>
      </c>
      <c r="AC338" s="52">
        <f t="shared" si="102"/>
        <v>0.60907202470810928</v>
      </c>
      <c r="AD338" s="52">
        <f t="shared" si="102"/>
        <v>3.2825329876190668</v>
      </c>
      <c r="AE338" s="52">
        <f t="shared" si="102"/>
        <v>4.1935125948915566</v>
      </c>
      <c r="AF338" s="52">
        <f t="shared" si="102"/>
        <v>1.5008419240571194</v>
      </c>
      <c r="AG338" s="52">
        <f t="shared" si="102"/>
        <v>3.1347594667042142</v>
      </c>
      <c r="AH338" s="52">
        <f t="shared" si="102"/>
        <v>1.229051597720848</v>
      </c>
      <c r="AI338" s="52">
        <f t="shared" si="102"/>
        <v>3.7305208946308515</v>
      </c>
      <c r="AJ338" s="52">
        <f t="shared" si="102"/>
        <v>0.94933069618698163</v>
      </c>
      <c r="AK338" s="52">
        <f t="shared" si="102"/>
        <v>1.6860727807985687</v>
      </c>
    </row>
    <row r="339" spans="2:37" x14ac:dyDescent="0.35">
      <c r="C339" s="39" t="s">
        <v>93</v>
      </c>
      <c r="D339" s="52">
        <f>D$338*D224</f>
        <v>13.326785344189537</v>
      </c>
      <c r="E339" s="52">
        <f t="shared" ref="E339:AK344" si="103">E$338*E224</f>
        <v>1.8279633801752313</v>
      </c>
      <c r="F339" s="52">
        <f t="shared" si="103"/>
        <v>1.8926546027241158</v>
      </c>
      <c r="G339" s="52">
        <f t="shared" si="103"/>
        <v>1.8581026053898877</v>
      </c>
      <c r="H339" s="52">
        <f t="shared" si="103"/>
        <v>0.62281202437991823</v>
      </c>
      <c r="I339" s="52">
        <f t="shared" si="103"/>
        <v>1.1804953896263368</v>
      </c>
      <c r="J339" s="52">
        <f t="shared" si="103"/>
        <v>1.000404867077249</v>
      </c>
      <c r="K339" s="52">
        <f t="shared" si="103"/>
        <v>0.86586003452932847</v>
      </c>
      <c r="L339" s="52">
        <f t="shared" si="103"/>
        <v>0.5039844535706941</v>
      </c>
      <c r="M339" s="52">
        <f t="shared" si="103"/>
        <v>0.1749367332578779</v>
      </c>
      <c r="N339" s="52">
        <f t="shared" si="103"/>
        <v>0.34164546352786251</v>
      </c>
      <c r="O339" s="52">
        <f t="shared" si="103"/>
        <v>0.57013915030437134</v>
      </c>
      <c r="P339" s="52">
        <f t="shared" si="103"/>
        <v>0.18524017657076466</v>
      </c>
      <c r="Q339" s="52">
        <f t="shared" si="103"/>
        <v>0.1514841095586856</v>
      </c>
      <c r="R339" s="52">
        <f t="shared" si="103"/>
        <v>0.78728372081727993</v>
      </c>
      <c r="S339" s="52">
        <f t="shared" si="103"/>
        <v>3.0292664133276395</v>
      </c>
      <c r="T339" s="52">
        <f t="shared" si="103"/>
        <v>3.6342441502598741</v>
      </c>
      <c r="U339" s="52">
        <f t="shared" si="103"/>
        <v>1.6563393062871399</v>
      </c>
      <c r="V339" s="52">
        <f t="shared" si="103"/>
        <v>1.290012563138798</v>
      </c>
      <c r="W339" s="52">
        <f t="shared" si="103"/>
        <v>0.79536935871404457</v>
      </c>
      <c r="X339" s="52">
        <f t="shared" si="103"/>
        <v>8.3262516349606838E-2</v>
      </c>
      <c r="Y339" s="52">
        <f t="shared" si="103"/>
        <v>0.13816425771711516</v>
      </c>
      <c r="Z339" s="52">
        <f t="shared" si="103"/>
        <v>0.3171001624809841</v>
      </c>
      <c r="AA339" s="52">
        <f t="shared" si="103"/>
        <v>0.4190425746944087</v>
      </c>
      <c r="AB339" s="52">
        <f t="shared" si="103"/>
        <v>0.1423759612214078</v>
      </c>
      <c r="AC339" s="52">
        <f t="shared" si="103"/>
        <v>0.22201148313202479</v>
      </c>
      <c r="AD339" s="52">
        <f t="shared" si="103"/>
        <v>1.1272473204907054</v>
      </c>
      <c r="AE339" s="52">
        <f t="shared" si="103"/>
        <v>1.4786651082772602</v>
      </c>
      <c r="AF339" s="52">
        <f t="shared" si="103"/>
        <v>0.51450026728399834</v>
      </c>
      <c r="AG339" s="52">
        <f t="shared" si="103"/>
        <v>1.189038610636455</v>
      </c>
      <c r="AH339" s="52">
        <f t="shared" si="103"/>
        <v>0.40928372700220017</v>
      </c>
      <c r="AI339" s="52">
        <f t="shared" si="103"/>
        <v>1.4444866620708501</v>
      </c>
      <c r="AJ339" s="52">
        <f t="shared" si="103"/>
        <v>0.38030924950781053</v>
      </c>
      <c r="AK339" s="52">
        <f t="shared" si="103"/>
        <v>0.61863319751711754</v>
      </c>
    </row>
    <row r="340" spans="2:37" x14ac:dyDescent="0.35">
      <c r="C340" s="39" t="s">
        <v>94</v>
      </c>
      <c r="D340" s="52">
        <f t="shared" ref="D340:S344" si="104">D$338*D225</f>
        <v>5.8995692024081485</v>
      </c>
      <c r="E340" s="52">
        <f t="shared" si="104"/>
        <v>0.87890452171701516</v>
      </c>
      <c r="F340" s="52">
        <f t="shared" si="104"/>
        <v>0.78921137852073242</v>
      </c>
      <c r="G340" s="52">
        <f t="shared" si="104"/>
        <v>0.81525758601166121</v>
      </c>
      <c r="H340" s="52">
        <f t="shared" si="104"/>
        <v>0.24626582660704346</v>
      </c>
      <c r="I340" s="52">
        <f t="shared" si="104"/>
        <v>0.5323854700825329</v>
      </c>
      <c r="J340" s="52">
        <f t="shared" si="104"/>
        <v>0.34445741760558429</v>
      </c>
      <c r="K340" s="52">
        <f t="shared" si="104"/>
        <v>0.45192033160748879</v>
      </c>
      <c r="L340" s="52">
        <f t="shared" si="104"/>
        <v>0.24813369822072118</v>
      </c>
      <c r="M340" s="52">
        <f t="shared" si="104"/>
        <v>7.6086475045550203E-2</v>
      </c>
      <c r="N340" s="52">
        <f t="shared" si="104"/>
        <v>0.14026680741429898</v>
      </c>
      <c r="O340" s="52">
        <f t="shared" si="104"/>
        <v>0.21511468232056793</v>
      </c>
      <c r="P340" s="52">
        <f t="shared" si="104"/>
        <v>8.5710952386664388E-2</v>
      </c>
      <c r="Q340" s="52">
        <f t="shared" si="104"/>
        <v>6.5000567252567101E-2</v>
      </c>
      <c r="R340" s="52">
        <f t="shared" si="104"/>
        <v>0.34770109999181908</v>
      </c>
      <c r="S340" s="52">
        <f t="shared" si="104"/>
        <v>1.1275119685940909</v>
      </c>
      <c r="T340" s="52">
        <f t="shared" si="103"/>
        <v>1.8861288401646272</v>
      </c>
      <c r="U340" s="52">
        <f t="shared" si="103"/>
        <v>0.83014881274840169</v>
      </c>
      <c r="V340" s="52">
        <f t="shared" si="103"/>
        <v>0.62111136533949529</v>
      </c>
      <c r="W340" s="52">
        <f t="shared" si="103"/>
        <v>0.30291020358123633</v>
      </c>
      <c r="X340" s="52">
        <f t="shared" si="103"/>
        <v>3.9703133313039145E-2</v>
      </c>
      <c r="Y340" s="52">
        <f t="shared" si="103"/>
        <v>7.1414457899737507E-2</v>
      </c>
      <c r="Z340" s="52">
        <f t="shared" si="103"/>
        <v>0.1316721738319557</v>
      </c>
      <c r="AA340" s="52">
        <f t="shared" si="103"/>
        <v>0.1623037958258722</v>
      </c>
      <c r="AB340" s="52">
        <f t="shared" si="103"/>
        <v>7.7703869819231192E-2</v>
      </c>
      <c r="AC340" s="52">
        <f t="shared" si="103"/>
        <v>0.10239759894936595</v>
      </c>
      <c r="AD340" s="52">
        <f t="shared" si="103"/>
        <v>0.55875497564438503</v>
      </c>
      <c r="AE340" s="52">
        <f t="shared" si="103"/>
        <v>0.67230676316802784</v>
      </c>
      <c r="AF340" s="52">
        <f t="shared" si="103"/>
        <v>0.2520223865702389</v>
      </c>
      <c r="AG340" s="52">
        <f t="shared" si="103"/>
        <v>0.46871134644125506</v>
      </c>
      <c r="AH340" s="52">
        <f t="shared" si="103"/>
        <v>0.19556751788547508</v>
      </c>
      <c r="AI340" s="52">
        <f t="shared" si="103"/>
        <v>0.55965525678410555</v>
      </c>
      <c r="AJ340" s="52">
        <f t="shared" si="103"/>
        <v>0.13624858080592386</v>
      </c>
      <c r="AK340" s="52">
        <f t="shared" si="103"/>
        <v>0.27216700369545854</v>
      </c>
    </row>
    <row r="341" spans="2:37" x14ac:dyDescent="0.35">
      <c r="C341" s="39" t="s">
        <v>95</v>
      </c>
      <c r="D341" s="52">
        <f t="shared" si="104"/>
        <v>3.4696179363754043</v>
      </c>
      <c r="E341" s="52">
        <f t="shared" si="103"/>
        <v>0.39420279632837529</v>
      </c>
      <c r="F341" s="52">
        <f t="shared" si="103"/>
        <v>0.50519466315037109</v>
      </c>
      <c r="G341" s="52">
        <f t="shared" si="103"/>
        <v>0.42642402121096706</v>
      </c>
      <c r="H341" s="52">
        <f t="shared" si="103"/>
        <v>0.16910986996650731</v>
      </c>
      <c r="I341" s="52">
        <f t="shared" si="103"/>
        <v>0.37838157754965235</v>
      </c>
      <c r="J341" s="52">
        <f t="shared" si="103"/>
        <v>0.19145853496758097</v>
      </c>
      <c r="K341" s="52">
        <f t="shared" si="103"/>
        <v>0.25958718545031784</v>
      </c>
      <c r="L341" s="52">
        <f t="shared" si="103"/>
        <v>0.15342719010176711</v>
      </c>
      <c r="M341" s="52">
        <f t="shared" si="103"/>
        <v>5.3562573594665076E-2</v>
      </c>
      <c r="N341" s="52">
        <f t="shared" si="103"/>
        <v>8.0794988354029929E-2</v>
      </c>
      <c r="O341" s="52">
        <f t="shared" si="103"/>
        <v>0.13175053933789393</v>
      </c>
      <c r="P341" s="52">
        <f t="shared" si="103"/>
        <v>5.6340004251824595E-2</v>
      </c>
      <c r="Q341" s="52">
        <f t="shared" si="103"/>
        <v>4.1874636698903227E-2</v>
      </c>
      <c r="R341" s="52">
        <f t="shared" si="103"/>
        <v>0.22179322292366219</v>
      </c>
      <c r="S341" s="52">
        <f t="shared" si="103"/>
        <v>0.63540135660693153</v>
      </c>
      <c r="T341" s="52">
        <f t="shared" si="103"/>
        <v>1.2058858393914651</v>
      </c>
      <c r="U341" s="52">
        <f t="shared" si="103"/>
        <v>0.39278543771745245</v>
      </c>
      <c r="V341" s="52">
        <f t="shared" si="103"/>
        <v>0.2955827077669641</v>
      </c>
      <c r="W341" s="52">
        <f t="shared" si="103"/>
        <v>0.1563267457074228</v>
      </c>
      <c r="X341" s="52">
        <f t="shared" si="103"/>
        <v>2.7800394266272475E-2</v>
      </c>
      <c r="Y341" s="52">
        <f t="shared" si="103"/>
        <v>4.5877439178196866E-2</v>
      </c>
      <c r="Z341" s="52">
        <f t="shared" si="103"/>
        <v>8.4985455643577873E-2</v>
      </c>
      <c r="AA341" s="52">
        <f t="shared" si="103"/>
        <v>8.7082673780186123E-2</v>
      </c>
      <c r="AB341" s="52">
        <f t="shared" si="103"/>
        <v>4.6263849806454996E-2</v>
      </c>
      <c r="AC341" s="52">
        <f t="shared" si="103"/>
        <v>4.7578582490941879E-2</v>
      </c>
      <c r="AD341" s="52">
        <f t="shared" si="103"/>
        <v>0.31222309026882633</v>
      </c>
      <c r="AE341" s="52">
        <f t="shared" si="103"/>
        <v>0.36196938272504886</v>
      </c>
      <c r="AF341" s="52">
        <f t="shared" si="103"/>
        <v>0.12084255768531461</v>
      </c>
      <c r="AG341" s="52">
        <f t="shared" si="103"/>
        <v>0.24832471278454368</v>
      </c>
      <c r="AH341" s="52">
        <f t="shared" si="103"/>
        <v>0.1341098241457773</v>
      </c>
      <c r="AI341" s="52">
        <f t="shared" si="103"/>
        <v>0.34476173125417098</v>
      </c>
      <c r="AJ341" s="52">
        <f t="shared" si="103"/>
        <v>8.3461844110587963E-2</v>
      </c>
      <c r="AK341" s="52">
        <f t="shared" si="103"/>
        <v>0.13491366390519793</v>
      </c>
    </row>
    <row r="342" spans="2:37" x14ac:dyDescent="0.35">
      <c r="C342" s="39" t="s">
        <v>96</v>
      </c>
      <c r="D342" s="52">
        <f t="shared" si="104"/>
        <v>2.5887349532757415</v>
      </c>
      <c r="E342" s="52">
        <f t="shared" si="103"/>
        <v>0.3948873473679454</v>
      </c>
      <c r="F342" s="52">
        <f t="shared" si="103"/>
        <v>0.36466754420875258</v>
      </c>
      <c r="G342" s="52">
        <f t="shared" si="103"/>
        <v>0.36927652192927535</v>
      </c>
      <c r="H342" s="52">
        <f t="shared" si="103"/>
        <v>0.1068050167572711</v>
      </c>
      <c r="I342" s="52">
        <f t="shared" si="103"/>
        <v>0.21856621997111558</v>
      </c>
      <c r="J342" s="52">
        <f t="shared" si="103"/>
        <v>0.15287157201459325</v>
      </c>
      <c r="K342" s="52">
        <f t="shared" si="103"/>
        <v>0.21944944819534296</v>
      </c>
      <c r="L342" s="52">
        <f t="shared" si="103"/>
        <v>8.5068673088394373E-2</v>
      </c>
      <c r="M342" s="52">
        <f t="shared" si="103"/>
        <v>3.6352280957972709E-2</v>
      </c>
      <c r="N342" s="52">
        <f t="shared" si="103"/>
        <v>7.1521437191617993E-2</v>
      </c>
      <c r="O342" s="52">
        <f t="shared" si="103"/>
        <v>9.681265546968372E-2</v>
      </c>
      <c r="P342" s="52">
        <f t="shared" si="103"/>
        <v>4.5475950120602911E-2</v>
      </c>
      <c r="Q342" s="52">
        <f t="shared" si="103"/>
        <v>3.5883748505646303E-2</v>
      </c>
      <c r="R342" s="52">
        <f t="shared" si="103"/>
        <v>0.17990807490709598</v>
      </c>
      <c r="S342" s="52">
        <f t="shared" si="103"/>
        <v>0.67207226455837776</v>
      </c>
      <c r="T342" s="52">
        <f t="shared" si="103"/>
        <v>0.68647233448189982</v>
      </c>
      <c r="U342" s="52">
        <f t="shared" si="103"/>
        <v>0.35306507156295147</v>
      </c>
      <c r="V342" s="52">
        <f t="shared" si="103"/>
        <v>0.25438260177338023</v>
      </c>
      <c r="W342" s="52">
        <f t="shared" si="103"/>
        <v>0.10522437257046699</v>
      </c>
      <c r="X342" s="52">
        <f t="shared" si="103"/>
        <v>1.9337486373431228E-2</v>
      </c>
      <c r="Y342" s="52">
        <f t="shared" si="103"/>
        <v>3.4012550771319108E-2</v>
      </c>
      <c r="Z342" s="52">
        <f t="shared" si="103"/>
        <v>7.0441160572323122E-2</v>
      </c>
      <c r="AA342" s="52">
        <f t="shared" si="103"/>
        <v>6.4586744462846374E-2</v>
      </c>
      <c r="AB342" s="52">
        <f t="shared" si="103"/>
        <v>2.8443783344209748E-2</v>
      </c>
      <c r="AC342" s="52">
        <f t="shared" si="103"/>
        <v>3.4870480802817821E-2</v>
      </c>
      <c r="AD342" s="52">
        <f t="shared" si="103"/>
        <v>0.23815373641054749</v>
      </c>
      <c r="AE342" s="52">
        <f t="shared" si="103"/>
        <v>0.3407305227972442</v>
      </c>
      <c r="AF342" s="52">
        <f t="shared" si="103"/>
        <v>0.11954478801669327</v>
      </c>
      <c r="AG342" s="52">
        <f t="shared" si="103"/>
        <v>0.22743249879278302</v>
      </c>
      <c r="AH342" s="52">
        <f t="shared" si="103"/>
        <v>7.9952041039928465E-2</v>
      </c>
      <c r="AI342" s="52">
        <f t="shared" si="103"/>
        <v>0.22924729164598823</v>
      </c>
      <c r="AJ342" s="52">
        <f t="shared" si="103"/>
        <v>5.3211711553084087E-2</v>
      </c>
      <c r="AK342" s="52">
        <f t="shared" si="103"/>
        <v>9.7205161357272835E-2</v>
      </c>
    </row>
    <row r="343" spans="2:37" x14ac:dyDescent="0.35">
      <c r="C343" s="39" t="s">
        <v>98</v>
      </c>
      <c r="D343" s="52">
        <f t="shared" si="104"/>
        <v>11.019950019592578</v>
      </c>
      <c r="E343" s="52">
        <f t="shared" si="103"/>
        <v>1.4388494952419575</v>
      </c>
      <c r="F343" s="52">
        <f t="shared" si="103"/>
        <v>1.4519173481866656</v>
      </c>
      <c r="G343" s="52">
        <f t="shared" si="103"/>
        <v>1.6255938357831536</v>
      </c>
      <c r="H343" s="52">
        <f t="shared" si="103"/>
        <v>0.49687469387673167</v>
      </c>
      <c r="I343" s="52">
        <f t="shared" si="103"/>
        <v>1.0544668145012286</v>
      </c>
      <c r="J343" s="52">
        <f t="shared" si="103"/>
        <v>0.68491562654436</v>
      </c>
      <c r="K343" s="52">
        <f t="shared" si="103"/>
        <v>0.73502202794340343</v>
      </c>
      <c r="L343" s="52">
        <f t="shared" si="103"/>
        <v>0.45303351629120497</v>
      </c>
      <c r="M343" s="52">
        <f t="shared" si="103"/>
        <v>0.15791016160827256</v>
      </c>
      <c r="N343" s="52">
        <f t="shared" si="103"/>
        <v>0.27155829174973961</v>
      </c>
      <c r="O343" s="52">
        <f t="shared" si="103"/>
        <v>0.41957917881938039</v>
      </c>
      <c r="P343" s="52">
        <f t="shared" si="103"/>
        <v>0.15952992224888604</v>
      </c>
      <c r="Q343" s="52">
        <f t="shared" si="103"/>
        <v>0.13960112060969515</v>
      </c>
      <c r="R343" s="52">
        <f t="shared" si="103"/>
        <v>0.67672558351237544</v>
      </c>
      <c r="S343" s="52">
        <f t="shared" si="103"/>
        <v>2.2317314166813085</v>
      </c>
      <c r="T343" s="52">
        <f t="shared" si="103"/>
        <v>3.5454017324703719</v>
      </c>
      <c r="U343" s="52">
        <f t="shared" si="103"/>
        <v>1.4069885829041369</v>
      </c>
      <c r="V343" s="52">
        <f t="shared" si="103"/>
        <v>1.0632114062648417</v>
      </c>
      <c r="W343" s="52">
        <f t="shared" si="103"/>
        <v>0.5724110983988755</v>
      </c>
      <c r="X343" s="52">
        <f t="shared" si="103"/>
        <v>7.6861038622958885E-2</v>
      </c>
      <c r="Y343" s="52">
        <f t="shared" si="103"/>
        <v>0.12184086023699886</v>
      </c>
      <c r="Z343" s="52">
        <f t="shared" si="103"/>
        <v>0.28378495397279829</v>
      </c>
      <c r="AA343" s="52">
        <f t="shared" si="103"/>
        <v>0.3013927709201013</v>
      </c>
      <c r="AB343" s="52">
        <f t="shared" si="103"/>
        <v>0.13813736985961036</v>
      </c>
      <c r="AC343" s="52">
        <f t="shared" si="103"/>
        <v>0.18643518467905765</v>
      </c>
      <c r="AD343" s="52">
        <f t="shared" si="103"/>
        <v>0.91647371356659435</v>
      </c>
      <c r="AE343" s="52">
        <f t="shared" si="103"/>
        <v>1.1955583087050063</v>
      </c>
      <c r="AF343" s="52">
        <f t="shared" si="103"/>
        <v>0.44484520425941465</v>
      </c>
      <c r="AG343" s="52">
        <f t="shared" si="103"/>
        <v>0.87960443729874549</v>
      </c>
      <c r="AH343" s="52">
        <f t="shared" si="103"/>
        <v>0.37030969066887154</v>
      </c>
      <c r="AI343" s="52">
        <f t="shared" si="103"/>
        <v>1.059457141441013</v>
      </c>
      <c r="AJ343" s="52">
        <f t="shared" si="103"/>
        <v>0.27084130114807975</v>
      </c>
      <c r="AK343" s="52">
        <f t="shared" si="103"/>
        <v>0.52537540058107224</v>
      </c>
    </row>
    <row r="344" spans="2:37" x14ac:dyDescent="0.35">
      <c r="C344" s="39" t="s">
        <v>97</v>
      </c>
      <c r="D344" s="52">
        <f t="shared" si="104"/>
        <v>1.0768152937179449</v>
      </c>
      <c r="E344" s="52">
        <f t="shared" si="103"/>
        <v>0.12448968881269733</v>
      </c>
      <c r="F344" s="52">
        <f t="shared" si="103"/>
        <v>0.15053358835880204</v>
      </c>
      <c r="G344" s="52">
        <f t="shared" si="103"/>
        <v>0.11730090996282004</v>
      </c>
      <c r="H344" s="52">
        <f t="shared" si="103"/>
        <v>5.7447240444425451E-2</v>
      </c>
      <c r="I344" s="52">
        <f t="shared" si="103"/>
        <v>0.13546204410799795</v>
      </c>
      <c r="J344" s="52">
        <f t="shared" si="103"/>
        <v>5.814575739143045E-2</v>
      </c>
      <c r="K344" s="52">
        <f t="shared" si="103"/>
        <v>6.3604251673267109E-2</v>
      </c>
      <c r="L344" s="52">
        <f t="shared" si="103"/>
        <v>5.0047943989960569E-2</v>
      </c>
      <c r="M344" s="52">
        <f t="shared" si="103"/>
        <v>2.0085929061046059E-2</v>
      </c>
      <c r="N344" s="52">
        <f t="shared" si="103"/>
        <v>2.4853807350987505E-2</v>
      </c>
      <c r="O344" s="52">
        <f t="shared" si="103"/>
        <v>3.6762981146097939E-2</v>
      </c>
      <c r="P344" s="52">
        <f t="shared" si="103"/>
        <v>1.4605649453966359E-2</v>
      </c>
      <c r="Q344" s="52">
        <f t="shared" si="103"/>
        <v>1.7797445448401884E-2</v>
      </c>
      <c r="R344" s="52">
        <f t="shared" si="103"/>
        <v>7.9818450247017073E-2</v>
      </c>
      <c r="S344" s="52">
        <f t="shared" si="103"/>
        <v>0.21523353994451327</v>
      </c>
      <c r="T344" s="52">
        <f t="shared" si="103"/>
        <v>0.41637669466536714</v>
      </c>
      <c r="U344" s="52">
        <f t="shared" si="103"/>
        <v>0.10924626440980041</v>
      </c>
      <c r="V344" s="52">
        <f t="shared" si="103"/>
        <v>0.1331537331259128</v>
      </c>
      <c r="W344" s="52">
        <f t="shared" si="103"/>
        <v>5.1184543194756613E-2</v>
      </c>
      <c r="X344" s="52">
        <f t="shared" si="103"/>
        <v>8.9854114360845231E-3</v>
      </c>
      <c r="Y344" s="52">
        <f t="shared" si="103"/>
        <v>1.1459633832908321E-2</v>
      </c>
      <c r="Z344" s="52">
        <f t="shared" si="103"/>
        <v>3.4602644455291189E-2</v>
      </c>
      <c r="AA344" s="52">
        <f t="shared" si="103"/>
        <v>2.3491866758496092E-2</v>
      </c>
      <c r="AB344" s="52">
        <f t="shared" si="103"/>
        <v>1.74784033302872E-2</v>
      </c>
      <c r="AC344" s="52">
        <f t="shared" si="103"/>
        <v>1.5778694653901193E-2</v>
      </c>
      <c r="AD344" s="52">
        <f t="shared" si="103"/>
        <v>0.12968015123800808</v>
      </c>
      <c r="AE344" s="52">
        <f t="shared" si="103"/>
        <v>0.1442825092189691</v>
      </c>
      <c r="AF344" s="52">
        <f t="shared" si="103"/>
        <v>4.9086720241459672E-2</v>
      </c>
      <c r="AG344" s="52">
        <f t="shared" si="103"/>
        <v>0.12164786075043224</v>
      </c>
      <c r="AH344" s="52">
        <f t="shared" si="103"/>
        <v>3.9828796978595503E-2</v>
      </c>
      <c r="AI344" s="52">
        <f t="shared" si="103"/>
        <v>9.291281143472345E-2</v>
      </c>
      <c r="AJ344" s="52">
        <f t="shared" si="103"/>
        <v>2.5258009061495341E-2</v>
      </c>
      <c r="AK344" s="52">
        <f t="shared" si="103"/>
        <v>3.7778353742449561E-2</v>
      </c>
    </row>
    <row r="345" spans="2:37" x14ac:dyDescent="0.35"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  <c r="AB345" s="57"/>
      <c r="AC345" s="57"/>
      <c r="AD345" s="57"/>
      <c r="AE345" s="57"/>
      <c r="AF345" s="57"/>
      <c r="AG345" s="57"/>
      <c r="AH345" s="57"/>
      <c r="AI345" s="57"/>
      <c r="AJ345" s="57"/>
      <c r="AK345" s="57"/>
    </row>
    <row r="346" spans="2:37" x14ac:dyDescent="0.35"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  <c r="AB346" s="57"/>
      <c r="AC346" s="57"/>
      <c r="AD346" s="57"/>
      <c r="AE346" s="57"/>
      <c r="AF346" s="57"/>
      <c r="AG346" s="57"/>
      <c r="AH346" s="57"/>
      <c r="AI346" s="57"/>
      <c r="AJ346" s="57"/>
      <c r="AK346" s="57"/>
    </row>
    <row r="347" spans="2:37" x14ac:dyDescent="0.35">
      <c r="D347" s="71" t="s">
        <v>128</v>
      </c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  <c r="AB347" s="57"/>
      <c r="AC347" s="57"/>
      <c r="AD347" s="57"/>
      <c r="AE347" s="57"/>
      <c r="AF347" s="57"/>
      <c r="AG347" s="57"/>
      <c r="AH347" s="57"/>
      <c r="AI347" s="57"/>
      <c r="AJ347" s="57"/>
      <c r="AK347" s="57"/>
    </row>
    <row r="348" spans="2:37" x14ac:dyDescent="0.35">
      <c r="C348" t="s">
        <v>3</v>
      </c>
      <c r="D348" s="58" t="s">
        <v>18</v>
      </c>
      <c r="E348" s="58" t="s">
        <v>5</v>
      </c>
      <c r="F348" s="58" t="s">
        <v>33</v>
      </c>
      <c r="G348" s="58" t="s">
        <v>34</v>
      </c>
      <c r="H348" s="58" t="s">
        <v>10</v>
      </c>
      <c r="I348" s="58" t="s">
        <v>9</v>
      </c>
      <c r="J348" s="58" t="s">
        <v>31</v>
      </c>
      <c r="K348" s="58" t="s">
        <v>19</v>
      </c>
      <c r="L348" s="59" t="s">
        <v>51</v>
      </c>
      <c r="M348" s="58" t="s">
        <v>52</v>
      </c>
      <c r="N348" s="58" t="s">
        <v>53</v>
      </c>
      <c r="O348" s="58" t="s">
        <v>54</v>
      </c>
      <c r="P348" s="58" t="s">
        <v>55</v>
      </c>
      <c r="Q348" s="58" t="s">
        <v>56</v>
      </c>
      <c r="R348" s="58" t="s">
        <v>57</v>
      </c>
      <c r="S348" s="58" t="s">
        <v>20</v>
      </c>
      <c r="T348" s="58" t="s">
        <v>11</v>
      </c>
      <c r="U348" s="58" t="s">
        <v>12</v>
      </c>
      <c r="V348" s="58" t="s">
        <v>13</v>
      </c>
      <c r="W348" s="58" t="s">
        <v>26</v>
      </c>
      <c r="X348" s="58" t="s">
        <v>58</v>
      </c>
      <c r="Y348" s="58" t="s">
        <v>59</v>
      </c>
      <c r="Z348" s="58" t="s">
        <v>60</v>
      </c>
      <c r="AA348" s="58" t="s">
        <v>61</v>
      </c>
      <c r="AB348" s="58" t="s">
        <v>62</v>
      </c>
      <c r="AC348" s="58" t="s">
        <v>36</v>
      </c>
      <c r="AD348" s="58" t="s">
        <v>37</v>
      </c>
      <c r="AE348" s="58" t="s">
        <v>29</v>
      </c>
      <c r="AF348" s="58" t="s">
        <v>23</v>
      </c>
      <c r="AG348" s="58" t="s">
        <v>7</v>
      </c>
      <c r="AH348" s="58" t="s">
        <v>8</v>
      </c>
      <c r="AI348" s="58" t="s">
        <v>32</v>
      </c>
      <c r="AJ348" s="58" t="s">
        <v>14</v>
      </c>
      <c r="AK348" s="58" t="s">
        <v>38</v>
      </c>
    </row>
    <row r="349" spans="2:37" x14ac:dyDescent="0.35">
      <c r="C349" s="4" t="s">
        <v>63</v>
      </c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4"/>
      <c r="AA349" s="55"/>
      <c r="AB349" s="55"/>
      <c r="AC349" s="55"/>
      <c r="AD349" s="55"/>
      <c r="AE349" s="55"/>
      <c r="AF349" s="55"/>
      <c r="AG349" s="56"/>
      <c r="AH349" s="55"/>
      <c r="AI349" s="55"/>
      <c r="AJ349" s="55"/>
      <c r="AK349" s="55"/>
    </row>
    <row r="350" spans="2:37" x14ac:dyDescent="0.35">
      <c r="B350" s="68">
        <f>SUM(D350:AK350)</f>
        <v>1855654.2296361541</v>
      </c>
      <c r="C350" s="41" t="s">
        <v>64</v>
      </c>
      <c r="D350" s="60">
        <f>SUM(D351,D355:D361)</f>
        <v>545308.57459215913</v>
      </c>
      <c r="E350" s="60">
        <f t="shared" ref="E350:AK350" si="105">SUM(E351,E355:E361)</f>
        <v>89205.618072474565</v>
      </c>
      <c r="F350" s="60">
        <f t="shared" si="105"/>
        <v>79368.983623301436</v>
      </c>
      <c r="G350" s="60">
        <f t="shared" si="105"/>
        <v>77277.876485825022</v>
      </c>
      <c r="H350" s="60">
        <f t="shared" si="105"/>
        <v>22327.756684959706</v>
      </c>
      <c r="I350" s="60">
        <f t="shared" si="105"/>
        <v>57480.678075304386</v>
      </c>
      <c r="J350" s="60">
        <f t="shared" si="105"/>
        <v>33165.659443168377</v>
      </c>
      <c r="K350" s="60">
        <f t="shared" si="105"/>
        <v>34149.700935603927</v>
      </c>
      <c r="L350" s="60">
        <f t="shared" si="105"/>
        <v>23278.515079729936</v>
      </c>
      <c r="M350" s="60">
        <f t="shared" si="105"/>
        <v>8662.7826880708581</v>
      </c>
      <c r="N350" s="60">
        <f t="shared" si="105"/>
        <v>15043.346533694066</v>
      </c>
      <c r="O350" s="60">
        <f t="shared" si="105"/>
        <v>21748.927279023352</v>
      </c>
      <c r="P350" s="60">
        <f t="shared" si="105"/>
        <v>8547.3114630980035</v>
      </c>
      <c r="Q350" s="60">
        <f t="shared" si="105"/>
        <v>6248.5763633167335</v>
      </c>
      <c r="R350" s="60">
        <f t="shared" si="105"/>
        <v>33426.31323498609</v>
      </c>
      <c r="S350" s="60">
        <f t="shared" si="105"/>
        <v>104449.83077158088</v>
      </c>
      <c r="T350" s="60">
        <f t="shared" si="105"/>
        <v>186977.8820148283</v>
      </c>
      <c r="U350" s="60">
        <f t="shared" si="105"/>
        <v>70212.567899958463</v>
      </c>
      <c r="V350" s="60">
        <f t="shared" si="105"/>
        <v>53766.478649546065</v>
      </c>
      <c r="W350" s="60">
        <f t="shared" si="105"/>
        <v>31756.92422601816</v>
      </c>
      <c r="X350" s="60">
        <f t="shared" si="105"/>
        <v>4322.6334441463005</v>
      </c>
      <c r="Y350" s="60">
        <f t="shared" si="105"/>
        <v>6027.9587884346183</v>
      </c>
      <c r="Z350" s="60">
        <f t="shared" si="105"/>
        <v>11593.834728520596</v>
      </c>
      <c r="AA350" s="60">
        <f t="shared" si="105"/>
        <v>16581.595869175879</v>
      </c>
      <c r="AB350" s="60">
        <f t="shared" si="105"/>
        <v>6678.6211737148687</v>
      </c>
      <c r="AC350" s="60">
        <f t="shared" si="105"/>
        <v>10533.095290029185</v>
      </c>
      <c r="AD350" s="60">
        <f t="shared" si="105"/>
        <v>47471.151737464221</v>
      </c>
      <c r="AE350" s="60">
        <f t="shared" si="105"/>
        <v>64618.343314438112</v>
      </c>
      <c r="AF350" s="60">
        <f t="shared" si="105"/>
        <v>21623.900177376221</v>
      </c>
      <c r="AG350" s="60">
        <f t="shared" si="105"/>
        <v>45759.100368047482</v>
      </c>
      <c r="AH350" s="60">
        <f t="shared" si="105"/>
        <v>22104.869005242985</v>
      </c>
      <c r="AI350" s="60">
        <f t="shared" si="105"/>
        <v>53269.014722401174</v>
      </c>
      <c r="AJ350" s="60">
        <f t="shared" si="105"/>
        <v>14961.015390758079</v>
      </c>
      <c r="AK350" s="60">
        <f t="shared" si="105"/>
        <v>27704.791509756753</v>
      </c>
    </row>
    <row r="351" spans="2:37" x14ac:dyDescent="0.35">
      <c r="B351" s="68">
        <f>SUM(D351:AK351)</f>
        <v>445211.88474942633</v>
      </c>
      <c r="C351" s="37" t="s">
        <v>65</v>
      </c>
      <c r="D351" s="61">
        <f>SUM(D352:D354)</f>
        <v>137692.08827904661</v>
      </c>
      <c r="E351" s="61">
        <f t="shared" ref="E351:AK351" si="106">SUM(E352:E354)</f>
        <v>18222.690439246879</v>
      </c>
      <c r="F351" s="61">
        <f t="shared" si="106"/>
        <v>19472.27184329792</v>
      </c>
      <c r="G351" s="61">
        <f t="shared" si="106"/>
        <v>20854.01435862367</v>
      </c>
      <c r="H351" s="61">
        <f t="shared" si="106"/>
        <v>6260.6140623782103</v>
      </c>
      <c r="I351" s="61">
        <f t="shared" si="106"/>
        <v>16742.355032757641</v>
      </c>
      <c r="J351" s="61">
        <f t="shared" si="106"/>
        <v>7233.0641834097769</v>
      </c>
      <c r="K351" s="61">
        <f t="shared" si="106"/>
        <v>6273.8550689772756</v>
      </c>
      <c r="L351" s="61">
        <f t="shared" si="106"/>
        <v>6089.8681902051776</v>
      </c>
      <c r="M351" s="61">
        <f t="shared" si="106"/>
        <v>2300.2898087219046</v>
      </c>
      <c r="N351" s="61">
        <f t="shared" si="106"/>
        <v>3847.9910260379411</v>
      </c>
      <c r="O351" s="61">
        <f t="shared" si="106"/>
        <v>5378.3854075305944</v>
      </c>
      <c r="P351" s="61">
        <f t="shared" si="106"/>
        <v>1510.3416540742801</v>
      </c>
      <c r="Q351" s="61">
        <f t="shared" si="106"/>
        <v>1606.7192805804609</v>
      </c>
      <c r="R351" s="61">
        <f t="shared" si="106"/>
        <v>9168.7871766157368</v>
      </c>
      <c r="S351" s="61">
        <f t="shared" si="106"/>
        <v>28453.33002400789</v>
      </c>
      <c r="T351" s="61">
        <f t="shared" si="106"/>
        <v>39455.142775724395</v>
      </c>
      <c r="U351" s="61">
        <f t="shared" si="106"/>
        <v>13411.083477073618</v>
      </c>
      <c r="V351" s="61">
        <f t="shared" si="106"/>
        <v>13817.823014703596</v>
      </c>
      <c r="W351" s="61">
        <f t="shared" si="106"/>
        <v>6009.3258699971248</v>
      </c>
      <c r="X351" s="61">
        <f t="shared" si="106"/>
        <v>1008.204786733581</v>
      </c>
      <c r="Y351" s="61">
        <f t="shared" si="106"/>
        <v>1134.7367062367289</v>
      </c>
      <c r="Z351" s="61">
        <f t="shared" si="106"/>
        <v>3197.7052500511491</v>
      </c>
      <c r="AA351" s="61">
        <f t="shared" si="106"/>
        <v>3604.2417630231666</v>
      </c>
      <c r="AB351" s="61">
        <f t="shared" si="106"/>
        <v>1479.7255281850057</v>
      </c>
      <c r="AC351" s="61">
        <f t="shared" si="106"/>
        <v>2781.6022865224045</v>
      </c>
      <c r="AD351" s="61">
        <f t="shared" si="106"/>
        <v>12109.120138227321</v>
      </c>
      <c r="AE351" s="61">
        <f t="shared" si="106"/>
        <v>12102.859168271829</v>
      </c>
      <c r="AF351" s="61">
        <f t="shared" si="106"/>
        <v>4585.5411653331676</v>
      </c>
      <c r="AG351" s="61">
        <f t="shared" si="106"/>
        <v>11796.142887560405</v>
      </c>
      <c r="AH351" s="61">
        <f t="shared" si="106"/>
        <v>4598.5584205547657</v>
      </c>
      <c r="AI351" s="61">
        <f t="shared" si="106"/>
        <v>13958.029074152651</v>
      </c>
      <c r="AJ351" s="61">
        <f t="shared" si="106"/>
        <v>3736.9190651605759</v>
      </c>
      <c r="AK351" s="61">
        <f t="shared" si="106"/>
        <v>5318.4575364026932</v>
      </c>
    </row>
    <row r="352" spans="2:37" x14ac:dyDescent="0.35">
      <c r="B352" s="68">
        <f t="shared" ref="B352:B361" si="107">SUM(D352:AK352)</f>
        <v>235861.80608659668</v>
      </c>
      <c r="C352" s="38" t="s">
        <v>66</v>
      </c>
      <c r="D352" s="61">
        <f>D237/D7*10^6</f>
        <v>74557.278655491711</v>
      </c>
      <c r="E352" s="61">
        <f t="shared" ref="E352:AK352" si="108">E237/E7*10^6</f>
        <v>9272.0956220900971</v>
      </c>
      <c r="F352" s="61">
        <f t="shared" si="108"/>
        <v>9716.6814246038812</v>
      </c>
      <c r="G352" s="61">
        <f t="shared" si="108"/>
        <v>10827.901877418724</v>
      </c>
      <c r="H352" s="61">
        <f t="shared" si="108"/>
        <v>3104.4027448530678</v>
      </c>
      <c r="I352" s="61">
        <f t="shared" si="108"/>
        <v>9070.1221390375886</v>
      </c>
      <c r="J352" s="61">
        <f t="shared" si="108"/>
        <v>3691.6877545738139</v>
      </c>
      <c r="K352" s="61">
        <f t="shared" si="108"/>
        <v>3124.4923933183936</v>
      </c>
      <c r="L352" s="61">
        <f t="shared" si="108"/>
        <v>3172.4326783666124</v>
      </c>
      <c r="M352" s="61">
        <f t="shared" si="108"/>
        <v>1252.29392060758</v>
      </c>
      <c r="N352" s="61">
        <f t="shared" si="108"/>
        <v>2113.6396008708612</v>
      </c>
      <c r="O352" s="61">
        <f t="shared" si="108"/>
        <v>2917.2691721162323</v>
      </c>
      <c r="P352" s="61">
        <f t="shared" si="108"/>
        <v>746.33112678335783</v>
      </c>
      <c r="Q352" s="61">
        <f t="shared" si="108"/>
        <v>781.0122874687903</v>
      </c>
      <c r="R352" s="61">
        <f t="shared" si="108"/>
        <v>4785.2969074682696</v>
      </c>
      <c r="S352" s="61">
        <f t="shared" si="108"/>
        <v>14861.363851821781</v>
      </c>
      <c r="T352" s="61">
        <f t="shared" si="108"/>
        <v>21046.796472475027</v>
      </c>
      <c r="U352" s="61">
        <f t="shared" si="108"/>
        <v>7445.405222337652</v>
      </c>
      <c r="V352" s="61">
        <f t="shared" si="108"/>
        <v>7145.8001370227748</v>
      </c>
      <c r="W352" s="61">
        <f t="shared" si="108"/>
        <v>3319.0242612597667</v>
      </c>
      <c r="X352" s="61">
        <f t="shared" si="108"/>
        <v>500.74654535422474</v>
      </c>
      <c r="Y352" s="61">
        <f t="shared" si="108"/>
        <v>586.12925612454285</v>
      </c>
      <c r="Z352" s="61">
        <f t="shared" si="108"/>
        <v>1595.6066189754704</v>
      </c>
      <c r="AA352" s="61">
        <f t="shared" si="108"/>
        <v>1831.115098835139</v>
      </c>
      <c r="AB352" s="61">
        <f t="shared" si="108"/>
        <v>781.68783977429678</v>
      </c>
      <c r="AC352" s="61">
        <f t="shared" si="108"/>
        <v>1496.9892511394019</v>
      </c>
      <c r="AD352" s="61">
        <f t="shared" si="108"/>
        <v>6641.9400205778447</v>
      </c>
      <c r="AE352" s="61">
        <f t="shared" si="108"/>
        <v>6327.9973609104018</v>
      </c>
      <c r="AF352" s="61">
        <f t="shared" si="108"/>
        <v>2410.9357644714141</v>
      </c>
      <c r="AG352" s="61">
        <f t="shared" si="108"/>
        <v>6105.8455433716481</v>
      </c>
      <c r="AH352" s="61">
        <f t="shared" si="108"/>
        <v>2308.2914940711457</v>
      </c>
      <c r="AI352" s="61">
        <f t="shared" si="108"/>
        <v>7797.2368011716871</v>
      </c>
      <c r="AJ352" s="61">
        <f t="shared" si="108"/>
        <v>2004.7945286316076</v>
      </c>
      <c r="AK352" s="61">
        <f t="shared" si="108"/>
        <v>2521.1617132018728</v>
      </c>
    </row>
    <row r="353" spans="2:37" x14ac:dyDescent="0.35">
      <c r="B353" s="68">
        <f t="shared" si="107"/>
        <v>101831.50872869449</v>
      </c>
      <c r="C353" s="38" t="s">
        <v>67</v>
      </c>
      <c r="D353" s="61">
        <f t="shared" ref="D353:AK353" si="109">D238/D8*10^6</f>
        <v>29740.979437911537</v>
      </c>
      <c r="E353" s="61">
        <f t="shared" si="109"/>
        <v>4261.8185133865518</v>
      </c>
      <c r="F353" s="61">
        <f t="shared" si="109"/>
        <v>4450.4286186455165</v>
      </c>
      <c r="G353" s="61">
        <f t="shared" si="109"/>
        <v>4653.0658701890179</v>
      </c>
      <c r="H353" s="61">
        <f t="shared" si="109"/>
        <v>1503.4031024315318</v>
      </c>
      <c r="I353" s="61">
        <f t="shared" si="109"/>
        <v>4003.0297310746428</v>
      </c>
      <c r="J353" s="61">
        <f t="shared" si="109"/>
        <v>1609.8281187676143</v>
      </c>
      <c r="K353" s="61">
        <f t="shared" si="109"/>
        <v>1553.0284486545063</v>
      </c>
      <c r="L353" s="61">
        <f t="shared" si="109"/>
        <v>1288.1472412593914</v>
      </c>
      <c r="M353" s="61">
        <f t="shared" si="109"/>
        <v>526.92468527579217</v>
      </c>
      <c r="N353" s="61">
        <f t="shared" si="109"/>
        <v>890.05474909927545</v>
      </c>
      <c r="O353" s="61">
        <f t="shared" si="109"/>
        <v>1335.310453167157</v>
      </c>
      <c r="P353" s="61">
        <f t="shared" si="109"/>
        <v>369.41766994984869</v>
      </c>
      <c r="Q353" s="61">
        <f t="shared" si="109"/>
        <v>393.02743207553419</v>
      </c>
      <c r="R353" s="61">
        <f t="shared" si="109"/>
        <v>2179.9644734740787</v>
      </c>
      <c r="S353" s="61">
        <f t="shared" si="109"/>
        <v>6290.1267602118887</v>
      </c>
      <c r="T353" s="61">
        <f t="shared" si="109"/>
        <v>9759.3141031564664</v>
      </c>
      <c r="U353" s="61">
        <f t="shared" si="109"/>
        <v>3045.7723686167437</v>
      </c>
      <c r="V353" s="61">
        <f t="shared" si="109"/>
        <v>3443.4332460975261</v>
      </c>
      <c r="W353" s="61">
        <f t="shared" si="109"/>
        <v>1338.2111645948635</v>
      </c>
      <c r="X353" s="61">
        <f t="shared" si="109"/>
        <v>225.39202603590192</v>
      </c>
      <c r="Y353" s="61">
        <f t="shared" si="109"/>
        <v>261.28195728501515</v>
      </c>
      <c r="Z353" s="61">
        <f t="shared" si="109"/>
        <v>773.18363324042502</v>
      </c>
      <c r="AA353" s="61">
        <f t="shared" si="109"/>
        <v>853.42202300536087</v>
      </c>
      <c r="AB353" s="61">
        <f t="shared" si="109"/>
        <v>385.62482171363769</v>
      </c>
      <c r="AC353" s="61">
        <f t="shared" si="109"/>
        <v>643.37639037225722</v>
      </c>
      <c r="AD353" s="61">
        <f t="shared" si="109"/>
        <v>2918.4045725536203</v>
      </c>
      <c r="AE353" s="61">
        <f t="shared" si="109"/>
        <v>2831.567432763788</v>
      </c>
      <c r="AF353" s="61">
        <f t="shared" si="109"/>
        <v>1064.3249657804733</v>
      </c>
      <c r="AG353" s="61">
        <f t="shared" si="109"/>
        <v>2678.957411651772</v>
      </c>
      <c r="AH353" s="61">
        <f t="shared" si="109"/>
        <v>1069.2614922920636</v>
      </c>
      <c r="AI353" s="61">
        <f t="shared" si="109"/>
        <v>3277.1026031895899</v>
      </c>
      <c r="AJ353" s="61">
        <f t="shared" si="109"/>
        <v>848.49278659657739</v>
      </c>
      <c r="AK353" s="61">
        <f t="shared" si="109"/>
        <v>1365.8304241745423</v>
      </c>
    </row>
    <row r="354" spans="2:37" x14ac:dyDescent="0.35">
      <c r="B354" s="68">
        <f t="shared" si="107"/>
        <v>107518.5699341349</v>
      </c>
      <c r="C354" s="38" t="s">
        <v>117</v>
      </c>
      <c r="D354" s="61">
        <f t="shared" ref="D354:AK354" si="110">D239/D9*10^6</f>
        <v>33393.830185643361</v>
      </c>
      <c r="E354" s="61">
        <f t="shared" si="110"/>
        <v>4688.7763037702307</v>
      </c>
      <c r="F354" s="61">
        <f t="shared" si="110"/>
        <v>5305.1618000485223</v>
      </c>
      <c r="G354" s="61">
        <f t="shared" si="110"/>
        <v>5373.0466110159286</v>
      </c>
      <c r="H354" s="61">
        <f t="shared" si="110"/>
        <v>1652.8082150936104</v>
      </c>
      <c r="I354" s="61">
        <f t="shared" si="110"/>
        <v>3669.2031626454095</v>
      </c>
      <c r="J354" s="61">
        <f t="shared" si="110"/>
        <v>1931.5483100683482</v>
      </c>
      <c r="K354" s="61">
        <f t="shared" si="110"/>
        <v>1596.3342270043756</v>
      </c>
      <c r="L354" s="61">
        <f t="shared" si="110"/>
        <v>1629.288270579174</v>
      </c>
      <c r="M354" s="61">
        <f t="shared" si="110"/>
        <v>521.07120283853214</v>
      </c>
      <c r="N354" s="61">
        <f t="shared" si="110"/>
        <v>844.29667606780436</v>
      </c>
      <c r="O354" s="61">
        <f t="shared" si="110"/>
        <v>1125.8057822472049</v>
      </c>
      <c r="P354" s="61">
        <f t="shared" si="110"/>
        <v>394.59285734107345</v>
      </c>
      <c r="Q354" s="61">
        <f t="shared" si="110"/>
        <v>432.67956103613648</v>
      </c>
      <c r="R354" s="61">
        <f t="shared" si="110"/>
        <v>2203.5257956733876</v>
      </c>
      <c r="S354" s="61">
        <f t="shared" si="110"/>
        <v>7301.8394119742188</v>
      </c>
      <c r="T354" s="61">
        <f t="shared" si="110"/>
        <v>8649.0322000928991</v>
      </c>
      <c r="U354" s="61">
        <f t="shared" si="110"/>
        <v>2919.9058861192216</v>
      </c>
      <c r="V354" s="61">
        <f t="shared" si="110"/>
        <v>3228.5896315832947</v>
      </c>
      <c r="W354" s="61">
        <f t="shared" si="110"/>
        <v>1352.090444142495</v>
      </c>
      <c r="X354" s="61">
        <f t="shared" si="110"/>
        <v>282.06621534345436</v>
      </c>
      <c r="Y354" s="61">
        <f t="shared" si="110"/>
        <v>287.32549282717076</v>
      </c>
      <c r="Z354" s="61">
        <f t="shared" si="110"/>
        <v>828.91499783525364</v>
      </c>
      <c r="AA354" s="61">
        <f t="shared" si="110"/>
        <v>919.70464118266659</v>
      </c>
      <c r="AB354" s="61">
        <f t="shared" si="110"/>
        <v>312.41286669707114</v>
      </c>
      <c r="AC354" s="61">
        <f t="shared" si="110"/>
        <v>641.23664501074506</v>
      </c>
      <c r="AD354" s="61">
        <f t="shared" si="110"/>
        <v>2548.7755450958566</v>
      </c>
      <c r="AE354" s="61">
        <f t="shared" si="110"/>
        <v>2943.2943745976395</v>
      </c>
      <c r="AF354" s="61">
        <f t="shared" si="110"/>
        <v>1110.2804350812803</v>
      </c>
      <c r="AG354" s="61">
        <f t="shared" si="110"/>
        <v>3011.3399325369851</v>
      </c>
      <c r="AH354" s="61">
        <f t="shared" si="110"/>
        <v>1221.005434191557</v>
      </c>
      <c r="AI354" s="61">
        <f t="shared" si="110"/>
        <v>2883.6896697913749</v>
      </c>
      <c r="AJ354" s="61">
        <f t="shared" si="110"/>
        <v>883.63174993239113</v>
      </c>
      <c r="AK354" s="61">
        <f t="shared" si="110"/>
        <v>1431.4653990262784</v>
      </c>
    </row>
    <row r="355" spans="2:37" x14ac:dyDescent="0.35">
      <c r="B355" s="68">
        <f t="shared" si="107"/>
        <v>125940.93563682478</v>
      </c>
      <c r="C355" s="37" t="s">
        <v>118</v>
      </c>
      <c r="D355" s="61">
        <f t="shared" ref="D355:AK355" si="111">D240/D10*10^6</f>
        <v>36647.727196623433</v>
      </c>
      <c r="E355" s="61">
        <f t="shared" si="111"/>
        <v>6724.2490190356166</v>
      </c>
      <c r="F355" s="61">
        <f t="shared" si="111"/>
        <v>5700.539049885132</v>
      </c>
      <c r="G355" s="61">
        <f t="shared" si="111"/>
        <v>4492.7828195111069</v>
      </c>
      <c r="H355" s="61">
        <f t="shared" si="111"/>
        <v>1664.8843656882862</v>
      </c>
      <c r="I355" s="61">
        <f t="shared" si="111"/>
        <v>3945.0365238109866</v>
      </c>
      <c r="J355" s="61">
        <f t="shared" si="111"/>
        <v>2722.1713839807289</v>
      </c>
      <c r="K355" s="61">
        <f t="shared" si="111"/>
        <v>2661.9467441026782</v>
      </c>
      <c r="L355" s="61">
        <f t="shared" si="111"/>
        <v>1385.4978780330566</v>
      </c>
      <c r="M355" s="61">
        <f t="shared" si="111"/>
        <v>653.85359212256037</v>
      </c>
      <c r="N355" s="61">
        <f t="shared" si="111"/>
        <v>971.37989437075532</v>
      </c>
      <c r="O355" s="61">
        <f t="shared" si="111"/>
        <v>1349.5897726798096</v>
      </c>
      <c r="P355" s="61">
        <f t="shared" si="111"/>
        <v>536.11578615402902</v>
      </c>
      <c r="Q355" s="61">
        <f t="shared" si="111"/>
        <v>386.59390841316861</v>
      </c>
      <c r="R355" s="61">
        <f t="shared" si="111"/>
        <v>2358.8157262210302</v>
      </c>
      <c r="S355" s="61">
        <f t="shared" si="111"/>
        <v>7592.885364749538</v>
      </c>
      <c r="T355" s="61">
        <f t="shared" si="111"/>
        <v>12576.724821466178</v>
      </c>
      <c r="U355" s="61">
        <f t="shared" si="111"/>
        <v>4058.4989464459059</v>
      </c>
      <c r="V355" s="61">
        <f t="shared" si="111"/>
        <v>3531.0757829958216</v>
      </c>
      <c r="W355" s="61">
        <f t="shared" si="111"/>
        <v>2328.1497873052745</v>
      </c>
      <c r="X355" s="61">
        <f t="shared" si="111"/>
        <v>264.32629782360027</v>
      </c>
      <c r="Y355" s="61">
        <f t="shared" si="111"/>
        <v>336.78262863026453</v>
      </c>
      <c r="Z355" s="61">
        <f t="shared" si="111"/>
        <v>751.21616611381694</v>
      </c>
      <c r="AA355" s="61">
        <f t="shared" si="111"/>
        <v>1264.4514534640689</v>
      </c>
      <c r="AB355" s="61">
        <f t="shared" si="111"/>
        <v>565.97906968515599</v>
      </c>
      <c r="AC355" s="61">
        <f t="shared" si="111"/>
        <v>595.54122294307842</v>
      </c>
      <c r="AD355" s="61">
        <f t="shared" si="111"/>
        <v>3242.5904906053397</v>
      </c>
      <c r="AE355" s="61">
        <f t="shared" si="111"/>
        <v>5011.3681571151837</v>
      </c>
      <c r="AF355" s="61">
        <f t="shared" si="111"/>
        <v>1374.7398033638808</v>
      </c>
      <c r="AG355" s="61">
        <f t="shared" si="111"/>
        <v>2741.2041087081093</v>
      </c>
      <c r="AH355" s="61">
        <f t="shared" si="111"/>
        <v>1559.1517189603705</v>
      </c>
      <c r="AI355" s="61">
        <f t="shared" si="111"/>
        <v>3064.4895655939686</v>
      </c>
      <c r="AJ355" s="61">
        <f t="shared" si="111"/>
        <v>985.51927202849333</v>
      </c>
      <c r="AK355" s="61">
        <f t="shared" si="111"/>
        <v>1895.0573181943671</v>
      </c>
    </row>
    <row r="356" spans="2:37" x14ac:dyDescent="0.35">
      <c r="B356" s="68">
        <f t="shared" si="107"/>
        <v>26811.097786363265</v>
      </c>
      <c r="C356" s="37" t="s">
        <v>119</v>
      </c>
      <c r="D356" s="61">
        <f t="shared" ref="D356:AK356" si="112">D241/D11*10^6</f>
        <v>7521.6729482281635</v>
      </c>
      <c r="E356" s="61">
        <f t="shared" si="112"/>
        <v>1597.2240006362185</v>
      </c>
      <c r="F356" s="61">
        <f t="shared" si="112"/>
        <v>1216.43488094134</v>
      </c>
      <c r="G356" s="61">
        <f t="shared" si="112"/>
        <v>877.1241614067095</v>
      </c>
      <c r="H356" s="61">
        <f t="shared" si="112"/>
        <v>222.01905673838496</v>
      </c>
      <c r="I356" s="61">
        <f t="shared" si="112"/>
        <v>903.73843375286322</v>
      </c>
      <c r="J356" s="61">
        <f t="shared" si="112"/>
        <v>471.41622928084058</v>
      </c>
      <c r="K356" s="61">
        <f t="shared" si="112"/>
        <v>601.14381214680282</v>
      </c>
      <c r="L356" s="61">
        <f t="shared" si="112"/>
        <v>233.98149762779437</v>
      </c>
      <c r="M356" s="61">
        <f t="shared" si="112"/>
        <v>102.45449183998016</v>
      </c>
      <c r="N356" s="61">
        <f t="shared" si="112"/>
        <v>147.6919890019762</v>
      </c>
      <c r="O356" s="61">
        <f t="shared" si="112"/>
        <v>339.01389121694211</v>
      </c>
      <c r="P356" s="61">
        <f t="shared" si="112"/>
        <v>111.36384348208651</v>
      </c>
      <c r="Q356" s="61">
        <f t="shared" si="112"/>
        <v>88.686498612998022</v>
      </c>
      <c r="R356" s="61">
        <f t="shared" si="112"/>
        <v>585.49552336147451</v>
      </c>
      <c r="S356" s="61">
        <f t="shared" si="112"/>
        <v>1740.7201783190319</v>
      </c>
      <c r="T356" s="61">
        <f t="shared" si="112"/>
        <v>3202.4435252320791</v>
      </c>
      <c r="U356" s="61">
        <f t="shared" si="112"/>
        <v>1066.3767859298086</v>
      </c>
      <c r="V356" s="61">
        <f t="shared" si="112"/>
        <v>534.12841810233874</v>
      </c>
      <c r="W356" s="61">
        <f t="shared" si="112"/>
        <v>569.13108578566607</v>
      </c>
      <c r="X356" s="61">
        <f t="shared" si="112"/>
        <v>47.504557180787288</v>
      </c>
      <c r="Y356" s="61">
        <f t="shared" si="112"/>
        <v>86.507272885234414</v>
      </c>
      <c r="Z356" s="61">
        <f t="shared" si="112"/>
        <v>150.99608559726849</v>
      </c>
      <c r="AA356" s="61">
        <f t="shared" si="112"/>
        <v>195.3480584642063</v>
      </c>
      <c r="AB356" s="61">
        <f t="shared" si="112"/>
        <v>113.62163367993374</v>
      </c>
      <c r="AC356" s="61">
        <f t="shared" si="112"/>
        <v>170.81390477479493</v>
      </c>
      <c r="AD356" s="61">
        <f t="shared" si="112"/>
        <v>495.08848656400261</v>
      </c>
      <c r="AE356" s="61">
        <f t="shared" si="112"/>
        <v>901.22099853383702</v>
      </c>
      <c r="AF356" s="61">
        <f t="shared" si="112"/>
        <v>321.96567725479525</v>
      </c>
      <c r="AG356" s="61">
        <f t="shared" si="112"/>
        <v>607.69145515929392</v>
      </c>
      <c r="AH356" s="61">
        <f t="shared" si="112"/>
        <v>296.45477128344885</v>
      </c>
      <c r="AI356" s="61">
        <f t="shared" si="112"/>
        <v>573.70038350238019</v>
      </c>
      <c r="AJ356" s="61">
        <f t="shared" si="112"/>
        <v>246.48174154774594</v>
      </c>
      <c r="AK356" s="61">
        <f t="shared" si="112"/>
        <v>471.44150829203505</v>
      </c>
    </row>
    <row r="357" spans="2:37" x14ac:dyDescent="0.35">
      <c r="B357" s="68">
        <f t="shared" si="107"/>
        <v>215022.39415825243</v>
      </c>
      <c r="C357" s="37" t="s">
        <v>120</v>
      </c>
      <c r="D357" s="61">
        <f t="shared" ref="D357:AK357" si="113">D242/D12*10^6</f>
        <v>62817.177115511309</v>
      </c>
      <c r="E357" s="61">
        <f t="shared" si="113"/>
        <v>9713.768081716813</v>
      </c>
      <c r="F357" s="61">
        <f t="shared" si="113"/>
        <v>9113.2966953783271</v>
      </c>
      <c r="G357" s="61">
        <f t="shared" si="113"/>
        <v>9350.6790947047175</v>
      </c>
      <c r="H357" s="61">
        <f t="shared" si="113"/>
        <v>2488.1354996580599</v>
      </c>
      <c r="I357" s="61">
        <f t="shared" si="113"/>
        <v>7405.7597269746475</v>
      </c>
      <c r="J357" s="61">
        <f t="shared" si="113"/>
        <v>4068.1389104484779</v>
      </c>
      <c r="K357" s="61">
        <f t="shared" si="113"/>
        <v>3805.4522232852628</v>
      </c>
      <c r="L357" s="61">
        <f t="shared" si="113"/>
        <v>2467.5021765961383</v>
      </c>
      <c r="M357" s="61">
        <f t="shared" si="113"/>
        <v>1056.8287104309775</v>
      </c>
      <c r="N357" s="61">
        <f t="shared" si="113"/>
        <v>1841.8528201302952</v>
      </c>
      <c r="O357" s="61">
        <f t="shared" si="113"/>
        <v>2667.0134168213112</v>
      </c>
      <c r="P357" s="61">
        <f t="shared" si="113"/>
        <v>977.3993852134389</v>
      </c>
      <c r="Q357" s="61">
        <f t="shared" si="113"/>
        <v>753.09111223231434</v>
      </c>
      <c r="R357" s="61">
        <f t="shared" si="113"/>
        <v>3940.7265757859564</v>
      </c>
      <c r="S357" s="61">
        <f t="shared" si="113"/>
        <v>11759.600449299982</v>
      </c>
      <c r="T357" s="61">
        <f t="shared" si="113"/>
        <v>22072.914329854222</v>
      </c>
      <c r="U357" s="61">
        <f t="shared" si="113"/>
        <v>7516.7373041515657</v>
      </c>
      <c r="V357" s="61">
        <f t="shared" si="113"/>
        <v>5994.212158723597</v>
      </c>
      <c r="W357" s="61">
        <f t="shared" si="113"/>
        <v>3668.8073310162213</v>
      </c>
      <c r="X357" s="61">
        <f t="shared" si="113"/>
        <v>497.82769437439714</v>
      </c>
      <c r="Y357" s="61">
        <f t="shared" si="113"/>
        <v>683.83479012791861</v>
      </c>
      <c r="Z357" s="61">
        <f t="shared" si="113"/>
        <v>1504.2470726120155</v>
      </c>
      <c r="AA357" s="61">
        <f t="shared" si="113"/>
        <v>2115.1605753885465</v>
      </c>
      <c r="AB357" s="61">
        <f t="shared" si="113"/>
        <v>804.44233257840426</v>
      </c>
      <c r="AC357" s="61">
        <f t="shared" si="113"/>
        <v>1206.1812405218993</v>
      </c>
      <c r="AD357" s="61">
        <f t="shared" si="113"/>
        <v>5180.492202804985</v>
      </c>
      <c r="AE357" s="61">
        <f t="shared" si="113"/>
        <v>8010.8780536077129</v>
      </c>
      <c r="AF357" s="61">
        <f t="shared" si="113"/>
        <v>2589.4369231024102</v>
      </c>
      <c r="AG357" s="61">
        <f t="shared" si="113"/>
        <v>5454.0935368451828</v>
      </c>
      <c r="AH357" s="61">
        <f t="shared" si="113"/>
        <v>2398.8533576789609</v>
      </c>
      <c r="AI357" s="61">
        <f t="shared" si="113"/>
        <v>6179.1370037387687</v>
      </c>
      <c r="AJ357" s="61">
        <f t="shared" si="113"/>
        <v>1757.0910210147636</v>
      </c>
      <c r="AK357" s="61">
        <f t="shared" si="113"/>
        <v>3161.6252359228361</v>
      </c>
    </row>
    <row r="358" spans="2:37" x14ac:dyDescent="0.35">
      <c r="B358" s="68">
        <f t="shared" si="107"/>
        <v>285702.46619527979</v>
      </c>
      <c r="C358" s="37" t="s">
        <v>121</v>
      </c>
      <c r="D358" s="61">
        <f t="shared" ref="D358:AK358" si="114">D243/D13*10^6</f>
        <v>84011.194511793132</v>
      </c>
      <c r="E358" s="61">
        <f t="shared" si="114"/>
        <v>14285.531232167228</v>
      </c>
      <c r="F358" s="61">
        <f t="shared" si="114"/>
        <v>11126.775582227025</v>
      </c>
      <c r="G358" s="61">
        <f t="shared" si="114"/>
        <v>11945.237456545725</v>
      </c>
      <c r="H358" s="61">
        <f t="shared" si="114"/>
        <v>2489.3961241988968</v>
      </c>
      <c r="I358" s="61">
        <f t="shared" si="114"/>
        <v>7627.5194800884037</v>
      </c>
      <c r="J358" s="61">
        <f t="shared" si="114"/>
        <v>4288.3245167000359</v>
      </c>
      <c r="K358" s="61">
        <f t="shared" si="114"/>
        <v>6292.6517359582076</v>
      </c>
      <c r="L358" s="61">
        <f t="shared" si="114"/>
        <v>3757.7410769044554</v>
      </c>
      <c r="M358" s="61">
        <f t="shared" si="114"/>
        <v>1342.2664646173964</v>
      </c>
      <c r="N358" s="61">
        <f t="shared" si="114"/>
        <v>2987.9886410015956</v>
      </c>
      <c r="O358" s="61">
        <f t="shared" si="114"/>
        <v>3358.843772374737</v>
      </c>
      <c r="P358" s="61">
        <f t="shared" si="114"/>
        <v>1654.3645457258492</v>
      </c>
      <c r="Q358" s="61">
        <f t="shared" si="114"/>
        <v>736.79909280136405</v>
      </c>
      <c r="R358" s="61">
        <f t="shared" si="114"/>
        <v>5557.4958312285453</v>
      </c>
      <c r="S358" s="61">
        <f t="shared" si="114"/>
        <v>11683.810122876059</v>
      </c>
      <c r="T358" s="61">
        <f t="shared" si="114"/>
        <v>26826.508355375652</v>
      </c>
      <c r="U358" s="61">
        <f t="shared" si="114"/>
        <v>13396.073399746518</v>
      </c>
      <c r="V358" s="61">
        <f t="shared" si="114"/>
        <v>6467.2505017423173</v>
      </c>
      <c r="W358" s="61">
        <f t="shared" si="114"/>
        <v>6436.824032243594</v>
      </c>
      <c r="X358" s="61">
        <f t="shared" si="114"/>
        <v>762.05792999779396</v>
      </c>
      <c r="Y358" s="61">
        <f t="shared" si="114"/>
        <v>1133.9249629474809</v>
      </c>
      <c r="Z358" s="61">
        <f t="shared" si="114"/>
        <v>1639.5954148043891</v>
      </c>
      <c r="AA358" s="61">
        <f t="shared" si="114"/>
        <v>2486.3968813977212</v>
      </c>
      <c r="AB358" s="61">
        <f t="shared" si="114"/>
        <v>858.31233881058199</v>
      </c>
      <c r="AC358" s="61">
        <f t="shared" si="114"/>
        <v>1320.9313193471639</v>
      </c>
      <c r="AD358" s="61">
        <f t="shared" si="114"/>
        <v>7250.4377523251851</v>
      </c>
      <c r="AE358" s="61">
        <f t="shared" si="114"/>
        <v>12334.175990120666</v>
      </c>
      <c r="AF358" s="61">
        <f t="shared" si="114"/>
        <v>4029.8346734316797</v>
      </c>
      <c r="AG358" s="61">
        <f t="shared" si="114"/>
        <v>7762.9747755009057</v>
      </c>
      <c r="AH358" s="61">
        <f t="shared" si="114"/>
        <v>4335.6215130556266</v>
      </c>
      <c r="AI358" s="61">
        <f t="shared" si="114"/>
        <v>8738.4245695648951</v>
      </c>
      <c r="AJ358" s="61">
        <f t="shared" si="114"/>
        <v>2037.1288606518247</v>
      </c>
      <c r="AK358" s="61">
        <f t="shared" si="114"/>
        <v>4740.0527370071313</v>
      </c>
    </row>
    <row r="359" spans="2:37" x14ac:dyDescent="0.35">
      <c r="B359" s="68">
        <f t="shared" si="107"/>
        <v>228688.10884109963</v>
      </c>
      <c r="C359" s="37" t="s">
        <v>122</v>
      </c>
      <c r="D359" s="61">
        <f t="shared" ref="D359:AK359" si="115">D244/D14*10^6</f>
        <v>66794.292494755849</v>
      </c>
      <c r="E359" s="61">
        <f t="shared" si="115"/>
        <v>10941.539390242566</v>
      </c>
      <c r="F359" s="61">
        <f t="shared" si="115"/>
        <v>9052.6610658866339</v>
      </c>
      <c r="G359" s="61">
        <f t="shared" si="115"/>
        <v>10156.248165667163</v>
      </c>
      <c r="H359" s="61">
        <f t="shared" si="115"/>
        <v>3014.7166552973922</v>
      </c>
      <c r="I359" s="61">
        <f t="shared" si="115"/>
        <v>6963.0005645074216</v>
      </c>
      <c r="J359" s="61">
        <f t="shared" si="115"/>
        <v>4409.3255559140707</v>
      </c>
      <c r="K359" s="61">
        <f t="shared" si="115"/>
        <v>4500.5699536270868</v>
      </c>
      <c r="L359" s="61">
        <f t="shared" si="115"/>
        <v>2525.1148923719684</v>
      </c>
      <c r="M359" s="61">
        <f t="shared" si="115"/>
        <v>1036.7712938861182</v>
      </c>
      <c r="N359" s="61">
        <f t="shared" si="115"/>
        <v>1745.8053108661527</v>
      </c>
      <c r="O359" s="61">
        <f t="shared" si="115"/>
        <v>2751.9364621707223</v>
      </c>
      <c r="P359" s="61">
        <f t="shared" si="115"/>
        <v>1066.4364521860837</v>
      </c>
      <c r="Q359" s="61">
        <f t="shared" si="115"/>
        <v>836.16874856857885</v>
      </c>
      <c r="R359" s="61">
        <f t="shared" si="115"/>
        <v>3913.8507292370173</v>
      </c>
      <c r="S359" s="61">
        <f t="shared" si="115"/>
        <v>12944.23706615761</v>
      </c>
      <c r="T359" s="61">
        <f t="shared" si="115"/>
        <v>23163.976816433085</v>
      </c>
      <c r="U359" s="61">
        <f t="shared" si="115"/>
        <v>8706.7504672658724</v>
      </c>
      <c r="V359" s="61">
        <f t="shared" si="115"/>
        <v>6826.9392730998306</v>
      </c>
      <c r="W359" s="61">
        <f t="shared" si="115"/>
        <v>4241.2096631975173</v>
      </c>
      <c r="X359" s="61">
        <f t="shared" si="115"/>
        <v>513.43605088210143</v>
      </c>
      <c r="Y359" s="61">
        <f t="shared" si="115"/>
        <v>718.94371284182046</v>
      </c>
      <c r="Z359" s="61">
        <f t="shared" si="115"/>
        <v>1440.4236432410705</v>
      </c>
      <c r="AA359" s="61">
        <f t="shared" si="115"/>
        <v>2126.2589137268878</v>
      </c>
      <c r="AB359" s="61">
        <f t="shared" si="115"/>
        <v>865.39103267772191</v>
      </c>
      <c r="AC359" s="61">
        <f t="shared" si="115"/>
        <v>1198.7449173186772</v>
      </c>
      <c r="AD359" s="61">
        <f t="shared" si="115"/>
        <v>5729.273246491226</v>
      </c>
      <c r="AE359" s="61">
        <f t="shared" si="115"/>
        <v>7996.4120430811618</v>
      </c>
      <c r="AF359" s="61">
        <f t="shared" si="115"/>
        <v>2566.3099453338923</v>
      </c>
      <c r="AG359" s="61">
        <f t="shared" si="115"/>
        <v>5373.6264223058643</v>
      </c>
      <c r="AH359" s="61">
        <f t="shared" si="115"/>
        <v>2543.9993332413933</v>
      </c>
      <c r="AI359" s="61">
        <f t="shared" si="115"/>
        <v>6734.4920717124842</v>
      </c>
      <c r="AJ359" s="61">
        <f t="shared" si="115"/>
        <v>1864.1377653116006</v>
      </c>
      <c r="AK359" s="61">
        <f t="shared" si="115"/>
        <v>3425.1087215949919</v>
      </c>
    </row>
    <row r="360" spans="2:37" x14ac:dyDescent="0.35">
      <c r="B360" s="68">
        <f t="shared" si="107"/>
        <v>290787.32602837519</v>
      </c>
      <c r="C360" s="37" t="s">
        <v>123</v>
      </c>
      <c r="D360" s="61">
        <f t="shared" ref="D360:AK360" si="116">D245/D15*10^6</f>
        <v>80283.232578746902</v>
      </c>
      <c r="E360" s="61">
        <f t="shared" si="116"/>
        <v>15829.763851889664</v>
      </c>
      <c r="F360" s="61">
        <f t="shared" si="116"/>
        <v>12816.34537094326</v>
      </c>
      <c r="G360" s="61">
        <f t="shared" si="116"/>
        <v>11025.499629395023</v>
      </c>
      <c r="H360" s="61">
        <f t="shared" si="116"/>
        <v>3669.9327257542291</v>
      </c>
      <c r="I360" s="61">
        <f t="shared" si="116"/>
        <v>6791.7878033511615</v>
      </c>
      <c r="J360" s="61">
        <f t="shared" si="116"/>
        <v>5987.2438492348865</v>
      </c>
      <c r="K360" s="61">
        <f t="shared" si="116"/>
        <v>4841.261585084806</v>
      </c>
      <c r="L360" s="61">
        <f t="shared" si="116"/>
        <v>4060.4764233151186</v>
      </c>
      <c r="M360" s="61">
        <f t="shared" si="116"/>
        <v>1060.4747768436966</v>
      </c>
      <c r="N360" s="61">
        <f t="shared" si="116"/>
        <v>1664.3278803533365</v>
      </c>
      <c r="O360" s="61">
        <f t="shared" si="116"/>
        <v>3174.5145943528892</v>
      </c>
      <c r="P360" s="61">
        <f t="shared" si="116"/>
        <v>1456.6297364232453</v>
      </c>
      <c r="Q360" s="61">
        <f t="shared" si="116"/>
        <v>1062.3922679260625</v>
      </c>
      <c r="R360" s="61">
        <f t="shared" si="116"/>
        <v>4060.0624621718334</v>
      </c>
      <c r="S360" s="61">
        <f t="shared" si="116"/>
        <v>16397.245872007908</v>
      </c>
      <c r="T360" s="61">
        <f t="shared" si="116"/>
        <v>35176.515872475531</v>
      </c>
      <c r="U360" s="61">
        <f t="shared" si="116"/>
        <v>12511.21171248485</v>
      </c>
      <c r="V360" s="61">
        <f t="shared" si="116"/>
        <v>8477.2169870910766</v>
      </c>
      <c r="W360" s="61">
        <f t="shared" si="116"/>
        <v>4591.7474879235297</v>
      </c>
      <c r="X360" s="61">
        <f t="shared" si="116"/>
        <v>645.47851873853529</v>
      </c>
      <c r="Y360" s="61">
        <f t="shared" si="116"/>
        <v>1085.0697070807425</v>
      </c>
      <c r="Z360" s="61">
        <f t="shared" si="116"/>
        <v>1431.1295561471293</v>
      </c>
      <c r="AA360" s="61">
        <f t="shared" si="116"/>
        <v>2742.9516502130928</v>
      </c>
      <c r="AB360" s="61">
        <f t="shared" si="116"/>
        <v>1076.5818790218154</v>
      </c>
      <c r="AC360" s="61">
        <f t="shared" si="116"/>
        <v>1845.5760048399259</v>
      </c>
      <c r="AD360" s="61">
        <f t="shared" si="116"/>
        <v>8226.9492514946705</v>
      </c>
      <c r="AE360" s="61">
        <f t="shared" si="116"/>
        <v>9984.604540969005</v>
      </c>
      <c r="AF360" s="61">
        <f t="shared" si="116"/>
        <v>3509.2468875536056</v>
      </c>
      <c r="AG360" s="61">
        <f t="shared" si="116"/>
        <v>6016.5733796869117</v>
      </c>
      <c r="AH360" s="61">
        <f t="shared" si="116"/>
        <v>3972.0008088200289</v>
      </c>
      <c r="AI360" s="61">
        <f t="shared" si="116"/>
        <v>7794.0309149153118</v>
      </c>
      <c r="AJ360" s="61">
        <f t="shared" si="116"/>
        <v>2559.6456581385428</v>
      </c>
      <c r="AK360" s="61">
        <f t="shared" si="116"/>
        <v>4959.6038029868078</v>
      </c>
    </row>
    <row r="361" spans="2:37" x14ac:dyDescent="0.35">
      <c r="B361" s="68">
        <f t="shared" si="107"/>
        <v>237490.01624053277</v>
      </c>
      <c r="C361" s="37" t="s">
        <v>124</v>
      </c>
      <c r="D361" s="61">
        <f t="shared" ref="D361:AK361" si="117">D246/D16*10^6</f>
        <v>69541.189467453689</v>
      </c>
      <c r="E361" s="61">
        <f t="shared" si="117"/>
        <v>11890.852057539587</v>
      </c>
      <c r="F361" s="61">
        <f t="shared" si="117"/>
        <v>10870.659134741798</v>
      </c>
      <c r="G361" s="61">
        <f t="shared" si="117"/>
        <v>8576.2907999709114</v>
      </c>
      <c r="H361" s="61">
        <f t="shared" si="117"/>
        <v>2518.0581952462444</v>
      </c>
      <c r="I361" s="61">
        <f t="shared" si="117"/>
        <v>7101.4805100612621</v>
      </c>
      <c r="J361" s="61">
        <f t="shared" si="117"/>
        <v>3985.9748141995615</v>
      </c>
      <c r="K361" s="61">
        <f t="shared" si="117"/>
        <v>5172.8198124218061</v>
      </c>
      <c r="L361" s="61">
        <f t="shared" si="117"/>
        <v>2758.3329446762268</v>
      </c>
      <c r="M361" s="61">
        <f t="shared" si="117"/>
        <v>1109.8435496082252</v>
      </c>
      <c r="N361" s="61">
        <f t="shared" si="117"/>
        <v>1836.3089719320135</v>
      </c>
      <c r="O361" s="61">
        <f t="shared" si="117"/>
        <v>2729.6299618763451</v>
      </c>
      <c r="P361" s="61">
        <f t="shared" si="117"/>
        <v>1234.6600598389916</v>
      </c>
      <c r="Q361" s="61">
        <f t="shared" si="117"/>
        <v>778.12545418178649</v>
      </c>
      <c r="R361" s="61">
        <f t="shared" si="117"/>
        <v>3841.0792103644944</v>
      </c>
      <c r="S361" s="61">
        <f t="shared" si="117"/>
        <v>13878.001694162862</v>
      </c>
      <c r="T361" s="61">
        <f t="shared" si="117"/>
        <v>24503.655518267169</v>
      </c>
      <c r="U361" s="61">
        <f t="shared" si="117"/>
        <v>9545.8358068603193</v>
      </c>
      <c r="V361" s="61">
        <f t="shared" si="117"/>
        <v>8117.8325130874809</v>
      </c>
      <c r="W361" s="61">
        <f t="shared" si="117"/>
        <v>3911.7289685492292</v>
      </c>
      <c r="X361" s="61">
        <f t="shared" si="117"/>
        <v>583.79760841550467</v>
      </c>
      <c r="Y361" s="61">
        <f t="shared" si="117"/>
        <v>848.15900768442771</v>
      </c>
      <c r="Z361" s="61">
        <f t="shared" si="117"/>
        <v>1478.5215399537574</v>
      </c>
      <c r="AA361" s="61">
        <f t="shared" si="117"/>
        <v>2046.7865734981888</v>
      </c>
      <c r="AB361" s="61">
        <f t="shared" si="117"/>
        <v>914.56735907624955</v>
      </c>
      <c r="AC361" s="61">
        <f t="shared" si="117"/>
        <v>1413.7043937612418</v>
      </c>
      <c r="AD361" s="61">
        <f t="shared" si="117"/>
        <v>5237.2001689514882</v>
      </c>
      <c r="AE361" s="61">
        <f t="shared" si="117"/>
        <v>8276.8243627387183</v>
      </c>
      <c r="AF361" s="61">
        <f t="shared" si="117"/>
        <v>2646.8251020027897</v>
      </c>
      <c r="AG361" s="61">
        <f t="shared" si="117"/>
        <v>6006.793802280813</v>
      </c>
      <c r="AH361" s="61">
        <f t="shared" si="117"/>
        <v>2400.2290816483887</v>
      </c>
      <c r="AI361" s="61">
        <f t="shared" si="117"/>
        <v>6226.7111392207153</v>
      </c>
      <c r="AJ361" s="61">
        <f t="shared" si="117"/>
        <v>1774.0920069045308</v>
      </c>
      <c r="AK361" s="61">
        <f t="shared" si="117"/>
        <v>3733.4446493558899</v>
      </c>
    </row>
    <row r="362" spans="2:37" x14ac:dyDescent="0.35">
      <c r="C362" s="41" t="s">
        <v>68</v>
      </c>
      <c r="D362" s="60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  <c r="AF362" s="62"/>
      <c r="AG362" s="62"/>
      <c r="AH362" s="62"/>
      <c r="AI362" s="62"/>
      <c r="AJ362" s="62"/>
      <c r="AK362" s="62"/>
    </row>
    <row r="363" spans="2:37" x14ac:dyDescent="0.35">
      <c r="C363" s="37" t="s">
        <v>69</v>
      </c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  <c r="AD363" s="61"/>
      <c r="AE363" s="61"/>
      <c r="AF363" s="61"/>
      <c r="AG363" s="61"/>
      <c r="AH363" s="61"/>
      <c r="AI363" s="61"/>
      <c r="AJ363" s="61"/>
      <c r="AK363" s="61"/>
    </row>
    <row r="364" spans="2:37" x14ac:dyDescent="0.35">
      <c r="C364" s="37" t="s">
        <v>70</v>
      </c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  <c r="AD364" s="61"/>
      <c r="AE364" s="61"/>
      <c r="AF364" s="61"/>
      <c r="AG364" s="61"/>
      <c r="AH364" s="61"/>
      <c r="AI364" s="61"/>
      <c r="AJ364" s="61"/>
      <c r="AK364" s="61"/>
    </row>
    <row r="365" spans="2:37" x14ac:dyDescent="0.35">
      <c r="C365" s="37" t="s">
        <v>71</v>
      </c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  <c r="AD365" s="61"/>
      <c r="AE365" s="61"/>
      <c r="AF365" s="61"/>
      <c r="AG365" s="61"/>
      <c r="AH365" s="61"/>
      <c r="AI365" s="61"/>
      <c r="AJ365" s="61"/>
      <c r="AK365" s="61"/>
    </row>
    <row r="366" spans="2:37" x14ac:dyDescent="0.35">
      <c r="C366" s="37" t="s">
        <v>72</v>
      </c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  <c r="AD366" s="61"/>
      <c r="AE366" s="61"/>
      <c r="AF366" s="61"/>
      <c r="AG366" s="61"/>
      <c r="AH366" s="61"/>
      <c r="AI366" s="61"/>
      <c r="AJ366" s="61"/>
      <c r="AK366" s="61"/>
    </row>
    <row r="367" spans="2:37" x14ac:dyDescent="0.35">
      <c r="C367" s="37" t="s">
        <v>73</v>
      </c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  <c r="AD367" s="61"/>
      <c r="AE367" s="61"/>
      <c r="AF367" s="61"/>
      <c r="AG367" s="61"/>
      <c r="AH367" s="61"/>
      <c r="AI367" s="61"/>
      <c r="AJ367" s="61"/>
      <c r="AK367" s="61"/>
    </row>
    <row r="368" spans="2:37" x14ac:dyDescent="0.35">
      <c r="C368" s="41" t="s">
        <v>76</v>
      </c>
      <c r="D368" s="60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  <c r="AB368" s="62"/>
      <c r="AC368" s="62"/>
      <c r="AD368" s="62"/>
      <c r="AE368" s="62"/>
      <c r="AF368" s="62"/>
      <c r="AG368" s="62"/>
      <c r="AH368" s="62"/>
      <c r="AI368" s="62"/>
      <c r="AJ368" s="62"/>
      <c r="AK368" s="62"/>
    </row>
    <row r="369" spans="2:37" x14ac:dyDescent="0.35">
      <c r="C369" s="37" t="s">
        <v>74</v>
      </c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  <c r="AD369" s="61"/>
      <c r="AE369" s="61"/>
      <c r="AF369" s="61"/>
      <c r="AG369" s="61"/>
      <c r="AH369" s="61"/>
      <c r="AI369" s="61"/>
      <c r="AJ369" s="61"/>
      <c r="AK369" s="61"/>
    </row>
    <row r="370" spans="2:37" x14ac:dyDescent="0.35">
      <c r="C370" s="37" t="s">
        <v>75</v>
      </c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  <c r="AD370" s="61"/>
      <c r="AE370" s="61"/>
      <c r="AF370" s="61"/>
      <c r="AG370" s="61"/>
      <c r="AH370" s="61"/>
      <c r="AI370" s="61"/>
      <c r="AJ370" s="61"/>
      <c r="AK370" s="61"/>
    </row>
    <row r="371" spans="2:37" x14ac:dyDescent="0.35"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  <c r="AA371" s="63"/>
      <c r="AB371" s="63"/>
      <c r="AC371" s="63"/>
      <c r="AD371" s="63"/>
      <c r="AE371" s="63"/>
      <c r="AF371" s="63"/>
      <c r="AG371" s="63"/>
      <c r="AH371" s="63"/>
      <c r="AI371" s="63"/>
      <c r="AJ371" s="63"/>
      <c r="AK371" s="63"/>
    </row>
    <row r="372" spans="2:37" x14ac:dyDescent="0.35">
      <c r="C372" s="7" t="s">
        <v>50</v>
      </c>
      <c r="D372" s="63">
        <f>D373+D377</f>
        <v>116212.71143089453</v>
      </c>
      <c r="E372" s="63">
        <f t="shared" ref="E372:AK372" si="118">E373+E377</f>
        <v>18416.178425578284</v>
      </c>
      <c r="F372" s="63">
        <f t="shared" si="118"/>
        <v>16410.045211933491</v>
      </c>
      <c r="G372" s="63">
        <f t="shared" si="118"/>
        <v>17385.019367110202</v>
      </c>
      <c r="H372" s="63">
        <f t="shared" si="118"/>
        <v>5143.0240679105173</v>
      </c>
      <c r="I372" s="63">
        <f t="shared" si="118"/>
        <v>12168.295036802805</v>
      </c>
      <c r="J372" s="63">
        <f t="shared" si="118"/>
        <v>7504.8028181770533</v>
      </c>
      <c r="K372" s="63">
        <f t="shared" si="118"/>
        <v>7445.2208570673192</v>
      </c>
      <c r="L372" s="63">
        <f t="shared" si="118"/>
        <v>4536.8906019450587</v>
      </c>
      <c r="M372" s="63">
        <f t="shared" si="118"/>
        <v>1851.8700659322003</v>
      </c>
      <c r="N372" s="63">
        <f t="shared" si="118"/>
        <v>2905.2153182341126</v>
      </c>
      <c r="O372" s="63">
        <f t="shared" si="118"/>
        <v>4781.5475574515676</v>
      </c>
      <c r="P372" s="63">
        <f t="shared" si="118"/>
        <v>1751.7097365298687</v>
      </c>
      <c r="Q372" s="63">
        <f t="shared" si="118"/>
        <v>1457.4178707867768</v>
      </c>
      <c r="R372" s="63">
        <f t="shared" si="118"/>
        <v>7702.2359713687893</v>
      </c>
      <c r="S372" s="63">
        <f t="shared" si="118"/>
        <v>22654.628673183091</v>
      </c>
      <c r="T372" s="63">
        <f t="shared" si="118"/>
        <v>40200.371623922911</v>
      </c>
      <c r="U372" s="63">
        <f t="shared" si="118"/>
        <v>13826.197438922618</v>
      </c>
      <c r="V372" s="63">
        <f t="shared" si="118"/>
        <v>11386.64273627014</v>
      </c>
      <c r="W372" s="63">
        <f t="shared" si="118"/>
        <v>6533.5295649325999</v>
      </c>
      <c r="X372" s="63">
        <f t="shared" si="118"/>
        <v>827.75168012089159</v>
      </c>
      <c r="Y372" s="63">
        <f t="shared" si="118"/>
        <v>1299.1815143779122</v>
      </c>
      <c r="Z372" s="63">
        <f t="shared" si="118"/>
        <v>2655.4547855714618</v>
      </c>
      <c r="AA372" s="63">
        <f t="shared" si="118"/>
        <v>3417.9462998339459</v>
      </c>
      <c r="AB372" s="63">
        <f t="shared" si="118"/>
        <v>1520.8202630809876</v>
      </c>
      <c r="AC372" s="63">
        <f t="shared" si="118"/>
        <v>2069.3237193367231</v>
      </c>
      <c r="AD372" s="63">
        <f t="shared" si="118"/>
        <v>9425.5259507666196</v>
      </c>
      <c r="AE372" s="63">
        <f t="shared" si="118"/>
        <v>13312.347606161273</v>
      </c>
      <c r="AF372" s="63">
        <f t="shared" si="118"/>
        <v>4765.1427930310456</v>
      </c>
      <c r="AG372" s="63">
        <f t="shared" si="118"/>
        <v>9808.1120777942397</v>
      </c>
      <c r="AH372" s="63">
        <f t="shared" si="118"/>
        <v>4435.0207836770269</v>
      </c>
      <c r="AI372" s="63">
        <f t="shared" si="118"/>
        <v>11058.460400962333</v>
      </c>
      <c r="AJ372" s="63">
        <f t="shared" si="118"/>
        <v>3110.1969171684095</v>
      </c>
      <c r="AK372" s="63">
        <f t="shared" si="118"/>
        <v>6006.4647854589721</v>
      </c>
    </row>
    <row r="373" spans="2:37" x14ac:dyDescent="0.35">
      <c r="B373" s="68">
        <f t="shared" ref="B373:B380" si="119">SUM(D373:AK373)</f>
        <v>260438.63649994647</v>
      </c>
      <c r="C373" s="42" t="s">
        <v>84</v>
      </c>
      <c r="D373" s="62">
        <f>D400</f>
        <v>76710.31253867234</v>
      </c>
      <c r="E373" s="62">
        <f t="shared" ref="E373:AK373" si="120">E400</f>
        <v>12570.330587943263</v>
      </c>
      <c r="F373" s="62">
        <f t="shared" si="120"/>
        <v>11019.494104200312</v>
      </c>
      <c r="G373" s="62">
        <f t="shared" si="120"/>
        <v>11775.969733592858</v>
      </c>
      <c r="H373" s="62">
        <f t="shared" si="120"/>
        <v>3230.8464405633576</v>
      </c>
      <c r="I373" s="62">
        <f t="shared" si="120"/>
        <v>8297.3991385571626</v>
      </c>
      <c r="J373" s="62">
        <f t="shared" si="120"/>
        <v>4951.7239206255854</v>
      </c>
      <c r="K373" s="62">
        <f t="shared" si="120"/>
        <v>4725.9803793192632</v>
      </c>
      <c r="L373" s="62">
        <f t="shared" si="120"/>
        <v>3086.5273291766307</v>
      </c>
      <c r="M373" s="62">
        <f t="shared" si="120"/>
        <v>1267.322079504826</v>
      </c>
      <c r="N373" s="62">
        <f t="shared" si="120"/>
        <v>2004.3226001522212</v>
      </c>
      <c r="O373" s="62">
        <f t="shared" si="120"/>
        <v>3057.6357683517908</v>
      </c>
      <c r="P373" s="62">
        <f t="shared" si="120"/>
        <v>1183.3634106695858</v>
      </c>
      <c r="Q373" s="62">
        <f t="shared" si="120"/>
        <v>928.23100319425168</v>
      </c>
      <c r="R373" s="62">
        <f t="shared" si="120"/>
        <v>5025.2180552932168</v>
      </c>
      <c r="S373" s="62">
        <f t="shared" si="120"/>
        <v>14513.937643870568</v>
      </c>
      <c r="T373" s="62">
        <f t="shared" si="120"/>
        <v>27068.621387390893</v>
      </c>
      <c r="U373" s="62">
        <f t="shared" si="120"/>
        <v>9197.1881473231788</v>
      </c>
      <c r="V373" s="62">
        <f t="shared" si="120"/>
        <v>7179.1091061273401</v>
      </c>
      <c r="W373" s="62">
        <f t="shared" si="120"/>
        <v>4342.0744715839655</v>
      </c>
      <c r="X373" s="62">
        <f t="shared" si="120"/>
        <v>565.10764053719981</v>
      </c>
      <c r="Y373" s="62">
        <f t="shared" si="120"/>
        <v>810.310256736773</v>
      </c>
      <c r="Z373" s="62">
        <f t="shared" si="120"/>
        <v>1690.7796077053381</v>
      </c>
      <c r="AA373" s="62">
        <f t="shared" si="120"/>
        <v>2295.2918777112272</v>
      </c>
      <c r="AB373" s="62">
        <f t="shared" si="120"/>
        <v>1050.2600404468715</v>
      </c>
      <c r="AC373" s="62">
        <f t="shared" si="120"/>
        <v>1406.5201076694154</v>
      </c>
      <c r="AD373" s="62">
        <f t="shared" si="120"/>
        <v>6093.4423502830996</v>
      </c>
      <c r="AE373" s="62">
        <f t="shared" si="120"/>
        <v>8680.5553267259511</v>
      </c>
      <c r="AF373" s="62">
        <f t="shared" si="120"/>
        <v>3154.8560038741821</v>
      </c>
      <c r="AG373" s="62">
        <f t="shared" si="120"/>
        <v>6323.4262449729731</v>
      </c>
      <c r="AH373" s="62">
        <f t="shared" si="120"/>
        <v>3011.193956202872</v>
      </c>
      <c r="AI373" s="62">
        <f t="shared" si="120"/>
        <v>7072.0690793946451</v>
      </c>
      <c r="AJ373" s="62">
        <f t="shared" si="120"/>
        <v>2053.7963062908734</v>
      </c>
      <c r="AK373" s="62">
        <f t="shared" si="120"/>
        <v>4095.4198552824246</v>
      </c>
    </row>
    <row r="374" spans="2:37" x14ac:dyDescent="0.35">
      <c r="B374" s="68">
        <f t="shared" si="119"/>
        <v>101231.14057412067</v>
      </c>
      <c r="C374" s="37" t="s">
        <v>77</v>
      </c>
      <c r="D374" s="61">
        <f t="shared" ref="D374:AK374" si="121">D259/D29*10^6</f>
        <v>29815.725424534397</v>
      </c>
      <c r="E374" s="61">
        <f t="shared" si="121"/>
        <v>4733.3172184452087</v>
      </c>
      <c r="F374" s="61">
        <f t="shared" si="121"/>
        <v>4078.6778033104947</v>
      </c>
      <c r="G374" s="61">
        <f t="shared" si="121"/>
        <v>4690.1376939965048</v>
      </c>
      <c r="H374" s="61">
        <f t="shared" si="121"/>
        <v>1218.196693172227</v>
      </c>
      <c r="I374" s="61">
        <f t="shared" si="121"/>
        <v>3339.1975890841809</v>
      </c>
      <c r="J374" s="61">
        <f t="shared" si="121"/>
        <v>1979.9190629986217</v>
      </c>
      <c r="K374" s="61">
        <f t="shared" si="121"/>
        <v>1817.9960755619766</v>
      </c>
      <c r="L374" s="61">
        <f t="shared" si="121"/>
        <v>1280.1954001735073</v>
      </c>
      <c r="M374" s="61">
        <f t="shared" si="121"/>
        <v>527.28409980441961</v>
      </c>
      <c r="N374" s="61">
        <f t="shared" si="121"/>
        <v>776.01106094724764</v>
      </c>
      <c r="O374" s="61">
        <f t="shared" si="121"/>
        <v>1218.8597167545129</v>
      </c>
      <c r="P374" s="61">
        <f t="shared" si="121"/>
        <v>468.01593648742966</v>
      </c>
      <c r="Q374" s="61">
        <f t="shared" si="121"/>
        <v>354.85190018710568</v>
      </c>
      <c r="R374" s="61">
        <f t="shared" si="121"/>
        <v>1949.8779421644099</v>
      </c>
      <c r="S374" s="61">
        <f t="shared" si="121"/>
        <v>5626.0665687348901</v>
      </c>
      <c r="T374" s="61">
        <f t="shared" si="121"/>
        <v>10262.002296160317</v>
      </c>
      <c r="U374" s="61">
        <f t="shared" si="121"/>
        <v>3643.3534811198306</v>
      </c>
      <c r="V374" s="61">
        <f t="shared" si="121"/>
        <v>2766.6504923283901</v>
      </c>
      <c r="W374" s="61">
        <f t="shared" si="121"/>
        <v>1649.007359233359</v>
      </c>
      <c r="X374" s="61">
        <f t="shared" si="121"/>
        <v>220.43938357769846</v>
      </c>
      <c r="Y374" s="61">
        <f t="shared" si="121"/>
        <v>317.87454786000836</v>
      </c>
      <c r="Z374" s="61">
        <f t="shared" si="121"/>
        <v>669.25406006277694</v>
      </c>
      <c r="AA374" s="61">
        <f t="shared" si="121"/>
        <v>897.36409455227795</v>
      </c>
      <c r="AB374" s="61">
        <f t="shared" si="121"/>
        <v>405.54082389754626</v>
      </c>
      <c r="AC374" s="61">
        <f t="shared" si="121"/>
        <v>562.16601818786478</v>
      </c>
      <c r="AD374" s="61">
        <f t="shared" si="121"/>
        <v>2324.6131986200508</v>
      </c>
      <c r="AE374" s="61">
        <f t="shared" si="121"/>
        <v>3351.4947701655174</v>
      </c>
      <c r="AF374" s="61">
        <f t="shared" si="121"/>
        <v>1200.7833549603736</v>
      </c>
      <c r="AG374" s="61">
        <f t="shared" si="121"/>
        <v>2561.8287537344859</v>
      </c>
      <c r="AH374" s="61">
        <f t="shared" si="121"/>
        <v>1188.0080266947211</v>
      </c>
      <c r="AI374" s="61">
        <f t="shared" si="121"/>
        <v>2840.9791271846407</v>
      </c>
      <c r="AJ374" s="61">
        <f t="shared" si="121"/>
        <v>813.19930496702978</v>
      </c>
      <c r="AK374" s="61">
        <f t="shared" si="121"/>
        <v>1682.2512944566506</v>
      </c>
    </row>
    <row r="375" spans="2:37" x14ac:dyDescent="0.35">
      <c r="B375" s="68">
        <f t="shared" si="119"/>
        <v>89887.02163015517</v>
      </c>
      <c r="C375" s="37" t="s">
        <v>78</v>
      </c>
      <c r="D375" s="61">
        <f t="shared" ref="D375:AK375" si="122">D260/D30*10^6</f>
        <v>26112.164801664374</v>
      </c>
      <c r="E375" s="61">
        <f t="shared" si="122"/>
        <v>4303.3962329940778</v>
      </c>
      <c r="F375" s="61">
        <f t="shared" si="122"/>
        <v>3778.1426290613067</v>
      </c>
      <c r="G375" s="61">
        <f t="shared" si="122"/>
        <v>3870.5190792145404</v>
      </c>
      <c r="H375" s="61">
        <f t="shared" si="122"/>
        <v>1082.4938306296394</v>
      </c>
      <c r="I375" s="61">
        <f t="shared" si="122"/>
        <v>2964.3364169835395</v>
      </c>
      <c r="J375" s="61">
        <f t="shared" si="122"/>
        <v>1653.2870035238495</v>
      </c>
      <c r="K375" s="61">
        <f t="shared" si="122"/>
        <v>1586.255054713575</v>
      </c>
      <c r="L375" s="61">
        <f t="shared" si="122"/>
        <v>1083.6020554167972</v>
      </c>
      <c r="M375" s="61">
        <f t="shared" si="122"/>
        <v>438.5866592607079</v>
      </c>
      <c r="N375" s="61">
        <f t="shared" si="122"/>
        <v>684.28808021386612</v>
      </c>
      <c r="O375" s="61">
        <f t="shared" si="122"/>
        <v>1080.2804337741852</v>
      </c>
      <c r="P375" s="61">
        <f t="shared" si="122"/>
        <v>402.59383997405246</v>
      </c>
      <c r="Q375" s="61">
        <f t="shared" si="122"/>
        <v>310.92937950894668</v>
      </c>
      <c r="R375" s="61">
        <f t="shared" si="122"/>
        <v>1770.6925060910664</v>
      </c>
      <c r="S375" s="61">
        <f t="shared" si="122"/>
        <v>5127.3258214892912</v>
      </c>
      <c r="T375" s="61">
        <f t="shared" si="122"/>
        <v>9695.2755771887551</v>
      </c>
      <c r="U375" s="61">
        <f t="shared" si="122"/>
        <v>3032.5695220208404</v>
      </c>
      <c r="V375" s="61">
        <f t="shared" si="122"/>
        <v>2555.386545773652</v>
      </c>
      <c r="W375" s="61">
        <f t="shared" si="122"/>
        <v>1505.6365025191292</v>
      </c>
      <c r="X375" s="61">
        <f t="shared" si="122"/>
        <v>189.3671679248466</v>
      </c>
      <c r="Y375" s="61">
        <f t="shared" si="122"/>
        <v>285.45470846334365</v>
      </c>
      <c r="Z375" s="61">
        <f t="shared" si="122"/>
        <v>569.06328870794357</v>
      </c>
      <c r="AA375" s="61">
        <f t="shared" si="122"/>
        <v>808.71615940577635</v>
      </c>
      <c r="AB375" s="61">
        <f t="shared" si="122"/>
        <v>357.58076354823231</v>
      </c>
      <c r="AC375" s="61">
        <f t="shared" si="122"/>
        <v>472.01362019370953</v>
      </c>
      <c r="AD375" s="61">
        <f t="shared" si="122"/>
        <v>2167.9165613810442</v>
      </c>
      <c r="AE375" s="61">
        <f t="shared" si="122"/>
        <v>3023.5517478870529</v>
      </c>
      <c r="AF375" s="61">
        <f t="shared" si="122"/>
        <v>1130.3528828947774</v>
      </c>
      <c r="AG375" s="61">
        <f t="shared" si="122"/>
        <v>2215.9411736170277</v>
      </c>
      <c r="AH375" s="61">
        <f t="shared" si="122"/>
        <v>1017.69010791377</v>
      </c>
      <c r="AI375" s="61">
        <f t="shared" si="122"/>
        <v>2475.1192744868358</v>
      </c>
      <c r="AJ375" s="61">
        <f t="shared" si="122"/>
        <v>715.37835919736847</v>
      </c>
      <c r="AK375" s="61">
        <f t="shared" si="122"/>
        <v>1421.1138425172242</v>
      </c>
    </row>
    <row r="376" spans="2:37" x14ac:dyDescent="0.35">
      <c r="B376" s="68">
        <f t="shared" si="119"/>
        <v>57212.711189943271</v>
      </c>
      <c r="C376" s="37" t="s">
        <v>79</v>
      </c>
      <c r="D376" s="61">
        <f t="shared" ref="D376:AK376" si="123">D261/D31*10^6</f>
        <v>16660.28219494802</v>
      </c>
      <c r="E376" s="61">
        <f t="shared" si="123"/>
        <v>2874.0242151303555</v>
      </c>
      <c r="F376" s="61">
        <f t="shared" si="123"/>
        <v>2515.0874240419125</v>
      </c>
      <c r="G376" s="61">
        <f t="shared" si="123"/>
        <v>2670.6173710107723</v>
      </c>
      <c r="H376" s="61">
        <f t="shared" si="123"/>
        <v>771.17524926565989</v>
      </c>
      <c r="I376" s="61">
        <f t="shared" si="123"/>
        <v>1776.713732210877</v>
      </c>
      <c r="J376" s="61">
        <f t="shared" si="123"/>
        <v>1158.1864968321777</v>
      </c>
      <c r="K376" s="61">
        <f t="shared" si="123"/>
        <v>1152.4897389246546</v>
      </c>
      <c r="L376" s="61">
        <f t="shared" si="123"/>
        <v>602.78316525450862</v>
      </c>
      <c r="M376" s="61">
        <f t="shared" si="123"/>
        <v>267.3849552521761</v>
      </c>
      <c r="N376" s="61">
        <f t="shared" si="123"/>
        <v>464.32013045374191</v>
      </c>
      <c r="O376" s="61">
        <f t="shared" si="123"/>
        <v>644.33572182348087</v>
      </c>
      <c r="P376" s="61">
        <f t="shared" si="123"/>
        <v>261.46109418129407</v>
      </c>
      <c r="Q376" s="61">
        <f t="shared" si="123"/>
        <v>234.23725415842338</v>
      </c>
      <c r="R376" s="61">
        <f t="shared" si="123"/>
        <v>1113.4431447894872</v>
      </c>
      <c r="S376" s="61">
        <f t="shared" si="123"/>
        <v>3117.6524380027408</v>
      </c>
      <c r="T376" s="61">
        <f t="shared" si="123"/>
        <v>5997.4925483989318</v>
      </c>
      <c r="U376" s="61">
        <f t="shared" si="123"/>
        <v>2103.0057760365985</v>
      </c>
      <c r="V376" s="61">
        <f t="shared" si="123"/>
        <v>1468.7154027380104</v>
      </c>
      <c r="W376" s="61">
        <f t="shared" si="123"/>
        <v>1037.6412506939848</v>
      </c>
      <c r="X376" s="61">
        <f t="shared" si="123"/>
        <v>136.17538573721205</v>
      </c>
      <c r="Y376" s="61">
        <f t="shared" si="123"/>
        <v>174.49489237131266</v>
      </c>
      <c r="Z376" s="61">
        <f t="shared" si="123"/>
        <v>386.88596536035504</v>
      </c>
      <c r="AA376" s="61">
        <f t="shared" si="123"/>
        <v>477.0225093836936</v>
      </c>
      <c r="AB376" s="61">
        <f t="shared" si="123"/>
        <v>257.89939763404243</v>
      </c>
      <c r="AC376" s="61">
        <f t="shared" si="123"/>
        <v>334.28159713592737</v>
      </c>
      <c r="AD376" s="61">
        <f t="shared" si="123"/>
        <v>1286.7407847490663</v>
      </c>
      <c r="AE376" s="61">
        <f t="shared" si="123"/>
        <v>1953.3635614177163</v>
      </c>
      <c r="AF376" s="61">
        <f t="shared" si="123"/>
        <v>689.08628474110139</v>
      </c>
      <c r="AG376" s="61">
        <f t="shared" si="123"/>
        <v>1229.3632337741194</v>
      </c>
      <c r="AH376" s="61">
        <f t="shared" si="123"/>
        <v>738.33084035224545</v>
      </c>
      <c r="AI376" s="61">
        <f t="shared" si="123"/>
        <v>1368.5919276251839</v>
      </c>
      <c r="AJ376" s="61">
        <f t="shared" si="123"/>
        <v>460.10342544056579</v>
      </c>
      <c r="AK376" s="61">
        <f t="shared" si="123"/>
        <v>829.32208007291854</v>
      </c>
    </row>
    <row r="377" spans="2:37" x14ac:dyDescent="0.35">
      <c r="B377" s="68">
        <f t="shared" si="119"/>
        <v>133546.66745234933</v>
      </c>
      <c r="C377" s="42" t="s">
        <v>83</v>
      </c>
      <c r="D377" s="62">
        <f>D407</f>
        <v>39502.398892222183</v>
      </c>
      <c r="E377" s="62">
        <f t="shared" ref="E377:AK377" si="124">E407</f>
        <v>5845.8478376350213</v>
      </c>
      <c r="F377" s="62">
        <f t="shared" si="124"/>
        <v>5390.5511077331794</v>
      </c>
      <c r="G377" s="62">
        <f t="shared" si="124"/>
        <v>5609.049633517343</v>
      </c>
      <c r="H377" s="62">
        <f t="shared" si="124"/>
        <v>1912.1776273471598</v>
      </c>
      <c r="I377" s="62">
        <f t="shared" si="124"/>
        <v>3870.8958982456425</v>
      </c>
      <c r="J377" s="62">
        <f t="shared" si="124"/>
        <v>2553.0788975514679</v>
      </c>
      <c r="K377" s="62">
        <f t="shared" si="124"/>
        <v>2719.2404777480565</v>
      </c>
      <c r="L377" s="62">
        <f t="shared" si="124"/>
        <v>1450.3632727684276</v>
      </c>
      <c r="M377" s="62">
        <f t="shared" si="124"/>
        <v>584.54798642737433</v>
      </c>
      <c r="N377" s="62">
        <f t="shared" si="124"/>
        <v>900.89271808189119</v>
      </c>
      <c r="O377" s="62">
        <f t="shared" si="124"/>
        <v>1723.9117890997773</v>
      </c>
      <c r="P377" s="62">
        <f t="shared" si="124"/>
        <v>568.34632586028295</v>
      </c>
      <c r="Q377" s="62">
        <f t="shared" si="124"/>
        <v>529.18686759252512</v>
      </c>
      <c r="R377" s="62">
        <f t="shared" si="124"/>
        <v>2677.0179160755729</v>
      </c>
      <c r="S377" s="62">
        <f t="shared" si="124"/>
        <v>8140.6910293125238</v>
      </c>
      <c r="T377" s="62">
        <f t="shared" si="124"/>
        <v>13131.750236532018</v>
      </c>
      <c r="U377" s="62">
        <f t="shared" si="124"/>
        <v>4629.0092915994392</v>
      </c>
      <c r="V377" s="62">
        <f t="shared" si="124"/>
        <v>4207.5336301427988</v>
      </c>
      <c r="W377" s="62">
        <f t="shared" si="124"/>
        <v>2191.4550933486344</v>
      </c>
      <c r="X377" s="62">
        <f t="shared" si="124"/>
        <v>262.64403958369178</v>
      </c>
      <c r="Y377" s="62">
        <f t="shared" si="124"/>
        <v>488.87125764113927</v>
      </c>
      <c r="Z377" s="62">
        <f t="shared" si="124"/>
        <v>964.67517786612382</v>
      </c>
      <c r="AA377" s="62">
        <f t="shared" si="124"/>
        <v>1122.6544221227189</v>
      </c>
      <c r="AB377" s="62">
        <f t="shared" si="124"/>
        <v>470.5602226341162</v>
      </c>
      <c r="AC377" s="62">
        <f t="shared" si="124"/>
        <v>662.80361166730745</v>
      </c>
      <c r="AD377" s="62">
        <f t="shared" si="124"/>
        <v>3332.0836004835201</v>
      </c>
      <c r="AE377" s="62">
        <f t="shared" si="124"/>
        <v>4631.7922794353217</v>
      </c>
      <c r="AF377" s="62">
        <f t="shared" si="124"/>
        <v>1610.2867891568635</v>
      </c>
      <c r="AG377" s="62">
        <f t="shared" si="124"/>
        <v>3484.6858328212666</v>
      </c>
      <c r="AH377" s="62">
        <f t="shared" si="124"/>
        <v>1423.8268274741549</v>
      </c>
      <c r="AI377" s="62">
        <f t="shared" si="124"/>
        <v>3986.3913215676876</v>
      </c>
      <c r="AJ377" s="62">
        <f t="shared" si="124"/>
        <v>1056.4006108775363</v>
      </c>
      <c r="AK377" s="62">
        <f t="shared" si="124"/>
        <v>1911.0449301765473</v>
      </c>
    </row>
    <row r="378" spans="2:37" x14ac:dyDescent="0.35">
      <c r="B378" s="68">
        <f t="shared" si="119"/>
        <v>100144.09273246404</v>
      </c>
      <c r="C378" s="37" t="s">
        <v>80</v>
      </c>
      <c r="D378" s="61">
        <f t="shared" ref="D378:AK378" si="125">D263/D33*10^6</f>
        <v>29179.153824057477</v>
      </c>
      <c r="E378" s="61">
        <f t="shared" si="125"/>
        <v>4265.2335366319603</v>
      </c>
      <c r="F378" s="61">
        <f t="shared" si="125"/>
        <v>3962.7362637777787</v>
      </c>
      <c r="G378" s="61">
        <f t="shared" si="125"/>
        <v>4270.0709462561608</v>
      </c>
      <c r="H378" s="61">
        <f t="shared" si="125"/>
        <v>1378.8351004316494</v>
      </c>
      <c r="I378" s="61">
        <f t="shared" si="125"/>
        <v>2961.4684558283707</v>
      </c>
      <c r="J378" s="61">
        <f t="shared" si="125"/>
        <v>1924.192875459079</v>
      </c>
      <c r="K378" s="61">
        <f t="shared" si="125"/>
        <v>2055.7507502884614</v>
      </c>
      <c r="L378" s="61">
        <f t="shared" si="125"/>
        <v>1116.3693340916723</v>
      </c>
      <c r="M378" s="61">
        <f t="shared" si="125"/>
        <v>433.84678722165046</v>
      </c>
      <c r="N378" s="61">
        <f t="shared" si="125"/>
        <v>699.61473402202535</v>
      </c>
      <c r="O378" s="61">
        <f t="shared" si="125"/>
        <v>1310.2178979746543</v>
      </c>
      <c r="P378" s="61">
        <f t="shared" si="125"/>
        <v>424.20195280922104</v>
      </c>
      <c r="Q378" s="61">
        <f t="shared" si="125"/>
        <v>381.9229669029109</v>
      </c>
      <c r="R378" s="61">
        <f t="shared" si="125"/>
        <v>2032.1624697301224</v>
      </c>
      <c r="S378" s="61">
        <f t="shared" si="125"/>
        <v>6020.1614203480431</v>
      </c>
      <c r="T378" s="61">
        <f t="shared" si="125"/>
        <v>10032.101392006845</v>
      </c>
      <c r="U378" s="61">
        <f t="shared" si="125"/>
        <v>3507.4786697443428</v>
      </c>
      <c r="V378" s="61">
        <f t="shared" si="125"/>
        <v>3208.9547530905156</v>
      </c>
      <c r="W378" s="61">
        <f t="shared" si="125"/>
        <v>1673.2444139669115</v>
      </c>
      <c r="X378" s="61">
        <f t="shared" si="125"/>
        <v>190.63956471712169</v>
      </c>
      <c r="Y378" s="61">
        <f t="shared" si="125"/>
        <v>350.81936627706557</v>
      </c>
      <c r="Z378" s="61">
        <f t="shared" si="125"/>
        <v>755.59393596030475</v>
      </c>
      <c r="AA378" s="61">
        <f t="shared" si="125"/>
        <v>858.06650368126566</v>
      </c>
      <c r="AB378" s="61">
        <f t="shared" si="125"/>
        <v>354.61361647326248</v>
      </c>
      <c r="AC378" s="61">
        <f t="shared" si="125"/>
        <v>504.73066633588599</v>
      </c>
      <c r="AD378" s="61">
        <f t="shared" si="125"/>
        <v>2489.1012840311237</v>
      </c>
      <c r="AE378" s="61">
        <f t="shared" si="125"/>
        <v>3524.9697945763446</v>
      </c>
      <c r="AF378" s="61">
        <f t="shared" si="125"/>
        <v>1249.154320156621</v>
      </c>
      <c r="AG378" s="61">
        <f t="shared" si="125"/>
        <v>2603.8842531869022</v>
      </c>
      <c r="AH378" s="61">
        <f t="shared" si="125"/>
        <v>1085.69434876327</v>
      </c>
      <c r="AI378" s="61">
        <f t="shared" si="125"/>
        <v>3039.6755804456552</v>
      </c>
      <c r="AJ378" s="61">
        <f t="shared" si="125"/>
        <v>812.36514927250801</v>
      </c>
      <c r="AK378" s="61">
        <f t="shared" si="125"/>
        <v>1487.0658039468683</v>
      </c>
    </row>
    <row r="379" spans="2:37" x14ac:dyDescent="0.35">
      <c r="B379" s="68">
        <f t="shared" si="119"/>
        <v>33998.186647903254</v>
      </c>
      <c r="C379" s="37" t="s">
        <v>81</v>
      </c>
      <c r="D379" s="61">
        <f t="shared" ref="D379:AK379" si="126">D264/D34*10^6</f>
        <v>10026.959356982725</v>
      </c>
      <c r="E379" s="61">
        <f t="shared" si="126"/>
        <v>1388.0232835774195</v>
      </c>
      <c r="F379" s="61">
        <f t="shared" si="126"/>
        <v>1274.0987079012007</v>
      </c>
      <c r="G379" s="61">
        <f t="shared" si="126"/>
        <v>1466.6294964328242</v>
      </c>
      <c r="H379" s="61">
        <f t="shared" si="126"/>
        <v>507.57043184918246</v>
      </c>
      <c r="I379" s="61">
        <f t="shared" si="126"/>
        <v>943.9708371475258</v>
      </c>
      <c r="J379" s="61">
        <f t="shared" si="126"/>
        <v>622.95065324499012</v>
      </c>
      <c r="K379" s="61">
        <f t="shared" si="126"/>
        <v>704.51479335543195</v>
      </c>
      <c r="L379" s="61">
        <f t="shared" si="126"/>
        <v>361.70255950464582</v>
      </c>
      <c r="M379" s="61">
        <f t="shared" si="126"/>
        <v>159.22160740867955</v>
      </c>
      <c r="N379" s="61">
        <f t="shared" si="126"/>
        <v>225.37967649766208</v>
      </c>
      <c r="O379" s="61">
        <f t="shared" si="126"/>
        <v>427.80277770099184</v>
      </c>
      <c r="P379" s="61">
        <f t="shared" si="126"/>
        <v>141.22807702616916</v>
      </c>
      <c r="Q379" s="61">
        <f t="shared" si="126"/>
        <v>143.55725762950038</v>
      </c>
      <c r="R379" s="61">
        <f t="shared" si="126"/>
        <v>659.93116522246487</v>
      </c>
      <c r="S379" s="61">
        <f t="shared" si="126"/>
        <v>2127.0824047373708</v>
      </c>
      <c r="T379" s="61">
        <f t="shared" si="126"/>
        <v>3317.5154629903868</v>
      </c>
      <c r="U379" s="61">
        <f t="shared" si="126"/>
        <v>1215.0542879642087</v>
      </c>
      <c r="V379" s="61">
        <f t="shared" si="126"/>
        <v>1068.8684856825921</v>
      </c>
      <c r="W379" s="61">
        <f t="shared" si="126"/>
        <v>601.46793229584898</v>
      </c>
      <c r="X379" s="61">
        <f t="shared" si="126"/>
        <v>64.722478973630317</v>
      </c>
      <c r="Y379" s="61">
        <f t="shared" si="126"/>
        <v>131.24230814400244</v>
      </c>
      <c r="Z379" s="61">
        <f t="shared" si="126"/>
        <v>245.23094923009648</v>
      </c>
      <c r="AA379" s="61">
        <f t="shared" si="126"/>
        <v>278.48906363543216</v>
      </c>
      <c r="AB379" s="61">
        <f t="shared" si="126"/>
        <v>116.40770858937488</v>
      </c>
      <c r="AC379" s="61">
        <f t="shared" si="126"/>
        <v>173.99111507196451</v>
      </c>
      <c r="AD379" s="61">
        <f t="shared" si="126"/>
        <v>892.19789520945051</v>
      </c>
      <c r="AE379" s="61">
        <f t="shared" si="126"/>
        <v>1260.6822352758418</v>
      </c>
      <c r="AF379" s="61">
        <f t="shared" si="126"/>
        <v>418.15583662019839</v>
      </c>
      <c r="AG379" s="61">
        <f t="shared" si="126"/>
        <v>871.13729295182247</v>
      </c>
      <c r="AH379" s="61">
        <f t="shared" si="126"/>
        <v>381.31062315357588</v>
      </c>
      <c r="AI379" s="61">
        <f t="shared" si="126"/>
        <v>1038.9741650149615</v>
      </c>
      <c r="AJ379" s="61">
        <f t="shared" si="126"/>
        <v>256.73504804835159</v>
      </c>
      <c r="AK379" s="61">
        <f t="shared" si="126"/>
        <v>485.38067283273546</v>
      </c>
    </row>
    <row r="380" spans="2:37" x14ac:dyDescent="0.35">
      <c r="B380" s="68">
        <f t="shared" si="119"/>
        <v>17939.389684937523</v>
      </c>
      <c r="C380" s="37" t="s">
        <v>82</v>
      </c>
      <c r="D380" s="61">
        <f t="shared" ref="D380:AK380" si="127">D265/D35*10^6</f>
        <v>5260.2927952025411</v>
      </c>
      <c r="E380" s="61">
        <f t="shared" si="127"/>
        <v>779.66757610592833</v>
      </c>
      <c r="F380" s="61">
        <f t="shared" si="127"/>
        <v>768.58083283067572</v>
      </c>
      <c r="G380" s="61">
        <f t="shared" si="127"/>
        <v>687.54386291803257</v>
      </c>
      <c r="H380" s="61">
        <f t="shared" si="127"/>
        <v>248.90809831002852</v>
      </c>
      <c r="I380" s="61">
        <f t="shared" si="127"/>
        <v>528.26981556242936</v>
      </c>
      <c r="J380" s="61">
        <f t="shared" si="127"/>
        <v>363.20992678733586</v>
      </c>
      <c r="K380" s="61">
        <f t="shared" si="127"/>
        <v>378.70157189313164</v>
      </c>
      <c r="L380" s="61">
        <f t="shared" si="127"/>
        <v>214.36243118459549</v>
      </c>
      <c r="M380" s="61">
        <f t="shared" si="127"/>
        <v>73.965189366158199</v>
      </c>
      <c r="N380" s="61">
        <f t="shared" si="127"/>
        <v>132.19326293635268</v>
      </c>
      <c r="O380" s="61">
        <f t="shared" si="127"/>
        <v>219.71242642608141</v>
      </c>
      <c r="P380" s="61">
        <f t="shared" si="127"/>
        <v>87.29381860566825</v>
      </c>
      <c r="Q380" s="61">
        <f t="shared" si="127"/>
        <v>68.133228264859071</v>
      </c>
      <c r="R380" s="61">
        <f t="shared" si="127"/>
        <v>359.32362073567771</v>
      </c>
      <c r="S380" s="61">
        <f t="shared" si="127"/>
        <v>1139.6995665593022</v>
      </c>
      <c r="T380" s="61">
        <f t="shared" si="127"/>
        <v>1780.8699921627181</v>
      </c>
      <c r="U380" s="61">
        <f t="shared" si="127"/>
        <v>672.58832843859363</v>
      </c>
      <c r="V380" s="61">
        <f t="shared" si="127"/>
        <v>540.81162760002837</v>
      </c>
      <c r="W380" s="61">
        <f t="shared" si="127"/>
        <v>262.17702294993484</v>
      </c>
      <c r="X380" s="61">
        <f t="shared" si="127"/>
        <v>38.578063263064806</v>
      </c>
      <c r="Y380" s="61">
        <f t="shared" si="127"/>
        <v>64.296150948662955</v>
      </c>
      <c r="Z380" s="61">
        <f t="shared" si="127"/>
        <v>128.62029864201992</v>
      </c>
      <c r="AA380" s="61">
        <f t="shared" si="127"/>
        <v>168.28954519383279</v>
      </c>
      <c r="AB380" s="61">
        <f t="shared" si="127"/>
        <v>70.820680443743967</v>
      </c>
      <c r="AC380" s="61">
        <f t="shared" si="127"/>
        <v>85.924086913205002</v>
      </c>
      <c r="AD380" s="61">
        <f t="shared" si="127"/>
        <v>466.50609316916757</v>
      </c>
      <c r="AE380" s="61">
        <f t="shared" si="127"/>
        <v>571.1523590002397</v>
      </c>
      <c r="AF380" s="61">
        <f t="shared" si="127"/>
        <v>218.13735080752775</v>
      </c>
      <c r="AG380" s="61">
        <f t="shared" si="127"/>
        <v>471.77527563801453</v>
      </c>
      <c r="AH380" s="61">
        <f t="shared" si="127"/>
        <v>168.39321446045119</v>
      </c>
      <c r="AI380" s="61">
        <f t="shared" si="127"/>
        <v>519.10129470231914</v>
      </c>
      <c r="AJ380" s="61">
        <f t="shared" si="127"/>
        <v>145.79759265858587</v>
      </c>
      <c r="AK380" s="61">
        <f t="shared" si="127"/>
        <v>255.69268425660968</v>
      </c>
    </row>
    <row r="381" spans="2:37" x14ac:dyDescent="0.35">
      <c r="C381" s="4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4"/>
      <c r="AA381" s="65"/>
      <c r="AB381" s="65"/>
      <c r="AC381" s="65"/>
      <c r="AD381" s="65"/>
      <c r="AE381" s="65"/>
      <c r="AF381" s="65"/>
      <c r="AG381" s="66"/>
      <c r="AH381" s="65"/>
      <c r="AI381" s="65"/>
      <c r="AJ381" s="65"/>
      <c r="AK381" s="65"/>
    </row>
    <row r="382" spans="2:37" x14ac:dyDescent="0.35">
      <c r="B382" s="68">
        <f t="shared" ref="B382:B384" si="128">SUM(D382:AK382)</f>
        <v>400325.98115300882</v>
      </c>
      <c r="C382" s="4" t="s">
        <v>85</v>
      </c>
      <c r="D382" s="63">
        <f>SUM(D383:D384)</f>
        <v>117064.8424026251</v>
      </c>
      <c r="E382" s="63">
        <f t="shared" ref="E382:AK382" si="129">SUM(E383:E384)</f>
        <v>18371.228998637038</v>
      </c>
      <c r="F382" s="63">
        <f t="shared" si="129"/>
        <v>16396.395566081763</v>
      </c>
      <c r="G382" s="63">
        <f t="shared" si="129"/>
        <v>17494.533718447517</v>
      </c>
      <c r="H382" s="63">
        <f t="shared" si="129"/>
        <v>5223.1294667916682</v>
      </c>
      <c r="I382" s="63">
        <f t="shared" si="129"/>
        <v>12510.50705787297</v>
      </c>
      <c r="J382" s="63">
        <f t="shared" si="129"/>
        <v>7681.7605436627337</v>
      </c>
      <c r="K382" s="63">
        <f t="shared" si="129"/>
        <v>7617.3190528172872</v>
      </c>
      <c r="L382" s="63">
        <f t="shared" si="129"/>
        <v>4676.9143017719498</v>
      </c>
      <c r="M382" s="63">
        <f t="shared" si="129"/>
        <v>1900.8967224571202</v>
      </c>
      <c r="N382" s="63">
        <f t="shared" si="129"/>
        <v>2985.6428137761391</v>
      </c>
      <c r="O382" s="63">
        <f t="shared" si="129"/>
        <v>4890.2170370388721</v>
      </c>
      <c r="P382" s="63">
        <f t="shared" si="129"/>
        <v>1791.8801157253999</v>
      </c>
      <c r="Q382" s="63">
        <f t="shared" si="129"/>
        <v>1488.4955125923584</v>
      </c>
      <c r="R382" s="63">
        <f t="shared" si="129"/>
        <v>7920.5690012175819</v>
      </c>
      <c r="S382" s="63">
        <f t="shared" si="129"/>
        <v>23185.9945860404</v>
      </c>
      <c r="T382" s="63">
        <f t="shared" si="129"/>
        <v>41254.305494376851</v>
      </c>
      <c r="U382" s="63">
        <f t="shared" si="129"/>
        <v>14110.171481631907</v>
      </c>
      <c r="V382" s="63">
        <f t="shared" si="129"/>
        <v>11621.552103544647</v>
      </c>
      <c r="W382" s="63">
        <f t="shared" si="129"/>
        <v>6695.2750182434984</v>
      </c>
      <c r="X382" s="63">
        <f t="shared" si="129"/>
        <v>841.51187190052337</v>
      </c>
      <c r="Y382" s="63">
        <f t="shared" si="129"/>
        <v>1330.0712693829103</v>
      </c>
      <c r="Z382" s="63">
        <f t="shared" si="129"/>
        <v>2726.243800037073</v>
      </c>
      <c r="AA382" s="63">
        <f t="shared" si="129"/>
        <v>3505.0762757017351</v>
      </c>
      <c r="AB382" s="63">
        <f t="shared" si="129"/>
        <v>1559.8582507365877</v>
      </c>
      <c r="AC382" s="63">
        <f t="shared" si="129"/>
        <v>2127.4157492984655</v>
      </c>
      <c r="AD382" s="63">
        <f t="shared" si="129"/>
        <v>9655.1530544496854</v>
      </c>
      <c r="AE382" s="63">
        <f t="shared" si="129"/>
        <v>13580.37859367983</v>
      </c>
      <c r="AF382" s="63">
        <f t="shared" si="129"/>
        <v>4907.5971572832768</v>
      </c>
      <c r="AG382" s="63">
        <f t="shared" si="129"/>
        <v>10019.26205467211</v>
      </c>
      <c r="AH382" s="63">
        <f t="shared" si="129"/>
        <v>4542.985370545066</v>
      </c>
      <c r="AI382" s="63">
        <f t="shared" si="129"/>
        <v>11296.50077345619</v>
      </c>
      <c r="AJ382" s="63">
        <f t="shared" si="129"/>
        <v>3202.0378668641069</v>
      </c>
      <c r="AK382" s="63">
        <f t="shared" si="129"/>
        <v>6150.2580696483519</v>
      </c>
    </row>
    <row r="383" spans="2:37" x14ac:dyDescent="0.35">
      <c r="B383" s="68">
        <f t="shared" si="128"/>
        <v>87277.272483372333</v>
      </c>
      <c r="C383" t="s">
        <v>86</v>
      </c>
      <c r="D383" s="61">
        <f t="shared" ref="D383:AK383" si="130">D268/D38*10^6</f>
        <v>25476.204621003617</v>
      </c>
      <c r="E383" s="61">
        <f t="shared" si="130"/>
        <v>4228.267147183039</v>
      </c>
      <c r="F383" s="61">
        <f t="shared" si="130"/>
        <v>3366.5818646025705</v>
      </c>
      <c r="G383" s="61">
        <f t="shared" si="130"/>
        <v>3580.8838729655513</v>
      </c>
      <c r="H383" s="61">
        <f t="shared" si="130"/>
        <v>1192.7461513439748</v>
      </c>
      <c r="I383" s="61">
        <f t="shared" si="130"/>
        <v>2820.1074764820701</v>
      </c>
      <c r="J383" s="61">
        <f t="shared" si="130"/>
        <v>1672.9848887711023</v>
      </c>
      <c r="K383" s="61">
        <f t="shared" si="130"/>
        <v>1564.6235260142907</v>
      </c>
      <c r="L383" s="61">
        <f t="shared" si="130"/>
        <v>1045.5084808402078</v>
      </c>
      <c r="M383" s="61">
        <f t="shared" si="130"/>
        <v>389.69231946694077</v>
      </c>
      <c r="N383" s="61">
        <f t="shared" si="130"/>
        <v>656.51801312617238</v>
      </c>
      <c r="O383" s="61">
        <f t="shared" si="130"/>
        <v>1127.52381513106</v>
      </c>
      <c r="P383" s="61">
        <f t="shared" si="130"/>
        <v>367.77333966763507</v>
      </c>
      <c r="Q383" s="61">
        <f t="shared" si="130"/>
        <v>321.64875086233383</v>
      </c>
      <c r="R383" s="61">
        <f t="shared" si="130"/>
        <v>1826.2222964404737</v>
      </c>
      <c r="S383" s="61">
        <f t="shared" si="130"/>
        <v>5130.4010725997141</v>
      </c>
      <c r="T383" s="61">
        <f t="shared" si="130"/>
        <v>9282.7143206992932</v>
      </c>
      <c r="U383" s="61">
        <f t="shared" si="130"/>
        <v>2921.987731167138</v>
      </c>
      <c r="V383" s="61">
        <f t="shared" si="130"/>
        <v>2579.057146920698</v>
      </c>
      <c r="W383" s="61">
        <f t="shared" si="130"/>
        <v>1547.5497113185741</v>
      </c>
      <c r="X383" s="61">
        <f t="shared" si="130"/>
        <v>183.40541183370985</v>
      </c>
      <c r="Y383" s="61">
        <f t="shared" si="130"/>
        <v>287.41417227072526</v>
      </c>
      <c r="Z383" s="61">
        <f t="shared" si="130"/>
        <v>565.21453125384244</v>
      </c>
      <c r="AA383" s="61">
        <f t="shared" si="130"/>
        <v>754.86318512648438</v>
      </c>
      <c r="AB383" s="61">
        <f t="shared" si="130"/>
        <v>319.03169478001843</v>
      </c>
      <c r="AC383" s="61">
        <f t="shared" si="130"/>
        <v>477.30533439620802</v>
      </c>
      <c r="AD383" s="61">
        <f t="shared" si="130"/>
        <v>2031.9461625461338</v>
      </c>
      <c r="AE383" s="61">
        <f t="shared" si="130"/>
        <v>2801.3987656828231</v>
      </c>
      <c r="AF383" s="61">
        <f t="shared" si="130"/>
        <v>1025.3327678818441</v>
      </c>
      <c r="AG383" s="61">
        <f t="shared" si="130"/>
        <v>2127.0904796736186</v>
      </c>
      <c r="AH383" s="61">
        <f t="shared" si="130"/>
        <v>994.54449545005207</v>
      </c>
      <c r="AI383" s="61">
        <f t="shared" si="130"/>
        <v>2579.6368353509897</v>
      </c>
      <c r="AJ383" s="61">
        <f t="shared" si="130"/>
        <v>668.22110438676759</v>
      </c>
      <c r="AK383" s="61">
        <f t="shared" si="130"/>
        <v>1362.8709961326406</v>
      </c>
    </row>
    <row r="384" spans="2:37" x14ac:dyDescent="0.35">
      <c r="B384" s="68">
        <f t="shared" si="128"/>
        <v>313048.70866963628</v>
      </c>
      <c r="C384" t="s">
        <v>87</v>
      </c>
      <c r="D384" s="61">
        <f t="shared" ref="D384:AK384" si="131">D269/D39*10^6</f>
        <v>91588.637781621481</v>
      </c>
      <c r="E384" s="61">
        <f t="shared" si="131"/>
        <v>14142.961851454</v>
      </c>
      <c r="F384" s="61">
        <f t="shared" si="131"/>
        <v>13029.813701479194</v>
      </c>
      <c r="G384" s="61">
        <f t="shared" si="131"/>
        <v>13913.649845481965</v>
      </c>
      <c r="H384" s="61">
        <f t="shared" si="131"/>
        <v>4030.3833154476933</v>
      </c>
      <c r="I384" s="61">
        <f t="shared" si="131"/>
        <v>9690.3995813909005</v>
      </c>
      <c r="J384" s="61">
        <f t="shared" si="131"/>
        <v>6008.7756548916313</v>
      </c>
      <c r="K384" s="61">
        <f t="shared" si="131"/>
        <v>6052.6955268029969</v>
      </c>
      <c r="L384" s="61">
        <f t="shared" si="131"/>
        <v>3631.4058209317418</v>
      </c>
      <c r="M384" s="61">
        <f t="shared" si="131"/>
        <v>1511.2044029901795</v>
      </c>
      <c r="N384" s="61">
        <f t="shared" si="131"/>
        <v>2329.1248006499668</v>
      </c>
      <c r="O384" s="61">
        <f t="shared" si="131"/>
        <v>3762.6932219078126</v>
      </c>
      <c r="P384" s="61">
        <f t="shared" si="131"/>
        <v>1424.1067760577648</v>
      </c>
      <c r="Q384" s="61">
        <f t="shared" si="131"/>
        <v>1166.8467617300246</v>
      </c>
      <c r="R384" s="61">
        <f t="shared" si="131"/>
        <v>6094.3467047771082</v>
      </c>
      <c r="S384" s="61">
        <f t="shared" si="131"/>
        <v>18055.593513440686</v>
      </c>
      <c r="T384" s="61">
        <f t="shared" si="131"/>
        <v>31971.59117367756</v>
      </c>
      <c r="U384" s="61">
        <f t="shared" si="131"/>
        <v>11188.183750464768</v>
      </c>
      <c r="V384" s="61">
        <f t="shared" si="131"/>
        <v>9042.4949566239502</v>
      </c>
      <c r="W384" s="61">
        <f t="shared" si="131"/>
        <v>5147.7253069249246</v>
      </c>
      <c r="X384" s="61">
        <f t="shared" si="131"/>
        <v>658.1064600668135</v>
      </c>
      <c r="Y384" s="61">
        <f t="shared" si="131"/>
        <v>1042.6570971121851</v>
      </c>
      <c r="Z384" s="61">
        <f t="shared" si="131"/>
        <v>2161.0292687832307</v>
      </c>
      <c r="AA384" s="61">
        <f t="shared" si="131"/>
        <v>2750.2130905752506</v>
      </c>
      <c r="AB384" s="61">
        <f t="shared" si="131"/>
        <v>1240.8265559565693</v>
      </c>
      <c r="AC384" s="61">
        <f t="shared" si="131"/>
        <v>1650.1104149022576</v>
      </c>
      <c r="AD384" s="61">
        <f t="shared" si="131"/>
        <v>7623.2068919035519</v>
      </c>
      <c r="AE384" s="61">
        <f t="shared" si="131"/>
        <v>10778.979827997007</v>
      </c>
      <c r="AF384" s="61">
        <f t="shared" si="131"/>
        <v>3882.2643894014323</v>
      </c>
      <c r="AG384" s="61">
        <f t="shared" si="131"/>
        <v>7892.1715749984915</v>
      </c>
      <c r="AH384" s="61">
        <f t="shared" si="131"/>
        <v>3548.4408750950142</v>
      </c>
      <c r="AI384" s="61">
        <f t="shared" si="131"/>
        <v>8716.8639381051998</v>
      </c>
      <c r="AJ384" s="61">
        <f t="shared" si="131"/>
        <v>2533.8167624773391</v>
      </c>
      <c r="AK384" s="61">
        <f t="shared" si="131"/>
        <v>4787.3870735157116</v>
      </c>
    </row>
    <row r="385" spans="2:37" x14ac:dyDescent="0.35">
      <c r="C385" s="4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4"/>
      <c r="AA385" s="65"/>
      <c r="AB385" s="65"/>
      <c r="AC385" s="65"/>
      <c r="AD385" s="65"/>
      <c r="AE385" s="65"/>
      <c r="AF385" s="65"/>
      <c r="AG385" s="66"/>
      <c r="AH385" s="65"/>
      <c r="AI385" s="65"/>
      <c r="AJ385" s="65"/>
      <c r="AK385" s="65"/>
    </row>
    <row r="386" spans="2:37" x14ac:dyDescent="0.35">
      <c r="B386" s="68">
        <f t="shared" ref="B386:B389" si="132">SUM(D386:AK386)</f>
        <v>631443.71755509509</v>
      </c>
      <c r="C386" s="4" t="s">
        <v>88</v>
      </c>
      <c r="D386" s="63">
        <f>SUM(D387:D389)</f>
        <v>187059.52110139618</v>
      </c>
      <c r="E386" s="63">
        <f t="shared" ref="E386:AK386" si="133">SUM(E387:E389)</f>
        <v>29253.060477911855</v>
      </c>
      <c r="F386" s="63">
        <f t="shared" si="133"/>
        <v>26164.176326280125</v>
      </c>
      <c r="G386" s="63">
        <f t="shared" si="133"/>
        <v>27349.77892582825</v>
      </c>
      <c r="H386" s="63">
        <f t="shared" si="133"/>
        <v>8371.118035793168</v>
      </c>
      <c r="I386" s="63">
        <f t="shared" si="133"/>
        <v>19418.315879796082</v>
      </c>
      <c r="J386" s="63">
        <f t="shared" si="133"/>
        <v>12027.111804106156</v>
      </c>
      <c r="K386" s="63">
        <f t="shared" si="133"/>
        <v>11977.546385092375</v>
      </c>
      <c r="L386" s="63">
        <f t="shared" si="133"/>
        <v>7186.8737583855755</v>
      </c>
      <c r="M386" s="63">
        <f t="shared" si="133"/>
        <v>2979.2258791747026</v>
      </c>
      <c r="N386" s="63">
        <f t="shared" si="133"/>
        <v>4594.3839861712877</v>
      </c>
      <c r="O386" s="63">
        <f t="shared" si="133"/>
        <v>7797.8925398726542</v>
      </c>
      <c r="P386" s="63">
        <f t="shared" si="133"/>
        <v>2756.3316086246446</v>
      </c>
      <c r="Q386" s="63">
        <f t="shared" si="133"/>
        <v>2325.5041475328944</v>
      </c>
      <c r="R386" s="63">
        <f t="shared" si="133"/>
        <v>12506.697825985166</v>
      </c>
      <c r="S386" s="63">
        <f t="shared" si="133"/>
        <v>35991.570349712332</v>
      </c>
      <c r="T386" s="63">
        <f t="shared" si="133"/>
        <v>64306.850583011139</v>
      </c>
      <c r="U386" s="63">
        <f t="shared" si="133"/>
        <v>21947.415697170116</v>
      </c>
      <c r="V386" s="63">
        <f t="shared" si="133"/>
        <v>18506.772972915765</v>
      </c>
      <c r="W386" s="63">
        <f t="shared" si="133"/>
        <v>10473.671297849287</v>
      </c>
      <c r="X386" s="63">
        <f t="shared" si="133"/>
        <v>1324.260672565742</v>
      </c>
      <c r="Y386" s="63">
        <f t="shared" si="133"/>
        <v>2087.925981385245</v>
      </c>
      <c r="Z386" s="63">
        <f t="shared" si="133"/>
        <v>4241.3061670041516</v>
      </c>
      <c r="AA386" s="63">
        <f t="shared" si="133"/>
        <v>5580.8555408999227</v>
      </c>
      <c r="AB386" s="63">
        <f t="shared" si="133"/>
        <v>2449.7663216717988</v>
      </c>
      <c r="AC386" s="63">
        <f t="shared" si="133"/>
        <v>3318.2345606099716</v>
      </c>
      <c r="AD386" s="63">
        <f t="shared" si="133"/>
        <v>14998.570858401275</v>
      </c>
      <c r="AE386" s="63">
        <f t="shared" si="133"/>
        <v>21130.701662260555</v>
      </c>
      <c r="AF386" s="63">
        <f t="shared" si="133"/>
        <v>7774.005603047759</v>
      </c>
      <c r="AG386" s="63">
        <f t="shared" si="133"/>
        <v>15895.151945600697</v>
      </c>
      <c r="AH386" s="63">
        <f t="shared" si="133"/>
        <v>7161.4194827464289</v>
      </c>
      <c r="AI386" s="63">
        <f t="shared" si="133"/>
        <v>17794.263577448895</v>
      </c>
      <c r="AJ386" s="63">
        <f t="shared" si="133"/>
        <v>4972.8968989732857</v>
      </c>
      <c r="AK386" s="63">
        <f t="shared" si="133"/>
        <v>9720.5386998693793</v>
      </c>
    </row>
    <row r="387" spans="2:37" x14ac:dyDescent="0.35">
      <c r="B387" s="68">
        <f t="shared" si="132"/>
        <v>351503.95009459765</v>
      </c>
      <c r="C387" t="s">
        <v>89</v>
      </c>
      <c r="D387" s="61">
        <f>D401+D408</f>
        <v>104088.57811866139</v>
      </c>
      <c r="E387" s="61">
        <f t="shared" ref="E387:AK387" si="134">E401+E408</f>
        <v>16197.256917632616</v>
      </c>
      <c r="F387" s="61">
        <f t="shared" si="134"/>
        <v>14615.71222490643</v>
      </c>
      <c r="G387" s="61">
        <f t="shared" si="134"/>
        <v>15302.72550322516</v>
      </c>
      <c r="H387" s="61">
        <f t="shared" si="134"/>
        <v>4640.9787099977466</v>
      </c>
      <c r="I387" s="61">
        <f t="shared" si="134"/>
        <v>10819.788139024233</v>
      </c>
      <c r="J387" s="61">
        <f t="shared" si="134"/>
        <v>6660.4094959174181</v>
      </c>
      <c r="K387" s="61">
        <f t="shared" si="134"/>
        <v>6667.4868969854379</v>
      </c>
      <c r="L387" s="61">
        <f t="shared" si="134"/>
        <v>4006.8135199580865</v>
      </c>
      <c r="M387" s="61">
        <f t="shared" si="134"/>
        <v>1651.2130592871547</v>
      </c>
      <c r="N387" s="61">
        <f t="shared" si="134"/>
        <v>2561.2399680977769</v>
      </c>
      <c r="O387" s="61">
        <f t="shared" si="134"/>
        <v>4304.4441905165622</v>
      </c>
      <c r="P387" s="61">
        <f t="shared" si="134"/>
        <v>1543.2985827804789</v>
      </c>
      <c r="Q387" s="61">
        <f t="shared" si="134"/>
        <v>1298.0932994536734</v>
      </c>
      <c r="R387" s="61">
        <f t="shared" si="134"/>
        <v>6951.0914911493965</v>
      </c>
      <c r="S387" s="61">
        <f t="shared" si="134"/>
        <v>20111.638099079071</v>
      </c>
      <c r="T387" s="61">
        <f t="shared" si="134"/>
        <v>35866.676832050427</v>
      </c>
      <c r="U387" s="61">
        <f t="shared" si="134"/>
        <v>12272.729676707922</v>
      </c>
      <c r="V387" s="61">
        <f t="shared" si="134"/>
        <v>10257.263115975285</v>
      </c>
      <c r="W387" s="61">
        <f t="shared" si="134"/>
        <v>5843.1670596682889</v>
      </c>
      <c r="X387" s="61">
        <f t="shared" si="134"/>
        <v>742.24697853087025</v>
      </c>
      <c r="Y387" s="61">
        <f t="shared" si="134"/>
        <v>1150.9599605244405</v>
      </c>
      <c r="Z387" s="61">
        <f t="shared" si="134"/>
        <v>2350.2010205187153</v>
      </c>
      <c r="AA387" s="61">
        <f t="shared" si="134"/>
        <v>3093.2302613283782</v>
      </c>
      <c r="AB387" s="61">
        <f t="shared" si="134"/>
        <v>1363.5850720123442</v>
      </c>
      <c r="AC387" s="61">
        <f t="shared" si="134"/>
        <v>1847.7925338699135</v>
      </c>
      <c r="AD387" s="61">
        <f t="shared" si="134"/>
        <v>8362.5087250445849</v>
      </c>
      <c r="AE387" s="61">
        <f t="shared" si="134"/>
        <v>11823.779849947539</v>
      </c>
      <c r="AF387" s="61">
        <f t="shared" si="134"/>
        <v>4303.4813090222769</v>
      </c>
      <c r="AG387" s="61">
        <f t="shared" si="134"/>
        <v>8818.7965126895742</v>
      </c>
      <c r="AH387" s="61">
        <f t="shared" si="134"/>
        <v>3960.7098921005249</v>
      </c>
      <c r="AI387" s="61">
        <f t="shared" si="134"/>
        <v>9888.6973308331253</v>
      </c>
      <c r="AJ387" s="61">
        <f t="shared" si="134"/>
        <v>2752.6679601790438</v>
      </c>
      <c r="AK387" s="61">
        <f t="shared" si="134"/>
        <v>5384.6877869216087</v>
      </c>
    </row>
    <row r="388" spans="2:37" x14ac:dyDescent="0.35">
      <c r="B388" s="68">
        <f t="shared" si="132"/>
        <v>171847.14046097235</v>
      </c>
      <c r="C388" t="s">
        <v>90</v>
      </c>
      <c r="D388" s="61">
        <f t="shared" ref="D388:AK388" si="135">D402+D409</f>
        <v>50723.000924257169</v>
      </c>
      <c r="E388" s="61">
        <f t="shared" si="135"/>
        <v>8149.7921788479234</v>
      </c>
      <c r="F388" s="61">
        <f t="shared" si="135"/>
        <v>6861.4915163039495</v>
      </c>
      <c r="G388" s="61">
        <f t="shared" si="135"/>
        <v>7216.8243633686743</v>
      </c>
      <c r="H388" s="61">
        <f t="shared" si="135"/>
        <v>2293.7646455413478</v>
      </c>
      <c r="I388" s="61">
        <f t="shared" si="135"/>
        <v>5284.4852072311178</v>
      </c>
      <c r="J388" s="61">
        <f t="shared" si="135"/>
        <v>3328.2765780277987</v>
      </c>
      <c r="K388" s="61">
        <f t="shared" si="135"/>
        <v>3289.1896630908404</v>
      </c>
      <c r="L388" s="61">
        <f t="shared" si="135"/>
        <v>1910.6334334681562</v>
      </c>
      <c r="M388" s="61">
        <f t="shared" si="135"/>
        <v>802.31657092818318</v>
      </c>
      <c r="N388" s="61">
        <f t="shared" si="135"/>
        <v>1248.3661643577948</v>
      </c>
      <c r="O388" s="61">
        <f t="shared" si="135"/>
        <v>2156.2107487203607</v>
      </c>
      <c r="P388" s="61">
        <f t="shared" si="135"/>
        <v>721.2985695996872</v>
      </c>
      <c r="Q388" s="61">
        <f t="shared" si="135"/>
        <v>637.89019312677169</v>
      </c>
      <c r="R388" s="61">
        <f t="shared" si="135"/>
        <v>3350.2928420761396</v>
      </c>
      <c r="S388" s="61">
        <f t="shared" si="135"/>
        <v>9717.7770499469807</v>
      </c>
      <c r="T388" s="61">
        <f t="shared" si="135"/>
        <v>17502.030479044515</v>
      </c>
      <c r="U388" s="61">
        <f t="shared" si="135"/>
        <v>5978.1425168549113</v>
      </c>
      <c r="V388" s="61">
        <f t="shared" si="135"/>
        <v>5153.6703238075552</v>
      </c>
      <c r="W388" s="61">
        <f t="shared" si="135"/>
        <v>2786.95749690307</v>
      </c>
      <c r="X388" s="61">
        <f t="shared" si="135"/>
        <v>358.50678723643921</v>
      </c>
      <c r="Y388" s="61">
        <f t="shared" si="135"/>
        <v>590.40306758004635</v>
      </c>
      <c r="Z388" s="61">
        <f t="shared" si="135"/>
        <v>1199.1778166773056</v>
      </c>
      <c r="AA388" s="61">
        <f t="shared" si="135"/>
        <v>1536.9216088947683</v>
      </c>
      <c r="AB388" s="61">
        <f t="shared" si="135"/>
        <v>640.5924669955466</v>
      </c>
      <c r="AC388" s="61">
        <f t="shared" si="135"/>
        <v>888.82300165522463</v>
      </c>
      <c r="AD388" s="61">
        <f t="shared" si="135"/>
        <v>4135.6011109841484</v>
      </c>
      <c r="AE388" s="61">
        <f t="shared" si="135"/>
        <v>5830.3635152930437</v>
      </c>
      <c r="AF388" s="61">
        <f t="shared" si="135"/>
        <v>2139.597966367056</v>
      </c>
      <c r="AG388" s="61">
        <f t="shared" si="135"/>
        <v>4452.259109707752</v>
      </c>
      <c r="AH388" s="61">
        <f t="shared" si="135"/>
        <v>1965.1436810941382</v>
      </c>
      <c r="AI388" s="61">
        <f t="shared" si="135"/>
        <v>4956.9084429264149</v>
      </c>
      <c r="AJ388" s="61">
        <f t="shared" si="135"/>
        <v>1390.4994753188391</v>
      </c>
      <c r="AK388" s="61">
        <f t="shared" si="135"/>
        <v>2649.9309447386049</v>
      </c>
    </row>
    <row r="389" spans="2:37" x14ac:dyDescent="0.35">
      <c r="B389" s="68">
        <f t="shared" si="132"/>
        <v>108092.62699952506</v>
      </c>
      <c r="C389" t="s">
        <v>91</v>
      </c>
      <c r="D389" s="61">
        <f t="shared" ref="D389:AK389" si="136">D403+D410</f>
        <v>32247.942058477605</v>
      </c>
      <c r="E389" s="61">
        <f t="shared" si="136"/>
        <v>4906.0113814313163</v>
      </c>
      <c r="F389" s="61">
        <f t="shared" si="136"/>
        <v>4686.972585069745</v>
      </c>
      <c r="G389" s="61">
        <f t="shared" si="136"/>
        <v>4830.2290592344152</v>
      </c>
      <c r="H389" s="61">
        <f t="shared" si="136"/>
        <v>1436.3746802540738</v>
      </c>
      <c r="I389" s="61">
        <f t="shared" si="136"/>
        <v>3314.0425335407313</v>
      </c>
      <c r="J389" s="61">
        <f t="shared" si="136"/>
        <v>2038.4257301609405</v>
      </c>
      <c r="K389" s="61">
        <f t="shared" si="136"/>
        <v>2020.8698250160978</v>
      </c>
      <c r="L389" s="61">
        <f t="shared" si="136"/>
        <v>1269.4268049593327</v>
      </c>
      <c r="M389" s="61">
        <f t="shared" si="136"/>
        <v>525.69624895936499</v>
      </c>
      <c r="N389" s="61">
        <f t="shared" si="136"/>
        <v>784.77785371571599</v>
      </c>
      <c r="O389" s="61">
        <f t="shared" si="136"/>
        <v>1337.2376006357306</v>
      </c>
      <c r="P389" s="61">
        <f t="shared" si="136"/>
        <v>491.73445624447822</v>
      </c>
      <c r="Q389" s="61">
        <f t="shared" si="136"/>
        <v>389.52065495244938</v>
      </c>
      <c r="R389" s="61">
        <f t="shared" si="136"/>
        <v>2205.3134927596293</v>
      </c>
      <c r="S389" s="61">
        <f t="shared" si="136"/>
        <v>6162.1552006862767</v>
      </c>
      <c r="T389" s="61">
        <f t="shared" si="136"/>
        <v>10938.143271916197</v>
      </c>
      <c r="U389" s="61">
        <f t="shared" si="136"/>
        <v>3696.5435036072795</v>
      </c>
      <c r="V389" s="61">
        <f t="shared" si="136"/>
        <v>3095.839533132923</v>
      </c>
      <c r="W389" s="61">
        <f t="shared" si="136"/>
        <v>1843.546741277929</v>
      </c>
      <c r="X389" s="61">
        <f t="shared" si="136"/>
        <v>223.50690679843242</v>
      </c>
      <c r="Y389" s="61">
        <f t="shared" si="136"/>
        <v>346.56295328075811</v>
      </c>
      <c r="Z389" s="61">
        <f t="shared" si="136"/>
        <v>691.92732980813116</v>
      </c>
      <c r="AA389" s="61">
        <f t="shared" si="136"/>
        <v>950.70367067677705</v>
      </c>
      <c r="AB389" s="61">
        <f t="shared" si="136"/>
        <v>445.58878266390803</v>
      </c>
      <c r="AC389" s="61">
        <f t="shared" si="136"/>
        <v>581.61902508483377</v>
      </c>
      <c r="AD389" s="61">
        <f t="shared" si="136"/>
        <v>2500.4610223725435</v>
      </c>
      <c r="AE389" s="61">
        <f t="shared" si="136"/>
        <v>3476.5582970199725</v>
      </c>
      <c r="AF389" s="61">
        <f t="shared" si="136"/>
        <v>1330.9263276584259</v>
      </c>
      <c r="AG389" s="61">
        <f t="shared" si="136"/>
        <v>2624.096323203371</v>
      </c>
      <c r="AH389" s="61">
        <f t="shared" si="136"/>
        <v>1235.5659095517653</v>
      </c>
      <c r="AI389" s="61">
        <f t="shared" si="136"/>
        <v>2948.6578036893534</v>
      </c>
      <c r="AJ389" s="61">
        <f t="shared" si="136"/>
        <v>829.72946347540221</v>
      </c>
      <c r="AK389" s="61">
        <f t="shared" si="136"/>
        <v>1685.9199682091657</v>
      </c>
    </row>
    <row r="390" spans="2:37" x14ac:dyDescent="0.35">
      <c r="C390" s="4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4"/>
      <c r="AA390" s="65"/>
      <c r="AB390" s="65"/>
      <c r="AC390" s="65"/>
      <c r="AD390" s="65"/>
      <c r="AE390" s="65"/>
      <c r="AF390" s="65"/>
      <c r="AG390" s="66"/>
      <c r="AH390" s="65"/>
      <c r="AI390" s="65"/>
      <c r="AJ390" s="65"/>
      <c r="AK390" s="65"/>
    </row>
    <row r="391" spans="2:37" x14ac:dyDescent="0.35">
      <c r="C391" s="4" t="s">
        <v>92</v>
      </c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4"/>
      <c r="AA391" s="65"/>
      <c r="AB391" s="65"/>
      <c r="AC391" s="65"/>
      <c r="AD391" s="65"/>
      <c r="AE391" s="65"/>
      <c r="AF391" s="65"/>
      <c r="AG391" s="66"/>
      <c r="AH391" s="65"/>
      <c r="AI391" s="65"/>
      <c r="AJ391" s="65"/>
      <c r="AK391" s="65"/>
    </row>
    <row r="392" spans="2:37" x14ac:dyDescent="0.35">
      <c r="C392" t="s">
        <v>93</v>
      </c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  <c r="AC392" s="61"/>
      <c r="AD392" s="61"/>
      <c r="AE392" s="61"/>
      <c r="AF392" s="61"/>
      <c r="AG392" s="61"/>
      <c r="AH392" s="61"/>
      <c r="AI392" s="61"/>
      <c r="AJ392" s="61"/>
      <c r="AK392" s="61"/>
    </row>
    <row r="393" spans="2:37" x14ac:dyDescent="0.35">
      <c r="C393" t="s">
        <v>94</v>
      </c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  <c r="AD393" s="61"/>
      <c r="AE393" s="61"/>
      <c r="AF393" s="61"/>
      <c r="AG393" s="61"/>
      <c r="AH393" s="61"/>
      <c r="AI393" s="61"/>
      <c r="AJ393" s="61"/>
      <c r="AK393" s="61"/>
    </row>
    <row r="394" spans="2:37" x14ac:dyDescent="0.35">
      <c r="C394" t="s">
        <v>95</v>
      </c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  <c r="AC394" s="61"/>
      <c r="AD394" s="61"/>
      <c r="AE394" s="61"/>
      <c r="AF394" s="61"/>
      <c r="AG394" s="61"/>
      <c r="AH394" s="61"/>
      <c r="AI394" s="61"/>
      <c r="AJ394" s="61"/>
      <c r="AK394" s="61"/>
    </row>
    <row r="395" spans="2:37" x14ac:dyDescent="0.35">
      <c r="C395" t="s">
        <v>96</v>
      </c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  <c r="AD395" s="61"/>
      <c r="AE395" s="61"/>
      <c r="AF395" s="61"/>
      <c r="AG395" s="61"/>
      <c r="AH395" s="61"/>
      <c r="AI395" s="61"/>
      <c r="AJ395" s="61"/>
      <c r="AK395" s="61"/>
    </row>
    <row r="396" spans="2:37" x14ac:dyDescent="0.35">
      <c r="C396" t="s">
        <v>97</v>
      </c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  <c r="AD396" s="61"/>
      <c r="AE396" s="61"/>
      <c r="AF396" s="61"/>
      <c r="AG396" s="61"/>
      <c r="AH396" s="61"/>
      <c r="AI396" s="61"/>
      <c r="AJ396" s="61"/>
      <c r="AK396" s="61"/>
    </row>
    <row r="397" spans="2:37" x14ac:dyDescent="0.35">
      <c r="C397" t="s">
        <v>98</v>
      </c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  <c r="AD397" s="61"/>
      <c r="AE397" s="61"/>
      <c r="AF397" s="61"/>
      <c r="AG397" s="61"/>
      <c r="AH397" s="61"/>
      <c r="AI397" s="61"/>
      <c r="AJ397" s="61"/>
      <c r="AK397" s="61"/>
    </row>
    <row r="398" spans="2:37" x14ac:dyDescent="0.35">
      <c r="B398" s="63">
        <f>B415-B399</f>
        <v>6365.3373014936224</v>
      </c>
      <c r="C398" s="4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  <c r="AA398" s="63"/>
      <c r="AB398" s="63"/>
      <c r="AC398" s="63"/>
      <c r="AD398" s="63"/>
      <c r="AE398" s="63"/>
      <c r="AF398" s="63"/>
      <c r="AG398" s="63"/>
      <c r="AH398" s="63"/>
      <c r="AI398" s="63"/>
      <c r="AJ398" s="63"/>
      <c r="AK398" s="63"/>
    </row>
    <row r="399" spans="2:37" x14ac:dyDescent="0.35">
      <c r="B399" s="68">
        <f t="shared" ref="B399:B413" si="137">SUM(D399:AK399)</f>
        <v>393985.30395229562</v>
      </c>
      <c r="C399" s="4" t="s">
        <v>99</v>
      </c>
      <c r="D399" s="63">
        <f>D400+D407</f>
        <v>116212.71143089453</v>
      </c>
      <c r="E399" s="63">
        <f t="shared" ref="E399:AK399" si="138">E400+E407</f>
        <v>18416.178425578284</v>
      </c>
      <c r="F399" s="63">
        <f t="shared" si="138"/>
        <v>16410.045211933491</v>
      </c>
      <c r="G399" s="63">
        <f t="shared" si="138"/>
        <v>17385.019367110202</v>
      </c>
      <c r="H399" s="63">
        <f t="shared" si="138"/>
        <v>5143.0240679105173</v>
      </c>
      <c r="I399" s="63">
        <f t="shared" si="138"/>
        <v>12168.295036802805</v>
      </c>
      <c r="J399" s="63">
        <f t="shared" si="138"/>
        <v>7504.8028181770533</v>
      </c>
      <c r="K399" s="63">
        <f t="shared" si="138"/>
        <v>7445.2208570673192</v>
      </c>
      <c r="L399" s="63">
        <f t="shared" si="138"/>
        <v>4536.8906019450587</v>
      </c>
      <c r="M399" s="63">
        <f t="shared" si="138"/>
        <v>1851.8700659322003</v>
      </c>
      <c r="N399" s="63">
        <f t="shared" si="138"/>
        <v>2905.2153182341126</v>
      </c>
      <c r="O399" s="63">
        <f t="shared" si="138"/>
        <v>4781.5475574515676</v>
      </c>
      <c r="P399" s="63">
        <f t="shared" si="138"/>
        <v>1751.7097365298687</v>
      </c>
      <c r="Q399" s="63">
        <f t="shared" si="138"/>
        <v>1457.4178707867768</v>
      </c>
      <c r="R399" s="63">
        <f t="shared" si="138"/>
        <v>7702.2359713687893</v>
      </c>
      <c r="S399" s="63">
        <f t="shared" si="138"/>
        <v>22654.628673183091</v>
      </c>
      <c r="T399" s="63">
        <f t="shared" si="138"/>
        <v>40200.371623922911</v>
      </c>
      <c r="U399" s="63">
        <f t="shared" si="138"/>
        <v>13826.197438922618</v>
      </c>
      <c r="V399" s="63">
        <f t="shared" si="138"/>
        <v>11386.64273627014</v>
      </c>
      <c r="W399" s="63">
        <f t="shared" si="138"/>
        <v>6533.5295649325999</v>
      </c>
      <c r="X399" s="63">
        <f t="shared" si="138"/>
        <v>827.75168012089159</v>
      </c>
      <c r="Y399" s="63">
        <f t="shared" si="138"/>
        <v>1299.1815143779122</v>
      </c>
      <c r="Z399" s="63">
        <f t="shared" si="138"/>
        <v>2655.4547855714618</v>
      </c>
      <c r="AA399" s="63">
        <f t="shared" si="138"/>
        <v>3417.9462998339459</v>
      </c>
      <c r="AB399" s="63">
        <f t="shared" si="138"/>
        <v>1520.8202630809876</v>
      </c>
      <c r="AC399" s="63">
        <f t="shared" si="138"/>
        <v>2069.3237193367231</v>
      </c>
      <c r="AD399" s="63">
        <f t="shared" si="138"/>
        <v>9425.5259507666196</v>
      </c>
      <c r="AE399" s="63">
        <f t="shared" si="138"/>
        <v>13312.347606161273</v>
      </c>
      <c r="AF399" s="63">
        <f t="shared" si="138"/>
        <v>4765.1427930310456</v>
      </c>
      <c r="AG399" s="63">
        <f t="shared" si="138"/>
        <v>9808.1120777942397</v>
      </c>
      <c r="AH399" s="63">
        <f t="shared" si="138"/>
        <v>4435.0207836770269</v>
      </c>
      <c r="AI399" s="63">
        <f t="shared" si="138"/>
        <v>11058.460400962333</v>
      </c>
      <c r="AJ399" s="63">
        <f t="shared" si="138"/>
        <v>3110.1969171684095</v>
      </c>
      <c r="AK399" s="63">
        <f t="shared" si="138"/>
        <v>6006.4647854589721</v>
      </c>
    </row>
    <row r="400" spans="2:37" x14ac:dyDescent="0.35">
      <c r="B400" s="68">
        <f t="shared" si="137"/>
        <v>260438.63649994647</v>
      </c>
      <c r="C400" s="4" t="s">
        <v>84</v>
      </c>
      <c r="D400" s="62">
        <f>SUM(D401,D405:D406)</f>
        <v>76710.31253867234</v>
      </c>
      <c r="E400" s="62">
        <f t="shared" ref="E400" si="139">SUM(E401,E405:E406)</f>
        <v>12570.330587943263</v>
      </c>
      <c r="F400" s="62">
        <f t="shared" ref="F400" si="140">SUM(F401,F405:F406)</f>
        <v>11019.494104200312</v>
      </c>
      <c r="G400" s="62">
        <f t="shared" ref="G400" si="141">SUM(G401,G405:G406)</f>
        <v>11775.969733592858</v>
      </c>
      <c r="H400" s="62">
        <f t="shared" ref="H400" si="142">SUM(H401,H405:H406)</f>
        <v>3230.8464405633576</v>
      </c>
      <c r="I400" s="62">
        <f t="shared" ref="I400" si="143">SUM(I401,I405:I406)</f>
        <v>8297.3991385571626</v>
      </c>
      <c r="J400" s="62">
        <f t="shared" ref="J400" si="144">SUM(J401,J405:J406)</f>
        <v>4951.7239206255854</v>
      </c>
      <c r="K400" s="62">
        <f t="shared" ref="K400" si="145">SUM(K401,K405:K406)</f>
        <v>4725.9803793192632</v>
      </c>
      <c r="L400" s="62">
        <f t="shared" ref="L400" si="146">SUM(L401,L405:L406)</f>
        <v>3086.5273291766307</v>
      </c>
      <c r="M400" s="62">
        <f t="shared" ref="M400" si="147">SUM(M401,M405:M406)</f>
        <v>1267.322079504826</v>
      </c>
      <c r="N400" s="62">
        <f t="shared" ref="N400" si="148">SUM(N401,N405:N406)</f>
        <v>2004.3226001522212</v>
      </c>
      <c r="O400" s="62">
        <f t="shared" ref="O400" si="149">SUM(O401,O405:O406)</f>
        <v>3057.6357683517908</v>
      </c>
      <c r="P400" s="62">
        <f t="shared" ref="P400" si="150">SUM(P401,P405:P406)</f>
        <v>1183.3634106695858</v>
      </c>
      <c r="Q400" s="62">
        <f t="shared" ref="Q400" si="151">SUM(Q401,Q405:Q406)</f>
        <v>928.23100319425168</v>
      </c>
      <c r="R400" s="62">
        <f t="shared" ref="R400" si="152">SUM(R401,R405:R406)</f>
        <v>5025.2180552932168</v>
      </c>
      <c r="S400" s="62">
        <f t="shared" ref="S400" si="153">SUM(S401,S405:S406)</f>
        <v>14513.937643870568</v>
      </c>
      <c r="T400" s="62">
        <f t="shared" ref="T400" si="154">SUM(T401,T405:T406)</f>
        <v>27068.621387390893</v>
      </c>
      <c r="U400" s="62">
        <f t="shared" ref="U400" si="155">SUM(U401,U405:U406)</f>
        <v>9197.1881473231788</v>
      </c>
      <c r="V400" s="62">
        <f t="shared" ref="V400" si="156">SUM(V401,V405:V406)</f>
        <v>7179.1091061273401</v>
      </c>
      <c r="W400" s="62">
        <f t="shared" ref="W400" si="157">SUM(W401,W405:W406)</f>
        <v>4342.0744715839655</v>
      </c>
      <c r="X400" s="62">
        <f t="shared" ref="X400" si="158">SUM(X401,X405:X406)</f>
        <v>565.10764053719981</v>
      </c>
      <c r="Y400" s="62">
        <f t="shared" ref="Y400" si="159">SUM(Y401,Y405:Y406)</f>
        <v>810.310256736773</v>
      </c>
      <c r="Z400" s="62">
        <f t="shared" ref="Z400" si="160">SUM(Z401,Z405:Z406)</f>
        <v>1690.7796077053381</v>
      </c>
      <c r="AA400" s="62">
        <f t="shared" ref="AA400" si="161">SUM(AA401,AA405:AA406)</f>
        <v>2295.2918777112272</v>
      </c>
      <c r="AB400" s="62">
        <f t="shared" ref="AB400" si="162">SUM(AB401,AB405:AB406)</f>
        <v>1050.2600404468715</v>
      </c>
      <c r="AC400" s="62">
        <f t="shared" ref="AC400" si="163">SUM(AC401,AC405:AC406)</f>
        <v>1406.5201076694154</v>
      </c>
      <c r="AD400" s="62">
        <f t="shared" ref="AD400" si="164">SUM(AD401,AD405:AD406)</f>
        <v>6093.4423502830996</v>
      </c>
      <c r="AE400" s="62">
        <f t="shared" ref="AE400" si="165">SUM(AE401,AE405:AE406)</f>
        <v>8680.5553267259511</v>
      </c>
      <c r="AF400" s="62">
        <f t="shared" ref="AF400" si="166">SUM(AF401,AF405:AF406)</f>
        <v>3154.8560038741821</v>
      </c>
      <c r="AG400" s="62">
        <f t="shared" ref="AG400" si="167">SUM(AG401,AG405:AG406)</f>
        <v>6323.4262449729731</v>
      </c>
      <c r="AH400" s="62">
        <f t="shared" ref="AH400" si="168">SUM(AH401,AH405:AH406)</f>
        <v>3011.193956202872</v>
      </c>
      <c r="AI400" s="62">
        <f t="shared" ref="AI400" si="169">SUM(AI401,AI405:AI406)</f>
        <v>7072.0690793946451</v>
      </c>
      <c r="AJ400" s="62">
        <f t="shared" ref="AJ400" si="170">SUM(AJ401,AJ405:AJ406)</f>
        <v>2053.7963062908734</v>
      </c>
      <c r="AK400" s="62">
        <f t="shared" ref="AK400" si="171">SUM(AK401,AK405:AK406)</f>
        <v>4095.4198552824246</v>
      </c>
    </row>
    <row r="401" spans="2:37" x14ac:dyDescent="0.35">
      <c r="B401" s="68">
        <f t="shared" si="137"/>
        <v>228337.12668583862</v>
      </c>
      <c r="C401" s="37" t="s">
        <v>100</v>
      </c>
      <c r="D401" s="62">
        <f>SUM(D402:D404)</f>
        <v>67612.000412948124</v>
      </c>
      <c r="E401" s="62">
        <f t="shared" ref="E401" si="172">SUM(E402:E404)</f>
        <v>10831.314202919459</v>
      </c>
      <c r="F401" s="62">
        <f t="shared" ref="F401" si="173">SUM(F402:F404)</f>
        <v>9619.3991601177768</v>
      </c>
      <c r="G401" s="62">
        <f t="shared" ref="G401" si="174">SUM(G402:G404)</f>
        <v>10164.916073993296</v>
      </c>
      <c r="H401" s="62">
        <f t="shared" ref="H401" si="175">SUM(H402:H404)</f>
        <v>2872.1598755231839</v>
      </c>
      <c r="I401" s="62">
        <f t="shared" ref="I401" si="176">SUM(I402:I404)</f>
        <v>7221.5022494112382</v>
      </c>
      <c r="J401" s="62">
        <f t="shared" ref="J401" si="177">SUM(J402:J404)</f>
        <v>4298.8492412403511</v>
      </c>
      <c r="K401" s="62">
        <f t="shared" ref="K401" si="178">SUM(K402:K404)</f>
        <v>4183.7736291107576</v>
      </c>
      <c r="L401" s="62">
        <f t="shared" ref="L401" si="179">SUM(L402:L404)</f>
        <v>2672.3652272120989</v>
      </c>
      <c r="M401" s="62">
        <f t="shared" ref="M401" si="180">SUM(M402:M404)</f>
        <v>1114.1008679940585</v>
      </c>
      <c r="N401" s="62">
        <f t="shared" ref="N401" si="181">SUM(N402:N404)</f>
        <v>1723.3793233072417</v>
      </c>
      <c r="O401" s="62">
        <f t="shared" ref="O401" si="182">SUM(O402:O404)</f>
        <v>2723.9467432888332</v>
      </c>
      <c r="P401" s="62">
        <f t="shared" ref="P401" si="183">SUM(P402:P404)</f>
        <v>1015.3183117192774</v>
      </c>
      <c r="Q401" s="62">
        <f t="shared" ref="Q401" si="184">SUM(Q402:Q404)</f>
        <v>811.13903948219991</v>
      </c>
      <c r="R401" s="62">
        <f t="shared" ref="R401" si="185">SUM(R402:R404)</f>
        <v>4460.7676409140067</v>
      </c>
      <c r="S401" s="62">
        <f t="shared" ref="S401" si="186">SUM(S402:S404)</f>
        <v>12567.977942563106</v>
      </c>
      <c r="T401" s="62">
        <f t="shared" ref="T401" si="187">SUM(T402:T404)</f>
        <v>23858.492536760623</v>
      </c>
      <c r="U401" s="62">
        <f t="shared" ref="U401" si="188">SUM(U402:U404)</f>
        <v>7982.8102759726944</v>
      </c>
      <c r="V401" s="62">
        <f t="shared" ref="V401" si="189">SUM(V402:V404)</f>
        <v>6357.8503171939228</v>
      </c>
      <c r="W401" s="62">
        <f t="shared" ref="W401" si="190">SUM(W402:W404)</f>
        <v>3837.8134090523276</v>
      </c>
      <c r="X401" s="62">
        <f t="shared" ref="X401" si="191">SUM(X402:X404)</f>
        <v>503.06424804761525</v>
      </c>
      <c r="Y401" s="62">
        <f t="shared" ref="Y401" si="192">SUM(Y402:Y404)</f>
        <v>701.73032391307424</v>
      </c>
      <c r="Z401" s="62">
        <f t="shared" ref="Z401" si="193">SUM(Z402:Z404)</f>
        <v>1452.4545312057057</v>
      </c>
      <c r="AA401" s="62">
        <f t="shared" ref="AA401" si="194">SUM(AA402:AA404)</f>
        <v>2042.4198358997087</v>
      </c>
      <c r="AB401" s="62">
        <f t="shared" ref="AB401" si="195">SUM(AB402:AB404)</f>
        <v>926.95762929547107</v>
      </c>
      <c r="AC401" s="62">
        <f t="shared" ref="AC401" si="196">SUM(AC402:AC404)</f>
        <v>1236.3887657466034</v>
      </c>
      <c r="AD401" s="62">
        <f t="shared" ref="AD401" si="197">SUM(AD402:AD404)</f>
        <v>5294.2627854130824</v>
      </c>
      <c r="AE401" s="62">
        <f t="shared" ref="AE401" si="198">SUM(AE402:AE404)</f>
        <v>7568.3034699867903</v>
      </c>
      <c r="AF401" s="62">
        <f t="shared" ref="AF401" si="199">SUM(AF402:AF404)</f>
        <v>2807.8854013192154</v>
      </c>
      <c r="AG401" s="62">
        <f t="shared" ref="AG401" si="200">SUM(AG402:AG404)</f>
        <v>5636.1408434171772</v>
      </c>
      <c r="AH401" s="62">
        <f t="shared" ref="AH401" si="201">SUM(AH402:AH404)</f>
        <v>2664.9981359999483</v>
      </c>
      <c r="AI401" s="62">
        <f t="shared" ref="AI401" si="202">SUM(AI402:AI404)</f>
        <v>6178.0863846210295</v>
      </c>
      <c r="AJ401" s="62">
        <f t="shared" ref="AJ401" si="203">SUM(AJ402:AJ404)</f>
        <v>1773.0538308869413</v>
      </c>
      <c r="AK401" s="62">
        <f t="shared" ref="AK401" si="204">SUM(AK402:AK404)</f>
        <v>3621.5040193616892</v>
      </c>
    </row>
    <row r="402" spans="2:37" x14ac:dyDescent="0.35">
      <c r="B402" s="68">
        <f t="shared" si="137"/>
        <v>93256.745106262693</v>
      </c>
      <c r="C402" s="39" t="s">
        <v>77</v>
      </c>
      <c r="D402" s="61">
        <f t="shared" ref="D402:AK402" si="205">D287/D57*10^6</f>
        <v>27521.197295497263</v>
      </c>
      <c r="E402" s="61">
        <f t="shared" si="205"/>
        <v>4701.4873693646368</v>
      </c>
      <c r="F402" s="61">
        <f t="shared" si="205"/>
        <v>3700.6367044595713</v>
      </c>
      <c r="G402" s="61">
        <f t="shared" si="205"/>
        <v>3879.5823425379253</v>
      </c>
      <c r="H402" s="61">
        <f t="shared" si="205"/>
        <v>1150.6733846728064</v>
      </c>
      <c r="I402" s="61">
        <f t="shared" si="205"/>
        <v>3029.7656712422263</v>
      </c>
      <c r="J402" s="61">
        <f t="shared" si="205"/>
        <v>1808.7930021600741</v>
      </c>
      <c r="K402" s="61">
        <f t="shared" si="205"/>
        <v>1688.201941554895</v>
      </c>
      <c r="L402" s="61">
        <f t="shared" si="205"/>
        <v>1086.2946163543097</v>
      </c>
      <c r="M402" s="61">
        <f t="shared" si="205"/>
        <v>461.58746219149367</v>
      </c>
      <c r="N402" s="61">
        <f t="shared" si="205"/>
        <v>727.54518771749804</v>
      </c>
      <c r="O402" s="61">
        <f t="shared" si="205"/>
        <v>1143.5756290877505</v>
      </c>
      <c r="P402" s="61">
        <f t="shared" si="205"/>
        <v>383.11831236141228</v>
      </c>
      <c r="Q402" s="61">
        <f t="shared" si="205"/>
        <v>323.67993385137385</v>
      </c>
      <c r="R402" s="61">
        <f t="shared" si="205"/>
        <v>1773.7366004492246</v>
      </c>
      <c r="S402" s="61">
        <f t="shared" si="205"/>
        <v>4768.1028190430279</v>
      </c>
      <c r="T402" s="61">
        <f t="shared" si="205"/>
        <v>10019.853692126148</v>
      </c>
      <c r="U402" s="61">
        <f t="shared" si="205"/>
        <v>3213.5934413744162</v>
      </c>
      <c r="V402" s="61">
        <f t="shared" si="205"/>
        <v>2664.3937679319088</v>
      </c>
      <c r="W402" s="61">
        <f t="shared" si="205"/>
        <v>1513.6396011832098</v>
      </c>
      <c r="X402" s="61">
        <f t="shared" si="205"/>
        <v>201.75862942158741</v>
      </c>
      <c r="Y402" s="61">
        <f t="shared" si="205"/>
        <v>304.59962673289431</v>
      </c>
      <c r="Z402" s="61">
        <f t="shared" si="205"/>
        <v>624.41589471198449</v>
      </c>
      <c r="AA402" s="61">
        <f t="shared" si="205"/>
        <v>882.90136733123177</v>
      </c>
      <c r="AB402" s="61">
        <f t="shared" si="205"/>
        <v>363.90265301360455</v>
      </c>
      <c r="AC402" s="61">
        <f t="shared" si="205"/>
        <v>510.04795781059266</v>
      </c>
      <c r="AD402" s="61">
        <f t="shared" si="205"/>
        <v>2136.0758027504312</v>
      </c>
      <c r="AE402" s="61">
        <f t="shared" si="205"/>
        <v>3056.3655619066426</v>
      </c>
      <c r="AF402" s="61">
        <f t="shared" si="205"/>
        <v>1204.8283309407334</v>
      </c>
      <c r="AG402" s="61">
        <f t="shared" si="205"/>
        <v>2407.229756409226</v>
      </c>
      <c r="AH402" s="61">
        <f t="shared" si="205"/>
        <v>1141.0934767303424</v>
      </c>
      <c r="AI402" s="61">
        <f t="shared" si="205"/>
        <v>2576.6302292676178</v>
      </c>
      <c r="AJ402" s="61">
        <f t="shared" si="205"/>
        <v>775.25096983331912</v>
      </c>
      <c r="AK402" s="61">
        <f t="shared" si="205"/>
        <v>1512.1860742413439</v>
      </c>
    </row>
    <row r="403" spans="2:37" x14ac:dyDescent="0.35">
      <c r="B403" s="68">
        <f t="shared" si="137"/>
        <v>80873.633762604135</v>
      </c>
      <c r="C403" s="39" t="s">
        <v>78</v>
      </c>
      <c r="D403" s="61">
        <f t="shared" ref="D403:AK403" si="206">D288/D58*10^6</f>
        <v>24133.916779852596</v>
      </c>
      <c r="E403" s="61">
        <f t="shared" si="206"/>
        <v>3747.7423368561499</v>
      </c>
      <c r="F403" s="61">
        <f t="shared" si="206"/>
        <v>3548.2452868580381</v>
      </c>
      <c r="G403" s="61">
        <f t="shared" si="206"/>
        <v>3745.7268941435082</v>
      </c>
      <c r="H403" s="61">
        <f t="shared" si="206"/>
        <v>1044.7442410176116</v>
      </c>
      <c r="I403" s="61">
        <f t="shared" si="206"/>
        <v>2509.0047446905219</v>
      </c>
      <c r="J403" s="61">
        <f t="shared" si="206"/>
        <v>1515.3300476684581</v>
      </c>
      <c r="K403" s="61">
        <f t="shared" si="206"/>
        <v>1493.7791025834676</v>
      </c>
      <c r="L403" s="61">
        <f t="shared" si="206"/>
        <v>962.33492378334654</v>
      </c>
      <c r="M403" s="61">
        <f t="shared" si="206"/>
        <v>403.94967392995852</v>
      </c>
      <c r="N403" s="61">
        <f t="shared" si="206"/>
        <v>594.55039482954373</v>
      </c>
      <c r="O403" s="61">
        <f t="shared" si="206"/>
        <v>977.66401220149339</v>
      </c>
      <c r="P403" s="61">
        <f t="shared" si="206"/>
        <v>372.90004455478237</v>
      </c>
      <c r="Q403" s="61">
        <f t="shared" si="206"/>
        <v>283.5620514212747</v>
      </c>
      <c r="R403" s="61">
        <f t="shared" si="206"/>
        <v>1641.7745942801744</v>
      </c>
      <c r="S403" s="61">
        <f t="shared" si="206"/>
        <v>4590.5530808198482</v>
      </c>
      <c r="T403" s="61">
        <f t="shared" si="206"/>
        <v>8200.8000009919851</v>
      </c>
      <c r="U403" s="61">
        <f t="shared" si="206"/>
        <v>2750.9686907544633</v>
      </c>
      <c r="V403" s="61">
        <f t="shared" si="206"/>
        <v>2200.8635080652184</v>
      </c>
      <c r="W403" s="61">
        <f t="shared" si="206"/>
        <v>1387.9584970141432</v>
      </c>
      <c r="X403" s="61">
        <f t="shared" si="206"/>
        <v>172.98420545659428</v>
      </c>
      <c r="Y403" s="61">
        <f t="shared" si="206"/>
        <v>245.23221207750589</v>
      </c>
      <c r="Z403" s="61">
        <f t="shared" si="206"/>
        <v>503.21567236410135</v>
      </c>
      <c r="AA403" s="61">
        <f t="shared" si="206"/>
        <v>702.59225471023672</v>
      </c>
      <c r="AB403" s="61">
        <f t="shared" si="206"/>
        <v>343.51674315216525</v>
      </c>
      <c r="AC403" s="61">
        <f t="shared" si="206"/>
        <v>438.95591931338089</v>
      </c>
      <c r="AD403" s="61">
        <f t="shared" si="206"/>
        <v>1866.2966149699996</v>
      </c>
      <c r="AE403" s="61">
        <f t="shared" si="206"/>
        <v>2590.593340022283</v>
      </c>
      <c r="AF403" s="61">
        <f t="shared" si="206"/>
        <v>993.76032068847405</v>
      </c>
      <c r="AG403" s="61">
        <f t="shared" si="206"/>
        <v>1931.8950214626695</v>
      </c>
      <c r="AH403" s="61">
        <f t="shared" si="206"/>
        <v>940.22412679269723</v>
      </c>
      <c r="AI403" s="61">
        <f t="shared" si="206"/>
        <v>2125.5620824533157</v>
      </c>
      <c r="AJ403" s="61">
        <f t="shared" si="206"/>
        <v>614.13854931362437</v>
      </c>
      <c r="AK403" s="61">
        <f t="shared" si="206"/>
        <v>1298.2977935105512</v>
      </c>
    </row>
    <row r="404" spans="2:37" x14ac:dyDescent="0.35">
      <c r="B404" s="68">
        <f t="shared" si="137"/>
        <v>54206.747816971721</v>
      </c>
      <c r="C404" s="39" t="s">
        <v>79</v>
      </c>
      <c r="D404" s="61">
        <f t="shared" ref="D404:AK404" si="207">D289/D59*10^6</f>
        <v>15956.886337598266</v>
      </c>
      <c r="E404" s="61">
        <f t="shared" si="207"/>
        <v>2382.0844966986715</v>
      </c>
      <c r="F404" s="61">
        <f t="shared" si="207"/>
        <v>2370.5171688001678</v>
      </c>
      <c r="G404" s="61">
        <f t="shared" si="207"/>
        <v>2539.6068373118615</v>
      </c>
      <c r="H404" s="61">
        <f t="shared" si="207"/>
        <v>676.74224983276611</v>
      </c>
      <c r="I404" s="61">
        <f t="shared" si="207"/>
        <v>1682.7318334784904</v>
      </c>
      <c r="J404" s="61">
        <f t="shared" si="207"/>
        <v>974.72619141181906</v>
      </c>
      <c r="K404" s="61">
        <f t="shared" si="207"/>
        <v>1001.7925849723956</v>
      </c>
      <c r="L404" s="61">
        <f t="shared" si="207"/>
        <v>623.73568707444235</v>
      </c>
      <c r="M404" s="61">
        <f t="shared" si="207"/>
        <v>248.56373187260618</v>
      </c>
      <c r="N404" s="61">
        <f t="shared" si="207"/>
        <v>401.28374076019992</v>
      </c>
      <c r="O404" s="61">
        <f t="shared" si="207"/>
        <v>602.70710199958899</v>
      </c>
      <c r="P404" s="61">
        <f t="shared" si="207"/>
        <v>259.29995480308276</v>
      </c>
      <c r="Q404" s="61">
        <f t="shared" si="207"/>
        <v>203.89705420955138</v>
      </c>
      <c r="R404" s="61">
        <f t="shared" si="207"/>
        <v>1045.2564461846075</v>
      </c>
      <c r="S404" s="61">
        <f t="shared" si="207"/>
        <v>3209.3220427002311</v>
      </c>
      <c r="T404" s="61">
        <f t="shared" si="207"/>
        <v>5637.8388436424893</v>
      </c>
      <c r="U404" s="61">
        <f t="shared" si="207"/>
        <v>2018.2481438438142</v>
      </c>
      <c r="V404" s="61">
        <f t="shared" si="207"/>
        <v>1492.5930411967952</v>
      </c>
      <c r="W404" s="61">
        <f t="shared" si="207"/>
        <v>936.21531085497475</v>
      </c>
      <c r="X404" s="61">
        <f t="shared" si="207"/>
        <v>128.32141316943353</v>
      </c>
      <c r="Y404" s="61">
        <f t="shared" si="207"/>
        <v>151.89848510267399</v>
      </c>
      <c r="Z404" s="61">
        <f t="shared" si="207"/>
        <v>324.82296412961966</v>
      </c>
      <c r="AA404" s="61">
        <f t="shared" si="207"/>
        <v>456.92621385824037</v>
      </c>
      <c r="AB404" s="61">
        <f t="shared" si="207"/>
        <v>219.5382331297013</v>
      </c>
      <c r="AC404" s="61">
        <f t="shared" si="207"/>
        <v>287.38488862263</v>
      </c>
      <c r="AD404" s="61">
        <f t="shared" si="207"/>
        <v>1291.8903676926514</v>
      </c>
      <c r="AE404" s="61">
        <f t="shared" si="207"/>
        <v>1921.344568057865</v>
      </c>
      <c r="AF404" s="61">
        <f t="shared" si="207"/>
        <v>609.29674969000769</v>
      </c>
      <c r="AG404" s="61">
        <f t="shared" si="207"/>
        <v>1297.0160655452817</v>
      </c>
      <c r="AH404" s="61">
        <f t="shared" si="207"/>
        <v>583.68053247690818</v>
      </c>
      <c r="AI404" s="61">
        <f t="shared" si="207"/>
        <v>1475.894072900096</v>
      </c>
      <c r="AJ404" s="61">
        <f t="shared" si="207"/>
        <v>383.66431173999786</v>
      </c>
      <c r="AK404" s="61">
        <f t="shared" si="207"/>
        <v>811.02015160979397</v>
      </c>
    </row>
    <row r="405" spans="2:37" x14ac:dyDescent="0.35">
      <c r="B405" s="68">
        <f t="shared" si="137"/>
        <v>8999.3535257545955</v>
      </c>
      <c r="C405" s="37" t="s">
        <v>101</v>
      </c>
      <c r="D405" s="61">
        <f t="shared" ref="D405:AK405" si="208">D290/D60*10^6</f>
        <v>2462.4440313906052</v>
      </c>
      <c r="E405" s="61">
        <f t="shared" si="208"/>
        <v>492.08689900353954</v>
      </c>
      <c r="F405" s="61">
        <f t="shared" si="208"/>
        <v>335.89208889560524</v>
      </c>
      <c r="G405" s="61">
        <f t="shared" si="208"/>
        <v>480.17358626502693</v>
      </c>
      <c r="H405" s="61">
        <f t="shared" si="208"/>
        <v>106.36970966452297</v>
      </c>
      <c r="I405" s="61">
        <f t="shared" si="208"/>
        <v>294.37303392896058</v>
      </c>
      <c r="J405" s="61">
        <f t="shared" si="208"/>
        <v>198.48288029940124</v>
      </c>
      <c r="K405" s="61">
        <f t="shared" si="208"/>
        <v>173.9448076560391</v>
      </c>
      <c r="L405" s="61">
        <f t="shared" si="208"/>
        <v>110.30555169740471</v>
      </c>
      <c r="M405" s="61">
        <f t="shared" si="208"/>
        <v>40.188603487248159</v>
      </c>
      <c r="N405" s="61">
        <f t="shared" si="208"/>
        <v>83.034421911704769</v>
      </c>
      <c r="O405" s="61">
        <f t="shared" si="208"/>
        <v>85.68655401391122</v>
      </c>
      <c r="P405" s="61">
        <f t="shared" si="208"/>
        <v>48.524999237885346</v>
      </c>
      <c r="Q405" s="61">
        <f t="shared" si="208"/>
        <v>37.985492274501745</v>
      </c>
      <c r="R405" s="61">
        <f t="shared" si="208"/>
        <v>146.40986314691256</v>
      </c>
      <c r="S405" s="61">
        <f t="shared" si="208"/>
        <v>583.64200311748743</v>
      </c>
      <c r="T405" s="61">
        <f t="shared" si="208"/>
        <v>916.95833149196915</v>
      </c>
      <c r="U405" s="61">
        <f t="shared" si="208"/>
        <v>369.52268323189787</v>
      </c>
      <c r="V405" s="61">
        <f t="shared" si="208"/>
        <v>221.82008233570974</v>
      </c>
      <c r="W405" s="61">
        <f t="shared" si="208"/>
        <v>140.88296220376023</v>
      </c>
      <c r="X405" s="61">
        <f t="shared" si="208"/>
        <v>15.770706691724742</v>
      </c>
      <c r="Y405" s="61">
        <f t="shared" si="208"/>
        <v>28.620457577209478</v>
      </c>
      <c r="Z405" s="61">
        <f t="shared" si="208"/>
        <v>70.320299727843775</v>
      </c>
      <c r="AA405" s="61">
        <f t="shared" si="208"/>
        <v>78.535497586790996</v>
      </c>
      <c r="AB405" s="61">
        <f t="shared" si="208"/>
        <v>42.459929774094952</v>
      </c>
      <c r="AC405" s="61">
        <f t="shared" si="208"/>
        <v>43.390853070614931</v>
      </c>
      <c r="AD405" s="61">
        <f t="shared" si="208"/>
        <v>248.39723964839962</v>
      </c>
      <c r="AE405" s="61">
        <f t="shared" si="208"/>
        <v>310.84775497580085</v>
      </c>
      <c r="AF405" s="61">
        <f t="shared" si="208"/>
        <v>109.5103474508289</v>
      </c>
      <c r="AG405" s="61">
        <f t="shared" si="208"/>
        <v>178.66803015658789</v>
      </c>
      <c r="AH405" s="61">
        <f t="shared" si="208"/>
        <v>105.78512846794045</v>
      </c>
      <c r="AI405" s="61">
        <f t="shared" si="208"/>
        <v>201.50356783739576</v>
      </c>
      <c r="AJ405" s="61">
        <f t="shared" si="208"/>
        <v>77.877545142588019</v>
      </c>
      <c r="AK405" s="61">
        <f t="shared" si="208"/>
        <v>158.93758239267947</v>
      </c>
    </row>
    <row r="406" spans="2:37" x14ac:dyDescent="0.35">
      <c r="B406" s="68">
        <f t="shared" si="137"/>
        <v>23102.156288353239</v>
      </c>
      <c r="C406" s="37" t="s">
        <v>102</v>
      </c>
      <c r="D406" s="61">
        <f t="shared" ref="D406:AK406" si="209">D291/D61*10^6</f>
        <v>6635.8680943336121</v>
      </c>
      <c r="E406" s="61">
        <f t="shared" si="209"/>
        <v>1246.9294860202642</v>
      </c>
      <c r="F406" s="61">
        <f t="shared" si="209"/>
        <v>1064.2028551869307</v>
      </c>
      <c r="G406" s="61">
        <f t="shared" si="209"/>
        <v>1130.8800733345342</v>
      </c>
      <c r="H406" s="61">
        <f t="shared" si="209"/>
        <v>252.31685537565087</v>
      </c>
      <c r="I406" s="61">
        <f t="shared" si="209"/>
        <v>781.52385521696419</v>
      </c>
      <c r="J406" s="61">
        <f t="shared" si="209"/>
        <v>454.39179908583287</v>
      </c>
      <c r="K406" s="61">
        <f t="shared" si="209"/>
        <v>368.26194255246605</v>
      </c>
      <c r="L406" s="61">
        <f t="shared" si="209"/>
        <v>303.85655026712715</v>
      </c>
      <c r="M406" s="61">
        <f t="shared" si="209"/>
        <v>113.03260802351923</v>
      </c>
      <c r="N406" s="61">
        <f t="shared" si="209"/>
        <v>197.90885493327463</v>
      </c>
      <c r="O406" s="61">
        <f t="shared" si="209"/>
        <v>248.00247104904639</v>
      </c>
      <c r="P406" s="61">
        <f t="shared" si="209"/>
        <v>119.52009971242317</v>
      </c>
      <c r="Q406" s="61">
        <f t="shared" si="209"/>
        <v>79.106471437550027</v>
      </c>
      <c r="R406" s="61">
        <f t="shared" si="209"/>
        <v>418.04055123229745</v>
      </c>
      <c r="S406" s="61">
        <f t="shared" si="209"/>
        <v>1362.3176981899735</v>
      </c>
      <c r="T406" s="61">
        <f t="shared" si="209"/>
        <v>2293.1705191383007</v>
      </c>
      <c r="U406" s="61">
        <f t="shared" si="209"/>
        <v>844.85518811858697</v>
      </c>
      <c r="V406" s="61">
        <f t="shared" si="209"/>
        <v>599.43870659770698</v>
      </c>
      <c r="W406" s="61">
        <f t="shared" si="209"/>
        <v>363.37810032787758</v>
      </c>
      <c r="X406" s="61">
        <f t="shared" si="209"/>
        <v>46.272685797859765</v>
      </c>
      <c r="Y406" s="61">
        <f t="shared" si="209"/>
        <v>79.959475246489262</v>
      </c>
      <c r="Z406" s="61">
        <f t="shared" si="209"/>
        <v>168.00477677178864</v>
      </c>
      <c r="AA406" s="61">
        <f t="shared" si="209"/>
        <v>174.33654422472767</v>
      </c>
      <c r="AB406" s="61">
        <f t="shared" si="209"/>
        <v>80.84248137730556</v>
      </c>
      <c r="AC406" s="61">
        <f t="shared" si="209"/>
        <v>126.74048885219719</v>
      </c>
      <c r="AD406" s="61">
        <f t="shared" si="209"/>
        <v>550.78232522161795</v>
      </c>
      <c r="AE406" s="61">
        <f t="shared" si="209"/>
        <v>801.40410176335911</v>
      </c>
      <c r="AF406" s="61">
        <f t="shared" si="209"/>
        <v>237.46025510413784</v>
      </c>
      <c r="AG406" s="61">
        <f t="shared" si="209"/>
        <v>508.61737139920831</v>
      </c>
      <c r="AH406" s="61">
        <f t="shared" si="209"/>
        <v>240.41069173498309</v>
      </c>
      <c r="AI406" s="61">
        <f t="shared" si="209"/>
        <v>692.47912693621959</v>
      </c>
      <c r="AJ406" s="61">
        <f t="shared" si="209"/>
        <v>202.8649302613438</v>
      </c>
      <c r="AK406" s="61">
        <f t="shared" si="209"/>
        <v>314.97825352805586</v>
      </c>
    </row>
    <row r="407" spans="2:37" x14ac:dyDescent="0.35">
      <c r="B407" s="68">
        <f t="shared" si="137"/>
        <v>133546.66745234933</v>
      </c>
      <c r="C407" s="4" t="s">
        <v>83</v>
      </c>
      <c r="D407" s="62">
        <f>SUM(D408,D412:D413)</f>
        <v>39502.398892222183</v>
      </c>
      <c r="E407" s="62">
        <f t="shared" ref="E407:AK407" si="210">SUM(E408,E412:E413)</f>
        <v>5845.8478376350213</v>
      </c>
      <c r="F407" s="62">
        <f t="shared" si="210"/>
        <v>5390.5511077331794</v>
      </c>
      <c r="G407" s="62">
        <f t="shared" si="210"/>
        <v>5609.049633517343</v>
      </c>
      <c r="H407" s="62">
        <f t="shared" si="210"/>
        <v>1912.1776273471598</v>
      </c>
      <c r="I407" s="62">
        <f t="shared" si="210"/>
        <v>3870.8958982456425</v>
      </c>
      <c r="J407" s="62">
        <f t="shared" si="210"/>
        <v>2553.0788975514679</v>
      </c>
      <c r="K407" s="62">
        <f t="shared" si="210"/>
        <v>2719.2404777480565</v>
      </c>
      <c r="L407" s="62">
        <f t="shared" si="210"/>
        <v>1450.3632727684276</v>
      </c>
      <c r="M407" s="62">
        <f t="shared" si="210"/>
        <v>584.54798642737433</v>
      </c>
      <c r="N407" s="62">
        <f t="shared" si="210"/>
        <v>900.89271808189119</v>
      </c>
      <c r="O407" s="62">
        <f t="shared" si="210"/>
        <v>1723.9117890997773</v>
      </c>
      <c r="P407" s="62">
        <f t="shared" si="210"/>
        <v>568.34632586028295</v>
      </c>
      <c r="Q407" s="62">
        <f t="shared" si="210"/>
        <v>529.18686759252512</v>
      </c>
      <c r="R407" s="62">
        <f t="shared" si="210"/>
        <v>2677.0179160755729</v>
      </c>
      <c r="S407" s="62">
        <f t="shared" si="210"/>
        <v>8140.6910293125238</v>
      </c>
      <c r="T407" s="62">
        <f t="shared" si="210"/>
        <v>13131.750236532018</v>
      </c>
      <c r="U407" s="62">
        <f t="shared" si="210"/>
        <v>4629.0092915994392</v>
      </c>
      <c r="V407" s="62">
        <f t="shared" si="210"/>
        <v>4207.5336301427988</v>
      </c>
      <c r="W407" s="62">
        <f t="shared" si="210"/>
        <v>2191.4550933486344</v>
      </c>
      <c r="X407" s="62">
        <f t="shared" si="210"/>
        <v>262.64403958369178</v>
      </c>
      <c r="Y407" s="62">
        <f t="shared" si="210"/>
        <v>488.87125764113927</v>
      </c>
      <c r="Z407" s="62">
        <f t="shared" si="210"/>
        <v>964.67517786612382</v>
      </c>
      <c r="AA407" s="62">
        <f t="shared" si="210"/>
        <v>1122.6544221227189</v>
      </c>
      <c r="AB407" s="62">
        <f t="shared" si="210"/>
        <v>470.5602226341162</v>
      </c>
      <c r="AC407" s="62">
        <f t="shared" si="210"/>
        <v>662.80361166730745</v>
      </c>
      <c r="AD407" s="62">
        <f t="shared" si="210"/>
        <v>3332.0836004835201</v>
      </c>
      <c r="AE407" s="62">
        <f t="shared" si="210"/>
        <v>4631.7922794353217</v>
      </c>
      <c r="AF407" s="62">
        <f t="shared" si="210"/>
        <v>1610.2867891568635</v>
      </c>
      <c r="AG407" s="62">
        <f t="shared" si="210"/>
        <v>3484.6858328212666</v>
      </c>
      <c r="AH407" s="62">
        <f t="shared" si="210"/>
        <v>1423.8268274741549</v>
      </c>
      <c r="AI407" s="62">
        <f t="shared" si="210"/>
        <v>3986.3913215676876</v>
      </c>
      <c r="AJ407" s="62">
        <f t="shared" si="210"/>
        <v>1056.4006108775363</v>
      </c>
      <c r="AK407" s="62">
        <f t="shared" si="210"/>
        <v>1911.0449301765473</v>
      </c>
    </row>
    <row r="408" spans="2:37" x14ac:dyDescent="0.35">
      <c r="B408" s="68">
        <f t="shared" si="137"/>
        <v>123166.82340875886</v>
      </c>
      <c r="C408" s="37" t="s">
        <v>103</v>
      </c>
      <c r="D408" s="62">
        <f>SUM(D409:D411)</f>
        <v>36476.577705713258</v>
      </c>
      <c r="E408" s="62">
        <f t="shared" ref="E408:AK408" si="211">SUM(E409:E411)</f>
        <v>5365.9427147131573</v>
      </c>
      <c r="F408" s="62">
        <f t="shared" si="211"/>
        <v>4996.3130647886537</v>
      </c>
      <c r="G408" s="62">
        <f t="shared" si="211"/>
        <v>5137.8094292318638</v>
      </c>
      <c r="H408" s="62">
        <f t="shared" si="211"/>
        <v>1768.8188344745624</v>
      </c>
      <c r="I408" s="62">
        <f t="shared" si="211"/>
        <v>3598.2858896129942</v>
      </c>
      <c r="J408" s="62">
        <f t="shared" si="211"/>
        <v>2361.5602546770665</v>
      </c>
      <c r="K408" s="62">
        <f t="shared" si="211"/>
        <v>2483.7132678746802</v>
      </c>
      <c r="L408" s="62">
        <f t="shared" si="211"/>
        <v>1334.4482927459874</v>
      </c>
      <c r="M408" s="62">
        <f t="shared" si="211"/>
        <v>537.1121912930962</v>
      </c>
      <c r="N408" s="62">
        <f t="shared" si="211"/>
        <v>837.86064479053516</v>
      </c>
      <c r="O408" s="62">
        <f t="shared" si="211"/>
        <v>1580.4974472277293</v>
      </c>
      <c r="P408" s="62">
        <f t="shared" si="211"/>
        <v>527.98027106120151</v>
      </c>
      <c r="Q408" s="62">
        <f t="shared" si="211"/>
        <v>486.95425997147333</v>
      </c>
      <c r="R408" s="62">
        <f t="shared" si="211"/>
        <v>2490.3238502353902</v>
      </c>
      <c r="S408" s="62">
        <f t="shared" si="211"/>
        <v>7543.6601565159663</v>
      </c>
      <c r="T408" s="62">
        <f t="shared" si="211"/>
        <v>12008.184295289804</v>
      </c>
      <c r="U408" s="62">
        <f t="shared" si="211"/>
        <v>4289.919400735228</v>
      </c>
      <c r="V408" s="62">
        <f t="shared" si="211"/>
        <v>3899.4127987813617</v>
      </c>
      <c r="W408" s="62">
        <f t="shared" si="211"/>
        <v>2005.3536506159614</v>
      </c>
      <c r="X408" s="62">
        <f t="shared" si="211"/>
        <v>239.182730483255</v>
      </c>
      <c r="Y408" s="62">
        <f t="shared" si="211"/>
        <v>449.22963661136623</v>
      </c>
      <c r="Z408" s="62">
        <f t="shared" si="211"/>
        <v>897.74648931300942</v>
      </c>
      <c r="AA408" s="62">
        <f t="shared" si="211"/>
        <v>1050.8104254286698</v>
      </c>
      <c r="AB408" s="62">
        <f t="shared" si="211"/>
        <v>436.62744271687319</v>
      </c>
      <c r="AC408" s="62">
        <f t="shared" si="211"/>
        <v>611.4037681233101</v>
      </c>
      <c r="AD408" s="62">
        <f t="shared" si="211"/>
        <v>3068.2459396315026</v>
      </c>
      <c r="AE408" s="62">
        <f t="shared" si="211"/>
        <v>4255.4763799607499</v>
      </c>
      <c r="AF408" s="62">
        <f t="shared" si="211"/>
        <v>1495.5959077030614</v>
      </c>
      <c r="AG408" s="62">
        <f t="shared" si="211"/>
        <v>3182.6556692723975</v>
      </c>
      <c r="AH408" s="62">
        <f t="shared" si="211"/>
        <v>1295.7117561005766</v>
      </c>
      <c r="AI408" s="62">
        <f t="shared" si="211"/>
        <v>3710.6109462120953</v>
      </c>
      <c r="AJ408" s="62">
        <f t="shared" si="211"/>
        <v>979.61412929210269</v>
      </c>
      <c r="AK408" s="62">
        <f t="shared" si="211"/>
        <v>1763.1837675599195</v>
      </c>
    </row>
    <row r="409" spans="2:37" x14ac:dyDescent="0.35">
      <c r="B409" s="68">
        <f t="shared" si="137"/>
        <v>78590.395354709515</v>
      </c>
      <c r="C409" s="39" t="s">
        <v>80</v>
      </c>
      <c r="D409" s="61">
        <f t="shared" ref="D409:AK409" si="212">D294/D64*10^6</f>
        <v>23201.803628759906</v>
      </c>
      <c r="E409" s="61">
        <f t="shared" si="212"/>
        <v>3448.3048094832866</v>
      </c>
      <c r="F409" s="61">
        <f t="shared" si="212"/>
        <v>3160.8548118443787</v>
      </c>
      <c r="G409" s="61">
        <f t="shared" si="212"/>
        <v>3337.242020830749</v>
      </c>
      <c r="H409" s="61">
        <f t="shared" si="212"/>
        <v>1143.0912608685417</v>
      </c>
      <c r="I409" s="61">
        <f t="shared" si="212"/>
        <v>2254.7195359888915</v>
      </c>
      <c r="J409" s="61">
        <f t="shared" si="212"/>
        <v>1519.4835758677245</v>
      </c>
      <c r="K409" s="61">
        <f t="shared" si="212"/>
        <v>1600.9877215359456</v>
      </c>
      <c r="L409" s="61">
        <f t="shared" si="212"/>
        <v>824.33881711384652</v>
      </c>
      <c r="M409" s="61">
        <f t="shared" si="212"/>
        <v>340.72910873668957</v>
      </c>
      <c r="N409" s="61">
        <f t="shared" si="212"/>
        <v>520.82097664029675</v>
      </c>
      <c r="O409" s="61">
        <f t="shared" si="212"/>
        <v>1012.6351196326102</v>
      </c>
      <c r="P409" s="61">
        <f t="shared" si="212"/>
        <v>338.18025723827486</v>
      </c>
      <c r="Q409" s="61">
        <f t="shared" si="212"/>
        <v>314.21025927539785</v>
      </c>
      <c r="R409" s="61">
        <f t="shared" si="212"/>
        <v>1576.5562416269149</v>
      </c>
      <c r="S409" s="61">
        <f t="shared" si="212"/>
        <v>4949.6742309039519</v>
      </c>
      <c r="T409" s="61">
        <f t="shared" si="212"/>
        <v>7482.1767869183659</v>
      </c>
      <c r="U409" s="61">
        <f t="shared" si="212"/>
        <v>2764.549075480495</v>
      </c>
      <c r="V409" s="61">
        <f t="shared" si="212"/>
        <v>2489.2765558756464</v>
      </c>
      <c r="W409" s="61">
        <f t="shared" si="212"/>
        <v>1273.3178957198602</v>
      </c>
      <c r="X409" s="61">
        <f t="shared" si="212"/>
        <v>156.74815781485182</v>
      </c>
      <c r="Y409" s="61">
        <f t="shared" si="212"/>
        <v>285.80344084715199</v>
      </c>
      <c r="Z409" s="61">
        <f t="shared" si="212"/>
        <v>574.76192196532111</v>
      </c>
      <c r="AA409" s="61">
        <f t="shared" si="212"/>
        <v>654.02024156353639</v>
      </c>
      <c r="AB409" s="61">
        <f t="shared" si="212"/>
        <v>276.689813981942</v>
      </c>
      <c r="AC409" s="61">
        <f t="shared" si="212"/>
        <v>378.77504384463197</v>
      </c>
      <c r="AD409" s="61">
        <f t="shared" si="212"/>
        <v>1999.5253082337174</v>
      </c>
      <c r="AE409" s="61">
        <f t="shared" si="212"/>
        <v>2773.9979533864012</v>
      </c>
      <c r="AF409" s="61">
        <f t="shared" si="212"/>
        <v>934.76963542632279</v>
      </c>
      <c r="AG409" s="61">
        <f t="shared" si="212"/>
        <v>2045.0293532985261</v>
      </c>
      <c r="AH409" s="61">
        <f t="shared" si="212"/>
        <v>824.05020436379584</v>
      </c>
      <c r="AI409" s="61">
        <f t="shared" si="212"/>
        <v>2380.2782136587975</v>
      </c>
      <c r="AJ409" s="61">
        <f t="shared" si="212"/>
        <v>615.24850548552001</v>
      </c>
      <c r="AK409" s="61">
        <f t="shared" si="212"/>
        <v>1137.7448704972608</v>
      </c>
    </row>
    <row r="410" spans="2:37" x14ac:dyDescent="0.35">
      <c r="B410" s="68">
        <f t="shared" si="137"/>
        <v>27218.993236920884</v>
      </c>
      <c r="C410" s="39" t="s">
        <v>81</v>
      </c>
      <c r="D410" s="61">
        <f t="shared" ref="D410:AK410" si="213">D295/D65*10^6</f>
        <v>8114.0252786250103</v>
      </c>
      <c r="E410" s="61">
        <f t="shared" si="213"/>
        <v>1158.2690445751666</v>
      </c>
      <c r="F410" s="61">
        <f t="shared" si="213"/>
        <v>1138.727298211707</v>
      </c>
      <c r="G410" s="61">
        <f t="shared" si="213"/>
        <v>1084.5021650909073</v>
      </c>
      <c r="H410" s="61">
        <f t="shared" si="213"/>
        <v>391.63043923646228</v>
      </c>
      <c r="I410" s="61">
        <f t="shared" si="213"/>
        <v>805.03778885020927</v>
      </c>
      <c r="J410" s="61">
        <f t="shared" si="213"/>
        <v>523.09568249248252</v>
      </c>
      <c r="K410" s="61">
        <f t="shared" si="213"/>
        <v>527.09072243263029</v>
      </c>
      <c r="L410" s="61">
        <f t="shared" si="213"/>
        <v>307.09188117598609</v>
      </c>
      <c r="M410" s="61">
        <f t="shared" si="213"/>
        <v>121.74657502940643</v>
      </c>
      <c r="N410" s="61">
        <f t="shared" si="213"/>
        <v>190.22745888617229</v>
      </c>
      <c r="O410" s="61">
        <f t="shared" si="213"/>
        <v>359.57358843423719</v>
      </c>
      <c r="P410" s="61">
        <f t="shared" si="213"/>
        <v>118.83441168969588</v>
      </c>
      <c r="Q410" s="61">
        <f t="shared" si="213"/>
        <v>105.95860353117466</v>
      </c>
      <c r="R410" s="61">
        <f t="shared" si="213"/>
        <v>563.53889847945482</v>
      </c>
      <c r="S410" s="61">
        <f t="shared" si="213"/>
        <v>1571.6021198664282</v>
      </c>
      <c r="T410" s="61">
        <f t="shared" si="213"/>
        <v>2737.343270924212</v>
      </c>
      <c r="U410" s="61">
        <f t="shared" si="213"/>
        <v>945.57481285281608</v>
      </c>
      <c r="V410" s="61">
        <f t="shared" si="213"/>
        <v>894.97602506770454</v>
      </c>
      <c r="W410" s="61">
        <f t="shared" si="213"/>
        <v>455.58824426378584</v>
      </c>
      <c r="X410" s="61">
        <f t="shared" si="213"/>
        <v>50.52270134183815</v>
      </c>
      <c r="Y410" s="61">
        <f t="shared" si="213"/>
        <v>101.3307412032522</v>
      </c>
      <c r="Z410" s="61">
        <f t="shared" si="213"/>
        <v>188.71165744402987</v>
      </c>
      <c r="AA410" s="61">
        <f t="shared" si="213"/>
        <v>248.11141596654031</v>
      </c>
      <c r="AB410" s="61">
        <f t="shared" si="213"/>
        <v>102.07203951174277</v>
      </c>
      <c r="AC410" s="61">
        <f t="shared" si="213"/>
        <v>142.66310577145285</v>
      </c>
      <c r="AD410" s="61">
        <f t="shared" si="213"/>
        <v>634.16440740254393</v>
      </c>
      <c r="AE410" s="61">
        <f t="shared" si="213"/>
        <v>885.96495699768968</v>
      </c>
      <c r="AF410" s="61">
        <f t="shared" si="213"/>
        <v>337.16600696995181</v>
      </c>
      <c r="AG410" s="61">
        <f t="shared" si="213"/>
        <v>692.20130174070152</v>
      </c>
      <c r="AH410" s="61">
        <f t="shared" si="213"/>
        <v>295.34178275906817</v>
      </c>
      <c r="AI410" s="61">
        <f t="shared" si="213"/>
        <v>823.09572123603743</v>
      </c>
      <c r="AJ410" s="61">
        <f t="shared" si="213"/>
        <v>215.59091416177787</v>
      </c>
      <c r="AK410" s="61">
        <f t="shared" si="213"/>
        <v>387.62217469861463</v>
      </c>
    </row>
    <row r="411" spans="2:37" x14ac:dyDescent="0.35">
      <c r="B411" s="68">
        <f t="shared" si="137"/>
        <v>17357.434817128418</v>
      </c>
      <c r="C411" s="39" t="s">
        <v>104</v>
      </c>
      <c r="D411" s="61">
        <f t="shared" ref="D411:AK411" si="214">D296/D66*10^6</f>
        <v>5160.7487983283409</v>
      </c>
      <c r="E411" s="61">
        <f t="shared" si="214"/>
        <v>759.36886065470344</v>
      </c>
      <c r="F411" s="61">
        <f t="shared" si="214"/>
        <v>696.73095473256808</v>
      </c>
      <c r="G411" s="61">
        <f t="shared" si="214"/>
        <v>716.06524331020807</v>
      </c>
      <c r="H411" s="61">
        <f t="shared" si="214"/>
        <v>234.0971343695584</v>
      </c>
      <c r="I411" s="61">
        <f t="shared" si="214"/>
        <v>538.52856477389332</v>
      </c>
      <c r="J411" s="61">
        <f t="shared" si="214"/>
        <v>318.98099631685972</v>
      </c>
      <c r="K411" s="61">
        <f t="shared" si="214"/>
        <v>355.63482390610449</v>
      </c>
      <c r="L411" s="61">
        <f t="shared" si="214"/>
        <v>203.0175944561548</v>
      </c>
      <c r="M411" s="61">
        <f t="shared" si="214"/>
        <v>74.636507527000163</v>
      </c>
      <c r="N411" s="61">
        <f t="shared" si="214"/>
        <v>126.81220926406611</v>
      </c>
      <c r="O411" s="61">
        <f t="shared" si="214"/>
        <v>208.28873916088165</v>
      </c>
      <c r="P411" s="61">
        <f t="shared" si="214"/>
        <v>70.965602133230703</v>
      </c>
      <c r="Q411" s="61">
        <f t="shared" si="214"/>
        <v>66.785397164900829</v>
      </c>
      <c r="R411" s="61">
        <f t="shared" si="214"/>
        <v>350.22871012902039</v>
      </c>
      <c r="S411" s="61">
        <f t="shared" si="214"/>
        <v>1022.3838057455863</v>
      </c>
      <c r="T411" s="61">
        <f t="shared" si="214"/>
        <v>1788.664237447226</v>
      </c>
      <c r="U411" s="61">
        <f t="shared" si="214"/>
        <v>579.79551240191677</v>
      </c>
      <c r="V411" s="61">
        <f t="shared" si="214"/>
        <v>515.16021783801079</v>
      </c>
      <c r="W411" s="61">
        <f t="shared" si="214"/>
        <v>276.44751063231553</v>
      </c>
      <c r="X411" s="61">
        <f t="shared" si="214"/>
        <v>31.911871326565031</v>
      </c>
      <c r="Y411" s="61">
        <f t="shared" si="214"/>
        <v>62.095454560961997</v>
      </c>
      <c r="Z411" s="61">
        <f t="shared" si="214"/>
        <v>134.27290990365842</v>
      </c>
      <c r="AA411" s="61">
        <f t="shared" si="214"/>
        <v>148.67876789859307</v>
      </c>
      <c r="AB411" s="61">
        <f t="shared" si="214"/>
        <v>57.865589223188415</v>
      </c>
      <c r="AC411" s="61">
        <f t="shared" si="214"/>
        <v>89.965618507225244</v>
      </c>
      <c r="AD411" s="61">
        <f t="shared" si="214"/>
        <v>434.55622399524123</v>
      </c>
      <c r="AE411" s="61">
        <f t="shared" si="214"/>
        <v>595.51346957665885</v>
      </c>
      <c r="AF411" s="61">
        <f t="shared" si="214"/>
        <v>223.66026530678681</v>
      </c>
      <c r="AG411" s="61">
        <f t="shared" si="214"/>
        <v>445.4250142331698</v>
      </c>
      <c r="AH411" s="61">
        <f t="shared" si="214"/>
        <v>176.31976897771261</v>
      </c>
      <c r="AI411" s="61">
        <f t="shared" si="214"/>
        <v>507.23701131726051</v>
      </c>
      <c r="AJ411" s="61">
        <f t="shared" si="214"/>
        <v>148.77470964480483</v>
      </c>
      <c r="AK411" s="61">
        <f t="shared" si="214"/>
        <v>237.81672236404404</v>
      </c>
    </row>
    <row r="412" spans="2:37" x14ac:dyDescent="0.35">
      <c r="B412" s="68">
        <f t="shared" si="137"/>
        <v>4494.934215054107</v>
      </c>
      <c r="C412" s="37" t="s">
        <v>105</v>
      </c>
      <c r="D412" s="61">
        <f t="shared" ref="D412:AK412" si="215">D297/D67*10^6</f>
        <v>1267.6230685286512</v>
      </c>
      <c r="E412" s="61">
        <f t="shared" si="215"/>
        <v>209.20834746480335</v>
      </c>
      <c r="F412" s="61">
        <f t="shared" si="215"/>
        <v>197.17639728179472</v>
      </c>
      <c r="G412" s="61">
        <f t="shared" si="215"/>
        <v>190.24085571765286</v>
      </c>
      <c r="H412" s="61">
        <f t="shared" si="215"/>
        <v>71.223277023242446</v>
      </c>
      <c r="I412" s="61">
        <f t="shared" si="215"/>
        <v>128.09049541693841</v>
      </c>
      <c r="J412" s="61">
        <f t="shared" si="215"/>
        <v>87.716516569991882</v>
      </c>
      <c r="K412" s="61">
        <f t="shared" si="215"/>
        <v>89.139994483161502</v>
      </c>
      <c r="L412" s="61">
        <f t="shared" si="215"/>
        <v>42.63438554459335</v>
      </c>
      <c r="M412" s="61">
        <f t="shared" si="215"/>
        <v>21.986641453313943</v>
      </c>
      <c r="N412" s="61">
        <f t="shared" si="215"/>
        <v>25.096765325123236</v>
      </c>
      <c r="O412" s="61">
        <f t="shared" si="215"/>
        <v>65.457998326441825</v>
      </c>
      <c r="P412" s="61">
        <f t="shared" si="215"/>
        <v>15.776170776375466</v>
      </c>
      <c r="Q412" s="61">
        <f t="shared" si="215"/>
        <v>19.904046120948824</v>
      </c>
      <c r="R412" s="61">
        <f t="shared" si="215"/>
        <v>86.403743360348628</v>
      </c>
      <c r="S412" s="61">
        <f t="shared" si="215"/>
        <v>301.68617884800437</v>
      </c>
      <c r="T412" s="61">
        <f t="shared" si="215"/>
        <v>464.78214650644281</v>
      </c>
      <c r="U412" s="61">
        <f t="shared" si="215"/>
        <v>167.04724369508861</v>
      </c>
      <c r="V412" s="61">
        <f t="shared" si="215"/>
        <v>157.11555527032559</v>
      </c>
      <c r="W412" s="61">
        <f t="shared" si="215"/>
        <v>70.354486579902897</v>
      </c>
      <c r="X412" s="61">
        <f t="shared" si="215"/>
        <v>9.840422590103115</v>
      </c>
      <c r="Y412" s="61">
        <f t="shared" si="215"/>
        <v>16.766821418784044</v>
      </c>
      <c r="Z412" s="61">
        <f t="shared" si="215"/>
        <v>30.780189880515547</v>
      </c>
      <c r="AA412" s="61">
        <f t="shared" si="215"/>
        <v>30.838634262029494</v>
      </c>
      <c r="AB412" s="61">
        <f t="shared" si="215"/>
        <v>13.813089290942088</v>
      </c>
      <c r="AC412" s="61">
        <f t="shared" si="215"/>
        <v>24.751627435981575</v>
      </c>
      <c r="AD412" s="61">
        <f t="shared" si="215"/>
        <v>112.62032702569522</v>
      </c>
      <c r="AE412" s="61">
        <f t="shared" si="215"/>
        <v>129.65735801331707</v>
      </c>
      <c r="AF412" s="61">
        <f t="shared" si="215"/>
        <v>45.262552067985581</v>
      </c>
      <c r="AG412" s="61">
        <f t="shared" si="215"/>
        <v>125.96280670457459</v>
      </c>
      <c r="AH412" s="61">
        <f t="shared" si="215"/>
        <v>51.634139014754155</v>
      </c>
      <c r="AI412" s="61">
        <f t="shared" si="215"/>
        <v>128.6172625771066</v>
      </c>
      <c r="AJ412" s="61">
        <f t="shared" si="215"/>
        <v>29.649277281740037</v>
      </c>
      <c r="AK412" s="61">
        <f t="shared" si="215"/>
        <v>66.075393197432234</v>
      </c>
    </row>
    <row r="413" spans="2:37" x14ac:dyDescent="0.35">
      <c r="B413" s="68">
        <f t="shared" si="137"/>
        <v>5884.9098285363507</v>
      </c>
      <c r="C413" s="37" t="s">
        <v>106</v>
      </c>
      <c r="D413" s="61">
        <f t="shared" ref="D413:AK413" si="216">D298/D68*10^6</f>
        <v>1758.1981179802783</v>
      </c>
      <c r="E413" s="61">
        <f t="shared" si="216"/>
        <v>270.69677545706077</v>
      </c>
      <c r="F413" s="61">
        <f t="shared" si="216"/>
        <v>197.06164566273139</v>
      </c>
      <c r="G413" s="61">
        <f t="shared" si="216"/>
        <v>280.99934856782585</v>
      </c>
      <c r="H413" s="61">
        <f t="shared" si="216"/>
        <v>72.135515849355016</v>
      </c>
      <c r="I413" s="61">
        <f t="shared" si="216"/>
        <v>144.51951321571002</v>
      </c>
      <c r="J413" s="61">
        <f t="shared" si="216"/>
        <v>103.80212630440916</v>
      </c>
      <c r="K413" s="61">
        <f t="shared" si="216"/>
        <v>146.38721539021464</v>
      </c>
      <c r="L413" s="61">
        <f t="shared" si="216"/>
        <v>73.280594477846847</v>
      </c>
      <c r="M413" s="61">
        <f t="shared" si="216"/>
        <v>25.44915368096413</v>
      </c>
      <c r="N413" s="61">
        <f t="shared" si="216"/>
        <v>37.935307966232756</v>
      </c>
      <c r="O413" s="61">
        <f t="shared" si="216"/>
        <v>77.956343545606245</v>
      </c>
      <c r="P413" s="61">
        <f t="shared" si="216"/>
        <v>24.589884022706002</v>
      </c>
      <c r="Q413" s="61">
        <f t="shared" si="216"/>
        <v>22.328561500102992</v>
      </c>
      <c r="R413" s="61">
        <f t="shared" si="216"/>
        <v>100.29032247983434</v>
      </c>
      <c r="S413" s="61">
        <f t="shared" si="216"/>
        <v>295.3446939485525</v>
      </c>
      <c r="T413" s="61">
        <f t="shared" si="216"/>
        <v>658.78379473577127</v>
      </c>
      <c r="U413" s="61">
        <f t="shared" si="216"/>
        <v>172.04264716912218</v>
      </c>
      <c r="V413" s="61">
        <f t="shared" si="216"/>
        <v>151.00527609111083</v>
      </c>
      <c r="W413" s="61">
        <f t="shared" si="216"/>
        <v>115.74695615276987</v>
      </c>
      <c r="X413" s="61">
        <f t="shared" si="216"/>
        <v>13.620886510333639</v>
      </c>
      <c r="Y413" s="61">
        <f t="shared" si="216"/>
        <v>22.87479961098898</v>
      </c>
      <c r="Z413" s="61">
        <f t="shared" si="216"/>
        <v>36.148498672598897</v>
      </c>
      <c r="AA413" s="61">
        <f t="shared" si="216"/>
        <v>41.00536243201968</v>
      </c>
      <c r="AB413" s="61">
        <f t="shared" si="216"/>
        <v>20.119690626300969</v>
      </c>
      <c r="AC413" s="61">
        <f t="shared" si="216"/>
        <v>26.648216108015774</v>
      </c>
      <c r="AD413" s="61">
        <f t="shared" si="216"/>
        <v>151.21733382632229</v>
      </c>
      <c r="AE413" s="61">
        <f t="shared" si="216"/>
        <v>246.65854146125491</v>
      </c>
      <c r="AF413" s="61">
        <f t="shared" si="216"/>
        <v>69.428329385816525</v>
      </c>
      <c r="AG413" s="61">
        <f t="shared" si="216"/>
        <v>176.06735684429438</v>
      </c>
      <c r="AH413" s="61">
        <f t="shared" si="216"/>
        <v>76.480932358824163</v>
      </c>
      <c r="AI413" s="61">
        <f t="shared" si="216"/>
        <v>147.16311277848573</v>
      </c>
      <c r="AJ413" s="61">
        <f t="shared" si="216"/>
        <v>47.137204303693537</v>
      </c>
      <c r="AK413" s="61">
        <f t="shared" si="216"/>
        <v>81.785769419195489</v>
      </c>
    </row>
    <row r="414" spans="2:37" x14ac:dyDescent="0.35"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4"/>
      <c r="AA414" s="65"/>
      <c r="AB414" s="65"/>
      <c r="AC414" s="65"/>
      <c r="AD414" s="65"/>
      <c r="AE414" s="65"/>
      <c r="AF414" s="65"/>
      <c r="AG414" s="66"/>
      <c r="AH414" s="65"/>
      <c r="AI414" s="65"/>
      <c r="AJ414" s="65"/>
      <c r="AK414" s="65"/>
    </row>
    <row r="415" spans="2:37" x14ac:dyDescent="0.35">
      <c r="B415" s="67">
        <f>SUM(D415:AK415)</f>
        <v>400350.64125378925</v>
      </c>
      <c r="C415" s="4" t="s">
        <v>107</v>
      </c>
      <c r="D415" s="63">
        <f>D416+D438</f>
        <v>116948.37723834233</v>
      </c>
      <c r="E415" s="63">
        <f t="shared" ref="E415:AK415" si="217">E416+E438</f>
        <v>18518.889378734515</v>
      </c>
      <c r="F415" s="63">
        <f t="shared" si="217"/>
        <v>16511.985144962837</v>
      </c>
      <c r="G415" s="63">
        <f t="shared" si="217"/>
        <v>17494.5826765159</v>
      </c>
      <c r="H415" s="63">
        <f t="shared" si="217"/>
        <v>5160.429958977229</v>
      </c>
      <c r="I415" s="63">
        <f t="shared" si="217"/>
        <v>12648.989388906226</v>
      </c>
      <c r="J415" s="63">
        <f t="shared" si="217"/>
        <v>7681.8281081948508</v>
      </c>
      <c r="K415" s="63">
        <f t="shared" si="217"/>
        <v>7594.0364615602793</v>
      </c>
      <c r="L415" s="63">
        <f t="shared" si="217"/>
        <v>4685.2434374583445</v>
      </c>
      <c r="M415" s="63">
        <f t="shared" si="217"/>
        <v>1912.3874352459495</v>
      </c>
      <c r="N415" s="63">
        <f t="shared" si="217"/>
        <v>2988.0240095238223</v>
      </c>
      <c r="O415" s="63">
        <f t="shared" si="217"/>
        <v>4897.0401881962971</v>
      </c>
      <c r="P415" s="63">
        <f t="shared" si="217"/>
        <v>1792.5249669531929</v>
      </c>
      <c r="Q415" s="63">
        <f t="shared" si="217"/>
        <v>1484.0355111893477</v>
      </c>
      <c r="R415" s="63">
        <f t="shared" si="217"/>
        <v>7889.6671014619769</v>
      </c>
      <c r="S415" s="63">
        <f t="shared" si="217"/>
        <v>23209.448197323396</v>
      </c>
      <c r="T415" s="63">
        <f t="shared" si="217"/>
        <v>41295.897003452235</v>
      </c>
      <c r="U415" s="63">
        <f t="shared" si="217"/>
        <v>14048.214034822362</v>
      </c>
      <c r="V415" s="63">
        <f t="shared" si="217"/>
        <v>11563.574999357339</v>
      </c>
      <c r="W415" s="63">
        <f t="shared" si="217"/>
        <v>6668.5182966702951</v>
      </c>
      <c r="X415" s="63">
        <f t="shared" si="217"/>
        <v>842.02739294934509</v>
      </c>
      <c r="Y415" s="63">
        <f t="shared" si="217"/>
        <v>1324.0112656586537</v>
      </c>
      <c r="Z415" s="63">
        <f t="shared" si="217"/>
        <v>2720.4577856175592</v>
      </c>
      <c r="AA415" s="63">
        <f t="shared" si="217"/>
        <v>3498.4085645059754</v>
      </c>
      <c r="AB415" s="63">
        <f t="shared" si="217"/>
        <v>1567.2983060380313</v>
      </c>
      <c r="AC415" s="63">
        <f t="shared" si="217"/>
        <v>2127.7834511528754</v>
      </c>
      <c r="AD415" s="63">
        <f t="shared" si="217"/>
        <v>9597.900023641163</v>
      </c>
      <c r="AE415" s="63">
        <f t="shared" si="217"/>
        <v>13620.706257794642</v>
      </c>
      <c r="AF415" s="63">
        <f t="shared" si="217"/>
        <v>4902.5286205739121</v>
      </c>
      <c r="AG415" s="63">
        <f t="shared" si="217"/>
        <v>9989.2549533372949</v>
      </c>
      <c r="AH415" s="63">
        <f t="shared" si="217"/>
        <v>4542.2260314143914</v>
      </c>
      <c r="AI415" s="63">
        <f t="shared" si="217"/>
        <v>11263.060310958284</v>
      </c>
      <c r="AJ415" s="63">
        <f t="shared" si="217"/>
        <v>3205.3597322227893</v>
      </c>
      <c r="AK415" s="63">
        <f t="shared" si="217"/>
        <v>6155.925020075576</v>
      </c>
    </row>
    <row r="416" spans="2:37" x14ac:dyDescent="0.35">
      <c r="B416" s="67">
        <f t="shared" ref="B416:B459" si="218">SUM(D416:AK416)</f>
        <v>263320.23585941788</v>
      </c>
      <c r="C416" s="40" t="s">
        <v>84</v>
      </c>
      <c r="D416" s="62">
        <f>SUM(D417,D424,D431)</f>
        <v>76852.569018601047</v>
      </c>
      <c r="E416" s="62">
        <f t="shared" ref="E416" si="219">SUM(E417,E424,E431)</f>
        <v>12623.849276037929</v>
      </c>
      <c r="F416" s="62">
        <f t="shared" ref="F416" si="220">SUM(F417,F424,F431)</f>
        <v>11009.129409797457</v>
      </c>
      <c r="G416" s="62">
        <f t="shared" ref="G416" si="221">SUM(G417,G424,G431)</f>
        <v>11790.276928745958</v>
      </c>
      <c r="H416" s="62">
        <f t="shared" ref="H416" si="222">SUM(H417,H424,H431)</f>
        <v>3242.777641655236</v>
      </c>
      <c r="I416" s="62">
        <f t="shared" ref="I416" si="223">SUM(I417,I424,I431)</f>
        <v>8595.5629155742463</v>
      </c>
      <c r="J416" s="62">
        <f t="shared" ref="J416" si="224">SUM(J417,J424,J431)</f>
        <v>5046.023432450248</v>
      </c>
      <c r="K416" s="62">
        <f t="shared" ref="K416" si="225">SUM(K417,K424,K431)</f>
        <v>4791.6450679315049</v>
      </c>
      <c r="L416" s="62">
        <f t="shared" ref="L416" si="226">SUM(L417,L424,L431)</f>
        <v>3156.7687597972417</v>
      </c>
      <c r="M416" s="62">
        <f t="shared" ref="M416" si="227">SUM(M417,M424,M431)</f>
        <v>1308.4534358778942</v>
      </c>
      <c r="N416" s="62">
        <f t="shared" ref="N416" si="228">SUM(N417,N424,N431)</f>
        <v>2040.5939059890202</v>
      </c>
      <c r="O416" s="62">
        <f t="shared" ref="O416" si="229">SUM(O417,O424,O431)</f>
        <v>3128.9183916516827</v>
      </c>
      <c r="P416" s="62">
        <f t="shared" ref="P416" si="230">SUM(P417,P424,P431)</f>
        <v>1198.9933496104363</v>
      </c>
      <c r="Q416" s="62">
        <f t="shared" ref="Q416" si="231">SUM(Q417,Q424,Q431)</f>
        <v>943.94634104143756</v>
      </c>
      <c r="R416" s="62">
        <f t="shared" ref="R416" si="232">SUM(R417,R424,R431)</f>
        <v>5126.5031951550009</v>
      </c>
      <c r="S416" s="62">
        <f t="shared" ref="S416" si="233">SUM(S417,S424,S431)</f>
        <v>14780.404003324398</v>
      </c>
      <c r="T416" s="62">
        <f t="shared" ref="T416" si="234">SUM(T417,T424,T431)</f>
        <v>27645.665953668606</v>
      </c>
      <c r="U416" s="62">
        <f t="shared" ref="U416" si="235">SUM(U417,U424,U431)</f>
        <v>9247.997481204442</v>
      </c>
      <c r="V416" s="62">
        <f t="shared" ref="V416" si="236">SUM(V417,V424,V431)</f>
        <v>7249.048666915116</v>
      </c>
      <c r="W416" s="62">
        <f t="shared" ref="W416" si="237">SUM(W417,W424,W431)</f>
        <v>4420.0955961277486</v>
      </c>
      <c r="X416" s="62">
        <f t="shared" ref="X416" si="238">SUM(X417,X424,X431)</f>
        <v>574.23414109894611</v>
      </c>
      <c r="Y416" s="62">
        <f t="shared" ref="Y416" si="239">SUM(Y417,Y424,Y431)</f>
        <v>824.9349583751748</v>
      </c>
      <c r="Z416" s="62">
        <f t="shared" ref="Z416" si="240">SUM(Z417,Z424,Z431)</f>
        <v>1716.3198636715388</v>
      </c>
      <c r="AA416" s="62">
        <f t="shared" ref="AA416" si="241">SUM(AA417,AA424,AA431)</f>
        <v>2326.2193509967378</v>
      </c>
      <c r="AB416" s="62">
        <f t="shared" ref="AB416" si="242">SUM(AB417,AB424,AB431)</f>
        <v>1075.8244522885702</v>
      </c>
      <c r="AC416" s="62">
        <f t="shared" ref="AC416" si="243">SUM(AC417,AC424,AC431)</f>
        <v>1441.4055418775981</v>
      </c>
      <c r="AD416" s="62">
        <f t="shared" ref="AD416" si="244">SUM(AD417,AD424,AD431)</f>
        <v>6163.0910304954978</v>
      </c>
      <c r="AE416" s="62">
        <f t="shared" ref="AE416" si="245">SUM(AE417,AE424,AE431)</f>
        <v>8835.7211693541976</v>
      </c>
      <c r="AF416" s="62">
        <f t="shared" ref="AF416" si="246">SUM(AF417,AF424,AF431)</f>
        <v>3226.8348354196337</v>
      </c>
      <c r="AG416" s="62">
        <f t="shared" ref="AG416" si="247">SUM(AG417,AG424,AG431)</f>
        <v>6413.2603765573167</v>
      </c>
      <c r="AH416" s="62">
        <f t="shared" ref="AH416" si="248">SUM(AH417,AH424,AH431)</f>
        <v>3087.3018154797583</v>
      </c>
      <c r="AI416" s="62">
        <f t="shared" ref="AI416" si="249">SUM(AI417,AI424,AI431)</f>
        <v>7146.1559384217535</v>
      </c>
      <c r="AJ416" s="62">
        <f t="shared" ref="AJ416" si="250">SUM(AJ417,AJ424,AJ431)</f>
        <v>2105.8867098630726</v>
      </c>
      <c r="AK416" s="62">
        <f t="shared" ref="AK416" si="251">SUM(AK417,AK424,AK431)</f>
        <v>4183.8229043613683</v>
      </c>
    </row>
    <row r="417" spans="2:37" x14ac:dyDescent="0.35">
      <c r="B417" s="67">
        <f t="shared" si="218"/>
        <v>100444.30838001192</v>
      </c>
      <c r="C417" s="37" t="s">
        <v>77</v>
      </c>
      <c r="D417" s="62">
        <f>SUM(D418:D423)</f>
        <v>29053.772466075141</v>
      </c>
      <c r="E417" s="62">
        <f t="shared" ref="E417" si="252">SUM(E418:E423)</f>
        <v>4681.162569330425</v>
      </c>
      <c r="F417" s="62">
        <f t="shared" ref="F417" si="253">SUM(F418:F423)</f>
        <v>4306.8222826026276</v>
      </c>
      <c r="G417" s="62">
        <f t="shared" ref="G417" si="254">SUM(G418:G423)</f>
        <v>4474.4107560692837</v>
      </c>
      <c r="H417" s="62">
        <f t="shared" ref="H417" si="255">SUM(H418:H423)</f>
        <v>1266.96447698113</v>
      </c>
      <c r="I417" s="62">
        <f t="shared" ref="I417" si="256">SUM(I418:I423)</f>
        <v>3277.6713103600196</v>
      </c>
      <c r="J417" s="62">
        <f t="shared" ref="J417" si="257">SUM(J418:J423)</f>
        <v>1891.5215933965655</v>
      </c>
      <c r="K417" s="62">
        <f t="shared" ref="K417" si="258">SUM(K418:K423)</f>
        <v>1909.7834377497134</v>
      </c>
      <c r="L417" s="62">
        <f t="shared" ref="L417" si="259">SUM(L418:L423)</f>
        <v>1261.5286510040796</v>
      </c>
      <c r="M417" s="62">
        <f t="shared" ref="M417" si="260">SUM(M418:M423)</f>
        <v>508.56045053949515</v>
      </c>
      <c r="N417" s="62">
        <f t="shared" ref="N417" si="261">SUM(N418:N423)</f>
        <v>790.73004976960351</v>
      </c>
      <c r="O417" s="62">
        <f t="shared" ref="O417" si="262">SUM(O418:O423)</f>
        <v>1117.5960568403184</v>
      </c>
      <c r="P417" s="62">
        <f t="shared" ref="P417" si="263">SUM(P418:P423)</f>
        <v>451.52896942974485</v>
      </c>
      <c r="Q417" s="62">
        <f t="shared" ref="Q417" si="264">SUM(Q418:Q423)</f>
        <v>368.94764820433949</v>
      </c>
      <c r="R417" s="62">
        <f t="shared" ref="R417" si="265">SUM(R418:R423)</f>
        <v>1958.3410154306453</v>
      </c>
      <c r="S417" s="62">
        <f t="shared" ref="S417" si="266">SUM(S418:S423)</f>
        <v>5727.2165545750831</v>
      </c>
      <c r="T417" s="62">
        <f t="shared" ref="T417" si="267">SUM(T418:T423)</f>
        <v>10137.883017317061</v>
      </c>
      <c r="U417" s="62">
        <f t="shared" ref="U417" si="268">SUM(U418:U423)</f>
        <v>3618.6006352351351</v>
      </c>
      <c r="V417" s="62">
        <f t="shared" ref="V417" si="269">SUM(V418:V423)</f>
        <v>2904.6436228410985</v>
      </c>
      <c r="W417" s="62">
        <f t="shared" ref="W417" si="270">SUM(W418:W423)</f>
        <v>1737.114457016434</v>
      </c>
      <c r="X417" s="62">
        <f t="shared" ref="X417" si="271">SUM(X418:X423)</f>
        <v>218.22950272016661</v>
      </c>
      <c r="Y417" s="62">
        <f t="shared" ref="Y417" si="272">SUM(Y418:Y423)</f>
        <v>308.9670397842504</v>
      </c>
      <c r="Z417" s="62">
        <f t="shared" ref="Z417" si="273">SUM(Z418:Z423)</f>
        <v>623.77056443904564</v>
      </c>
      <c r="AA417" s="62">
        <f t="shared" ref="AA417" si="274">SUM(AA418:AA423)</f>
        <v>894.25895382624844</v>
      </c>
      <c r="AB417" s="62">
        <f t="shared" ref="AB417" si="275">SUM(AB418:AB423)</f>
        <v>417.90054746704197</v>
      </c>
      <c r="AC417" s="62">
        <f t="shared" ref="AC417" si="276">SUM(AC418:AC423)</f>
        <v>544.15301654712027</v>
      </c>
      <c r="AD417" s="62">
        <f t="shared" ref="AD417" si="277">SUM(AD418:AD423)</f>
        <v>2405.0883608068925</v>
      </c>
      <c r="AE417" s="62">
        <f t="shared" ref="AE417" si="278">SUM(AE418:AE423)</f>
        <v>3486.2729775211328</v>
      </c>
      <c r="AF417" s="62">
        <f t="shared" ref="AF417" si="279">SUM(AF418:AF423)</f>
        <v>1298.1945387418918</v>
      </c>
      <c r="AG417" s="62">
        <f t="shared" ref="AG417" si="280">SUM(AG418:AG423)</f>
        <v>2480.5736994206686</v>
      </c>
      <c r="AH417" s="62">
        <f t="shared" ref="AH417" si="281">SUM(AH418:AH423)</f>
        <v>1159.2981414165097</v>
      </c>
      <c r="AI417" s="62">
        <f t="shared" ref="AI417" si="282">SUM(AI418:AI423)</f>
        <v>2778.9726547652863</v>
      </c>
      <c r="AJ417" s="62">
        <f t="shared" ref="AJ417" si="283">SUM(AJ418:AJ423)</f>
        <v>779.35355259430116</v>
      </c>
      <c r="AK417" s="62">
        <f t="shared" ref="AK417" si="284">SUM(AK418:AK423)</f>
        <v>1604.474809193387</v>
      </c>
    </row>
    <row r="418" spans="2:37" x14ac:dyDescent="0.35">
      <c r="B418" s="67">
        <f t="shared" si="218"/>
        <v>54843.816299152502</v>
      </c>
      <c r="C418" s="39" t="s">
        <v>93</v>
      </c>
      <c r="D418" s="61">
        <f>D303/D73*10^6</f>
        <v>16072.725559433891</v>
      </c>
      <c r="E418" s="61">
        <f t="shared" ref="E418:AK418" si="285">E303/E73*10^6</f>
        <v>2508.6079126088598</v>
      </c>
      <c r="F418" s="61">
        <f t="shared" si="285"/>
        <v>2417.0960633493846</v>
      </c>
      <c r="G418" s="61">
        <f t="shared" si="285"/>
        <v>2527.5840394171951</v>
      </c>
      <c r="H418" s="61">
        <f t="shared" si="285"/>
        <v>671.83586901516605</v>
      </c>
      <c r="I418" s="61">
        <f t="shared" si="285"/>
        <v>1668.4292469947338</v>
      </c>
      <c r="J418" s="61">
        <f t="shared" si="285"/>
        <v>1045.9452413100444</v>
      </c>
      <c r="K418" s="61">
        <f t="shared" si="285"/>
        <v>1018.8325467418234</v>
      </c>
      <c r="L418" s="61">
        <f t="shared" si="285"/>
        <v>721.01102033557606</v>
      </c>
      <c r="M418" s="61">
        <f t="shared" si="285"/>
        <v>283.19993578306412</v>
      </c>
      <c r="N418" s="61">
        <f t="shared" si="285"/>
        <v>415.70842891174902</v>
      </c>
      <c r="O418" s="61">
        <f t="shared" si="285"/>
        <v>620.7677007694798</v>
      </c>
      <c r="P418" s="61">
        <f t="shared" si="285"/>
        <v>236.2080700949243</v>
      </c>
      <c r="Q418" s="61">
        <f t="shared" si="285"/>
        <v>201.945401825565</v>
      </c>
      <c r="R418" s="61">
        <f t="shared" si="285"/>
        <v>1098.4418896089774</v>
      </c>
      <c r="S418" s="61">
        <f t="shared" si="285"/>
        <v>3117.2492033975905</v>
      </c>
      <c r="T418" s="61">
        <f t="shared" si="285"/>
        <v>5387.1583320321415</v>
      </c>
      <c r="U418" s="61">
        <f t="shared" si="285"/>
        <v>2002.43573675626</v>
      </c>
      <c r="V418" s="61">
        <f t="shared" si="285"/>
        <v>1544.9489964578788</v>
      </c>
      <c r="W418" s="61">
        <f t="shared" si="285"/>
        <v>921.8036962228183</v>
      </c>
      <c r="X418" s="61">
        <f t="shared" si="285"/>
        <v>121.60962270445334</v>
      </c>
      <c r="Y418" s="61">
        <f t="shared" si="285"/>
        <v>172.8462774492223</v>
      </c>
      <c r="Z418" s="61">
        <f t="shared" si="285"/>
        <v>338.41675125686641</v>
      </c>
      <c r="AA418" s="61">
        <f t="shared" si="285"/>
        <v>468.94444973514749</v>
      </c>
      <c r="AB418" s="61">
        <f t="shared" si="285"/>
        <v>222.00455896848547</v>
      </c>
      <c r="AC418" s="61">
        <f t="shared" si="285"/>
        <v>304.50579595017274</v>
      </c>
      <c r="AD418" s="61">
        <f t="shared" si="285"/>
        <v>1384.2270371805005</v>
      </c>
      <c r="AE418" s="61">
        <f t="shared" si="285"/>
        <v>1903.7983218106012</v>
      </c>
      <c r="AF418" s="61">
        <f t="shared" si="285"/>
        <v>656.74757788698923</v>
      </c>
      <c r="AG418" s="61">
        <f t="shared" si="285"/>
        <v>1362.5861696707034</v>
      </c>
      <c r="AH418" s="61">
        <f t="shared" si="285"/>
        <v>674.06574032868116</v>
      </c>
      <c r="AI418" s="61">
        <f t="shared" si="285"/>
        <v>1456.9854949118546</v>
      </c>
      <c r="AJ418" s="61">
        <f t="shared" si="285"/>
        <v>419.11122826291466</v>
      </c>
      <c r="AK418" s="61">
        <f t="shared" si="285"/>
        <v>876.03238196877794</v>
      </c>
    </row>
    <row r="419" spans="2:37" x14ac:dyDescent="0.35">
      <c r="B419" s="67">
        <f t="shared" si="218"/>
        <v>14145.121883686437</v>
      </c>
      <c r="C419" s="39" t="s">
        <v>94</v>
      </c>
      <c r="D419" s="61">
        <f t="shared" ref="D419:AK419" si="286">D304/D74*10^6</f>
        <v>4054.2044703034312</v>
      </c>
      <c r="E419" s="61">
        <f t="shared" si="286"/>
        <v>723.20491307496593</v>
      </c>
      <c r="F419" s="61">
        <f t="shared" si="286"/>
        <v>547.14662496595122</v>
      </c>
      <c r="G419" s="61">
        <f t="shared" si="286"/>
        <v>578.30823500797567</v>
      </c>
      <c r="H419" s="61">
        <f t="shared" si="286"/>
        <v>185.1337111286351</v>
      </c>
      <c r="I419" s="61">
        <f t="shared" si="286"/>
        <v>514.20882771526328</v>
      </c>
      <c r="J419" s="61">
        <f t="shared" si="286"/>
        <v>282.8101566870007</v>
      </c>
      <c r="K419" s="61">
        <f t="shared" si="286"/>
        <v>289.57453425883625</v>
      </c>
      <c r="L419" s="61">
        <f t="shared" si="286"/>
        <v>187.31668950474895</v>
      </c>
      <c r="M419" s="61">
        <f t="shared" si="286"/>
        <v>79.412089968584183</v>
      </c>
      <c r="N419" s="61">
        <f t="shared" si="286"/>
        <v>116.31862203748102</v>
      </c>
      <c r="O419" s="61">
        <f t="shared" si="286"/>
        <v>151.3401560894398</v>
      </c>
      <c r="P419" s="61">
        <f t="shared" si="286"/>
        <v>70.653395182036363</v>
      </c>
      <c r="Q419" s="61">
        <f t="shared" si="286"/>
        <v>53.814198474558331</v>
      </c>
      <c r="R419" s="61">
        <f t="shared" si="286"/>
        <v>248.38791008836554</v>
      </c>
      <c r="S419" s="61">
        <f t="shared" si="286"/>
        <v>860.33869047134203</v>
      </c>
      <c r="T419" s="61">
        <f t="shared" si="286"/>
        <v>1321.2794225430971</v>
      </c>
      <c r="U419" s="61">
        <f t="shared" si="286"/>
        <v>520.0350745662796</v>
      </c>
      <c r="V419" s="61">
        <f t="shared" si="286"/>
        <v>422.24450119859029</v>
      </c>
      <c r="W419" s="61">
        <f t="shared" si="286"/>
        <v>250.45715095499079</v>
      </c>
      <c r="X419" s="61">
        <f t="shared" si="286"/>
        <v>33.12955516428098</v>
      </c>
      <c r="Y419" s="61">
        <f t="shared" si="286"/>
        <v>39.14917729479869</v>
      </c>
      <c r="Z419" s="61">
        <f t="shared" si="286"/>
        <v>81.109402312289632</v>
      </c>
      <c r="AA419" s="61">
        <f t="shared" si="286"/>
        <v>119.90453252991372</v>
      </c>
      <c r="AB419" s="61">
        <f t="shared" si="286"/>
        <v>56.919806158719055</v>
      </c>
      <c r="AC419" s="61">
        <f t="shared" si="286"/>
        <v>77.940239453208022</v>
      </c>
      <c r="AD419" s="61">
        <f t="shared" si="286"/>
        <v>305.9436601510215</v>
      </c>
      <c r="AE419" s="61">
        <f t="shared" si="286"/>
        <v>499.67681542421309</v>
      </c>
      <c r="AF419" s="61">
        <f t="shared" si="286"/>
        <v>201.59700039241838</v>
      </c>
      <c r="AG419" s="61">
        <f t="shared" si="286"/>
        <v>358.73927714922638</v>
      </c>
      <c r="AH419" s="61">
        <f t="shared" si="286"/>
        <v>144.91003563361957</v>
      </c>
      <c r="AI419" s="61">
        <f t="shared" si="286"/>
        <v>424.55783971100766</v>
      </c>
      <c r="AJ419" s="61">
        <f t="shared" si="286"/>
        <v>115.7888793637898</v>
      </c>
      <c r="AK419" s="61">
        <f t="shared" si="286"/>
        <v>229.56628872635389</v>
      </c>
    </row>
    <row r="420" spans="2:37" x14ac:dyDescent="0.35">
      <c r="B420" s="67">
        <f t="shared" si="218"/>
        <v>10899.393363914691</v>
      </c>
      <c r="C420" s="39" t="s">
        <v>95</v>
      </c>
      <c r="D420" s="61">
        <f t="shared" ref="D420:AK420" si="287">D305/D75*10^6</f>
        <v>3100.337251531284</v>
      </c>
      <c r="E420" s="61">
        <f t="shared" si="287"/>
        <v>453.44158636224114</v>
      </c>
      <c r="F420" s="61">
        <f t="shared" si="287"/>
        <v>481.27585192583842</v>
      </c>
      <c r="G420" s="61">
        <f t="shared" si="287"/>
        <v>444.45366814350291</v>
      </c>
      <c r="H420" s="61">
        <f t="shared" si="287"/>
        <v>139.94645056228742</v>
      </c>
      <c r="I420" s="61">
        <f t="shared" si="287"/>
        <v>376.10090506772224</v>
      </c>
      <c r="J420" s="61">
        <f t="shared" si="287"/>
        <v>195.42343747884061</v>
      </c>
      <c r="K420" s="61">
        <f t="shared" si="287"/>
        <v>235.07927667915857</v>
      </c>
      <c r="L420" s="61">
        <f t="shared" si="287"/>
        <v>124.27645333305895</v>
      </c>
      <c r="M420" s="61">
        <f t="shared" si="287"/>
        <v>46.709115186085974</v>
      </c>
      <c r="N420" s="61">
        <f t="shared" si="287"/>
        <v>91.305986818357809</v>
      </c>
      <c r="O420" s="61">
        <f t="shared" si="287"/>
        <v>125.54081631855013</v>
      </c>
      <c r="P420" s="61">
        <f t="shared" si="287"/>
        <v>55.513238778177012</v>
      </c>
      <c r="Q420" s="61">
        <f t="shared" si="287"/>
        <v>36.691608755296912</v>
      </c>
      <c r="R420" s="61">
        <f t="shared" si="287"/>
        <v>187.51924785680362</v>
      </c>
      <c r="S420" s="61">
        <f t="shared" si="287"/>
        <v>521.68779561055169</v>
      </c>
      <c r="T420" s="61">
        <f t="shared" si="287"/>
        <v>1233.8506985260228</v>
      </c>
      <c r="U420" s="61">
        <f t="shared" si="287"/>
        <v>415.31760627761201</v>
      </c>
      <c r="V420" s="61">
        <f t="shared" si="287"/>
        <v>349.36098227472422</v>
      </c>
      <c r="W420" s="61">
        <f t="shared" si="287"/>
        <v>213.24380568499876</v>
      </c>
      <c r="X420" s="61">
        <f t="shared" si="287"/>
        <v>21.706850204521217</v>
      </c>
      <c r="Y420" s="61">
        <f t="shared" si="287"/>
        <v>30.69825382279117</v>
      </c>
      <c r="Z420" s="61">
        <f t="shared" si="287"/>
        <v>76.868633524587409</v>
      </c>
      <c r="AA420" s="61">
        <f t="shared" si="287"/>
        <v>105.64641867722897</v>
      </c>
      <c r="AB420" s="61">
        <f t="shared" si="287"/>
        <v>51.124050524422337</v>
      </c>
      <c r="AC420" s="61">
        <f t="shared" si="287"/>
        <v>51.011311327897836</v>
      </c>
      <c r="AD420" s="61">
        <f t="shared" si="287"/>
        <v>230.07850655868916</v>
      </c>
      <c r="AE420" s="61">
        <f t="shared" si="287"/>
        <v>382.56366548359875</v>
      </c>
      <c r="AF420" s="61">
        <f t="shared" si="287"/>
        <v>157.57474030391089</v>
      </c>
      <c r="AG420" s="61">
        <f t="shared" si="287"/>
        <v>256.086877468529</v>
      </c>
      <c r="AH420" s="61">
        <f t="shared" si="287"/>
        <v>118.40819301823565</v>
      </c>
      <c r="AI420" s="61">
        <f t="shared" si="287"/>
        <v>305.35928229528764</v>
      </c>
      <c r="AJ420" s="61">
        <f t="shared" si="287"/>
        <v>92.306799415660464</v>
      </c>
      <c r="AK420" s="61">
        <f t="shared" si="287"/>
        <v>192.8839981182154</v>
      </c>
    </row>
    <row r="421" spans="2:37" x14ac:dyDescent="0.35">
      <c r="B421" s="67">
        <f t="shared" si="218"/>
        <v>5972.7081805719454</v>
      </c>
      <c r="C421" s="39" t="s">
        <v>96</v>
      </c>
      <c r="D421" s="61">
        <f t="shared" ref="D421:AK421" si="288">D306/D76*10^6</f>
        <v>1679.2996421138314</v>
      </c>
      <c r="E421" s="61">
        <f t="shared" si="288"/>
        <v>250.60474643776672</v>
      </c>
      <c r="F421" s="61">
        <f t="shared" si="288"/>
        <v>205.96992186307301</v>
      </c>
      <c r="G421" s="61">
        <f t="shared" si="288"/>
        <v>279.58265988437722</v>
      </c>
      <c r="H421" s="61">
        <f t="shared" si="288"/>
        <v>85.658063365126111</v>
      </c>
      <c r="I421" s="61">
        <f t="shared" si="288"/>
        <v>207.04794839999516</v>
      </c>
      <c r="J421" s="61">
        <f t="shared" si="288"/>
        <v>90.938593848471143</v>
      </c>
      <c r="K421" s="61">
        <f t="shared" si="288"/>
        <v>103.2352353979536</v>
      </c>
      <c r="L421" s="61">
        <f t="shared" si="288"/>
        <v>62.721884126129012</v>
      </c>
      <c r="M421" s="61">
        <f t="shared" si="288"/>
        <v>25.763823991453879</v>
      </c>
      <c r="N421" s="61">
        <f t="shared" si="288"/>
        <v>52.754335187102534</v>
      </c>
      <c r="O421" s="61">
        <f t="shared" si="288"/>
        <v>69.549150411559793</v>
      </c>
      <c r="P421" s="61">
        <f t="shared" si="288"/>
        <v>27.265099567902876</v>
      </c>
      <c r="Q421" s="61">
        <f t="shared" si="288"/>
        <v>25.18794976790943</v>
      </c>
      <c r="R421" s="61">
        <f t="shared" si="288"/>
        <v>126.8289111229529</v>
      </c>
      <c r="S421" s="61">
        <f t="shared" si="288"/>
        <v>388.68092307283484</v>
      </c>
      <c r="T421" s="61">
        <f t="shared" si="288"/>
        <v>657.19869932038353</v>
      </c>
      <c r="U421" s="61">
        <f t="shared" si="288"/>
        <v>207.04690891163003</v>
      </c>
      <c r="V421" s="61">
        <f t="shared" si="288"/>
        <v>176.79980253567751</v>
      </c>
      <c r="W421" s="61">
        <f t="shared" si="288"/>
        <v>101.15655147362791</v>
      </c>
      <c r="X421" s="61">
        <f t="shared" si="288"/>
        <v>14.547658643481817</v>
      </c>
      <c r="Y421" s="61">
        <f t="shared" si="288"/>
        <v>15.017785493235753</v>
      </c>
      <c r="Z421" s="61">
        <f t="shared" si="288"/>
        <v>39.764323849542095</v>
      </c>
      <c r="AA421" s="61">
        <f t="shared" si="288"/>
        <v>60.590681381459575</v>
      </c>
      <c r="AB421" s="61">
        <f t="shared" si="288"/>
        <v>21.837592935207862</v>
      </c>
      <c r="AC421" s="61">
        <f t="shared" si="288"/>
        <v>36.932943675745904</v>
      </c>
      <c r="AD421" s="61">
        <f t="shared" si="288"/>
        <v>146.55632535330423</v>
      </c>
      <c r="AE421" s="61">
        <f t="shared" si="288"/>
        <v>206.91770142466137</v>
      </c>
      <c r="AF421" s="61">
        <f t="shared" si="288"/>
        <v>87.06294167567502</v>
      </c>
      <c r="AG421" s="61">
        <f t="shared" si="288"/>
        <v>158.25998009949566</v>
      </c>
      <c r="AH421" s="61">
        <f t="shared" si="288"/>
        <v>56.514109662262513</v>
      </c>
      <c r="AI421" s="61">
        <f t="shared" si="288"/>
        <v>174.91797522208742</v>
      </c>
      <c r="AJ421" s="61">
        <f t="shared" si="288"/>
        <v>51.906876286432713</v>
      </c>
      <c r="AK421" s="61">
        <f t="shared" si="288"/>
        <v>78.590434069593911</v>
      </c>
    </row>
    <row r="422" spans="2:37" x14ac:dyDescent="0.35">
      <c r="B422" s="67">
        <f t="shared" si="218"/>
        <v>7947.5907545339278</v>
      </c>
      <c r="C422" s="39" t="s">
        <v>97</v>
      </c>
      <c r="D422" s="61">
        <f t="shared" ref="D422:AK422" si="289">D307/D77*10^6</f>
        <v>2280.0442945053151</v>
      </c>
      <c r="E422" s="61">
        <f t="shared" si="289"/>
        <v>393.43607489005501</v>
      </c>
      <c r="F422" s="61">
        <f t="shared" si="289"/>
        <v>349.68374769164575</v>
      </c>
      <c r="G422" s="61">
        <f t="shared" si="289"/>
        <v>400.10802381686216</v>
      </c>
      <c r="H422" s="61">
        <f t="shared" si="289"/>
        <v>99.664940088307844</v>
      </c>
      <c r="I422" s="61">
        <f t="shared" si="289"/>
        <v>264.39008718936924</v>
      </c>
      <c r="J422" s="61">
        <f t="shared" si="289"/>
        <v>140.46576519509807</v>
      </c>
      <c r="K422" s="61">
        <f t="shared" si="289"/>
        <v>135.82609020038296</v>
      </c>
      <c r="L422" s="61">
        <f t="shared" si="289"/>
        <v>83.792270384038432</v>
      </c>
      <c r="M422" s="61">
        <f t="shared" si="289"/>
        <v>38.635340661764452</v>
      </c>
      <c r="N422" s="61">
        <f t="shared" si="289"/>
        <v>55.248326714648634</v>
      </c>
      <c r="O422" s="61">
        <f t="shared" si="289"/>
        <v>78.122204816152845</v>
      </c>
      <c r="P422" s="61">
        <f t="shared" si="289"/>
        <v>38.141880721713584</v>
      </c>
      <c r="Q422" s="61">
        <f t="shared" si="289"/>
        <v>29.56720664812358</v>
      </c>
      <c r="R422" s="61">
        <f t="shared" si="289"/>
        <v>153.52975607093131</v>
      </c>
      <c r="S422" s="61">
        <f t="shared" si="289"/>
        <v>417.96040990107446</v>
      </c>
      <c r="T422" s="61">
        <f t="shared" si="289"/>
        <v>827.5557843190129</v>
      </c>
      <c r="U422" s="61">
        <f t="shared" si="289"/>
        <v>242.78591218105481</v>
      </c>
      <c r="V422" s="61">
        <f t="shared" si="289"/>
        <v>247.60180838760047</v>
      </c>
      <c r="W422" s="61">
        <f t="shared" si="289"/>
        <v>158.60977765382623</v>
      </c>
      <c r="X422" s="61">
        <f t="shared" si="289"/>
        <v>14.679832740274628</v>
      </c>
      <c r="Y422" s="61">
        <f t="shared" si="289"/>
        <v>27.568507069752805</v>
      </c>
      <c r="Z422" s="61">
        <f t="shared" si="289"/>
        <v>53.501648753097761</v>
      </c>
      <c r="AA422" s="61">
        <f t="shared" si="289"/>
        <v>75.801350270856602</v>
      </c>
      <c r="AB422" s="61">
        <f t="shared" si="289"/>
        <v>34.506145429179099</v>
      </c>
      <c r="AC422" s="61">
        <f t="shared" si="289"/>
        <v>39.095105977620328</v>
      </c>
      <c r="AD422" s="61">
        <f t="shared" si="289"/>
        <v>197.49298908503772</v>
      </c>
      <c r="AE422" s="61">
        <f t="shared" si="289"/>
        <v>307.90164324908432</v>
      </c>
      <c r="AF422" s="61">
        <f t="shared" si="289"/>
        <v>108.88806655816188</v>
      </c>
      <c r="AG422" s="61">
        <f t="shared" si="289"/>
        <v>172.4506589720142</v>
      </c>
      <c r="AH422" s="61">
        <f t="shared" si="289"/>
        <v>100.67805579888203</v>
      </c>
      <c r="AI422" s="61">
        <f t="shared" si="289"/>
        <v>214.0837073879928</v>
      </c>
      <c r="AJ422" s="61">
        <f t="shared" si="289"/>
        <v>59.249059698045954</v>
      </c>
      <c r="AK422" s="61">
        <f t="shared" si="289"/>
        <v>106.52428150694827</v>
      </c>
    </row>
    <row r="423" spans="2:37" x14ac:dyDescent="0.35">
      <c r="B423" s="67">
        <f t="shared" si="218"/>
        <v>6635.6778981523994</v>
      </c>
      <c r="C423" s="39" t="s">
        <v>98</v>
      </c>
      <c r="D423" s="61">
        <f t="shared" ref="D423:AK423" si="290">D308/D78*10^6</f>
        <v>1867.1612481873888</v>
      </c>
      <c r="E423" s="61">
        <f t="shared" si="290"/>
        <v>351.86733595653686</v>
      </c>
      <c r="F423" s="61">
        <f t="shared" si="290"/>
        <v>305.65007280673433</v>
      </c>
      <c r="G423" s="61">
        <f t="shared" si="290"/>
        <v>244.37412979937014</v>
      </c>
      <c r="H423" s="61">
        <f t="shared" si="290"/>
        <v>84.725442821607558</v>
      </c>
      <c r="I423" s="61">
        <f t="shared" si="290"/>
        <v>247.49429499293595</v>
      </c>
      <c r="J423" s="61">
        <f t="shared" si="290"/>
        <v>135.93839887711053</v>
      </c>
      <c r="K423" s="61">
        <f t="shared" si="290"/>
        <v>127.23575447155875</v>
      </c>
      <c r="L423" s="61">
        <f t="shared" si="290"/>
        <v>82.410333320528323</v>
      </c>
      <c r="M423" s="61">
        <f t="shared" si="290"/>
        <v>34.840144948542566</v>
      </c>
      <c r="N423" s="61">
        <f t="shared" si="290"/>
        <v>59.39435010026439</v>
      </c>
      <c r="O423" s="61">
        <f t="shared" si="290"/>
        <v>72.276028435135999</v>
      </c>
      <c r="P423" s="61">
        <f t="shared" si="290"/>
        <v>23.747285084990718</v>
      </c>
      <c r="Q423" s="61">
        <f t="shared" si="290"/>
        <v>21.741282732886194</v>
      </c>
      <c r="R423" s="61">
        <f t="shared" si="290"/>
        <v>143.63330068261467</v>
      </c>
      <c r="S423" s="61">
        <f t="shared" si="290"/>
        <v>421.29953212168937</v>
      </c>
      <c r="T423" s="61">
        <f t="shared" si="290"/>
        <v>710.84008057640267</v>
      </c>
      <c r="U423" s="61">
        <f t="shared" si="290"/>
        <v>230.97939654229859</v>
      </c>
      <c r="V423" s="61">
        <f t="shared" si="290"/>
        <v>163.68753198662731</v>
      </c>
      <c r="W423" s="61">
        <f t="shared" si="290"/>
        <v>91.843475026172072</v>
      </c>
      <c r="X423" s="61">
        <f t="shared" si="290"/>
        <v>12.555983263154628</v>
      </c>
      <c r="Y423" s="61">
        <f t="shared" si="290"/>
        <v>23.687038654449683</v>
      </c>
      <c r="Z423" s="61">
        <f t="shared" si="290"/>
        <v>34.109804742662384</v>
      </c>
      <c r="AA423" s="61">
        <f t="shared" si="290"/>
        <v>63.371521231642063</v>
      </c>
      <c r="AB423" s="61">
        <f t="shared" si="290"/>
        <v>31.508393451028184</v>
      </c>
      <c r="AC423" s="61">
        <f t="shared" si="290"/>
        <v>34.667620162475536</v>
      </c>
      <c r="AD423" s="61">
        <f t="shared" si="290"/>
        <v>140.78984247833924</v>
      </c>
      <c r="AE423" s="61">
        <f t="shared" si="290"/>
        <v>185.41483012897388</v>
      </c>
      <c r="AF423" s="61">
        <f t="shared" si="290"/>
        <v>86.324211924736375</v>
      </c>
      <c r="AG423" s="61">
        <f t="shared" si="290"/>
        <v>172.45073606069994</v>
      </c>
      <c r="AH423" s="61">
        <f t="shared" si="290"/>
        <v>64.722006974828744</v>
      </c>
      <c r="AI423" s="61">
        <f t="shared" si="290"/>
        <v>203.06835523705536</v>
      </c>
      <c r="AJ423" s="61">
        <f t="shared" si="290"/>
        <v>40.990709567457543</v>
      </c>
      <c r="AK423" s="61">
        <f t="shared" si="290"/>
        <v>120.87742480349759</v>
      </c>
    </row>
    <row r="424" spans="2:37" x14ac:dyDescent="0.35">
      <c r="B424" s="67">
        <f t="shared" si="218"/>
        <v>115413.81407231909</v>
      </c>
      <c r="C424" s="37" t="s">
        <v>78</v>
      </c>
      <c r="D424" s="62">
        <f>SUM(D425:D430)</f>
        <v>33892.619629210079</v>
      </c>
      <c r="E424" s="62">
        <f t="shared" ref="E424" si="291">SUM(E425:E430)</f>
        <v>5660.4534803505776</v>
      </c>
      <c r="F424" s="62">
        <f t="shared" ref="F424" si="292">SUM(F425:F430)</f>
        <v>4797.6010416034669</v>
      </c>
      <c r="G424" s="62">
        <f t="shared" ref="G424" si="293">SUM(G425:G430)</f>
        <v>5140.3513081226902</v>
      </c>
      <c r="H424" s="62">
        <f t="shared" ref="H424" si="294">SUM(H425:H430)</f>
        <v>1390.5687421729342</v>
      </c>
      <c r="I424" s="62">
        <f t="shared" ref="I424" si="295">SUM(I425:I430)</f>
        <v>3864.7408875469441</v>
      </c>
      <c r="J424" s="62">
        <f t="shared" ref="J424" si="296">SUM(J425:J430)</f>
        <v>2245.7021044309845</v>
      </c>
      <c r="K424" s="62">
        <f t="shared" ref="K424" si="297">SUM(K425:K430)</f>
        <v>2093.4526504706682</v>
      </c>
      <c r="L424" s="62">
        <f t="shared" ref="L424" si="298">SUM(L425:L430)</f>
        <v>1349.9433146198328</v>
      </c>
      <c r="M424" s="62">
        <f t="shared" ref="M424" si="299">SUM(M425:M430)</f>
        <v>576.67938088779374</v>
      </c>
      <c r="N424" s="62">
        <f t="shared" ref="N424" si="300">SUM(N425:N430)</f>
        <v>867.38433719679074</v>
      </c>
      <c r="O424" s="62">
        <f t="shared" ref="O424" si="301">SUM(O425:O430)</f>
        <v>1421.1221222873255</v>
      </c>
      <c r="P424" s="62">
        <f t="shared" ref="P424" si="302">SUM(P425:P430)</f>
        <v>523.15695102894119</v>
      </c>
      <c r="Q424" s="62">
        <f t="shared" ref="Q424" si="303">SUM(Q425:Q430)</f>
        <v>414.2043306356033</v>
      </c>
      <c r="R424" s="62">
        <f t="shared" ref="R424" si="304">SUM(R425:R430)</f>
        <v>2216.2483678241661</v>
      </c>
      <c r="S424" s="62">
        <f t="shared" ref="S424" si="305">SUM(S425:S430)</f>
        <v>6548.7201400935137</v>
      </c>
      <c r="T424" s="62">
        <f t="shared" ref="T424" si="306">SUM(T425:T430)</f>
        <v>12046.664627218503</v>
      </c>
      <c r="U424" s="62">
        <f t="shared" ref="U424" si="307">SUM(U425:U430)</f>
        <v>3963.8817586386317</v>
      </c>
      <c r="V424" s="62">
        <f t="shared" ref="V424" si="308">SUM(V425:V430)</f>
        <v>3096.4583012188609</v>
      </c>
      <c r="W424" s="62">
        <f t="shared" ref="W424" si="309">SUM(W425:W430)</f>
        <v>1890.2211253944265</v>
      </c>
      <c r="X424" s="62">
        <f t="shared" ref="X424" si="310">SUM(X425:X430)</f>
        <v>252.34914597429545</v>
      </c>
      <c r="Y424" s="62">
        <f t="shared" ref="Y424" si="311">SUM(Y425:Y430)</f>
        <v>370.27029021773461</v>
      </c>
      <c r="Z424" s="62">
        <f t="shared" ref="Z424" si="312">SUM(Z425:Z430)</f>
        <v>773.39592582782427</v>
      </c>
      <c r="AA424" s="62">
        <f t="shared" ref="AA424" si="313">SUM(AA425:AA430)</f>
        <v>999.64506939417561</v>
      </c>
      <c r="AB424" s="62">
        <f t="shared" ref="AB424" si="314">SUM(AB425:AB430)</f>
        <v>471.65164602528222</v>
      </c>
      <c r="AC424" s="62">
        <f t="shared" ref="AC424" si="315">SUM(AC425:AC430)</f>
        <v>624.38431728350008</v>
      </c>
      <c r="AD424" s="62">
        <f t="shared" ref="AD424" si="316">SUM(AD425:AD430)</f>
        <v>2678.2960329850198</v>
      </c>
      <c r="AE424" s="62">
        <f t="shared" ref="AE424" si="317">SUM(AE425:AE430)</f>
        <v>3883.2341279670018</v>
      </c>
      <c r="AF424" s="62">
        <f t="shared" ref="AF424" si="318">SUM(AF425:AF430)</f>
        <v>1379.9293769449</v>
      </c>
      <c r="AG424" s="62">
        <f t="shared" ref="AG424" si="319">SUM(AG425:AG430)</f>
        <v>2754.587237220961</v>
      </c>
      <c r="AH424" s="62">
        <f t="shared" ref="AH424" si="320">SUM(AH425:AH430)</f>
        <v>1366.0497587406835</v>
      </c>
      <c r="AI424" s="62">
        <f t="shared" ref="AI424" si="321">SUM(AI425:AI430)</f>
        <v>3080.926013027819</v>
      </c>
      <c r="AJ424" s="62">
        <f t="shared" ref="AJ424" si="322">SUM(AJ425:AJ430)</f>
        <v>941.91608424127526</v>
      </c>
      <c r="AK424" s="62">
        <f t="shared" ref="AK424" si="323">SUM(AK425:AK430)</f>
        <v>1837.0044455158841</v>
      </c>
    </row>
    <row r="425" spans="2:37" x14ac:dyDescent="0.35">
      <c r="B425" s="67">
        <f t="shared" si="218"/>
        <v>63789.314083144323</v>
      </c>
      <c r="C425" s="39" t="s">
        <v>93</v>
      </c>
      <c r="D425" s="61">
        <f t="shared" ref="D425:AK425" si="324">D310/D80*10^6</f>
        <v>18936.532906108408</v>
      </c>
      <c r="E425" s="61">
        <f t="shared" si="324"/>
        <v>3213.4315321928161</v>
      </c>
      <c r="F425" s="61">
        <f t="shared" si="324"/>
        <v>2558.8382910361106</v>
      </c>
      <c r="G425" s="61">
        <f t="shared" si="324"/>
        <v>2993.2900212302602</v>
      </c>
      <c r="H425" s="61">
        <f t="shared" si="324"/>
        <v>744.19403027551368</v>
      </c>
      <c r="I425" s="61">
        <f t="shared" si="324"/>
        <v>2127.1538352870457</v>
      </c>
      <c r="J425" s="61">
        <f t="shared" si="324"/>
        <v>1238.1612785735031</v>
      </c>
      <c r="K425" s="61">
        <f t="shared" si="324"/>
        <v>1199.3685835418169</v>
      </c>
      <c r="L425" s="61">
        <f t="shared" si="324"/>
        <v>737.29710809154642</v>
      </c>
      <c r="M425" s="61">
        <f t="shared" si="324"/>
        <v>309.14306707290581</v>
      </c>
      <c r="N425" s="61">
        <f t="shared" si="324"/>
        <v>483.9882837091169</v>
      </c>
      <c r="O425" s="61">
        <f t="shared" si="324"/>
        <v>750.97319153796479</v>
      </c>
      <c r="P425" s="61">
        <f t="shared" si="324"/>
        <v>292.15298742575891</v>
      </c>
      <c r="Q425" s="61">
        <f t="shared" si="324"/>
        <v>219.4080911500119</v>
      </c>
      <c r="R425" s="61">
        <f t="shared" si="324"/>
        <v>1232.82969246792</v>
      </c>
      <c r="S425" s="61">
        <f t="shared" si="324"/>
        <v>3525.5699144902605</v>
      </c>
      <c r="T425" s="61">
        <f t="shared" si="324"/>
        <v>6553.0009692739504</v>
      </c>
      <c r="U425" s="61">
        <f t="shared" si="324"/>
        <v>2254.6278084605979</v>
      </c>
      <c r="V425" s="61">
        <f t="shared" si="324"/>
        <v>1668.0569682125868</v>
      </c>
      <c r="W425" s="61">
        <f t="shared" si="324"/>
        <v>1107.4643124346394</v>
      </c>
      <c r="X425" s="61">
        <f t="shared" si="324"/>
        <v>140.0206894574365</v>
      </c>
      <c r="Y425" s="61">
        <f t="shared" si="324"/>
        <v>205.72619318865605</v>
      </c>
      <c r="Z425" s="61">
        <f t="shared" si="324"/>
        <v>429.57373329691501</v>
      </c>
      <c r="AA425" s="61">
        <f t="shared" si="324"/>
        <v>530.96120083355345</v>
      </c>
      <c r="AB425" s="61">
        <f t="shared" si="324"/>
        <v>249.19701305287154</v>
      </c>
      <c r="AC425" s="61">
        <f t="shared" si="324"/>
        <v>357.83941894510349</v>
      </c>
      <c r="AD425" s="61">
        <f t="shared" si="324"/>
        <v>1454.4928529973251</v>
      </c>
      <c r="AE425" s="61">
        <f t="shared" si="324"/>
        <v>2098.32325472608</v>
      </c>
      <c r="AF425" s="61">
        <f t="shared" si="324"/>
        <v>726.4122826885723</v>
      </c>
      <c r="AG425" s="61">
        <f t="shared" si="324"/>
        <v>1484.8950359980329</v>
      </c>
      <c r="AH425" s="61">
        <f t="shared" si="324"/>
        <v>765.24513814062516</v>
      </c>
      <c r="AI425" s="61">
        <f t="shared" si="324"/>
        <v>1661.0512242788593</v>
      </c>
      <c r="AJ425" s="61">
        <f t="shared" si="324"/>
        <v>538.6832902671697</v>
      </c>
      <c r="AK425" s="61">
        <f t="shared" si="324"/>
        <v>1001.4098827003959</v>
      </c>
    </row>
    <row r="426" spans="2:37" x14ac:dyDescent="0.35">
      <c r="B426" s="67">
        <f t="shared" si="218"/>
        <v>16566.699091199425</v>
      </c>
      <c r="C426" s="39" t="s">
        <v>94</v>
      </c>
      <c r="D426" s="61">
        <f t="shared" ref="D426:AK426" si="325">D311/D81*10^6</f>
        <v>4870.8553409376509</v>
      </c>
      <c r="E426" s="61">
        <f t="shared" si="325"/>
        <v>720.13351196187091</v>
      </c>
      <c r="F426" s="61">
        <f t="shared" si="325"/>
        <v>673.27073141429537</v>
      </c>
      <c r="G426" s="61">
        <f t="shared" si="325"/>
        <v>794.97729927619957</v>
      </c>
      <c r="H426" s="61">
        <f t="shared" si="325"/>
        <v>224.11552577248457</v>
      </c>
      <c r="I426" s="61">
        <f t="shared" si="325"/>
        <v>559.31293779537464</v>
      </c>
      <c r="J426" s="61">
        <f t="shared" si="325"/>
        <v>331.43457114040746</v>
      </c>
      <c r="K426" s="61">
        <f t="shared" si="325"/>
        <v>265.99348343240268</v>
      </c>
      <c r="L426" s="61">
        <f t="shared" si="325"/>
        <v>180.96923351451181</v>
      </c>
      <c r="M426" s="61">
        <f t="shared" si="325"/>
        <v>87.670968238597538</v>
      </c>
      <c r="N426" s="61">
        <f t="shared" si="325"/>
        <v>135.57018574029891</v>
      </c>
      <c r="O426" s="61">
        <f t="shared" si="325"/>
        <v>209.30600940309054</v>
      </c>
      <c r="P426" s="61">
        <f t="shared" si="325"/>
        <v>81.054064561560565</v>
      </c>
      <c r="Q426" s="61">
        <f t="shared" si="325"/>
        <v>52.962208433375082</v>
      </c>
      <c r="R426" s="61">
        <f t="shared" si="325"/>
        <v>293.56540628603966</v>
      </c>
      <c r="S426" s="61">
        <f t="shared" si="325"/>
        <v>1012.772265841433</v>
      </c>
      <c r="T426" s="61">
        <f t="shared" si="325"/>
        <v>1625.5595168631455</v>
      </c>
      <c r="U426" s="61">
        <f t="shared" si="325"/>
        <v>568.47343763856156</v>
      </c>
      <c r="V426" s="61">
        <f t="shared" si="325"/>
        <v>437.55184995027906</v>
      </c>
      <c r="W426" s="61">
        <f t="shared" si="325"/>
        <v>282.58775113815517</v>
      </c>
      <c r="X426" s="61">
        <f t="shared" si="325"/>
        <v>37.354665930369187</v>
      </c>
      <c r="Y426" s="61">
        <f t="shared" si="325"/>
        <v>51.459441732503016</v>
      </c>
      <c r="Z426" s="61">
        <f t="shared" si="325"/>
        <v>100.37729861431765</v>
      </c>
      <c r="AA426" s="61">
        <f t="shared" si="325"/>
        <v>161.18000380015749</v>
      </c>
      <c r="AB426" s="61">
        <f t="shared" si="325"/>
        <v>76.777063444741572</v>
      </c>
      <c r="AC426" s="61">
        <f t="shared" si="325"/>
        <v>89.169552548121857</v>
      </c>
      <c r="AD426" s="61">
        <f t="shared" si="325"/>
        <v>415.30101058741008</v>
      </c>
      <c r="AE426" s="61">
        <f t="shared" si="325"/>
        <v>611.11099916299486</v>
      </c>
      <c r="AF426" s="61">
        <f t="shared" si="325"/>
        <v>209.09607610499009</v>
      </c>
      <c r="AG426" s="61">
        <f t="shared" si="325"/>
        <v>438.87877336608221</v>
      </c>
      <c r="AH426" s="61">
        <f t="shared" si="325"/>
        <v>184.55527183409362</v>
      </c>
      <c r="AI426" s="61">
        <f t="shared" si="325"/>
        <v>403.55593103327124</v>
      </c>
      <c r="AJ426" s="61">
        <f t="shared" si="325"/>
        <v>120.30422602705193</v>
      </c>
      <c r="AK426" s="61">
        <f t="shared" si="325"/>
        <v>259.44247767358291</v>
      </c>
    </row>
    <row r="427" spans="2:37" x14ac:dyDescent="0.35">
      <c r="B427" s="67">
        <f t="shared" si="218"/>
        <v>11957.090316027798</v>
      </c>
      <c r="C427" s="39" t="s">
        <v>95</v>
      </c>
      <c r="D427" s="61">
        <f t="shared" ref="D427:AK427" si="326">D312/D82*10^6</f>
        <v>3475.5084123184179</v>
      </c>
      <c r="E427" s="61">
        <f t="shared" si="326"/>
        <v>646.33085248056113</v>
      </c>
      <c r="F427" s="61">
        <f t="shared" si="326"/>
        <v>530.64751914336</v>
      </c>
      <c r="G427" s="61">
        <f t="shared" si="326"/>
        <v>475.56716064851042</v>
      </c>
      <c r="H427" s="61">
        <f t="shared" si="326"/>
        <v>138.13082265629191</v>
      </c>
      <c r="I427" s="61">
        <f t="shared" si="326"/>
        <v>430.8758264919806</v>
      </c>
      <c r="J427" s="61">
        <f t="shared" si="326"/>
        <v>215.76432480258151</v>
      </c>
      <c r="K427" s="61">
        <f t="shared" si="326"/>
        <v>203.80811352234102</v>
      </c>
      <c r="L427" s="61">
        <f t="shared" si="326"/>
        <v>146.57955254017608</v>
      </c>
      <c r="M427" s="61">
        <f t="shared" si="326"/>
        <v>61.858165974589625</v>
      </c>
      <c r="N427" s="61">
        <f t="shared" si="326"/>
        <v>82.895055169538963</v>
      </c>
      <c r="O427" s="61">
        <f t="shared" si="326"/>
        <v>164.9423877336651</v>
      </c>
      <c r="P427" s="61">
        <f t="shared" si="326"/>
        <v>55.695153361923218</v>
      </c>
      <c r="Q427" s="61">
        <f t="shared" si="326"/>
        <v>47.900215022598609</v>
      </c>
      <c r="R427" s="61">
        <f t="shared" si="326"/>
        <v>240.34515323114172</v>
      </c>
      <c r="S427" s="61">
        <f t="shared" si="326"/>
        <v>677.79101998880844</v>
      </c>
      <c r="T427" s="61">
        <f t="shared" si="326"/>
        <v>1287.0615908737313</v>
      </c>
      <c r="U427" s="61">
        <f t="shared" si="326"/>
        <v>393.36239318596773</v>
      </c>
      <c r="V427" s="61">
        <f t="shared" si="326"/>
        <v>350.75147375945909</v>
      </c>
      <c r="W427" s="61">
        <f t="shared" si="326"/>
        <v>163.14359521857793</v>
      </c>
      <c r="X427" s="61">
        <f t="shared" si="326"/>
        <v>23.945542287283391</v>
      </c>
      <c r="Y427" s="61">
        <f t="shared" si="326"/>
        <v>36.114279396681439</v>
      </c>
      <c r="Z427" s="61">
        <f t="shared" si="326"/>
        <v>88.825995375966443</v>
      </c>
      <c r="AA427" s="61">
        <f t="shared" si="326"/>
        <v>107.13709096056829</v>
      </c>
      <c r="AB427" s="61">
        <f t="shared" si="326"/>
        <v>41.848973742841387</v>
      </c>
      <c r="AC427" s="61">
        <f t="shared" si="326"/>
        <v>61.061774743667129</v>
      </c>
      <c r="AD427" s="61">
        <f t="shared" si="326"/>
        <v>246.52463973836942</v>
      </c>
      <c r="AE427" s="61">
        <f t="shared" si="326"/>
        <v>362.72465250864934</v>
      </c>
      <c r="AF427" s="61">
        <f t="shared" si="326"/>
        <v>153.10697373194137</v>
      </c>
      <c r="AG427" s="61">
        <f t="shared" si="326"/>
        <v>255.34619312451767</v>
      </c>
      <c r="AH427" s="61">
        <f t="shared" si="326"/>
        <v>143.51478304212591</v>
      </c>
      <c r="AI427" s="61">
        <f t="shared" si="326"/>
        <v>369.59203982787443</v>
      </c>
      <c r="AJ427" s="61">
        <f t="shared" si="326"/>
        <v>109.00099990654783</v>
      </c>
      <c r="AK427" s="61">
        <f t="shared" si="326"/>
        <v>169.38758951654373</v>
      </c>
    </row>
    <row r="428" spans="2:37" x14ac:dyDescent="0.35">
      <c r="B428" s="67">
        <f t="shared" si="218"/>
        <v>7234.8784214366269</v>
      </c>
      <c r="C428" s="39" t="s">
        <v>96</v>
      </c>
      <c r="D428" s="61">
        <f t="shared" ref="D428:AK428" si="327">D313/D83*10^6</f>
        <v>2057.7533102169818</v>
      </c>
      <c r="E428" s="61">
        <f t="shared" si="327"/>
        <v>344.58534406264704</v>
      </c>
      <c r="F428" s="61">
        <f t="shared" si="327"/>
        <v>351.435439707017</v>
      </c>
      <c r="G428" s="61">
        <f t="shared" si="327"/>
        <v>276.01147561024521</v>
      </c>
      <c r="H428" s="61">
        <f t="shared" si="327"/>
        <v>78.320974596200088</v>
      </c>
      <c r="I428" s="61">
        <f t="shared" si="327"/>
        <v>208.40776377536187</v>
      </c>
      <c r="J428" s="61">
        <f t="shared" si="327"/>
        <v>120.7346956592841</v>
      </c>
      <c r="K428" s="61">
        <f t="shared" si="327"/>
        <v>153.76610457461325</v>
      </c>
      <c r="L428" s="61">
        <f t="shared" si="327"/>
        <v>83.907758053651321</v>
      </c>
      <c r="M428" s="61">
        <f t="shared" si="327"/>
        <v>32.303696343265209</v>
      </c>
      <c r="N428" s="61">
        <f t="shared" si="327"/>
        <v>53.796727767895199</v>
      </c>
      <c r="O428" s="61">
        <f t="shared" si="327"/>
        <v>99.387196857782442</v>
      </c>
      <c r="P428" s="61">
        <f t="shared" si="327"/>
        <v>27.994601705440175</v>
      </c>
      <c r="Q428" s="61">
        <f t="shared" si="327"/>
        <v>30.514353502045424</v>
      </c>
      <c r="R428" s="61">
        <f t="shared" si="327"/>
        <v>117.61325098841073</v>
      </c>
      <c r="S428" s="61">
        <f t="shared" si="327"/>
        <v>400.71992201225964</v>
      </c>
      <c r="T428" s="61">
        <f t="shared" si="327"/>
        <v>827.9075027447625</v>
      </c>
      <c r="U428" s="61">
        <f t="shared" si="327"/>
        <v>291.69940920930139</v>
      </c>
      <c r="V428" s="61">
        <f t="shared" si="327"/>
        <v>201.61919627311676</v>
      </c>
      <c r="W428" s="61">
        <f t="shared" si="327"/>
        <v>104.78483784249381</v>
      </c>
      <c r="X428" s="61">
        <f t="shared" si="327"/>
        <v>14.71246375621153</v>
      </c>
      <c r="Y428" s="61">
        <f t="shared" si="327"/>
        <v>19.874219863927955</v>
      </c>
      <c r="Z428" s="61">
        <f t="shared" si="327"/>
        <v>45.461317143757221</v>
      </c>
      <c r="AA428" s="61">
        <f t="shared" si="327"/>
        <v>64.701977837724769</v>
      </c>
      <c r="AB428" s="61">
        <f t="shared" si="327"/>
        <v>33.782360041694865</v>
      </c>
      <c r="AC428" s="61">
        <f t="shared" si="327"/>
        <v>33.287843050602433</v>
      </c>
      <c r="AD428" s="61">
        <f t="shared" si="327"/>
        <v>192.38069684693349</v>
      </c>
      <c r="AE428" s="61">
        <f t="shared" si="327"/>
        <v>258.71600447963624</v>
      </c>
      <c r="AF428" s="61">
        <f t="shared" si="327"/>
        <v>74.057514592069154</v>
      </c>
      <c r="AG428" s="61">
        <f t="shared" si="327"/>
        <v>164.51884140864308</v>
      </c>
      <c r="AH428" s="61">
        <f t="shared" si="327"/>
        <v>89.035385530953874</v>
      </c>
      <c r="AI428" s="61">
        <f t="shared" si="327"/>
        <v>220.69720286077887</v>
      </c>
      <c r="AJ428" s="61">
        <f t="shared" si="327"/>
        <v>50.81638037991722</v>
      </c>
      <c r="AK428" s="61">
        <f t="shared" si="327"/>
        <v>109.57265214100137</v>
      </c>
    </row>
    <row r="429" spans="2:37" x14ac:dyDescent="0.35">
      <c r="B429" s="67">
        <f t="shared" si="218"/>
        <v>8379.9418595476764</v>
      </c>
      <c r="C429" s="39" t="s">
        <v>97</v>
      </c>
      <c r="D429" s="61">
        <f t="shared" ref="D429:AK429" si="328">D314/D84*10^6</f>
        <v>2479.1540076535152</v>
      </c>
      <c r="E429" s="61">
        <f t="shared" si="328"/>
        <v>344.50389478524329</v>
      </c>
      <c r="F429" s="61">
        <f t="shared" si="328"/>
        <v>326.49220788399299</v>
      </c>
      <c r="G429" s="61">
        <f t="shared" si="328"/>
        <v>322.68197091990589</v>
      </c>
      <c r="H429" s="61">
        <f t="shared" si="328"/>
        <v>110.04695143588658</v>
      </c>
      <c r="I429" s="61">
        <f t="shared" si="328"/>
        <v>332.59664129653487</v>
      </c>
      <c r="J429" s="61">
        <f t="shared" si="328"/>
        <v>197.09485228217861</v>
      </c>
      <c r="K429" s="61">
        <f t="shared" si="328"/>
        <v>158.06970199675345</v>
      </c>
      <c r="L429" s="61">
        <f t="shared" si="328"/>
        <v>114.21667022942518</v>
      </c>
      <c r="M429" s="61">
        <f t="shared" si="328"/>
        <v>48.19108251460672</v>
      </c>
      <c r="N429" s="61">
        <f t="shared" si="328"/>
        <v>52.692294375171514</v>
      </c>
      <c r="O429" s="61">
        <f t="shared" si="328"/>
        <v>121.52541518879659</v>
      </c>
      <c r="P429" s="61">
        <f t="shared" si="328"/>
        <v>31.285025890756277</v>
      </c>
      <c r="Q429" s="61">
        <f t="shared" si="328"/>
        <v>35.92072725719845</v>
      </c>
      <c r="R429" s="61">
        <f t="shared" si="328"/>
        <v>180.64338373080065</v>
      </c>
      <c r="S429" s="61">
        <f t="shared" si="328"/>
        <v>473.08461811154672</v>
      </c>
      <c r="T429" s="61">
        <f t="shared" si="328"/>
        <v>877.47414156754974</v>
      </c>
      <c r="U429" s="61">
        <f t="shared" si="328"/>
        <v>248.69130066893354</v>
      </c>
      <c r="V429" s="61">
        <f t="shared" si="328"/>
        <v>236.06853922985442</v>
      </c>
      <c r="W429" s="61">
        <f t="shared" si="328"/>
        <v>133.90693191897935</v>
      </c>
      <c r="X429" s="61">
        <f t="shared" si="328"/>
        <v>21.109861963612111</v>
      </c>
      <c r="Y429" s="61">
        <f t="shared" si="328"/>
        <v>30.60856640189548</v>
      </c>
      <c r="Z429" s="61">
        <f t="shared" si="328"/>
        <v>50.150649124201131</v>
      </c>
      <c r="AA429" s="61">
        <f t="shared" si="328"/>
        <v>83.462623045866167</v>
      </c>
      <c r="AB429" s="61">
        <f t="shared" si="328"/>
        <v>41.039838545600922</v>
      </c>
      <c r="AC429" s="61">
        <f t="shared" si="328"/>
        <v>38.963595714330225</v>
      </c>
      <c r="AD429" s="61">
        <f t="shared" si="328"/>
        <v>167.79372122115473</v>
      </c>
      <c r="AE429" s="61">
        <f t="shared" si="328"/>
        <v>274.48300409882921</v>
      </c>
      <c r="AF429" s="61">
        <f t="shared" si="328"/>
        <v>114.90202762274566</v>
      </c>
      <c r="AG429" s="61">
        <f t="shared" si="328"/>
        <v>207.44450234423442</v>
      </c>
      <c r="AH429" s="61">
        <f t="shared" si="328"/>
        <v>88.7156254639834</v>
      </c>
      <c r="AI429" s="61">
        <f t="shared" si="328"/>
        <v>215.12732996051307</v>
      </c>
      <c r="AJ429" s="61">
        <f t="shared" si="328"/>
        <v>62.037027548230895</v>
      </c>
      <c r="AK429" s="61">
        <f t="shared" si="328"/>
        <v>159.76312755484983</v>
      </c>
    </row>
    <row r="430" spans="2:37" x14ac:dyDescent="0.35">
      <c r="B430" s="67">
        <f t="shared" si="218"/>
        <v>7485.8903009632368</v>
      </c>
      <c r="C430" s="39" t="s">
        <v>98</v>
      </c>
      <c r="D430" s="61">
        <f t="shared" ref="D430:AK430" si="329">D315/D85*10^6</f>
        <v>2072.8156519751064</v>
      </c>
      <c r="E430" s="61">
        <f t="shared" si="329"/>
        <v>391.46834486744001</v>
      </c>
      <c r="F430" s="61">
        <f t="shared" si="329"/>
        <v>356.91685241869061</v>
      </c>
      <c r="G430" s="61">
        <f t="shared" si="329"/>
        <v>277.8233804375684</v>
      </c>
      <c r="H430" s="61">
        <f t="shared" si="329"/>
        <v>95.760437436557325</v>
      </c>
      <c r="I430" s="61">
        <f t="shared" si="329"/>
        <v>206.39388290064639</v>
      </c>
      <c r="J430" s="61">
        <f t="shared" si="329"/>
        <v>142.51238197302982</v>
      </c>
      <c r="K430" s="61">
        <f t="shared" si="329"/>
        <v>112.44666340274064</v>
      </c>
      <c r="L430" s="61">
        <f t="shared" si="329"/>
        <v>86.972992190522106</v>
      </c>
      <c r="M430" s="61">
        <f t="shared" si="329"/>
        <v>37.512400743828884</v>
      </c>
      <c r="N430" s="61">
        <f t="shared" si="329"/>
        <v>58.44179043476921</v>
      </c>
      <c r="O430" s="61">
        <f t="shared" si="329"/>
        <v>74.987921566026316</v>
      </c>
      <c r="P430" s="61">
        <f t="shared" si="329"/>
        <v>34.975118083502096</v>
      </c>
      <c r="Q430" s="61">
        <f t="shared" si="329"/>
        <v>27.498735270373793</v>
      </c>
      <c r="R430" s="61">
        <f t="shared" si="329"/>
        <v>151.25148111985325</v>
      </c>
      <c r="S430" s="61">
        <f t="shared" si="329"/>
        <v>458.78239964920596</v>
      </c>
      <c r="T430" s="61">
        <f t="shared" si="329"/>
        <v>875.66090589536554</v>
      </c>
      <c r="U430" s="61">
        <f t="shared" si="329"/>
        <v>207.02740947526885</v>
      </c>
      <c r="V430" s="61">
        <f t="shared" si="329"/>
        <v>202.41027379356504</v>
      </c>
      <c r="W430" s="61">
        <f t="shared" si="329"/>
        <v>98.33369684158086</v>
      </c>
      <c r="X430" s="61">
        <f t="shared" si="329"/>
        <v>15.205922579382769</v>
      </c>
      <c r="Y430" s="61">
        <f t="shared" si="329"/>
        <v>26.48758963407068</v>
      </c>
      <c r="Z430" s="61">
        <f t="shared" si="329"/>
        <v>59.006932272666717</v>
      </c>
      <c r="AA430" s="61">
        <f t="shared" si="329"/>
        <v>52.202172916305464</v>
      </c>
      <c r="AB430" s="61">
        <f t="shared" si="329"/>
        <v>29.006397197531971</v>
      </c>
      <c r="AC430" s="61">
        <f t="shared" si="329"/>
        <v>44.062132281674998</v>
      </c>
      <c r="AD430" s="61">
        <f t="shared" si="329"/>
        <v>201.80311159382703</v>
      </c>
      <c r="AE430" s="61">
        <f t="shared" si="329"/>
        <v>277.87621299081167</v>
      </c>
      <c r="AF430" s="61">
        <f t="shared" si="329"/>
        <v>102.35450220458169</v>
      </c>
      <c r="AG430" s="61">
        <f t="shared" si="329"/>
        <v>203.50389097945018</v>
      </c>
      <c r="AH430" s="61">
        <f t="shared" si="329"/>
        <v>94.98355472890168</v>
      </c>
      <c r="AI430" s="61">
        <f t="shared" si="329"/>
        <v>210.90228506652204</v>
      </c>
      <c r="AJ430" s="61">
        <f t="shared" si="329"/>
        <v>61.074160112357674</v>
      </c>
      <c r="AK430" s="61">
        <f t="shared" si="329"/>
        <v>137.42871592951008</v>
      </c>
    </row>
    <row r="431" spans="2:37" x14ac:dyDescent="0.35">
      <c r="B431" s="67">
        <f t="shared" si="218"/>
        <v>47462.113407086836</v>
      </c>
      <c r="C431" s="37" t="s">
        <v>79</v>
      </c>
      <c r="D431" s="62">
        <f>SUM(D432:D437)</f>
        <v>13906.176923315823</v>
      </c>
      <c r="E431" s="62">
        <f t="shared" ref="E431" si="330">SUM(E432:E437)</f>
        <v>2282.2332263569265</v>
      </c>
      <c r="F431" s="62">
        <f t="shared" ref="F431" si="331">SUM(F432:F437)</f>
        <v>1904.7060855913619</v>
      </c>
      <c r="G431" s="62">
        <f t="shared" ref="G431" si="332">SUM(G432:G437)</f>
        <v>2175.5148645539825</v>
      </c>
      <c r="H431" s="62">
        <f t="shared" ref="H431" si="333">SUM(H432:H437)</f>
        <v>585.2444225011717</v>
      </c>
      <c r="I431" s="62">
        <f t="shared" ref="I431" si="334">SUM(I432:I437)</f>
        <v>1453.1507176672828</v>
      </c>
      <c r="J431" s="62">
        <f t="shared" ref="J431" si="335">SUM(J432:J437)</f>
        <v>908.79973462269766</v>
      </c>
      <c r="K431" s="62">
        <f t="shared" ref="K431" si="336">SUM(K432:K437)</f>
        <v>788.40897971112338</v>
      </c>
      <c r="L431" s="62">
        <f t="shared" ref="L431" si="337">SUM(L432:L437)</f>
        <v>545.29679417332932</v>
      </c>
      <c r="M431" s="62">
        <f t="shared" ref="M431" si="338">SUM(M432:M437)</f>
        <v>223.2136044506052</v>
      </c>
      <c r="N431" s="62">
        <f t="shared" ref="N431" si="339">SUM(N432:N437)</f>
        <v>382.47951902262594</v>
      </c>
      <c r="O431" s="62">
        <f t="shared" ref="O431" si="340">SUM(O432:O437)</f>
        <v>590.20021252403865</v>
      </c>
      <c r="P431" s="62">
        <f t="shared" ref="P431" si="341">SUM(P432:P437)</f>
        <v>224.3074291517504</v>
      </c>
      <c r="Q431" s="62">
        <f t="shared" ref="Q431" si="342">SUM(Q432:Q437)</f>
        <v>160.79436220149483</v>
      </c>
      <c r="R431" s="62">
        <f t="shared" ref="R431" si="343">SUM(R432:R437)</f>
        <v>951.91381190018865</v>
      </c>
      <c r="S431" s="62">
        <f t="shared" ref="S431" si="344">SUM(S432:S437)</f>
        <v>2504.4673086558005</v>
      </c>
      <c r="T431" s="62">
        <f t="shared" ref="T431" si="345">SUM(T432:T437)</f>
        <v>5461.1183091330422</v>
      </c>
      <c r="U431" s="62">
        <f t="shared" ref="U431" si="346">SUM(U432:U437)</f>
        <v>1665.5150873306748</v>
      </c>
      <c r="V431" s="62">
        <f t="shared" ref="V431" si="347">SUM(V432:V437)</f>
        <v>1247.9467428551561</v>
      </c>
      <c r="W431" s="62">
        <f t="shared" ref="W431" si="348">SUM(W432:W437)</f>
        <v>792.76001371688881</v>
      </c>
      <c r="X431" s="62">
        <f t="shared" ref="X431" si="349">SUM(X432:X437)</f>
        <v>103.65549240448411</v>
      </c>
      <c r="Y431" s="62">
        <f t="shared" ref="Y431" si="350">SUM(Y432:Y437)</f>
        <v>145.69762837318981</v>
      </c>
      <c r="Z431" s="62">
        <f t="shared" ref="Z431" si="351">SUM(Z432:Z437)</f>
        <v>319.15337340466891</v>
      </c>
      <c r="AA431" s="62">
        <f t="shared" ref="AA431" si="352">SUM(AA432:AA437)</f>
        <v>432.31532777631378</v>
      </c>
      <c r="AB431" s="62">
        <f t="shared" ref="AB431" si="353">SUM(AB432:AB437)</f>
        <v>186.27225879624606</v>
      </c>
      <c r="AC431" s="62">
        <f t="shared" ref="AC431" si="354">SUM(AC432:AC437)</f>
        <v>272.86820804697783</v>
      </c>
      <c r="AD431" s="62">
        <f t="shared" ref="AD431" si="355">SUM(AD432:AD437)</f>
        <v>1079.7066367035857</v>
      </c>
      <c r="AE431" s="62">
        <f t="shared" ref="AE431" si="356">SUM(AE432:AE437)</f>
        <v>1466.2140638660628</v>
      </c>
      <c r="AF431" s="62">
        <f t="shared" ref="AF431" si="357">SUM(AF432:AF437)</f>
        <v>548.71091973284194</v>
      </c>
      <c r="AG431" s="62">
        <f t="shared" ref="AG431" si="358">SUM(AG432:AG437)</f>
        <v>1178.0994399156866</v>
      </c>
      <c r="AH431" s="62">
        <f t="shared" ref="AH431" si="359">SUM(AH432:AH437)</f>
        <v>561.95391532256485</v>
      </c>
      <c r="AI431" s="62">
        <f t="shared" ref="AI431" si="360">SUM(AI432:AI437)</f>
        <v>1286.2572706286485</v>
      </c>
      <c r="AJ431" s="62">
        <f t="shared" ref="AJ431" si="361">SUM(AJ432:AJ437)</f>
        <v>384.61707302749608</v>
      </c>
      <c r="AK431" s="62">
        <f t="shared" ref="AK431" si="362">SUM(AK432:AK437)</f>
        <v>742.34364965209681</v>
      </c>
    </row>
    <row r="432" spans="2:37" x14ac:dyDescent="0.35">
      <c r="B432" s="67">
        <f t="shared" si="218"/>
        <v>26391.585852303448</v>
      </c>
      <c r="C432" s="39" t="s">
        <v>93</v>
      </c>
      <c r="D432" s="61">
        <f t="shared" ref="D432:AK432" si="363">D317/D87*10^6</f>
        <v>7748.7091416748617</v>
      </c>
      <c r="E432" s="61">
        <f t="shared" si="363"/>
        <v>1269.1472994415865</v>
      </c>
      <c r="F432" s="61">
        <f t="shared" si="363"/>
        <v>978.88521017976609</v>
      </c>
      <c r="G432" s="61">
        <f t="shared" si="363"/>
        <v>1233.8362337133613</v>
      </c>
      <c r="H432" s="61">
        <f t="shared" si="363"/>
        <v>338.47725826464495</v>
      </c>
      <c r="I432" s="61">
        <f t="shared" si="363"/>
        <v>808.17762068835464</v>
      </c>
      <c r="J432" s="61">
        <f t="shared" si="363"/>
        <v>471.33570389848774</v>
      </c>
      <c r="K432" s="61">
        <f t="shared" si="363"/>
        <v>445.56349981385659</v>
      </c>
      <c r="L432" s="61">
        <f t="shared" si="363"/>
        <v>295.82053289658234</v>
      </c>
      <c r="M432" s="61">
        <f t="shared" si="363"/>
        <v>121.32750723931373</v>
      </c>
      <c r="N432" s="61">
        <f t="shared" si="363"/>
        <v>227.32947438538559</v>
      </c>
      <c r="O432" s="61">
        <f t="shared" si="363"/>
        <v>334.10732448481286</v>
      </c>
      <c r="P432" s="61">
        <f t="shared" si="363"/>
        <v>126.0035618172781</v>
      </c>
      <c r="Q432" s="61">
        <f t="shared" si="363"/>
        <v>90.034402134413597</v>
      </c>
      <c r="R432" s="61">
        <f t="shared" si="363"/>
        <v>505.54516058975139</v>
      </c>
      <c r="S432" s="61">
        <f t="shared" si="363"/>
        <v>1376.9828735089216</v>
      </c>
      <c r="T432" s="61">
        <f t="shared" si="363"/>
        <v>3126.4366036123583</v>
      </c>
      <c r="U432" s="61">
        <f t="shared" si="363"/>
        <v>914.58757062843449</v>
      </c>
      <c r="V432" s="61">
        <f t="shared" si="363"/>
        <v>701.21729205695704</v>
      </c>
      <c r="W432" s="61">
        <f t="shared" si="363"/>
        <v>427.50874077302512</v>
      </c>
      <c r="X432" s="61">
        <f t="shared" si="363"/>
        <v>58.431066675360995</v>
      </c>
      <c r="Y432" s="61">
        <f t="shared" si="363"/>
        <v>82.445593059957687</v>
      </c>
      <c r="Z432" s="61">
        <f t="shared" si="363"/>
        <v>179.40712138540312</v>
      </c>
      <c r="AA432" s="61">
        <f t="shared" si="363"/>
        <v>236.45001413704904</v>
      </c>
      <c r="AB432" s="61">
        <f t="shared" si="363"/>
        <v>109.17122917238159</v>
      </c>
      <c r="AC432" s="61">
        <f t="shared" si="363"/>
        <v>144.37632783107435</v>
      </c>
      <c r="AD432" s="61">
        <f t="shared" si="363"/>
        <v>589.812422000531</v>
      </c>
      <c r="AE432" s="61">
        <f t="shared" si="363"/>
        <v>777.31456701291813</v>
      </c>
      <c r="AF432" s="61">
        <f t="shared" si="363"/>
        <v>298.51188924543942</v>
      </c>
      <c r="AG432" s="61">
        <f t="shared" si="363"/>
        <v>696.985665273123</v>
      </c>
      <c r="AH432" s="61">
        <f t="shared" si="363"/>
        <v>332.0752487722998</v>
      </c>
      <c r="AI432" s="61">
        <f t="shared" si="363"/>
        <v>703.5126987140294</v>
      </c>
      <c r="AJ432" s="61">
        <f t="shared" si="363"/>
        <v>225.17223829506216</v>
      </c>
      <c r="AK432" s="61">
        <f t="shared" si="363"/>
        <v>416.88675892666566</v>
      </c>
    </row>
    <row r="433" spans="2:37" x14ac:dyDescent="0.35">
      <c r="B433" s="67">
        <f t="shared" si="218"/>
        <v>6054.6845170076258</v>
      </c>
      <c r="C433" s="39" t="s">
        <v>94</v>
      </c>
      <c r="D433" s="61">
        <f t="shared" ref="D433:AK433" si="364">D318/D88*10^6</f>
        <v>1793.9854904511876</v>
      </c>
      <c r="E433" s="61">
        <f t="shared" si="364"/>
        <v>272.61107961980434</v>
      </c>
      <c r="F433" s="61">
        <f t="shared" si="364"/>
        <v>236.74528684425411</v>
      </c>
      <c r="G433" s="61">
        <f t="shared" si="364"/>
        <v>317.5215544920303</v>
      </c>
      <c r="H433" s="61">
        <f t="shared" si="364"/>
        <v>82.801541765514997</v>
      </c>
      <c r="I433" s="61">
        <f t="shared" si="364"/>
        <v>172.89825315339434</v>
      </c>
      <c r="J433" s="61">
        <f t="shared" si="364"/>
        <v>132.76547770879145</v>
      </c>
      <c r="K433" s="61">
        <f t="shared" si="364"/>
        <v>99.107162943296089</v>
      </c>
      <c r="L433" s="61">
        <f t="shared" si="364"/>
        <v>72.106220422598113</v>
      </c>
      <c r="M433" s="61">
        <f t="shared" si="364"/>
        <v>32.417253459976031</v>
      </c>
      <c r="N433" s="61">
        <f t="shared" si="364"/>
        <v>46.341176134100671</v>
      </c>
      <c r="O433" s="61">
        <f t="shared" si="364"/>
        <v>69.61752352451181</v>
      </c>
      <c r="P433" s="61">
        <f t="shared" si="364"/>
        <v>25.173659206321538</v>
      </c>
      <c r="Q433" s="61">
        <f t="shared" si="364"/>
        <v>18.486726616949053</v>
      </c>
      <c r="R433" s="61">
        <f t="shared" si="364"/>
        <v>126.60056466490312</v>
      </c>
      <c r="S433" s="61">
        <f t="shared" si="364"/>
        <v>315.89092904603876</v>
      </c>
      <c r="T433" s="61">
        <f t="shared" si="364"/>
        <v>681.63388990159001</v>
      </c>
      <c r="U433" s="61">
        <f t="shared" si="364"/>
        <v>205.75387102544093</v>
      </c>
      <c r="V433" s="61">
        <f t="shared" si="364"/>
        <v>153.0298992599343</v>
      </c>
      <c r="W433" s="61">
        <f t="shared" si="364"/>
        <v>105.21643484518233</v>
      </c>
      <c r="X433" s="61">
        <f t="shared" si="364"/>
        <v>12.151226039088757</v>
      </c>
      <c r="Y433" s="61">
        <f t="shared" si="364"/>
        <v>18.58773303953825</v>
      </c>
      <c r="Z433" s="61">
        <f t="shared" si="364"/>
        <v>39.214811631689045</v>
      </c>
      <c r="AA433" s="61">
        <f t="shared" si="364"/>
        <v>56.823132870045796</v>
      </c>
      <c r="AB433" s="61">
        <f t="shared" si="364"/>
        <v>21.81431008440569</v>
      </c>
      <c r="AC433" s="61">
        <f t="shared" si="364"/>
        <v>39.982467706291843</v>
      </c>
      <c r="AD433" s="61">
        <f t="shared" si="364"/>
        <v>145.64522476257099</v>
      </c>
      <c r="AE433" s="61">
        <f t="shared" si="364"/>
        <v>203.16501849029268</v>
      </c>
      <c r="AF433" s="61">
        <f t="shared" si="364"/>
        <v>64.969025300456138</v>
      </c>
      <c r="AG433" s="61">
        <f t="shared" si="364"/>
        <v>134.41842566711756</v>
      </c>
      <c r="AH433" s="61">
        <f t="shared" si="364"/>
        <v>63.19997380610306</v>
      </c>
      <c r="AI433" s="61">
        <f t="shared" si="364"/>
        <v>160.3739407291977</v>
      </c>
      <c r="AJ433" s="61">
        <f t="shared" si="364"/>
        <v>43.395350252982638</v>
      </c>
      <c r="AK433" s="61">
        <f t="shared" si="364"/>
        <v>90.239881542022715</v>
      </c>
    </row>
    <row r="434" spans="2:37" x14ac:dyDescent="0.35">
      <c r="B434" s="67">
        <f t="shared" si="218"/>
        <v>5210.7113085959372</v>
      </c>
      <c r="C434" s="39" t="s">
        <v>95</v>
      </c>
      <c r="D434" s="61">
        <f t="shared" ref="D434:AK434" si="365">D319/D89*10^6</f>
        <v>1545.4590269292703</v>
      </c>
      <c r="E434" s="61">
        <f t="shared" si="365"/>
        <v>261.60220336303848</v>
      </c>
      <c r="F434" s="61">
        <f t="shared" si="365"/>
        <v>232.53642687992374</v>
      </c>
      <c r="G434" s="61">
        <f t="shared" si="365"/>
        <v>206.45221879393554</v>
      </c>
      <c r="H434" s="61">
        <f t="shared" si="365"/>
        <v>56.467301855533485</v>
      </c>
      <c r="I434" s="61">
        <f t="shared" si="365"/>
        <v>159.9759719777434</v>
      </c>
      <c r="J434" s="61">
        <f t="shared" si="365"/>
        <v>91.741470590464075</v>
      </c>
      <c r="K434" s="61">
        <f t="shared" si="365"/>
        <v>79.816411773678496</v>
      </c>
      <c r="L434" s="61">
        <f t="shared" si="365"/>
        <v>59.648307183664883</v>
      </c>
      <c r="M434" s="61">
        <f t="shared" si="365"/>
        <v>26.942676031333093</v>
      </c>
      <c r="N434" s="61">
        <f t="shared" si="365"/>
        <v>37.04995336755325</v>
      </c>
      <c r="O434" s="61">
        <f t="shared" si="365"/>
        <v>55.441703194467166</v>
      </c>
      <c r="P434" s="61">
        <f t="shared" si="365"/>
        <v>26.087322485635298</v>
      </c>
      <c r="Q434" s="61">
        <f t="shared" si="365"/>
        <v>17.493555690737146</v>
      </c>
      <c r="R434" s="61">
        <f t="shared" si="365"/>
        <v>119.90344177473433</v>
      </c>
      <c r="S434" s="61">
        <f t="shared" si="365"/>
        <v>278.57502721364159</v>
      </c>
      <c r="T434" s="61">
        <f t="shared" si="365"/>
        <v>568.36920647923546</v>
      </c>
      <c r="U434" s="61">
        <f t="shared" si="365"/>
        <v>201.42400492841435</v>
      </c>
      <c r="V434" s="61">
        <f t="shared" si="365"/>
        <v>124.1192358442573</v>
      </c>
      <c r="W434" s="61">
        <f t="shared" si="365"/>
        <v>91.493018675928766</v>
      </c>
      <c r="X434" s="61">
        <f t="shared" si="365"/>
        <v>10.044113498659089</v>
      </c>
      <c r="Y434" s="61">
        <f t="shared" si="365"/>
        <v>18.030355326971684</v>
      </c>
      <c r="Z434" s="61">
        <f t="shared" si="365"/>
        <v>35.203803873285018</v>
      </c>
      <c r="AA434" s="61">
        <f t="shared" si="365"/>
        <v>48.110950768323882</v>
      </c>
      <c r="AB434" s="61">
        <f t="shared" si="365"/>
        <v>17.856730900477974</v>
      </c>
      <c r="AC434" s="61">
        <f t="shared" si="365"/>
        <v>33.023585691022532</v>
      </c>
      <c r="AD434" s="61">
        <f t="shared" si="365"/>
        <v>131.14765310727961</v>
      </c>
      <c r="AE434" s="61">
        <f t="shared" si="365"/>
        <v>178.90741807062088</v>
      </c>
      <c r="AF434" s="61">
        <f t="shared" si="365"/>
        <v>70.450228915413575</v>
      </c>
      <c r="AG434" s="61">
        <f t="shared" si="365"/>
        <v>118.39187962459205</v>
      </c>
      <c r="AH434" s="61">
        <f t="shared" si="365"/>
        <v>58.561987199852432</v>
      </c>
      <c r="AI434" s="61">
        <f t="shared" si="365"/>
        <v>129.64621277229037</v>
      </c>
      <c r="AJ434" s="61">
        <f t="shared" si="365"/>
        <v>41.343011291642604</v>
      </c>
      <c r="AK434" s="61">
        <f t="shared" si="365"/>
        <v>79.394892522315033</v>
      </c>
    </row>
    <row r="435" spans="2:37" x14ac:dyDescent="0.35">
      <c r="B435" s="67">
        <f t="shared" si="218"/>
        <v>3006.2797136203185</v>
      </c>
      <c r="C435" s="39" t="s">
        <v>96</v>
      </c>
      <c r="D435" s="61">
        <f t="shared" ref="D435:AK435" si="366">D320/D90*10^6</f>
        <v>871.43099082541971</v>
      </c>
      <c r="E435" s="61">
        <f t="shared" si="366"/>
        <v>120.65961099313711</v>
      </c>
      <c r="F435" s="61">
        <f t="shared" si="366"/>
        <v>137.34099909114977</v>
      </c>
      <c r="G435" s="61">
        <f t="shared" si="366"/>
        <v>130.52872915491193</v>
      </c>
      <c r="H435" s="61">
        <f t="shared" si="366"/>
        <v>32.913711775573752</v>
      </c>
      <c r="I435" s="61">
        <f t="shared" si="366"/>
        <v>100.65537273537791</v>
      </c>
      <c r="J435" s="61">
        <f t="shared" si="366"/>
        <v>61.794890633098873</v>
      </c>
      <c r="K435" s="61">
        <f t="shared" si="366"/>
        <v>44.842397514284848</v>
      </c>
      <c r="L435" s="61">
        <f t="shared" si="366"/>
        <v>32.583616522255895</v>
      </c>
      <c r="M435" s="61">
        <f t="shared" si="366"/>
        <v>16.354928833838645</v>
      </c>
      <c r="N435" s="61">
        <f t="shared" si="366"/>
        <v>20.447920837744626</v>
      </c>
      <c r="O435" s="61">
        <f t="shared" si="366"/>
        <v>43.239440386122645</v>
      </c>
      <c r="P435" s="61">
        <f t="shared" si="366"/>
        <v>16.351167472535479</v>
      </c>
      <c r="Q435" s="61">
        <f t="shared" si="366"/>
        <v>10.691912986106527</v>
      </c>
      <c r="R435" s="61">
        <f t="shared" si="366"/>
        <v>58.784442493913708</v>
      </c>
      <c r="S435" s="61">
        <f t="shared" si="366"/>
        <v>173.7257171342055</v>
      </c>
      <c r="T435" s="61">
        <f t="shared" si="366"/>
        <v>353.32767511890791</v>
      </c>
      <c r="U435" s="61">
        <f t="shared" si="366"/>
        <v>118.12568543420879</v>
      </c>
      <c r="V435" s="61">
        <f t="shared" si="366"/>
        <v>91.55908205871377</v>
      </c>
      <c r="W435" s="61">
        <f t="shared" si="366"/>
        <v>44.062997712480737</v>
      </c>
      <c r="X435" s="61">
        <f t="shared" si="366"/>
        <v>7.4809600194474344</v>
      </c>
      <c r="Y435" s="61">
        <f t="shared" si="366"/>
        <v>7.8378938276421666</v>
      </c>
      <c r="Z435" s="61">
        <f t="shared" si="366"/>
        <v>20.820510750748166</v>
      </c>
      <c r="AA435" s="61">
        <f t="shared" si="366"/>
        <v>26.926063201502789</v>
      </c>
      <c r="AB435" s="61">
        <f t="shared" si="366"/>
        <v>10.537666224087035</v>
      </c>
      <c r="AC435" s="61">
        <f t="shared" si="366"/>
        <v>14.908438739616374</v>
      </c>
      <c r="AD435" s="61">
        <f t="shared" si="366"/>
        <v>62.195365131788584</v>
      </c>
      <c r="AE435" s="61">
        <f t="shared" si="366"/>
        <v>79.241891334037916</v>
      </c>
      <c r="AF435" s="61">
        <f t="shared" si="366"/>
        <v>36.670578766696529</v>
      </c>
      <c r="AG435" s="61">
        <f t="shared" si="366"/>
        <v>63.161731317259935</v>
      </c>
      <c r="AH435" s="61">
        <f t="shared" si="366"/>
        <v>32.797052320155018</v>
      </c>
      <c r="AI435" s="61">
        <f t="shared" si="366"/>
        <v>93.559341112769673</v>
      </c>
      <c r="AJ435" s="61">
        <f t="shared" si="366"/>
        <v>20.410416044166809</v>
      </c>
      <c r="AK435" s="61">
        <f t="shared" si="366"/>
        <v>50.310515116411295</v>
      </c>
    </row>
    <row r="436" spans="2:37" x14ac:dyDescent="0.35">
      <c r="B436" s="67">
        <f t="shared" si="218"/>
        <v>3792.1488915557024</v>
      </c>
      <c r="C436" s="39" t="s">
        <v>97</v>
      </c>
      <c r="D436" s="61">
        <f t="shared" ref="D436:AK436" si="367">D321/D91*10^6</f>
        <v>1092.2410206419254</v>
      </c>
      <c r="E436" s="61">
        <f t="shared" si="367"/>
        <v>196.32537096464506</v>
      </c>
      <c r="F436" s="61">
        <f t="shared" si="367"/>
        <v>174.21046825014125</v>
      </c>
      <c r="G436" s="61">
        <f t="shared" si="367"/>
        <v>168.6737686791285</v>
      </c>
      <c r="H436" s="61">
        <f t="shared" si="367"/>
        <v>43.505498583056337</v>
      </c>
      <c r="I436" s="61">
        <f t="shared" si="367"/>
        <v>113.31033180776548</v>
      </c>
      <c r="J436" s="61">
        <f t="shared" si="367"/>
        <v>83.034278953408148</v>
      </c>
      <c r="K436" s="61">
        <f t="shared" si="367"/>
        <v>67.806686679911508</v>
      </c>
      <c r="L436" s="61">
        <f t="shared" si="367"/>
        <v>49.866085282656108</v>
      </c>
      <c r="M436" s="61">
        <f t="shared" si="367"/>
        <v>14.613465629473273</v>
      </c>
      <c r="N436" s="61">
        <f t="shared" si="367"/>
        <v>26.451105196836451</v>
      </c>
      <c r="O436" s="61">
        <f t="shared" si="367"/>
        <v>44.549346920278055</v>
      </c>
      <c r="P436" s="61">
        <f t="shared" si="367"/>
        <v>18.22526791137275</v>
      </c>
      <c r="Q436" s="61">
        <f t="shared" si="367"/>
        <v>15.046696276459127</v>
      </c>
      <c r="R436" s="61">
        <f t="shared" si="367"/>
        <v>82.904104616669912</v>
      </c>
      <c r="S436" s="61">
        <f t="shared" si="367"/>
        <v>228.64695745535698</v>
      </c>
      <c r="T436" s="61">
        <f t="shared" si="367"/>
        <v>394.99287897239151</v>
      </c>
      <c r="U436" s="61">
        <f t="shared" si="367"/>
        <v>138.48258838291625</v>
      </c>
      <c r="V436" s="61">
        <f t="shared" si="367"/>
        <v>84.139831486223287</v>
      </c>
      <c r="W436" s="61">
        <f t="shared" si="367"/>
        <v>64.045752563454826</v>
      </c>
      <c r="X436" s="61">
        <f t="shared" si="367"/>
        <v>7.8113126597672204</v>
      </c>
      <c r="Y436" s="61">
        <f t="shared" si="367"/>
        <v>11.228424313830734</v>
      </c>
      <c r="Z436" s="61">
        <f t="shared" si="367"/>
        <v>22.14103269800497</v>
      </c>
      <c r="AA436" s="61">
        <f t="shared" si="367"/>
        <v>31.779988424390215</v>
      </c>
      <c r="AB436" s="61">
        <f t="shared" si="367"/>
        <v>14.345865197113573</v>
      </c>
      <c r="AC436" s="61">
        <f t="shared" si="367"/>
        <v>25.07187155863668</v>
      </c>
      <c r="AD436" s="61">
        <f t="shared" si="367"/>
        <v>79.163613275729531</v>
      </c>
      <c r="AE436" s="61">
        <f t="shared" si="367"/>
        <v>117.81295025878805</v>
      </c>
      <c r="AF436" s="61">
        <f t="shared" si="367"/>
        <v>37.254761444731599</v>
      </c>
      <c r="AG436" s="61">
        <f t="shared" si="367"/>
        <v>93.046015851487368</v>
      </c>
      <c r="AH436" s="61">
        <f t="shared" si="367"/>
        <v>45.075554155420562</v>
      </c>
      <c r="AI436" s="61">
        <f t="shared" si="367"/>
        <v>117.9996524929764</v>
      </c>
      <c r="AJ436" s="61">
        <f t="shared" si="367"/>
        <v>26.922111491912375</v>
      </c>
      <c r="AK436" s="61">
        <f t="shared" si="367"/>
        <v>61.424232478843805</v>
      </c>
    </row>
    <row r="437" spans="2:37" x14ac:dyDescent="0.35">
      <c r="B437" s="67">
        <f t="shared" si="218"/>
        <v>3006.7031240037991</v>
      </c>
      <c r="C437" s="39" t="s">
        <v>98</v>
      </c>
      <c r="D437" s="61">
        <f t="shared" ref="D437:AK437" si="368">D322/D92*10^6</f>
        <v>854.35125279315912</v>
      </c>
      <c r="E437" s="61">
        <f t="shared" si="368"/>
        <v>161.88766197471526</v>
      </c>
      <c r="F437" s="61">
        <f t="shared" si="368"/>
        <v>144.98769434612666</v>
      </c>
      <c r="G437" s="61">
        <f t="shared" si="368"/>
        <v>118.50235972061506</v>
      </c>
      <c r="H437" s="61">
        <f t="shared" si="368"/>
        <v>31.079110256848239</v>
      </c>
      <c r="I437" s="61">
        <f t="shared" si="368"/>
        <v>98.133167304646747</v>
      </c>
      <c r="J437" s="61">
        <f t="shared" si="368"/>
        <v>68.12791283844733</v>
      </c>
      <c r="K437" s="61">
        <f t="shared" si="368"/>
        <v>51.272820986095731</v>
      </c>
      <c r="L437" s="61">
        <f t="shared" si="368"/>
        <v>35.272031865571996</v>
      </c>
      <c r="M437" s="61">
        <f t="shared" si="368"/>
        <v>11.557773256670442</v>
      </c>
      <c r="N437" s="61">
        <f t="shared" si="368"/>
        <v>24.85988910100528</v>
      </c>
      <c r="O437" s="61">
        <f t="shared" si="368"/>
        <v>43.244874013846172</v>
      </c>
      <c r="P437" s="61">
        <f t="shared" si="368"/>
        <v>12.466450258607241</v>
      </c>
      <c r="Q437" s="61">
        <f t="shared" si="368"/>
        <v>9.0410684968293751</v>
      </c>
      <c r="R437" s="61">
        <f t="shared" si="368"/>
        <v>58.17609776021618</v>
      </c>
      <c r="S437" s="61">
        <f t="shared" si="368"/>
        <v>130.64580429763578</v>
      </c>
      <c r="T437" s="61">
        <f t="shared" si="368"/>
        <v>336.35805504855887</v>
      </c>
      <c r="U437" s="61">
        <f t="shared" si="368"/>
        <v>87.141366931259938</v>
      </c>
      <c r="V437" s="61">
        <f t="shared" si="368"/>
        <v>93.881402149070453</v>
      </c>
      <c r="W437" s="61">
        <f t="shared" si="368"/>
        <v>60.43306914681699</v>
      </c>
      <c r="X437" s="61">
        <f t="shared" si="368"/>
        <v>7.7368135121606105</v>
      </c>
      <c r="Y437" s="61">
        <f t="shared" si="368"/>
        <v>7.5676288052492895</v>
      </c>
      <c r="Z437" s="61">
        <f t="shared" si="368"/>
        <v>22.366093065538632</v>
      </c>
      <c r="AA437" s="61">
        <f t="shared" si="368"/>
        <v>32.225178375001974</v>
      </c>
      <c r="AB437" s="61">
        <f t="shared" si="368"/>
        <v>12.546457217780228</v>
      </c>
      <c r="AC437" s="61">
        <f t="shared" si="368"/>
        <v>15.50551652033608</v>
      </c>
      <c r="AD437" s="61">
        <f t="shared" si="368"/>
        <v>71.742358425685893</v>
      </c>
      <c r="AE437" s="61">
        <f t="shared" si="368"/>
        <v>109.77221869940507</v>
      </c>
      <c r="AF437" s="61">
        <f t="shared" si="368"/>
        <v>40.854436060104682</v>
      </c>
      <c r="AG437" s="61">
        <f t="shared" si="368"/>
        <v>72.09572218210667</v>
      </c>
      <c r="AH437" s="61">
        <f t="shared" si="368"/>
        <v>30.244099068733966</v>
      </c>
      <c r="AI437" s="61">
        <f t="shared" si="368"/>
        <v>81.165424807385065</v>
      </c>
      <c r="AJ437" s="61">
        <f t="shared" si="368"/>
        <v>27.373945651729503</v>
      </c>
      <c r="AK437" s="61">
        <f t="shared" si="368"/>
        <v>44.087369065838303</v>
      </c>
    </row>
    <row r="438" spans="2:37" x14ac:dyDescent="0.35">
      <c r="B438" s="67">
        <f t="shared" si="218"/>
        <v>137030.40539437137</v>
      </c>
      <c r="C438" s="40" t="s">
        <v>83</v>
      </c>
      <c r="D438" s="62">
        <f>SUM(D439,D446,D453)</f>
        <v>40095.80821974128</v>
      </c>
      <c r="E438" s="62">
        <f t="shared" ref="E438:AK438" si="369">SUM(E439,E446,E453)</f>
        <v>5895.0401026965874</v>
      </c>
      <c r="F438" s="62">
        <f t="shared" si="369"/>
        <v>5502.8557351653799</v>
      </c>
      <c r="G438" s="62">
        <f t="shared" si="369"/>
        <v>5704.3057477699431</v>
      </c>
      <c r="H438" s="62">
        <f t="shared" si="369"/>
        <v>1917.652317321993</v>
      </c>
      <c r="I438" s="62">
        <f t="shared" si="369"/>
        <v>4053.4264733319792</v>
      </c>
      <c r="J438" s="62">
        <f t="shared" si="369"/>
        <v>2635.8046757446027</v>
      </c>
      <c r="K438" s="62">
        <f t="shared" si="369"/>
        <v>2802.3913936287749</v>
      </c>
      <c r="L438" s="62">
        <f t="shared" si="369"/>
        <v>1528.4746776611025</v>
      </c>
      <c r="M438" s="62">
        <f t="shared" si="369"/>
        <v>603.93399936805531</v>
      </c>
      <c r="N438" s="62">
        <f t="shared" si="369"/>
        <v>947.43010353480224</v>
      </c>
      <c r="O438" s="62">
        <f t="shared" si="369"/>
        <v>1768.1217965446144</v>
      </c>
      <c r="P438" s="62">
        <f t="shared" si="369"/>
        <v>593.53161734275659</v>
      </c>
      <c r="Q438" s="62">
        <f t="shared" si="369"/>
        <v>540.08917014791018</v>
      </c>
      <c r="R438" s="62">
        <f t="shared" si="369"/>
        <v>2763.1639063069765</v>
      </c>
      <c r="S438" s="62">
        <f t="shared" si="369"/>
        <v>8429.0441939989978</v>
      </c>
      <c r="T438" s="62">
        <f t="shared" si="369"/>
        <v>13650.23104978363</v>
      </c>
      <c r="U438" s="62">
        <f t="shared" si="369"/>
        <v>4800.21655361792</v>
      </c>
      <c r="V438" s="62">
        <f t="shared" si="369"/>
        <v>4314.5263324422231</v>
      </c>
      <c r="W438" s="62">
        <f t="shared" si="369"/>
        <v>2248.4227005425464</v>
      </c>
      <c r="X438" s="62">
        <f t="shared" si="369"/>
        <v>267.79325185039892</v>
      </c>
      <c r="Y438" s="62">
        <f t="shared" si="369"/>
        <v>499.07630728347885</v>
      </c>
      <c r="Z438" s="62">
        <f t="shared" si="369"/>
        <v>1004.1379219460205</v>
      </c>
      <c r="AA438" s="62">
        <f t="shared" si="369"/>
        <v>1172.1892135092376</v>
      </c>
      <c r="AB438" s="62">
        <f t="shared" si="369"/>
        <v>491.47385374946111</v>
      </c>
      <c r="AC438" s="62">
        <f t="shared" si="369"/>
        <v>686.37790927527726</v>
      </c>
      <c r="AD438" s="62">
        <f t="shared" si="369"/>
        <v>3434.8089931456661</v>
      </c>
      <c r="AE438" s="62">
        <f t="shared" si="369"/>
        <v>4784.9850884404432</v>
      </c>
      <c r="AF438" s="62">
        <f t="shared" si="369"/>
        <v>1675.693785154278</v>
      </c>
      <c r="AG438" s="62">
        <f t="shared" si="369"/>
        <v>3575.9945767799782</v>
      </c>
      <c r="AH438" s="62">
        <f t="shared" si="369"/>
        <v>1454.9242159346336</v>
      </c>
      <c r="AI438" s="62">
        <f t="shared" si="369"/>
        <v>4116.90437253653</v>
      </c>
      <c r="AJ438" s="62">
        <f t="shared" si="369"/>
        <v>1099.4730223597167</v>
      </c>
      <c r="AK438" s="62">
        <f t="shared" si="369"/>
        <v>1972.1021157142075</v>
      </c>
    </row>
    <row r="439" spans="2:37" x14ac:dyDescent="0.35">
      <c r="B439" s="67">
        <f t="shared" si="218"/>
        <v>76322.846760501809</v>
      </c>
      <c r="C439" s="37" t="s">
        <v>80</v>
      </c>
      <c r="D439" s="62">
        <f>SUM(D440:D445)</f>
        <v>22519.303417794392</v>
      </c>
      <c r="E439" s="62">
        <f t="shared" ref="E439" si="370">SUM(E440:E445)</f>
        <v>3315.7241182072225</v>
      </c>
      <c r="F439" s="62">
        <f t="shared" ref="F439" si="371">SUM(F440:F445)</f>
        <v>3096.3896489461113</v>
      </c>
      <c r="G439" s="62">
        <f t="shared" ref="G439" si="372">SUM(G440:G445)</f>
        <v>3227.0684646461518</v>
      </c>
      <c r="H439" s="62">
        <f t="shared" ref="H439" si="373">SUM(H440:H445)</f>
        <v>1111.8962498288472</v>
      </c>
      <c r="I439" s="62">
        <f t="shared" ref="I439" si="374">SUM(I440:I445)</f>
        <v>2251.9529718808476</v>
      </c>
      <c r="J439" s="62">
        <f t="shared" ref="J439" si="375">SUM(J440:J445)</f>
        <v>1507.6889399164379</v>
      </c>
      <c r="K439" s="62">
        <f t="shared" ref="K439" si="376">SUM(K440:K445)</f>
        <v>1528.210014797565</v>
      </c>
      <c r="L439" s="62">
        <f t="shared" ref="L439" si="377">SUM(L440:L445)</f>
        <v>839.81836451495656</v>
      </c>
      <c r="M439" s="62">
        <f t="shared" ref="M439" si="378">SUM(M440:M445)</f>
        <v>344.41424621932975</v>
      </c>
      <c r="N439" s="62">
        <f t="shared" ref="N439" si="379">SUM(N440:N445)</f>
        <v>535.2470930921246</v>
      </c>
      <c r="O439" s="62">
        <f t="shared" ref="O439" si="380">SUM(O440:O445)</f>
        <v>981.33317090349749</v>
      </c>
      <c r="P439" s="62">
        <f t="shared" ref="P439" si="381">SUM(P440:P445)</f>
        <v>329.32977409339429</v>
      </c>
      <c r="Q439" s="62">
        <f t="shared" ref="Q439" si="382">SUM(Q440:Q445)</f>
        <v>309.15639841865811</v>
      </c>
      <c r="R439" s="62">
        <f t="shared" ref="R439" si="383">SUM(R440:R445)</f>
        <v>1555.5989451770329</v>
      </c>
      <c r="S439" s="62">
        <f t="shared" ref="S439" si="384">SUM(S440:S445)</f>
        <v>4576.4160315946465</v>
      </c>
      <c r="T439" s="62">
        <f t="shared" ref="T439" si="385">SUM(T440:T445)</f>
        <v>7385.9992455753318</v>
      </c>
      <c r="U439" s="62">
        <f t="shared" ref="U439" si="386">SUM(U440:U445)</f>
        <v>2572.7236644544942</v>
      </c>
      <c r="V439" s="62">
        <f t="shared" ref="V439" si="387">SUM(V440:V445)</f>
        <v>2406.7398087208157</v>
      </c>
      <c r="W439" s="62">
        <f t="shared" ref="W439" si="388">SUM(W440:W445)</f>
        <v>1261.1104230468056</v>
      </c>
      <c r="X439" s="62">
        <f t="shared" ref="X439" si="389">SUM(X440:X445)</f>
        <v>150.66966778161651</v>
      </c>
      <c r="Y439" s="62">
        <f t="shared" ref="Y439" si="390">SUM(Y440:Y445)</f>
        <v>284.31770745438519</v>
      </c>
      <c r="Z439" s="62">
        <f t="shared" ref="Z439" si="391">SUM(Z440:Z445)</f>
        <v>545.74154900450242</v>
      </c>
      <c r="AA439" s="62">
        <f t="shared" ref="AA439" si="392">SUM(AA440:AA445)</f>
        <v>623.4408693052327</v>
      </c>
      <c r="AB439" s="62">
        <f t="shared" ref="AB439" si="393">SUM(AB440:AB445)</f>
        <v>275.5960514172952</v>
      </c>
      <c r="AC439" s="62">
        <f t="shared" ref="AC439" si="394">SUM(AC440:AC445)</f>
        <v>387.74036848716293</v>
      </c>
      <c r="AD439" s="62">
        <f t="shared" ref="AD439" si="395">SUM(AD440:AD445)</f>
        <v>1930.6050643719695</v>
      </c>
      <c r="AE439" s="62">
        <f t="shared" ref="AE439" si="396">SUM(AE440:AE445)</f>
        <v>2632.7210697958626</v>
      </c>
      <c r="AF439" s="62">
        <f t="shared" ref="AF439" si="397">SUM(AF440:AF445)</f>
        <v>952.55547583523219</v>
      </c>
      <c r="AG439" s="62">
        <f t="shared" ref="AG439" si="398">SUM(AG440:AG445)</f>
        <v>2010.945021258053</v>
      </c>
      <c r="AH439" s="62">
        <f t="shared" ref="AH439" si="399">SUM(AH440:AH445)</f>
        <v>854.34626009954866</v>
      </c>
      <c r="AI439" s="62">
        <f t="shared" ref="AI439" si="400">SUM(AI440:AI445)</f>
        <v>2314.3140321107085</v>
      </c>
      <c r="AJ439" s="62">
        <f t="shared" ref="AJ439" si="401">SUM(AJ440:AJ445)</f>
        <v>624.81869780102954</v>
      </c>
      <c r="AK439" s="62">
        <f t="shared" ref="AK439" si="402">SUM(AK440:AK445)</f>
        <v>1078.9139339505309</v>
      </c>
    </row>
    <row r="440" spans="2:37" x14ac:dyDescent="0.35">
      <c r="B440" s="67">
        <f t="shared" si="218"/>
        <v>28380.676261091434</v>
      </c>
      <c r="C440" s="39" t="s">
        <v>93</v>
      </c>
      <c r="D440" s="61">
        <f t="shared" ref="D440:AK440" si="403">D325/D95*10^6</f>
        <v>8504.8827482436209</v>
      </c>
      <c r="E440" s="61">
        <f t="shared" si="403"/>
        <v>1260.5119297451563</v>
      </c>
      <c r="F440" s="61">
        <f t="shared" si="403"/>
        <v>1129.295049014768</v>
      </c>
      <c r="G440" s="61">
        <f t="shared" si="403"/>
        <v>1168.0903273784829</v>
      </c>
      <c r="H440" s="61">
        <f t="shared" si="403"/>
        <v>421.82815888779533</v>
      </c>
      <c r="I440" s="61">
        <f t="shared" si="403"/>
        <v>781.87971055753428</v>
      </c>
      <c r="J440" s="61">
        <f t="shared" si="403"/>
        <v>526.30357634467714</v>
      </c>
      <c r="K440" s="61">
        <f t="shared" si="403"/>
        <v>555.46821987729913</v>
      </c>
      <c r="L440" s="61">
        <f t="shared" si="403"/>
        <v>284.09620581745656</v>
      </c>
      <c r="M440" s="61">
        <f t="shared" si="403"/>
        <v>121.71849347294432</v>
      </c>
      <c r="N440" s="61">
        <f t="shared" si="403"/>
        <v>179.67095086620691</v>
      </c>
      <c r="O440" s="61">
        <f t="shared" si="403"/>
        <v>337.70139930829214</v>
      </c>
      <c r="P440" s="61">
        <f t="shared" si="403"/>
        <v>120.89023995475652</v>
      </c>
      <c r="Q440" s="61">
        <f t="shared" si="403"/>
        <v>119.11026111691469</v>
      </c>
      <c r="R440" s="61">
        <f t="shared" si="403"/>
        <v>623.2470556861108</v>
      </c>
      <c r="S440" s="61">
        <f t="shared" si="403"/>
        <v>1530.9800639701689</v>
      </c>
      <c r="T440" s="61">
        <f t="shared" si="403"/>
        <v>2779.5161254918303</v>
      </c>
      <c r="U440" s="61">
        <f t="shared" si="403"/>
        <v>1018.3802232554327</v>
      </c>
      <c r="V440" s="61">
        <f t="shared" si="403"/>
        <v>875.88135960552961</v>
      </c>
      <c r="W440" s="61">
        <f t="shared" si="403"/>
        <v>446.23768053808635</v>
      </c>
      <c r="X440" s="61">
        <f t="shared" si="403"/>
        <v>56.473285048853768</v>
      </c>
      <c r="Y440" s="61">
        <f t="shared" si="403"/>
        <v>100.64359032666727</v>
      </c>
      <c r="Z440" s="61">
        <f t="shared" si="403"/>
        <v>216.90138389038779</v>
      </c>
      <c r="AA440" s="61">
        <f t="shared" si="403"/>
        <v>240.71397244162335</v>
      </c>
      <c r="AB440" s="61">
        <f t="shared" si="403"/>
        <v>111.3064651280029</v>
      </c>
      <c r="AC440" s="61">
        <f t="shared" si="403"/>
        <v>144.27278418799975</v>
      </c>
      <c r="AD440" s="61">
        <f t="shared" si="403"/>
        <v>749.06409597723371</v>
      </c>
      <c r="AE440" s="61">
        <f t="shared" si="403"/>
        <v>913.65635167476046</v>
      </c>
      <c r="AF440" s="61">
        <f t="shared" si="403"/>
        <v>357.33967751672367</v>
      </c>
      <c r="AG440" s="61">
        <f t="shared" si="403"/>
        <v>745.05054807156455</v>
      </c>
      <c r="AH440" s="61">
        <f t="shared" si="403"/>
        <v>329.0819905752648</v>
      </c>
      <c r="AI440" s="61">
        <f t="shared" si="403"/>
        <v>963.25485186970377</v>
      </c>
      <c r="AJ440" s="61">
        <f t="shared" si="403"/>
        <v>237.91841437940531</v>
      </c>
      <c r="AK440" s="61">
        <f t="shared" si="403"/>
        <v>429.30907087016749</v>
      </c>
    </row>
    <row r="441" spans="2:37" x14ac:dyDescent="0.35">
      <c r="B441" s="67">
        <f t="shared" si="218"/>
        <v>15350.309874969065</v>
      </c>
      <c r="C441" s="39" t="s">
        <v>94</v>
      </c>
      <c r="D441" s="61">
        <f t="shared" ref="D441:AK441" si="404">D326/D96*10^6</f>
        <v>4470.5284326202418</v>
      </c>
      <c r="E441" s="61">
        <f t="shared" si="404"/>
        <v>596.85030990924906</v>
      </c>
      <c r="F441" s="61">
        <f t="shared" si="404"/>
        <v>604.75719794246322</v>
      </c>
      <c r="G441" s="61">
        <f t="shared" si="404"/>
        <v>686.02905941946676</v>
      </c>
      <c r="H441" s="61">
        <f t="shared" si="404"/>
        <v>217.61494760619541</v>
      </c>
      <c r="I441" s="61">
        <f t="shared" si="404"/>
        <v>462.39452492022497</v>
      </c>
      <c r="J441" s="61">
        <f t="shared" si="404"/>
        <v>305.10304172509808</v>
      </c>
      <c r="K441" s="61">
        <f t="shared" si="404"/>
        <v>334.52567415352803</v>
      </c>
      <c r="L441" s="61">
        <f t="shared" si="404"/>
        <v>177.5658618566826</v>
      </c>
      <c r="M441" s="61">
        <f t="shared" si="404"/>
        <v>71.553627702346873</v>
      </c>
      <c r="N441" s="61">
        <f t="shared" si="404"/>
        <v>107.36817069316719</v>
      </c>
      <c r="O441" s="61">
        <f t="shared" si="404"/>
        <v>196.32785626372416</v>
      </c>
      <c r="P441" s="61">
        <f t="shared" si="404"/>
        <v>64.559704955618997</v>
      </c>
      <c r="Q441" s="61">
        <f t="shared" si="404"/>
        <v>57.581819732676635</v>
      </c>
      <c r="R441" s="61">
        <f t="shared" si="404"/>
        <v>303.04128940323068</v>
      </c>
      <c r="S441" s="61">
        <f t="shared" si="404"/>
        <v>969.07812670394628</v>
      </c>
      <c r="T441" s="61">
        <f t="shared" si="404"/>
        <v>1546.6283027596603</v>
      </c>
      <c r="U441" s="61">
        <f t="shared" si="404"/>
        <v>476.56161650743331</v>
      </c>
      <c r="V441" s="61">
        <f t="shared" si="404"/>
        <v>499.3054279379283</v>
      </c>
      <c r="W441" s="61">
        <f t="shared" si="404"/>
        <v>250.80410590181876</v>
      </c>
      <c r="X441" s="61">
        <f t="shared" si="404"/>
        <v>28.113076941270837</v>
      </c>
      <c r="Y441" s="61">
        <f t="shared" si="404"/>
        <v>58.777844561276559</v>
      </c>
      <c r="Z441" s="61">
        <f t="shared" si="404"/>
        <v>110.24512373825065</v>
      </c>
      <c r="AA441" s="61">
        <f t="shared" si="404"/>
        <v>129.79236948563965</v>
      </c>
      <c r="AB441" s="61">
        <f t="shared" si="404"/>
        <v>52.051447626022401</v>
      </c>
      <c r="AC441" s="61">
        <f t="shared" si="404"/>
        <v>78.477006155574756</v>
      </c>
      <c r="AD441" s="61">
        <f t="shared" si="404"/>
        <v>386.14059518180346</v>
      </c>
      <c r="AE441" s="61">
        <f t="shared" si="404"/>
        <v>533.37197129271135</v>
      </c>
      <c r="AF441" s="61">
        <f t="shared" si="404"/>
        <v>206.32581935677391</v>
      </c>
      <c r="AG441" s="61">
        <f t="shared" si="404"/>
        <v>436.53780947859246</v>
      </c>
      <c r="AH441" s="61">
        <f t="shared" si="404"/>
        <v>183.30444557690996</v>
      </c>
      <c r="AI441" s="61">
        <f t="shared" si="404"/>
        <v>431.42107475948529</v>
      </c>
      <c r="AJ441" s="61">
        <f t="shared" si="404"/>
        <v>113.21419890257418</v>
      </c>
      <c r="AK441" s="61">
        <f t="shared" si="404"/>
        <v>204.35799319747647</v>
      </c>
    </row>
    <row r="442" spans="2:37" x14ac:dyDescent="0.35">
      <c r="B442" s="67">
        <f t="shared" si="218"/>
        <v>11143.009622409718</v>
      </c>
      <c r="C442" s="39" t="s">
        <v>95</v>
      </c>
      <c r="D442" s="61">
        <f t="shared" ref="D442:AK442" si="405">D327/D97*10^6</f>
        <v>3250.6395139007118</v>
      </c>
      <c r="E442" s="61">
        <f t="shared" si="405"/>
        <v>568.68693538853461</v>
      </c>
      <c r="F442" s="61">
        <f t="shared" si="405"/>
        <v>506.70916366479725</v>
      </c>
      <c r="G442" s="61">
        <f t="shared" si="405"/>
        <v>495.88904005044992</v>
      </c>
      <c r="H442" s="61">
        <f t="shared" si="405"/>
        <v>150.86544056567863</v>
      </c>
      <c r="I442" s="61">
        <f t="shared" si="405"/>
        <v>350.46397395684284</v>
      </c>
      <c r="J442" s="61">
        <f t="shared" si="405"/>
        <v>248.40322254748534</v>
      </c>
      <c r="K442" s="61">
        <f t="shared" si="405"/>
        <v>201.62209605520565</v>
      </c>
      <c r="L442" s="61">
        <f t="shared" si="405"/>
        <v>124.83913755989597</v>
      </c>
      <c r="M442" s="61">
        <f t="shared" si="405"/>
        <v>53.418249517063629</v>
      </c>
      <c r="N442" s="61">
        <f t="shared" si="405"/>
        <v>81.791304590032325</v>
      </c>
      <c r="O442" s="61">
        <f t="shared" si="405"/>
        <v>161.65255613761892</v>
      </c>
      <c r="P442" s="61">
        <f t="shared" si="405"/>
        <v>42.004752991413305</v>
      </c>
      <c r="Q442" s="61">
        <f t="shared" si="405"/>
        <v>49.721386532447688</v>
      </c>
      <c r="R442" s="61">
        <f t="shared" si="405"/>
        <v>235.46028345468414</v>
      </c>
      <c r="S442" s="61">
        <f t="shared" si="405"/>
        <v>730.77532580839863</v>
      </c>
      <c r="T442" s="61">
        <f t="shared" si="405"/>
        <v>942.7898474170745</v>
      </c>
      <c r="U442" s="61">
        <f t="shared" si="405"/>
        <v>353.26408106090872</v>
      </c>
      <c r="V442" s="61">
        <f t="shared" si="405"/>
        <v>370.88517524101701</v>
      </c>
      <c r="W442" s="61">
        <f t="shared" si="405"/>
        <v>189.0313210606752</v>
      </c>
      <c r="X442" s="61">
        <f t="shared" si="405"/>
        <v>22.564967889423571</v>
      </c>
      <c r="Y442" s="61">
        <f t="shared" si="405"/>
        <v>46.539833128594609</v>
      </c>
      <c r="Z442" s="61">
        <f t="shared" si="405"/>
        <v>68.090481795007577</v>
      </c>
      <c r="AA442" s="61">
        <f t="shared" si="405"/>
        <v>79.372882934771283</v>
      </c>
      <c r="AB442" s="61">
        <f t="shared" si="405"/>
        <v>36.566106577157584</v>
      </c>
      <c r="AC442" s="61">
        <f t="shared" si="405"/>
        <v>50.358619963743287</v>
      </c>
      <c r="AD442" s="61">
        <f t="shared" si="405"/>
        <v>250.14722364858608</v>
      </c>
      <c r="AE442" s="61">
        <f t="shared" si="405"/>
        <v>425.3234414311122</v>
      </c>
      <c r="AF442" s="61">
        <f t="shared" si="405"/>
        <v>114.29862719216273</v>
      </c>
      <c r="AG442" s="61">
        <f t="shared" si="405"/>
        <v>254.20053986231468</v>
      </c>
      <c r="AH442" s="61">
        <f t="shared" si="405"/>
        <v>113.26069459599955</v>
      </c>
      <c r="AI442" s="61">
        <f t="shared" si="405"/>
        <v>338.89673831511919</v>
      </c>
      <c r="AJ442" s="61">
        <f t="shared" si="405"/>
        <v>104.48556794544146</v>
      </c>
      <c r="AK442" s="61">
        <f t="shared" si="405"/>
        <v>129.99108962934761</v>
      </c>
    </row>
    <row r="443" spans="2:37" x14ac:dyDescent="0.35">
      <c r="B443" s="67">
        <f t="shared" si="218"/>
        <v>6269.9419455867292</v>
      </c>
      <c r="C443" s="39" t="s">
        <v>96</v>
      </c>
      <c r="D443" s="61">
        <f t="shared" ref="D443:AK443" si="406">D328/D98*10^6</f>
        <v>1832.121762415876</v>
      </c>
      <c r="E443" s="61">
        <f t="shared" si="406"/>
        <v>253.18273306744297</v>
      </c>
      <c r="F443" s="61">
        <f t="shared" si="406"/>
        <v>293.66654296377709</v>
      </c>
      <c r="G443" s="61">
        <f t="shared" si="406"/>
        <v>272.25921368463736</v>
      </c>
      <c r="H443" s="61">
        <f t="shared" si="406"/>
        <v>91.252408827827693</v>
      </c>
      <c r="I443" s="61">
        <f t="shared" si="406"/>
        <v>213.33975642756624</v>
      </c>
      <c r="J443" s="61">
        <f t="shared" si="406"/>
        <v>134.12778916985462</v>
      </c>
      <c r="K443" s="61">
        <f t="shared" si="406"/>
        <v>123.33150678588717</v>
      </c>
      <c r="L443" s="61">
        <f t="shared" si="406"/>
        <v>79.004509582900283</v>
      </c>
      <c r="M443" s="61">
        <f t="shared" si="406"/>
        <v>25.326559231557134</v>
      </c>
      <c r="N443" s="61">
        <f t="shared" si="406"/>
        <v>53.235575480233884</v>
      </c>
      <c r="O443" s="61">
        <f t="shared" si="406"/>
        <v>91.936554008735285</v>
      </c>
      <c r="P443" s="61">
        <f t="shared" si="406"/>
        <v>33.516861025977818</v>
      </c>
      <c r="Q443" s="61">
        <f t="shared" si="406"/>
        <v>23.92787366543461</v>
      </c>
      <c r="R443" s="61">
        <f t="shared" si="406"/>
        <v>104.12644275590067</v>
      </c>
      <c r="S443" s="61">
        <f t="shared" si="406"/>
        <v>404.59636322696758</v>
      </c>
      <c r="T443" s="61">
        <f t="shared" si="406"/>
        <v>582.54360910021774</v>
      </c>
      <c r="U443" s="61">
        <f t="shared" si="406"/>
        <v>173.82519150632467</v>
      </c>
      <c r="V443" s="61">
        <f t="shared" si="406"/>
        <v>166.47505654013904</v>
      </c>
      <c r="W443" s="61">
        <f t="shared" si="406"/>
        <v>115.62895564576952</v>
      </c>
      <c r="X443" s="61">
        <f t="shared" si="406"/>
        <v>11.591964297686417</v>
      </c>
      <c r="Y443" s="61">
        <f t="shared" si="406"/>
        <v>20.111852875648786</v>
      </c>
      <c r="Z443" s="61">
        <f t="shared" si="406"/>
        <v>43.68508623192848</v>
      </c>
      <c r="AA443" s="61">
        <f t="shared" si="406"/>
        <v>41.276270775293362</v>
      </c>
      <c r="AB443" s="61">
        <f t="shared" si="406"/>
        <v>22.51293491016699</v>
      </c>
      <c r="AC443" s="61">
        <f t="shared" si="406"/>
        <v>34.099769177236134</v>
      </c>
      <c r="AD443" s="61">
        <f t="shared" si="406"/>
        <v>139.49332835729157</v>
      </c>
      <c r="AE443" s="61">
        <f t="shared" si="406"/>
        <v>227.81177468988213</v>
      </c>
      <c r="AF443" s="61">
        <f t="shared" si="406"/>
        <v>87.295753396564749</v>
      </c>
      <c r="AG443" s="61">
        <f t="shared" si="406"/>
        <v>197.42939992713315</v>
      </c>
      <c r="AH443" s="61">
        <f t="shared" si="406"/>
        <v>71.177296135214419</v>
      </c>
      <c r="AI443" s="61">
        <f t="shared" si="406"/>
        <v>152.93665455931904</v>
      </c>
      <c r="AJ443" s="61">
        <f t="shared" si="406"/>
        <v>51.765140912158792</v>
      </c>
      <c r="AK443" s="61">
        <f t="shared" si="406"/>
        <v>101.32945422817689</v>
      </c>
    </row>
    <row r="444" spans="2:37" x14ac:dyDescent="0.35">
      <c r="B444" s="67">
        <f t="shared" si="218"/>
        <v>13983.125699984494</v>
      </c>
      <c r="C444" s="39" t="s">
        <v>97</v>
      </c>
      <c r="D444" s="61">
        <f t="shared" ref="D444:AK444" si="407">D329/D99*10^6</f>
        <v>4114.0838313422209</v>
      </c>
      <c r="E444" s="61">
        <f t="shared" si="407"/>
        <v>574.70053243028553</v>
      </c>
      <c r="F444" s="61">
        <f t="shared" si="407"/>
        <v>522.5711799183473</v>
      </c>
      <c r="G444" s="61">
        <f t="shared" si="407"/>
        <v>562.27340979212477</v>
      </c>
      <c r="H444" s="61">
        <f t="shared" si="407"/>
        <v>209.61490075682369</v>
      </c>
      <c r="I444" s="61">
        <f t="shared" si="407"/>
        <v>414.51244068817891</v>
      </c>
      <c r="J444" s="61">
        <f t="shared" si="407"/>
        <v>266.72719447293571</v>
      </c>
      <c r="K444" s="61">
        <f t="shared" si="407"/>
        <v>290.12619668551235</v>
      </c>
      <c r="L444" s="61">
        <f t="shared" si="407"/>
        <v>158.93069693599486</v>
      </c>
      <c r="M444" s="61">
        <f t="shared" si="407"/>
        <v>66.963663100590395</v>
      </c>
      <c r="N444" s="61">
        <f t="shared" si="407"/>
        <v>103.99846829367482</v>
      </c>
      <c r="O444" s="61">
        <f t="shared" si="407"/>
        <v>174.90143113471717</v>
      </c>
      <c r="P444" s="61">
        <f t="shared" si="407"/>
        <v>62.955661555744832</v>
      </c>
      <c r="Q444" s="61">
        <f t="shared" si="407"/>
        <v>53.345178630184193</v>
      </c>
      <c r="R444" s="61">
        <f t="shared" si="407"/>
        <v>269.56338010849475</v>
      </c>
      <c r="S444" s="61">
        <f t="shared" si="407"/>
        <v>853.27734176530441</v>
      </c>
      <c r="T444" s="61">
        <f t="shared" si="407"/>
        <v>1428.0282983718639</v>
      </c>
      <c r="U444" s="61">
        <f t="shared" si="407"/>
        <v>500.23804879817067</v>
      </c>
      <c r="V444" s="61">
        <f t="shared" si="407"/>
        <v>463.87469023762827</v>
      </c>
      <c r="W444" s="61">
        <f t="shared" si="407"/>
        <v>235.15956391105365</v>
      </c>
      <c r="X444" s="61">
        <f t="shared" si="407"/>
        <v>29.384197535972458</v>
      </c>
      <c r="Y444" s="61">
        <f t="shared" si="407"/>
        <v>52.803565991760564</v>
      </c>
      <c r="Z444" s="61">
        <f t="shared" si="407"/>
        <v>99.305653076742416</v>
      </c>
      <c r="AA444" s="61">
        <f t="shared" si="407"/>
        <v>120.28897828356372</v>
      </c>
      <c r="AB444" s="61">
        <f t="shared" si="407"/>
        <v>48.691397565166127</v>
      </c>
      <c r="AC444" s="61">
        <f t="shared" si="407"/>
        <v>75.100403665130528</v>
      </c>
      <c r="AD444" s="61">
        <f t="shared" si="407"/>
        <v>377.16666673340274</v>
      </c>
      <c r="AE444" s="61">
        <f t="shared" si="407"/>
        <v>488.22173757858945</v>
      </c>
      <c r="AF444" s="61">
        <f t="shared" si="407"/>
        <v>174.76848375937274</v>
      </c>
      <c r="AG444" s="61">
        <f t="shared" si="407"/>
        <v>345.16142263729137</v>
      </c>
      <c r="AH444" s="61">
        <f t="shared" si="407"/>
        <v>146.64785903322934</v>
      </c>
      <c r="AI444" s="61">
        <f t="shared" si="407"/>
        <v>398.86139298433272</v>
      </c>
      <c r="AJ444" s="61">
        <f t="shared" si="407"/>
        <v>107.45826330625361</v>
      </c>
      <c r="AK444" s="61">
        <f t="shared" si="407"/>
        <v>193.41956890383503</v>
      </c>
    </row>
    <row r="445" spans="2:37" x14ac:dyDescent="0.35">
      <c r="B445" s="67">
        <f t="shared" si="218"/>
        <v>1195.7833564603702</v>
      </c>
      <c r="C445" s="39" t="s">
        <v>98</v>
      </c>
      <c r="D445" s="61">
        <f t="shared" ref="D445:AK445" si="408">D330/D100*10^6</f>
        <v>347.04712927172142</v>
      </c>
      <c r="E445" s="61">
        <f t="shared" si="408"/>
        <v>61.791677666554499</v>
      </c>
      <c r="F445" s="61">
        <f t="shared" si="408"/>
        <v>39.390515441958499</v>
      </c>
      <c r="G445" s="61">
        <f t="shared" si="408"/>
        <v>42.527414320990104</v>
      </c>
      <c r="H445" s="61">
        <f t="shared" si="408"/>
        <v>20.720393184526486</v>
      </c>
      <c r="I445" s="61">
        <f t="shared" si="408"/>
        <v>29.362565330500068</v>
      </c>
      <c r="J445" s="61">
        <f t="shared" si="408"/>
        <v>27.024115656386982</v>
      </c>
      <c r="K445" s="61">
        <f t="shared" si="408"/>
        <v>23.136321240132705</v>
      </c>
      <c r="L445" s="61">
        <f t="shared" si="408"/>
        <v>15.381952762026202</v>
      </c>
      <c r="M445" s="61">
        <f t="shared" si="408"/>
        <v>5.4336531948274249</v>
      </c>
      <c r="N445" s="61">
        <f t="shared" si="408"/>
        <v>9.1826231688095685</v>
      </c>
      <c r="O445" s="61">
        <f t="shared" si="408"/>
        <v>18.813374050409788</v>
      </c>
      <c r="P445" s="61">
        <f t="shared" si="408"/>
        <v>5.4025536098828431</v>
      </c>
      <c r="Q445" s="61">
        <f t="shared" si="408"/>
        <v>5.4698787410002607</v>
      </c>
      <c r="R445" s="61">
        <f t="shared" si="408"/>
        <v>20.160493768612124</v>
      </c>
      <c r="S445" s="61">
        <f t="shared" si="408"/>
        <v>87.708810119860161</v>
      </c>
      <c r="T445" s="61">
        <f t="shared" si="408"/>
        <v>106.49306243468654</v>
      </c>
      <c r="U445" s="61">
        <f t="shared" si="408"/>
        <v>50.454503326224369</v>
      </c>
      <c r="V445" s="61">
        <f t="shared" si="408"/>
        <v>30.318099158573368</v>
      </c>
      <c r="W445" s="61">
        <f t="shared" si="408"/>
        <v>24.248795989402293</v>
      </c>
      <c r="X445" s="61">
        <f t="shared" si="408"/>
        <v>2.5421760684094812</v>
      </c>
      <c r="Y445" s="61">
        <f t="shared" si="408"/>
        <v>5.4410205704374111</v>
      </c>
      <c r="Z445" s="61">
        <f t="shared" si="408"/>
        <v>7.5138202721855425</v>
      </c>
      <c r="AA445" s="61">
        <f t="shared" si="408"/>
        <v>11.996395384341307</v>
      </c>
      <c r="AB445" s="61">
        <f t="shared" si="408"/>
        <v>4.4676996107792002</v>
      </c>
      <c r="AC445" s="61">
        <f t="shared" si="408"/>
        <v>5.4317853374785381</v>
      </c>
      <c r="AD445" s="61">
        <f t="shared" si="408"/>
        <v>28.593154473652021</v>
      </c>
      <c r="AE445" s="61">
        <f t="shared" si="408"/>
        <v>44.335793128806813</v>
      </c>
      <c r="AF445" s="61">
        <f t="shared" si="408"/>
        <v>12.527114613634431</v>
      </c>
      <c r="AG445" s="61">
        <f t="shared" si="408"/>
        <v>32.565301281157012</v>
      </c>
      <c r="AH445" s="61">
        <f t="shared" si="408"/>
        <v>10.873974182930592</v>
      </c>
      <c r="AI445" s="61">
        <f t="shared" si="408"/>
        <v>28.943319622748458</v>
      </c>
      <c r="AJ445" s="61">
        <f t="shared" si="408"/>
        <v>9.9771123551961587</v>
      </c>
      <c r="AK445" s="61">
        <f t="shared" si="408"/>
        <v>20.506757121527396</v>
      </c>
    </row>
    <row r="446" spans="2:37" x14ac:dyDescent="0.35">
      <c r="B446" s="67">
        <f t="shared" si="218"/>
        <v>39582.027023115857</v>
      </c>
      <c r="C446" s="37" t="s">
        <v>81</v>
      </c>
      <c r="D446" s="62">
        <f>SUM(D447:D452)</f>
        <v>11420.545871886454</v>
      </c>
      <c r="E446" s="62">
        <f t="shared" ref="E446" si="409">SUM(E447:E452)</f>
        <v>1742.9251885439735</v>
      </c>
      <c r="F446" s="62">
        <f t="shared" ref="F446" si="410">SUM(F447:F452)</f>
        <v>1520.7540194725486</v>
      </c>
      <c r="G446" s="62">
        <f t="shared" ref="G446" si="411">SUM(G447:G452)</f>
        <v>1621.0558353334413</v>
      </c>
      <c r="H446" s="62">
        <f t="shared" ref="H446" si="412">SUM(H447:H452)</f>
        <v>509.95217280078185</v>
      </c>
      <c r="I446" s="62">
        <f t="shared" ref="I446" si="413">SUM(I447:I452)</f>
        <v>1190.282578996073</v>
      </c>
      <c r="J446" s="62">
        <f t="shared" ref="J446" si="414">SUM(J447:J452)</f>
        <v>717.04808383418413</v>
      </c>
      <c r="K446" s="62">
        <f t="shared" ref="K446" si="415">SUM(K447:K452)</f>
        <v>814.71225692595158</v>
      </c>
      <c r="L446" s="62">
        <f t="shared" ref="L446" si="416">SUM(L447:L452)</f>
        <v>437.31305860285363</v>
      </c>
      <c r="M446" s="62">
        <f t="shared" ref="M446" si="417">SUM(M447:M452)</f>
        <v>170.24014165537994</v>
      </c>
      <c r="N446" s="62">
        <f t="shared" ref="N446" si="418">SUM(N447:N452)</f>
        <v>258.68185068454227</v>
      </c>
      <c r="O446" s="62">
        <f t="shared" ref="O446" si="419">SUM(O447:O452)</f>
        <v>528.09080085582593</v>
      </c>
      <c r="P446" s="62">
        <f t="shared" ref="P446" si="420">SUM(P447:P452)</f>
        <v>166.49672202149279</v>
      </c>
      <c r="Q446" s="62">
        <f t="shared" ref="Q446" si="421">SUM(Q447:Q452)</f>
        <v>150.00317406109073</v>
      </c>
      <c r="R446" s="62">
        <f t="shared" ref="R446" si="422">SUM(R447:R452)</f>
        <v>796.68067441192807</v>
      </c>
      <c r="S446" s="62">
        <f t="shared" ref="S446" si="423">SUM(S447:S452)</f>
        <v>2552.1046877251056</v>
      </c>
      <c r="T446" s="62">
        <f t="shared" ref="T446" si="424">SUM(T447:T452)</f>
        <v>4178.252128787406</v>
      </c>
      <c r="U446" s="62">
        <f t="shared" ref="U446" si="425">SUM(U447:U452)</f>
        <v>1443.79019035847</v>
      </c>
      <c r="V446" s="62">
        <f t="shared" ref="V446" si="426">SUM(V447:V452)</f>
        <v>1243.6956668424029</v>
      </c>
      <c r="W446" s="62">
        <f t="shared" ref="W446" si="427">SUM(W447:W452)</f>
        <v>658.29554418011753</v>
      </c>
      <c r="X446" s="62">
        <f t="shared" ref="X446" si="428">SUM(X447:X452)</f>
        <v>73.888402305997175</v>
      </c>
      <c r="Y446" s="62">
        <f t="shared" ref="Y446" si="429">SUM(Y447:Y452)</f>
        <v>140.61285530603462</v>
      </c>
      <c r="Z446" s="62">
        <f t="shared" ref="Z446" si="430">SUM(Z447:Z452)</f>
        <v>298.72143806497678</v>
      </c>
      <c r="AA446" s="62">
        <f t="shared" ref="AA446" si="431">SUM(AA447:AA452)</f>
        <v>361.25094256938081</v>
      </c>
      <c r="AB446" s="62">
        <f t="shared" ref="AB446" si="432">SUM(AB447:AB452)</f>
        <v>133.4188373422281</v>
      </c>
      <c r="AC446" s="62">
        <f t="shared" ref="AC446" si="433">SUM(AC447:AC452)</f>
        <v>199.54046812487005</v>
      </c>
      <c r="AD446" s="62">
        <f t="shared" ref="AD446" si="434">SUM(AD447:AD452)</f>
        <v>917.63065091156898</v>
      </c>
      <c r="AE446" s="62">
        <f t="shared" ref="AE446" si="435">SUM(AE447:AE452)</f>
        <v>1415.8082303731701</v>
      </c>
      <c r="AF446" s="62">
        <f t="shared" ref="AF446" si="436">SUM(AF447:AF452)</f>
        <v>456.81370331623219</v>
      </c>
      <c r="AG446" s="62">
        <f t="shared" ref="AG446" si="437">SUM(AG447:AG452)</f>
        <v>1010.2296892388728</v>
      </c>
      <c r="AH446" s="62">
        <f t="shared" ref="AH446" si="438">SUM(AH447:AH452)</f>
        <v>381.78098476637621</v>
      </c>
      <c r="AI446" s="62">
        <f t="shared" ref="AI446" si="439">SUM(AI447:AI452)</f>
        <v>1160.9673510459224</v>
      </c>
      <c r="AJ446" s="62">
        <f t="shared" ref="AJ446" si="440">SUM(AJ447:AJ452)</f>
        <v>308.80307399469189</v>
      </c>
      <c r="AK446" s="62">
        <f t="shared" ref="AK446" si="441">SUM(AK447:AK452)</f>
        <v>601.63974777551789</v>
      </c>
    </row>
    <row r="447" spans="2:37" x14ac:dyDescent="0.35">
      <c r="B447" s="67">
        <f t="shared" si="218"/>
        <v>16547.822901391006</v>
      </c>
      <c r="C447" s="39" t="s">
        <v>93</v>
      </c>
      <c r="D447" s="61">
        <f t="shared" ref="D447:AK447" si="442">D332/D102*10^6</f>
        <v>4725.758426016715</v>
      </c>
      <c r="E447" s="61">
        <f t="shared" si="442"/>
        <v>712.48432658613797</v>
      </c>
      <c r="F447" s="61">
        <f t="shared" si="442"/>
        <v>659.08161757153448</v>
      </c>
      <c r="G447" s="61">
        <f t="shared" si="442"/>
        <v>638.00317969123716</v>
      </c>
      <c r="H447" s="61">
        <f t="shared" si="442"/>
        <v>228.46560200844817</v>
      </c>
      <c r="I447" s="61">
        <f t="shared" si="442"/>
        <v>475.50849437457623</v>
      </c>
      <c r="J447" s="61">
        <f t="shared" si="442"/>
        <v>306.12591295167607</v>
      </c>
      <c r="K447" s="61">
        <f t="shared" si="442"/>
        <v>369.92486490084741</v>
      </c>
      <c r="L447" s="61">
        <f t="shared" si="442"/>
        <v>193.86335262378094</v>
      </c>
      <c r="M447" s="61">
        <f t="shared" si="442"/>
        <v>66.216714753451228</v>
      </c>
      <c r="N447" s="61">
        <f t="shared" si="442"/>
        <v>106.92501789075588</v>
      </c>
      <c r="O447" s="61">
        <f t="shared" si="442"/>
        <v>210.40738735929725</v>
      </c>
      <c r="P447" s="61">
        <f t="shared" si="442"/>
        <v>68.703144292803145</v>
      </c>
      <c r="Q447" s="61">
        <f t="shared" si="442"/>
        <v>62.757873319028704</v>
      </c>
      <c r="R447" s="61">
        <f t="shared" si="442"/>
        <v>346.09109565129535</v>
      </c>
      <c r="S447" s="61">
        <f t="shared" si="442"/>
        <v>1056.0913934798452</v>
      </c>
      <c r="T447" s="61">
        <f t="shared" si="442"/>
        <v>1782.8501462185625</v>
      </c>
      <c r="U447" s="61">
        <f t="shared" si="442"/>
        <v>592.82544222195224</v>
      </c>
      <c r="V447" s="61">
        <f t="shared" si="442"/>
        <v>496.66255880624556</v>
      </c>
      <c r="W447" s="61">
        <f t="shared" si="442"/>
        <v>290.85377347522223</v>
      </c>
      <c r="X447" s="61">
        <f t="shared" si="442"/>
        <v>31.24356361840222</v>
      </c>
      <c r="Y447" s="61">
        <f t="shared" si="442"/>
        <v>56.421237792731652</v>
      </c>
      <c r="Z447" s="61">
        <f t="shared" si="442"/>
        <v>125.66431627550735</v>
      </c>
      <c r="AA447" s="61">
        <f t="shared" si="442"/>
        <v>154.73854438496946</v>
      </c>
      <c r="AB447" s="61">
        <f t="shared" si="442"/>
        <v>53.208681538987761</v>
      </c>
      <c r="AC447" s="61">
        <f t="shared" si="442"/>
        <v>76.790476083286478</v>
      </c>
      <c r="AD447" s="61">
        <f t="shared" si="442"/>
        <v>374.95854244692362</v>
      </c>
      <c r="AE447" s="61">
        <f t="shared" si="442"/>
        <v>643.1663227201085</v>
      </c>
      <c r="AF447" s="61">
        <f t="shared" si="442"/>
        <v>191.11693090024261</v>
      </c>
      <c r="AG447" s="61">
        <f t="shared" si="442"/>
        <v>446.28430575874057</v>
      </c>
      <c r="AH447" s="61">
        <f t="shared" si="442"/>
        <v>153.87842494802246</v>
      </c>
      <c r="AI447" s="61">
        <f t="shared" si="442"/>
        <v>492.09382359215266</v>
      </c>
      <c r="AJ447" s="61">
        <f t="shared" si="442"/>
        <v>113.32372006181895</v>
      </c>
      <c r="AK447" s="61">
        <f t="shared" si="442"/>
        <v>245.33368707569633</v>
      </c>
    </row>
    <row r="448" spans="2:37" x14ac:dyDescent="0.35">
      <c r="B448" s="67">
        <f t="shared" si="218"/>
        <v>6499.9362702962435</v>
      </c>
      <c r="C448" s="39" t="s">
        <v>94</v>
      </c>
      <c r="D448" s="61">
        <f t="shared" ref="D448:AK448" si="443">D333/D103*10^6</f>
        <v>1912.5416229451762</v>
      </c>
      <c r="E448" s="61">
        <f t="shared" si="443"/>
        <v>259.58065686475385</v>
      </c>
      <c r="F448" s="61">
        <f t="shared" si="443"/>
        <v>231.30093436693687</v>
      </c>
      <c r="G448" s="61">
        <f t="shared" si="443"/>
        <v>274.40059027602359</v>
      </c>
      <c r="H448" s="61">
        <f t="shared" si="443"/>
        <v>84.656810573958253</v>
      </c>
      <c r="I448" s="61">
        <f t="shared" si="443"/>
        <v>177.83412648732264</v>
      </c>
      <c r="J448" s="61">
        <f t="shared" si="443"/>
        <v>121.3317084251709</v>
      </c>
      <c r="K448" s="61">
        <f t="shared" si="443"/>
        <v>129.76762191952108</v>
      </c>
      <c r="L448" s="61">
        <f t="shared" si="443"/>
        <v>75.772442353015606</v>
      </c>
      <c r="M448" s="61">
        <f t="shared" si="443"/>
        <v>30.886880829671579</v>
      </c>
      <c r="N448" s="61">
        <f t="shared" si="443"/>
        <v>40.919095462524368</v>
      </c>
      <c r="O448" s="61">
        <f t="shared" si="443"/>
        <v>85.566041654539703</v>
      </c>
      <c r="P448" s="61">
        <f t="shared" si="443"/>
        <v>30.463680900913381</v>
      </c>
      <c r="Q448" s="61">
        <f t="shared" si="443"/>
        <v>24.440332272533183</v>
      </c>
      <c r="R448" s="61">
        <f t="shared" si="443"/>
        <v>136.39613822829807</v>
      </c>
      <c r="S448" s="61">
        <f t="shared" si="443"/>
        <v>399.95358989816197</v>
      </c>
      <c r="T448" s="61">
        <f t="shared" si="443"/>
        <v>675.09798518615298</v>
      </c>
      <c r="U448" s="61">
        <f t="shared" si="443"/>
        <v>255.58991808844823</v>
      </c>
      <c r="V448" s="61">
        <f t="shared" si="443"/>
        <v>228.03483577431189</v>
      </c>
      <c r="W448" s="61">
        <f t="shared" si="443"/>
        <v>105.98754038033756</v>
      </c>
      <c r="X448" s="61">
        <f t="shared" si="443"/>
        <v>11.969338083618135</v>
      </c>
      <c r="Y448" s="61">
        <f t="shared" si="443"/>
        <v>25.014175428276744</v>
      </c>
      <c r="Z448" s="61">
        <f t="shared" si="443"/>
        <v>45.498361617657174</v>
      </c>
      <c r="AA448" s="61">
        <f t="shared" si="443"/>
        <v>60.269394872707906</v>
      </c>
      <c r="AB448" s="61">
        <f t="shared" si="443"/>
        <v>21.665000856310055</v>
      </c>
      <c r="AC448" s="61">
        <f t="shared" si="443"/>
        <v>32.376491931553979</v>
      </c>
      <c r="AD448" s="61">
        <f t="shared" si="443"/>
        <v>150.17094515215683</v>
      </c>
      <c r="AE448" s="61">
        <f t="shared" si="443"/>
        <v>230.8037714166673</v>
      </c>
      <c r="AF448" s="61">
        <f t="shared" si="443"/>
        <v>83.311367542840074</v>
      </c>
      <c r="AG448" s="61">
        <f t="shared" si="443"/>
        <v>152.44359805701782</v>
      </c>
      <c r="AH448" s="61">
        <f t="shared" si="443"/>
        <v>58.652540409671133</v>
      </c>
      <c r="AI448" s="61">
        <f t="shared" si="443"/>
        <v>185.18470466793156</v>
      </c>
      <c r="AJ448" s="61">
        <f t="shared" si="443"/>
        <v>56.577091738319353</v>
      </c>
      <c r="AK448" s="61">
        <f t="shared" si="443"/>
        <v>105.47693563374361</v>
      </c>
    </row>
    <row r="449" spans="2:37" x14ac:dyDescent="0.35">
      <c r="B449" s="67">
        <f t="shared" si="218"/>
        <v>6239.0503800139768</v>
      </c>
      <c r="C449" s="39" t="s">
        <v>95</v>
      </c>
      <c r="D449" s="61">
        <f t="shared" ref="D449:AK449" si="444">D334/D104*10^6</f>
        <v>1856.6040701636612</v>
      </c>
      <c r="E449" s="61">
        <f t="shared" si="444"/>
        <v>328.36601118115072</v>
      </c>
      <c r="F449" s="61">
        <f t="shared" si="444"/>
        <v>212.88167769589444</v>
      </c>
      <c r="G449" s="61">
        <f t="shared" si="444"/>
        <v>229.83871369031061</v>
      </c>
      <c r="H449" s="61">
        <f t="shared" si="444"/>
        <v>69.567953907585647</v>
      </c>
      <c r="I449" s="61">
        <f t="shared" si="444"/>
        <v>203.25666713792717</v>
      </c>
      <c r="J449" s="61">
        <f t="shared" si="444"/>
        <v>112.55255755352508</v>
      </c>
      <c r="K449" s="61">
        <f t="shared" si="444"/>
        <v>112.6706244607611</v>
      </c>
      <c r="L449" s="61">
        <f t="shared" si="444"/>
        <v>59.559414564691387</v>
      </c>
      <c r="M449" s="61">
        <f t="shared" si="444"/>
        <v>32.047701434800267</v>
      </c>
      <c r="N449" s="61">
        <f t="shared" si="444"/>
        <v>40.532828264597597</v>
      </c>
      <c r="O449" s="61">
        <f t="shared" si="444"/>
        <v>82.931445087634359</v>
      </c>
      <c r="P449" s="61">
        <f t="shared" si="444"/>
        <v>27.265501716922319</v>
      </c>
      <c r="Q449" s="61">
        <f t="shared" si="444"/>
        <v>27.240809521431586</v>
      </c>
      <c r="R449" s="61">
        <f t="shared" si="444"/>
        <v>110.44072921001617</v>
      </c>
      <c r="S449" s="61">
        <f t="shared" si="444"/>
        <v>430.77111370636885</v>
      </c>
      <c r="T449" s="61">
        <f t="shared" si="444"/>
        <v>628.18501937204007</v>
      </c>
      <c r="U449" s="61">
        <f t="shared" si="444"/>
        <v>243.10340638635219</v>
      </c>
      <c r="V449" s="61">
        <f t="shared" si="444"/>
        <v>185.07962963061667</v>
      </c>
      <c r="W449" s="61">
        <f t="shared" si="444"/>
        <v>107.41742297380084</v>
      </c>
      <c r="X449" s="61">
        <f t="shared" si="444"/>
        <v>10.990529258955778</v>
      </c>
      <c r="Y449" s="61">
        <f t="shared" si="444"/>
        <v>27.175580624796268</v>
      </c>
      <c r="Z449" s="61">
        <f t="shared" si="444"/>
        <v>52.657332483105506</v>
      </c>
      <c r="AA449" s="61">
        <f t="shared" si="444"/>
        <v>49.459548787358209</v>
      </c>
      <c r="AB449" s="61">
        <f t="shared" si="444"/>
        <v>23.356050332833789</v>
      </c>
      <c r="AC449" s="61">
        <f t="shared" si="444"/>
        <v>35.441941163127275</v>
      </c>
      <c r="AD449" s="61">
        <f t="shared" si="444"/>
        <v>153.14936679515702</v>
      </c>
      <c r="AE449" s="61">
        <f t="shared" si="444"/>
        <v>184.75939968900363</v>
      </c>
      <c r="AF449" s="61">
        <f t="shared" si="444"/>
        <v>72.75072695073122</v>
      </c>
      <c r="AG449" s="61">
        <f t="shared" si="444"/>
        <v>145.76682769940135</v>
      </c>
      <c r="AH449" s="61">
        <f t="shared" si="444"/>
        <v>72.927272662825217</v>
      </c>
      <c r="AI449" s="61">
        <f t="shared" si="444"/>
        <v>176.32590736951568</v>
      </c>
      <c r="AJ449" s="61">
        <f t="shared" si="444"/>
        <v>54.563758056969135</v>
      </c>
      <c r="AK449" s="61">
        <f t="shared" si="444"/>
        <v>79.412840480108969</v>
      </c>
    </row>
    <row r="450" spans="2:37" x14ac:dyDescent="0.35">
      <c r="B450" s="67">
        <f t="shared" si="218"/>
        <v>3238.6142279851601</v>
      </c>
      <c r="C450" s="39" t="s">
        <v>96</v>
      </c>
      <c r="D450" s="61">
        <f t="shared" ref="D450:AK450" si="445">D335/D105*10^6</f>
        <v>956.29907215412447</v>
      </c>
      <c r="E450" s="61">
        <f t="shared" si="445"/>
        <v>166.4104004160418</v>
      </c>
      <c r="F450" s="61">
        <f t="shared" si="445"/>
        <v>109.74647648694432</v>
      </c>
      <c r="G450" s="61">
        <f t="shared" si="445"/>
        <v>158.55747914448361</v>
      </c>
      <c r="H450" s="61">
        <f t="shared" si="445"/>
        <v>45.610072823873779</v>
      </c>
      <c r="I450" s="61">
        <f t="shared" si="445"/>
        <v>107.32192019252473</v>
      </c>
      <c r="J450" s="61">
        <f t="shared" si="445"/>
        <v>49.132575808275789</v>
      </c>
      <c r="K450" s="61">
        <f t="shared" si="445"/>
        <v>65.513351085659323</v>
      </c>
      <c r="L450" s="61">
        <f t="shared" si="445"/>
        <v>32.039145653684024</v>
      </c>
      <c r="M450" s="61">
        <f t="shared" si="445"/>
        <v>14.337002535734742</v>
      </c>
      <c r="N450" s="61">
        <f t="shared" si="445"/>
        <v>24.451114299146873</v>
      </c>
      <c r="O450" s="61">
        <f t="shared" si="445"/>
        <v>49.02795652740199</v>
      </c>
      <c r="P450" s="61">
        <f t="shared" si="445"/>
        <v>11.182294916043071</v>
      </c>
      <c r="Q450" s="61">
        <f t="shared" si="445"/>
        <v>12.264558029410134</v>
      </c>
      <c r="R450" s="61">
        <f t="shared" si="445"/>
        <v>72.195625285588392</v>
      </c>
      <c r="S450" s="61">
        <f t="shared" si="445"/>
        <v>203.05747781524721</v>
      </c>
      <c r="T450" s="61">
        <f t="shared" si="445"/>
        <v>295.03539831649789</v>
      </c>
      <c r="U450" s="61">
        <f t="shared" si="445"/>
        <v>106.90094130091443</v>
      </c>
      <c r="V450" s="61">
        <f t="shared" si="445"/>
        <v>115.61696013562624</v>
      </c>
      <c r="W450" s="61">
        <f t="shared" si="445"/>
        <v>43.886340147646784</v>
      </c>
      <c r="X450" s="61">
        <f t="shared" si="445"/>
        <v>4.946066701744849</v>
      </c>
      <c r="Y450" s="61">
        <f t="shared" si="445"/>
        <v>9.5919977442212865</v>
      </c>
      <c r="Z450" s="61">
        <f t="shared" si="445"/>
        <v>23.695825895736952</v>
      </c>
      <c r="AA450" s="61">
        <f t="shared" si="445"/>
        <v>31.920482657767817</v>
      </c>
      <c r="AB450" s="61">
        <f t="shared" si="445"/>
        <v>11.723109223704542</v>
      </c>
      <c r="AC450" s="61">
        <f t="shared" si="445"/>
        <v>17.750664625864058</v>
      </c>
      <c r="AD450" s="61">
        <f t="shared" si="445"/>
        <v>77.832441053670891</v>
      </c>
      <c r="AE450" s="61">
        <f t="shared" si="445"/>
        <v>95.303971136141499</v>
      </c>
      <c r="AF450" s="61">
        <f t="shared" si="445"/>
        <v>32.222166100350684</v>
      </c>
      <c r="AG450" s="61">
        <f t="shared" si="445"/>
        <v>71.679944780171866</v>
      </c>
      <c r="AH450" s="61">
        <f t="shared" si="445"/>
        <v>31.332170139035412</v>
      </c>
      <c r="AI450" s="61">
        <f t="shared" si="445"/>
        <v>99.277950021757562</v>
      </c>
      <c r="AJ450" s="61">
        <f t="shared" si="445"/>
        <v>31.699489647002093</v>
      </c>
      <c r="AK450" s="61">
        <f t="shared" si="445"/>
        <v>61.051785183121233</v>
      </c>
    </row>
    <row r="451" spans="2:37" x14ac:dyDescent="0.35">
      <c r="B451" s="67">
        <f t="shared" si="218"/>
        <v>4140.3085394827967</v>
      </c>
      <c r="C451" s="39" t="s">
        <v>97</v>
      </c>
      <c r="D451" s="61">
        <f t="shared" ref="D451:AK451" si="446">D336/D106*10^6</f>
        <v>1181.6203966422386</v>
      </c>
      <c r="E451" s="61">
        <f t="shared" si="446"/>
        <v>174.61292260762212</v>
      </c>
      <c r="F451" s="61">
        <f t="shared" si="446"/>
        <v>166.03309801968052</v>
      </c>
      <c r="G451" s="61">
        <f t="shared" si="446"/>
        <v>171.42851941806754</v>
      </c>
      <c r="H451" s="61">
        <f t="shared" si="446"/>
        <v>50.051734728329386</v>
      </c>
      <c r="I451" s="61">
        <f t="shared" si="446"/>
        <v>126.76218317222013</v>
      </c>
      <c r="J451" s="61">
        <f t="shared" si="446"/>
        <v>76.503572744539824</v>
      </c>
      <c r="K451" s="61">
        <f t="shared" si="446"/>
        <v>86.981245081693615</v>
      </c>
      <c r="L451" s="61">
        <f t="shared" si="446"/>
        <v>44.607754456138046</v>
      </c>
      <c r="M451" s="61">
        <f t="shared" si="446"/>
        <v>16.737933003195547</v>
      </c>
      <c r="N451" s="61">
        <f t="shared" si="446"/>
        <v>27.834933597381486</v>
      </c>
      <c r="O451" s="61">
        <f t="shared" si="446"/>
        <v>54.929999118721966</v>
      </c>
      <c r="P451" s="61">
        <f t="shared" si="446"/>
        <v>17.146883623657288</v>
      </c>
      <c r="Q451" s="61">
        <f t="shared" si="446"/>
        <v>14.736332848162789</v>
      </c>
      <c r="R451" s="61">
        <f t="shared" si="446"/>
        <v>83.821253897745322</v>
      </c>
      <c r="S451" s="61">
        <f t="shared" si="446"/>
        <v>282.32830384955059</v>
      </c>
      <c r="T451" s="61">
        <f t="shared" si="446"/>
        <v>430.18622208673145</v>
      </c>
      <c r="U451" s="61">
        <f t="shared" si="446"/>
        <v>155.90480514781729</v>
      </c>
      <c r="V451" s="61">
        <f t="shared" si="446"/>
        <v>125.37191750782334</v>
      </c>
      <c r="W451" s="61">
        <f t="shared" si="446"/>
        <v>67.839452042637689</v>
      </c>
      <c r="X451" s="61">
        <f t="shared" si="446"/>
        <v>8.1096696609946104</v>
      </c>
      <c r="Y451" s="61">
        <f t="shared" si="446"/>
        <v>14.539061576349436</v>
      </c>
      <c r="Z451" s="61">
        <f t="shared" si="446"/>
        <v>32.040563471709916</v>
      </c>
      <c r="AA451" s="61">
        <f t="shared" si="446"/>
        <v>37.677180894596923</v>
      </c>
      <c r="AB451" s="61">
        <f t="shared" si="446"/>
        <v>14.028551512758492</v>
      </c>
      <c r="AC451" s="61">
        <f t="shared" si="446"/>
        <v>19.532015076960089</v>
      </c>
      <c r="AD451" s="61">
        <f t="shared" si="446"/>
        <v>101.33510882948161</v>
      </c>
      <c r="AE451" s="61">
        <f t="shared" si="446"/>
        <v>144.64429845333711</v>
      </c>
      <c r="AF451" s="61">
        <f t="shared" si="446"/>
        <v>47.572603335917286</v>
      </c>
      <c r="AG451" s="61">
        <f t="shared" si="446"/>
        <v>105.91843905420016</v>
      </c>
      <c r="AH451" s="61">
        <f t="shared" si="446"/>
        <v>41.700517094312644</v>
      </c>
      <c r="AI451" s="61">
        <f t="shared" si="446"/>
        <v>119.55277516497804</v>
      </c>
      <c r="AJ451" s="61">
        <f t="shared" si="446"/>
        <v>34.073533225212365</v>
      </c>
      <c r="AK451" s="61">
        <f t="shared" si="446"/>
        <v>64.144758538034239</v>
      </c>
    </row>
    <row r="452" spans="2:37" x14ac:dyDescent="0.35">
      <c r="B452" s="67">
        <f t="shared" si="218"/>
        <v>2916.2947039466835</v>
      </c>
      <c r="C452" s="39" t="s">
        <v>98</v>
      </c>
      <c r="D452" s="61">
        <f t="shared" ref="D452:AK452" si="447">D337/D107*10^6</f>
        <v>787.72228396453897</v>
      </c>
      <c r="E452" s="61">
        <f t="shared" si="447"/>
        <v>101.47087088826714</v>
      </c>
      <c r="F452" s="61">
        <f t="shared" si="447"/>
        <v>141.71021533155786</v>
      </c>
      <c r="G452" s="61">
        <f t="shared" si="447"/>
        <v>148.82735311331882</v>
      </c>
      <c r="H452" s="61">
        <f t="shared" si="447"/>
        <v>31.599998758586569</v>
      </c>
      <c r="I452" s="61">
        <f t="shared" si="447"/>
        <v>99.599187631501991</v>
      </c>
      <c r="J452" s="61">
        <f t="shared" si="447"/>
        <v>51.40175635099655</v>
      </c>
      <c r="K452" s="61">
        <f t="shared" si="447"/>
        <v>49.854549477468993</v>
      </c>
      <c r="L452" s="61">
        <f t="shared" si="447"/>
        <v>31.47094895154364</v>
      </c>
      <c r="M452" s="61">
        <f t="shared" si="447"/>
        <v>10.013909098526591</v>
      </c>
      <c r="N452" s="61">
        <f t="shared" si="447"/>
        <v>18.01886117013612</v>
      </c>
      <c r="O452" s="61">
        <f t="shared" si="447"/>
        <v>45.227971108230598</v>
      </c>
      <c r="P452" s="61">
        <f t="shared" si="447"/>
        <v>11.735216571153575</v>
      </c>
      <c r="Q452" s="61">
        <f t="shared" si="447"/>
        <v>8.5632680705243356</v>
      </c>
      <c r="R452" s="61">
        <f t="shared" si="447"/>
        <v>47.735832138984641</v>
      </c>
      <c r="S452" s="61">
        <f t="shared" si="447"/>
        <v>179.90280897593195</v>
      </c>
      <c r="T452" s="61">
        <f t="shared" si="447"/>
        <v>366.89735760742172</v>
      </c>
      <c r="U452" s="61">
        <f t="shared" si="447"/>
        <v>89.465677212985611</v>
      </c>
      <c r="V452" s="61">
        <f t="shared" si="447"/>
        <v>92.929764987779251</v>
      </c>
      <c r="W452" s="61">
        <f t="shared" si="447"/>
        <v>42.311015160472408</v>
      </c>
      <c r="X452" s="61">
        <f t="shared" si="447"/>
        <v>6.6292349822815853</v>
      </c>
      <c r="Y452" s="61">
        <f t="shared" si="447"/>
        <v>7.8708021396592578</v>
      </c>
      <c r="Z452" s="61">
        <f t="shared" si="447"/>
        <v>19.16503832125991</v>
      </c>
      <c r="AA452" s="61">
        <f t="shared" si="447"/>
        <v>27.185790971980513</v>
      </c>
      <c r="AB452" s="61">
        <f t="shared" si="447"/>
        <v>9.4374438776334664</v>
      </c>
      <c r="AC452" s="61">
        <f t="shared" si="447"/>
        <v>17.648879244078191</v>
      </c>
      <c r="AD452" s="61">
        <f t="shared" si="447"/>
        <v>60.184246634179004</v>
      </c>
      <c r="AE452" s="61">
        <f t="shared" si="447"/>
        <v>117.13046695791223</v>
      </c>
      <c r="AF452" s="61">
        <f t="shared" si="447"/>
        <v>29.839908486150321</v>
      </c>
      <c r="AG452" s="61">
        <f t="shared" si="447"/>
        <v>88.136573889341022</v>
      </c>
      <c r="AH452" s="61">
        <f t="shared" si="447"/>
        <v>23.290059512509327</v>
      </c>
      <c r="AI452" s="61">
        <f t="shared" si="447"/>
        <v>88.532190229587172</v>
      </c>
      <c r="AJ452" s="61">
        <f t="shared" si="447"/>
        <v>18.565481265370014</v>
      </c>
      <c r="AK452" s="61">
        <f t="shared" si="447"/>
        <v>46.219740864813495</v>
      </c>
    </row>
    <row r="453" spans="2:37" x14ac:dyDescent="0.35">
      <c r="B453" s="67">
        <f t="shared" si="218"/>
        <v>21125.531610753751</v>
      </c>
      <c r="C453" s="37" t="s">
        <v>82</v>
      </c>
      <c r="D453" s="62">
        <f>SUM(D454:D459)</f>
        <v>6155.9589300604357</v>
      </c>
      <c r="E453" s="62">
        <f t="shared" ref="E453:AK453" si="448">SUM(E454:E459)</f>
        <v>836.39079594539055</v>
      </c>
      <c r="F453" s="62">
        <f t="shared" si="448"/>
        <v>885.71206674671987</v>
      </c>
      <c r="G453" s="62">
        <f t="shared" si="448"/>
        <v>856.18144779034958</v>
      </c>
      <c r="H453" s="62">
        <f t="shared" si="448"/>
        <v>295.80389469236388</v>
      </c>
      <c r="I453" s="62">
        <f t="shared" si="448"/>
        <v>611.19092245505851</v>
      </c>
      <c r="J453" s="62">
        <f t="shared" si="448"/>
        <v>411.0676519939808</v>
      </c>
      <c r="K453" s="62">
        <f t="shared" si="448"/>
        <v>459.46912190525848</v>
      </c>
      <c r="L453" s="62">
        <f t="shared" si="448"/>
        <v>251.34325454329223</v>
      </c>
      <c r="M453" s="62">
        <f t="shared" si="448"/>
        <v>89.279611493345527</v>
      </c>
      <c r="N453" s="62">
        <f t="shared" si="448"/>
        <v>153.50115975813534</v>
      </c>
      <c r="O453" s="62">
        <f t="shared" si="448"/>
        <v>258.69782478529089</v>
      </c>
      <c r="P453" s="62">
        <f t="shared" si="448"/>
        <v>97.705121227869583</v>
      </c>
      <c r="Q453" s="62">
        <f t="shared" si="448"/>
        <v>80.929597668161406</v>
      </c>
      <c r="R453" s="62">
        <f t="shared" si="448"/>
        <v>410.88428671801557</v>
      </c>
      <c r="S453" s="62">
        <f t="shared" si="448"/>
        <v>1300.523474679246</v>
      </c>
      <c r="T453" s="62">
        <f t="shared" si="448"/>
        <v>2085.9796754208919</v>
      </c>
      <c r="U453" s="62">
        <f t="shared" si="448"/>
        <v>783.70269880495573</v>
      </c>
      <c r="V453" s="62">
        <f t="shared" si="448"/>
        <v>664.09085687900506</v>
      </c>
      <c r="W453" s="62">
        <f t="shared" si="448"/>
        <v>329.01673331562341</v>
      </c>
      <c r="X453" s="62">
        <f t="shared" si="448"/>
        <v>43.235181762785245</v>
      </c>
      <c r="Y453" s="62">
        <f t="shared" si="448"/>
        <v>74.145744523059051</v>
      </c>
      <c r="Z453" s="62">
        <f t="shared" si="448"/>
        <v>159.67493487654127</v>
      </c>
      <c r="AA453" s="62">
        <f t="shared" si="448"/>
        <v>187.497401634624</v>
      </c>
      <c r="AB453" s="62">
        <f t="shared" si="448"/>
        <v>82.458964989937868</v>
      </c>
      <c r="AC453" s="62">
        <f t="shared" si="448"/>
        <v>99.097072663244276</v>
      </c>
      <c r="AD453" s="62">
        <f t="shared" si="448"/>
        <v>586.57327786212772</v>
      </c>
      <c r="AE453" s="62">
        <f t="shared" si="448"/>
        <v>736.45578827141082</v>
      </c>
      <c r="AF453" s="62">
        <f t="shared" si="448"/>
        <v>266.3246060028136</v>
      </c>
      <c r="AG453" s="62">
        <f t="shared" si="448"/>
        <v>554.81986628305253</v>
      </c>
      <c r="AH453" s="62">
        <f t="shared" si="448"/>
        <v>218.79697106870879</v>
      </c>
      <c r="AI453" s="62">
        <f t="shared" si="448"/>
        <v>641.62298937989885</v>
      </c>
      <c r="AJ453" s="62">
        <f t="shared" si="448"/>
        <v>165.85125056399514</v>
      </c>
      <c r="AK453" s="62">
        <f t="shared" si="448"/>
        <v>291.54843398815871</v>
      </c>
    </row>
    <row r="454" spans="2:37" x14ac:dyDescent="0.35">
      <c r="B454" s="67">
        <f t="shared" si="218"/>
        <v>8199.3036343022868</v>
      </c>
      <c r="C454" s="39" t="s">
        <v>93</v>
      </c>
      <c r="D454" s="61">
        <f t="shared" ref="D454:AK454" si="449">D339/D109*10^6</f>
        <v>2392.8869623883461</v>
      </c>
      <c r="E454" s="61">
        <f t="shared" si="449"/>
        <v>333.73816649220612</v>
      </c>
      <c r="F454" s="61">
        <f t="shared" si="449"/>
        <v>349.46260662099616</v>
      </c>
      <c r="G454" s="61">
        <f t="shared" si="449"/>
        <v>344.05702895687074</v>
      </c>
      <c r="H454" s="61">
        <f t="shared" si="449"/>
        <v>116.31427204752778</v>
      </c>
      <c r="I454" s="61">
        <f t="shared" si="449"/>
        <v>219.20978440284398</v>
      </c>
      <c r="J454" s="61">
        <f t="shared" si="449"/>
        <v>186.29871276480335</v>
      </c>
      <c r="K454" s="61">
        <f t="shared" si="449"/>
        <v>165.98602032081152</v>
      </c>
      <c r="L454" s="61">
        <f t="shared" si="449"/>
        <v>91.500518668800211</v>
      </c>
      <c r="M454" s="61">
        <f t="shared" si="449"/>
        <v>32.209385915715607</v>
      </c>
      <c r="N454" s="61">
        <f t="shared" si="449"/>
        <v>61.854978856150957</v>
      </c>
      <c r="O454" s="61">
        <f t="shared" si="449"/>
        <v>109.61834129350926</v>
      </c>
      <c r="P454" s="61">
        <f t="shared" si="449"/>
        <v>35.826632098164751</v>
      </c>
      <c r="Q454" s="61">
        <f t="shared" si="449"/>
        <v>29.385143284215015</v>
      </c>
      <c r="R454" s="61">
        <f t="shared" si="449"/>
        <v>151.81544345277811</v>
      </c>
      <c r="S454" s="61">
        <f t="shared" si="449"/>
        <v>545.42077356375364</v>
      </c>
      <c r="T454" s="61">
        <f t="shared" si="449"/>
        <v>717.80018532323822</v>
      </c>
      <c r="U454" s="61">
        <f t="shared" si="449"/>
        <v>304.10691013351936</v>
      </c>
      <c r="V454" s="61">
        <f t="shared" si="449"/>
        <v>254.02124549519036</v>
      </c>
      <c r="W454" s="61">
        <f t="shared" si="449"/>
        <v>145.62127418307557</v>
      </c>
      <c r="X454" s="61">
        <f t="shared" si="449"/>
        <v>15.032958975618719</v>
      </c>
      <c r="Y454" s="61">
        <f t="shared" si="449"/>
        <v>26.02713180891238</v>
      </c>
      <c r="Z454" s="61">
        <f t="shared" si="449"/>
        <v>59.561703321439573</v>
      </c>
      <c r="AA454" s="61">
        <f t="shared" si="449"/>
        <v>82.019926703993875</v>
      </c>
      <c r="AB454" s="61">
        <f t="shared" si="449"/>
        <v>27.951387141185052</v>
      </c>
      <c r="AC454" s="61">
        <f t="shared" si="449"/>
        <v>40.419657738393234</v>
      </c>
      <c r="AD454" s="61">
        <f t="shared" si="449"/>
        <v>212.9639861510972</v>
      </c>
      <c r="AE454" s="61">
        <f t="shared" si="449"/>
        <v>280.1668695994681</v>
      </c>
      <c r="AF454" s="61">
        <f t="shared" si="449"/>
        <v>100.10311869237162</v>
      </c>
      <c r="AG454" s="61">
        <f t="shared" si="449"/>
        <v>225.946996796749</v>
      </c>
      <c r="AH454" s="61">
        <f t="shared" si="449"/>
        <v>78.23003139170936</v>
      </c>
      <c r="AI454" s="61">
        <f t="shared" si="449"/>
        <v>270.54223673069856</v>
      </c>
      <c r="AJ454" s="61">
        <f t="shared" si="449"/>
        <v>72.479444284801943</v>
      </c>
      <c r="AK454" s="61">
        <f t="shared" si="449"/>
        <v>120.72379870332948</v>
      </c>
    </row>
    <row r="455" spans="2:37" x14ac:dyDescent="0.35">
      <c r="B455" s="67">
        <f t="shared" si="218"/>
        <v>3615.9578382036793</v>
      </c>
      <c r="C455" s="39" t="s">
        <v>94</v>
      </c>
      <c r="D455" s="61">
        <f t="shared" ref="D455:AK455" si="450">D340/D110*10^6</f>
        <v>1051.3805814158723</v>
      </c>
      <c r="E455" s="61">
        <f t="shared" si="450"/>
        <v>159.26385469641173</v>
      </c>
      <c r="F455" s="61">
        <f t="shared" si="450"/>
        <v>144.63231479749348</v>
      </c>
      <c r="G455" s="61">
        <f t="shared" si="450"/>
        <v>149.82907683893981</v>
      </c>
      <c r="H455" s="61">
        <f t="shared" si="450"/>
        <v>45.648704834434035</v>
      </c>
      <c r="I455" s="61">
        <f t="shared" si="450"/>
        <v>98.122202809935104</v>
      </c>
      <c r="J455" s="61">
        <f t="shared" si="450"/>
        <v>63.666783766444588</v>
      </c>
      <c r="K455" s="61">
        <f t="shared" si="450"/>
        <v>85.986207852267768</v>
      </c>
      <c r="L455" s="61">
        <f t="shared" si="450"/>
        <v>44.713690814293692</v>
      </c>
      <c r="M455" s="61">
        <f t="shared" si="450"/>
        <v>13.904445584302724</v>
      </c>
      <c r="N455" s="61">
        <f t="shared" si="450"/>
        <v>25.20562266443768</v>
      </c>
      <c r="O455" s="61">
        <f t="shared" si="450"/>
        <v>41.050012428178</v>
      </c>
      <c r="P455" s="61">
        <f t="shared" si="450"/>
        <v>16.453220018391868</v>
      </c>
      <c r="Q455" s="61">
        <f t="shared" si="450"/>
        <v>12.514884365750415</v>
      </c>
      <c r="R455" s="61">
        <f t="shared" si="450"/>
        <v>66.548268077617223</v>
      </c>
      <c r="S455" s="61">
        <f t="shared" si="450"/>
        <v>201.49123408376332</v>
      </c>
      <c r="T455" s="61">
        <f t="shared" si="450"/>
        <v>369.7461772915351</v>
      </c>
      <c r="U455" s="61">
        <f t="shared" si="450"/>
        <v>151.27696815866719</v>
      </c>
      <c r="V455" s="61">
        <f t="shared" si="450"/>
        <v>121.39218344670944</v>
      </c>
      <c r="W455" s="61">
        <f t="shared" si="450"/>
        <v>55.044239706854256</v>
      </c>
      <c r="X455" s="61">
        <f t="shared" si="450"/>
        <v>7.1148429832546292</v>
      </c>
      <c r="Y455" s="61">
        <f t="shared" si="450"/>
        <v>13.352374443203399</v>
      </c>
      <c r="Z455" s="61">
        <f t="shared" si="450"/>
        <v>24.547577101715085</v>
      </c>
      <c r="AA455" s="61">
        <f t="shared" si="450"/>
        <v>31.530588727427254</v>
      </c>
      <c r="AB455" s="61">
        <f t="shared" si="450"/>
        <v>15.140814897771765</v>
      </c>
      <c r="AC455" s="61">
        <f t="shared" si="450"/>
        <v>18.5034722945014</v>
      </c>
      <c r="AD455" s="61">
        <f t="shared" si="450"/>
        <v>104.77265008638631</v>
      </c>
      <c r="AE455" s="61">
        <f t="shared" si="450"/>
        <v>126.43048512355422</v>
      </c>
      <c r="AF455" s="61">
        <f t="shared" si="450"/>
        <v>48.667648679052917</v>
      </c>
      <c r="AG455" s="61">
        <f t="shared" si="450"/>
        <v>88.401269880319049</v>
      </c>
      <c r="AH455" s="61">
        <f t="shared" si="450"/>
        <v>37.101464762957008</v>
      </c>
      <c r="AI455" s="61">
        <f t="shared" si="450"/>
        <v>104.03710787374634</v>
      </c>
      <c r="AJ455" s="61">
        <f t="shared" si="450"/>
        <v>25.772121615858985</v>
      </c>
      <c r="AK455" s="61">
        <f t="shared" si="450"/>
        <v>52.714746081631652</v>
      </c>
    </row>
    <row r="456" spans="2:37" x14ac:dyDescent="0.35">
      <c r="B456" s="67">
        <f t="shared" si="218"/>
        <v>3763.628343339808</v>
      </c>
      <c r="C456" s="39" t="s">
        <v>95</v>
      </c>
      <c r="D456" s="61">
        <f t="shared" ref="D456:AK456" si="451">D341/D111*10^6</f>
        <v>1116.2161997998035</v>
      </c>
      <c r="E456" s="61">
        <f t="shared" si="451"/>
        <v>128.95237809676075</v>
      </c>
      <c r="F456" s="61">
        <f t="shared" si="451"/>
        <v>167.13082955589806</v>
      </c>
      <c r="G456" s="61">
        <f t="shared" si="451"/>
        <v>141.47397201346169</v>
      </c>
      <c r="H456" s="61">
        <f t="shared" si="451"/>
        <v>56.586205868382812</v>
      </c>
      <c r="I456" s="61">
        <f t="shared" si="451"/>
        <v>125.89041524271553</v>
      </c>
      <c r="J456" s="61">
        <f t="shared" si="451"/>
        <v>63.882445910669858</v>
      </c>
      <c r="K456" s="61">
        <f t="shared" si="451"/>
        <v>89.161717571821541</v>
      </c>
      <c r="L456" s="61">
        <f t="shared" si="451"/>
        <v>49.908654558831408</v>
      </c>
      <c r="M456" s="61">
        <f t="shared" si="451"/>
        <v>17.669558315290985</v>
      </c>
      <c r="N456" s="61">
        <f t="shared" si="451"/>
        <v>26.209424466770166</v>
      </c>
      <c r="O456" s="61">
        <f t="shared" si="451"/>
        <v>45.387057033370404</v>
      </c>
      <c r="P456" s="61">
        <f t="shared" si="451"/>
        <v>19.523761802050732</v>
      </c>
      <c r="Q456" s="61">
        <f t="shared" si="451"/>
        <v>14.553927310013583</v>
      </c>
      <c r="R456" s="61">
        <f t="shared" si="451"/>
        <v>76.630709803213776</v>
      </c>
      <c r="S456" s="61">
        <f t="shared" si="451"/>
        <v>204.98295585421675</v>
      </c>
      <c r="T456" s="61">
        <f t="shared" si="451"/>
        <v>426.74215636794258</v>
      </c>
      <c r="U456" s="61">
        <f t="shared" si="451"/>
        <v>129.21181765158909</v>
      </c>
      <c r="V456" s="61">
        <f t="shared" si="451"/>
        <v>104.28430981461041</v>
      </c>
      <c r="W456" s="61">
        <f t="shared" si="451"/>
        <v>51.280649823658983</v>
      </c>
      <c r="X456" s="61">
        <f t="shared" si="451"/>
        <v>8.9932031451551939</v>
      </c>
      <c r="Y456" s="61">
        <f t="shared" si="451"/>
        <v>15.484330204653668</v>
      </c>
      <c r="Z456" s="61">
        <f t="shared" si="451"/>
        <v>28.601733140409475</v>
      </c>
      <c r="AA456" s="61">
        <f t="shared" si="451"/>
        <v>30.539249426447128</v>
      </c>
      <c r="AB456" s="61">
        <f t="shared" si="451"/>
        <v>16.27345809568515</v>
      </c>
      <c r="AC456" s="61">
        <f t="shared" si="451"/>
        <v>15.520345459484895</v>
      </c>
      <c r="AD456" s="61">
        <f t="shared" si="451"/>
        <v>105.68671505299186</v>
      </c>
      <c r="AE456" s="61">
        <f t="shared" si="451"/>
        <v>122.88334445132608</v>
      </c>
      <c r="AF456" s="61">
        <f t="shared" si="451"/>
        <v>42.125861962233223</v>
      </c>
      <c r="AG456" s="61">
        <f t="shared" si="451"/>
        <v>84.546868218444885</v>
      </c>
      <c r="AH456" s="61">
        <f t="shared" si="451"/>
        <v>45.927743839154417</v>
      </c>
      <c r="AI456" s="61">
        <f t="shared" si="451"/>
        <v>115.69429035585223</v>
      </c>
      <c r="AJ456" s="61">
        <f t="shared" si="451"/>
        <v>28.499598858807111</v>
      </c>
      <c r="AK456" s="61">
        <f t="shared" si="451"/>
        <v>47.172454268088295</v>
      </c>
    </row>
    <row r="457" spans="2:37" x14ac:dyDescent="0.35">
      <c r="B457" s="67">
        <f t="shared" si="218"/>
        <v>1568.2210883481027</v>
      </c>
      <c r="C457" s="39" t="s">
        <v>96</v>
      </c>
      <c r="D457" s="61">
        <f t="shared" ref="D457:AK457" si="452">D342/D112*10^6</f>
        <v>452.84822844354386</v>
      </c>
      <c r="E457" s="61">
        <f t="shared" si="452"/>
        <v>70.238740137629534</v>
      </c>
      <c r="F457" s="61">
        <f t="shared" si="452"/>
        <v>65.598880186153636</v>
      </c>
      <c r="G457" s="61">
        <f t="shared" si="452"/>
        <v>66.615981179882525</v>
      </c>
      <c r="H457" s="61">
        <f t="shared" si="452"/>
        <v>19.432809860738335</v>
      </c>
      <c r="I457" s="61">
        <f t="shared" si="452"/>
        <v>39.540998807322296</v>
      </c>
      <c r="J457" s="61">
        <f t="shared" si="452"/>
        <v>27.735290928919849</v>
      </c>
      <c r="K457" s="61">
        <f t="shared" si="452"/>
        <v>40.984995348515575</v>
      </c>
      <c r="L457" s="61">
        <f t="shared" si="452"/>
        <v>15.046974684396719</v>
      </c>
      <c r="M457" s="61">
        <f t="shared" si="452"/>
        <v>6.5207885082404209</v>
      </c>
      <c r="N457" s="61">
        <f t="shared" si="452"/>
        <v>12.615528312146511</v>
      </c>
      <c r="O457" s="61">
        <f t="shared" si="452"/>
        <v>18.1344398305678</v>
      </c>
      <c r="P457" s="61">
        <f t="shared" si="452"/>
        <v>8.5688230250372737</v>
      </c>
      <c r="Q457" s="61">
        <f t="shared" si="452"/>
        <v>6.7815698191012279</v>
      </c>
      <c r="R457" s="61">
        <f t="shared" si="452"/>
        <v>33.79932890938462</v>
      </c>
      <c r="S457" s="61">
        <f t="shared" si="452"/>
        <v>117.89119336973582</v>
      </c>
      <c r="T457" s="61">
        <f t="shared" si="452"/>
        <v>132.09330610207579</v>
      </c>
      <c r="U457" s="61">
        <f t="shared" si="452"/>
        <v>63.153266336316833</v>
      </c>
      <c r="V457" s="61">
        <f t="shared" si="452"/>
        <v>48.800993098738026</v>
      </c>
      <c r="W457" s="61">
        <f t="shared" si="452"/>
        <v>18.768965939040406</v>
      </c>
      <c r="X457" s="61">
        <f t="shared" si="452"/>
        <v>3.4014357519602854</v>
      </c>
      <c r="Y457" s="61">
        <f t="shared" si="452"/>
        <v>6.242124979812445</v>
      </c>
      <c r="Z457" s="61">
        <f t="shared" si="452"/>
        <v>12.89053927999945</v>
      </c>
      <c r="AA457" s="61">
        <f t="shared" si="452"/>
        <v>12.316033774675624</v>
      </c>
      <c r="AB457" s="61">
        <f t="shared" si="452"/>
        <v>5.440307440182476</v>
      </c>
      <c r="AC457" s="61">
        <f t="shared" si="452"/>
        <v>6.1850660735544274</v>
      </c>
      <c r="AD457" s="61">
        <f t="shared" si="452"/>
        <v>43.833890159547202</v>
      </c>
      <c r="AE457" s="61">
        <f t="shared" si="452"/>
        <v>62.896528568435578</v>
      </c>
      <c r="AF457" s="61">
        <f t="shared" si="452"/>
        <v>22.660003990395985</v>
      </c>
      <c r="AG457" s="61">
        <f t="shared" si="452"/>
        <v>42.104424721533647</v>
      </c>
      <c r="AH457" s="61">
        <f t="shared" si="452"/>
        <v>14.888442775605771</v>
      </c>
      <c r="AI457" s="61">
        <f t="shared" si="452"/>
        <v>41.830849098328393</v>
      </c>
      <c r="AJ457" s="61">
        <f t="shared" si="452"/>
        <v>9.8799064565362258</v>
      </c>
      <c r="AK457" s="61">
        <f t="shared" si="452"/>
        <v>18.480432450048095</v>
      </c>
    </row>
    <row r="458" spans="2:37" x14ac:dyDescent="0.35">
      <c r="B458" s="67">
        <f t="shared" si="218"/>
        <v>2218.8063094090035</v>
      </c>
      <c r="C458" s="39" t="s">
        <v>97</v>
      </c>
      <c r="D458" s="61">
        <f t="shared" ref="D458:AK458" si="453">D343/D113*10^6</f>
        <v>649.59147441653624</v>
      </c>
      <c r="E458" s="61">
        <f t="shared" si="453"/>
        <v>86.240927874546571</v>
      </c>
      <c r="F458" s="61">
        <f t="shared" si="453"/>
        <v>88.010302901463703</v>
      </c>
      <c r="G458" s="61">
        <f t="shared" si="453"/>
        <v>98.818322433762532</v>
      </c>
      <c r="H458" s="61">
        <f t="shared" si="453"/>
        <v>30.464063944419497</v>
      </c>
      <c r="I458" s="61">
        <f t="shared" si="453"/>
        <v>64.282584580945453</v>
      </c>
      <c r="J458" s="61">
        <f t="shared" si="453"/>
        <v>41.873184483919964</v>
      </c>
      <c r="K458" s="61">
        <f t="shared" si="453"/>
        <v>46.258312111728792</v>
      </c>
      <c r="L458" s="61">
        <f t="shared" si="453"/>
        <v>27.002456224646362</v>
      </c>
      <c r="M458" s="61">
        <f t="shared" si="453"/>
        <v>9.5449511377418919</v>
      </c>
      <c r="N458" s="61">
        <f t="shared" si="453"/>
        <v>16.140928284532329</v>
      </c>
      <c r="O458" s="61">
        <f t="shared" si="453"/>
        <v>26.483903015696189</v>
      </c>
      <c r="P458" s="61">
        <f t="shared" si="453"/>
        <v>10.12928588292757</v>
      </c>
      <c r="Q458" s="61">
        <f t="shared" si="453"/>
        <v>8.8903336064188103</v>
      </c>
      <c r="R458" s="61">
        <f t="shared" si="453"/>
        <v>42.84134172940346</v>
      </c>
      <c r="S458" s="61">
        <f t="shared" si="453"/>
        <v>131.91680419729212</v>
      </c>
      <c r="T458" s="61">
        <f t="shared" si="453"/>
        <v>229.88933780731179</v>
      </c>
      <c r="U458" s="61">
        <f t="shared" si="453"/>
        <v>84.806604948510127</v>
      </c>
      <c r="V458" s="61">
        <f t="shared" si="453"/>
        <v>68.7320904948335</v>
      </c>
      <c r="W458" s="61">
        <f t="shared" si="453"/>
        <v>34.405356749964213</v>
      </c>
      <c r="X458" s="61">
        <f t="shared" si="453"/>
        <v>4.5558063666376247</v>
      </c>
      <c r="Y458" s="61">
        <f t="shared" si="453"/>
        <v>7.5350109164188508</v>
      </c>
      <c r="Z458" s="61">
        <f t="shared" si="453"/>
        <v>17.499574756373796</v>
      </c>
      <c r="AA458" s="61">
        <f t="shared" si="453"/>
        <v>19.366682813903836</v>
      </c>
      <c r="AB458" s="61">
        <f t="shared" si="453"/>
        <v>8.9031075271597988</v>
      </c>
      <c r="AC458" s="61">
        <f t="shared" si="453"/>
        <v>11.143244999100308</v>
      </c>
      <c r="AD458" s="61">
        <f t="shared" si="453"/>
        <v>56.84174032925268</v>
      </c>
      <c r="AE458" s="61">
        <f t="shared" si="453"/>
        <v>74.367054300775948</v>
      </c>
      <c r="AF458" s="61">
        <f t="shared" si="453"/>
        <v>28.413971732018624</v>
      </c>
      <c r="AG458" s="61">
        <f t="shared" si="453"/>
        <v>54.873286500254274</v>
      </c>
      <c r="AH458" s="61">
        <f t="shared" si="453"/>
        <v>23.23684760253462</v>
      </c>
      <c r="AI458" s="61">
        <f t="shared" si="453"/>
        <v>65.143685651553923</v>
      </c>
      <c r="AJ458" s="61">
        <f t="shared" si="453"/>
        <v>16.94555834424272</v>
      </c>
      <c r="AK458" s="61">
        <f t="shared" si="453"/>
        <v>33.65817074217572</v>
      </c>
    </row>
    <row r="459" spans="2:37" x14ac:dyDescent="0.35">
      <c r="B459" s="67">
        <f t="shared" si="218"/>
        <v>1759.6143971508707</v>
      </c>
      <c r="C459" s="39" t="s">
        <v>98</v>
      </c>
      <c r="D459" s="61">
        <f t="shared" ref="D459:AK459" si="454">D344/D114*10^6</f>
        <v>493.03548359633373</v>
      </c>
      <c r="E459" s="61">
        <f t="shared" si="454"/>
        <v>57.956728647835803</v>
      </c>
      <c r="F459" s="61">
        <f t="shared" si="454"/>
        <v>70.877132684714823</v>
      </c>
      <c r="G459" s="61">
        <f t="shared" si="454"/>
        <v>55.387066367432297</v>
      </c>
      <c r="H459" s="61">
        <f t="shared" si="454"/>
        <v>27.357838136861375</v>
      </c>
      <c r="I459" s="61">
        <f t="shared" si="454"/>
        <v>64.144936611296174</v>
      </c>
      <c r="J459" s="61">
        <f t="shared" si="454"/>
        <v>27.611234139223253</v>
      </c>
      <c r="K459" s="61">
        <f t="shared" si="454"/>
        <v>31.091868700113292</v>
      </c>
      <c r="L459" s="61">
        <f t="shared" si="454"/>
        <v>23.170959592323847</v>
      </c>
      <c r="M459" s="61">
        <f t="shared" si="454"/>
        <v>9.430482032053904</v>
      </c>
      <c r="N459" s="61">
        <f t="shared" si="454"/>
        <v>11.474677174097714</v>
      </c>
      <c r="O459" s="61">
        <f t="shared" si="454"/>
        <v>18.024071183969198</v>
      </c>
      <c r="P459" s="61">
        <f t="shared" si="454"/>
        <v>7.2033984012973784</v>
      </c>
      <c r="Q459" s="61">
        <f t="shared" si="454"/>
        <v>8.8037392826623542</v>
      </c>
      <c r="R459" s="61">
        <f t="shared" si="454"/>
        <v>39.249194745618389</v>
      </c>
      <c r="S459" s="61">
        <f t="shared" si="454"/>
        <v>98.820513610484426</v>
      </c>
      <c r="T459" s="61">
        <f t="shared" si="454"/>
        <v>209.70851252878833</v>
      </c>
      <c r="U459" s="61">
        <f t="shared" si="454"/>
        <v>51.147131576353225</v>
      </c>
      <c r="V459" s="61">
        <f t="shared" si="454"/>
        <v>66.860034528923251</v>
      </c>
      <c r="W459" s="61">
        <f t="shared" si="454"/>
        <v>23.896246913030005</v>
      </c>
      <c r="X459" s="61">
        <f t="shared" si="454"/>
        <v>4.1369345401587907</v>
      </c>
      <c r="Y459" s="61">
        <f t="shared" si="454"/>
        <v>5.504772170058323</v>
      </c>
      <c r="Z459" s="61">
        <f t="shared" si="454"/>
        <v>16.573807276603887</v>
      </c>
      <c r="AA459" s="61">
        <f t="shared" si="454"/>
        <v>11.724920188176258</v>
      </c>
      <c r="AB459" s="61">
        <f t="shared" si="454"/>
        <v>8.7498898879536355</v>
      </c>
      <c r="AC459" s="61">
        <f t="shared" si="454"/>
        <v>7.3252860982100092</v>
      </c>
      <c r="AD459" s="61">
        <f t="shared" si="454"/>
        <v>62.474296082852504</v>
      </c>
      <c r="AE459" s="61">
        <f t="shared" si="454"/>
        <v>69.711506227850947</v>
      </c>
      <c r="AF459" s="61">
        <f t="shared" si="454"/>
        <v>24.354000946741216</v>
      </c>
      <c r="AG459" s="61">
        <f t="shared" si="454"/>
        <v>58.947020165751624</v>
      </c>
      <c r="AH459" s="61">
        <f t="shared" si="454"/>
        <v>19.412440696747613</v>
      </c>
      <c r="AI459" s="61">
        <f t="shared" si="454"/>
        <v>44.374819669719407</v>
      </c>
      <c r="AJ459" s="61">
        <f t="shared" si="454"/>
        <v>12.274621003748157</v>
      </c>
      <c r="AK459" s="61">
        <f t="shared" si="454"/>
        <v>18.798831742885437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ADA85-595A-4C7E-BE52-92FAD7657C4A}">
  <sheetPr codeName="Sheet3"/>
  <dimension ref="B2:G10"/>
  <sheetViews>
    <sheetView workbookViewId="0"/>
  </sheetViews>
  <sheetFormatPr defaultRowHeight="14.5" x14ac:dyDescent="0.35"/>
  <cols>
    <col min="2" max="2" width="18" bestFit="1" customWidth="1"/>
  </cols>
  <sheetData>
    <row r="2" spans="2:7" x14ac:dyDescent="0.35">
      <c r="C2" s="75" t="s">
        <v>45</v>
      </c>
      <c r="D2" s="75"/>
      <c r="E2" s="75" t="s">
        <v>46</v>
      </c>
      <c r="F2" s="75"/>
    </row>
    <row r="3" spans="2:7" x14ac:dyDescent="0.35">
      <c r="B3" s="29" t="s">
        <v>47</v>
      </c>
      <c r="C3" s="29" t="s">
        <v>40</v>
      </c>
      <c r="D3" s="29" t="s">
        <v>44</v>
      </c>
      <c r="E3" s="29" t="s">
        <v>16</v>
      </c>
      <c r="F3" s="29" t="s">
        <v>44</v>
      </c>
      <c r="G3" s="29" t="s">
        <v>16</v>
      </c>
    </row>
    <row r="4" spans="2:7" x14ac:dyDescent="0.35">
      <c r="B4" s="26" t="s">
        <v>4</v>
      </c>
      <c r="C4" s="25">
        <f>D4*$C$9</f>
        <v>1232.3499999999999</v>
      </c>
      <c r="D4" s="35">
        <v>0.35</v>
      </c>
      <c r="E4" s="35">
        <v>0.12155377102724609</v>
      </c>
      <c r="F4" s="25"/>
      <c r="G4" s="25"/>
    </row>
    <row r="5" spans="2:7" x14ac:dyDescent="0.35">
      <c r="B5" s="26" t="s">
        <v>21</v>
      </c>
      <c r="C5" s="25">
        <f t="shared" ref="C5:C8" si="0">D5*$C$9</f>
        <v>1021.0899999999999</v>
      </c>
      <c r="D5" s="35">
        <v>0.28999999999999998</v>
      </c>
      <c r="E5" s="35">
        <v>0.13048948650763981</v>
      </c>
      <c r="F5" s="25"/>
      <c r="G5" s="25"/>
    </row>
    <row r="6" spans="2:7" x14ac:dyDescent="0.35">
      <c r="B6" s="26" t="s">
        <v>22</v>
      </c>
      <c r="C6" s="25">
        <f t="shared" si="0"/>
        <v>809.83</v>
      </c>
      <c r="D6" s="35">
        <v>0.23</v>
      </c>
      <c r="E6" s="35">
        <v>0.15303129613414701</v>
      </c>
      <c r="F6" s="25"/>
      <c r="G6" s="25"/>
    </row>
    <row r="7" spans="2:7" x14ac:dyDescent="0.35">
      <c r="B7" s="26" t="s">
        <v>6</v>
      </c>
      <c r="C7" s="25">
        <f t="shared" si="0"/>
        <v>281.68</v>
      </c>
      <c r="D7" s="35">
        <v>0.08</v>
      </c>
      <c r="E7" s="35">
        <v>0.13894332669608961</v>
      </c>
      <c r="F7" s="25"/>
      <c r="G7" s="25"/>
    </row>
    <row r="8" spans="2:7" x14ac:dyDescent="0.35">
      <c r="B8" s="26" t="s">
        <v>39</v>
      </c>
      <c r="C8" s="25">
        <f t="shared" si="0"/>
        <v>176.05</v>
      </c>
      <c r="D8" s="35">
        <v>0.05</v>
      </c>
      <c r="E8" s="35">
        <v>0.146031296134147</v>
      </c>
      <c r="F8" s="25"/>
      <c r="G8" s="25"/>
    </row>
    <row r="9" spans="2:7" x14ac:dyDescent="0.35">
      <c r="B9" s="24" t="s">
        <v>28</v>
      </c>
      <c r="C9" s="25">
        <v>3521</v>
      </c>
      <c r="D9" s="25"/>
      <c r="E9" s="35">
        <f>SUMPRODUCT(E4:E8,D4:D8)</f>
        <v>0.13400000000000001</v>
      </c>
      <c r="F9" s="25"/>
      <c r="G9" s="25"/>
    </row>
    <row r="10" spans="2:7" x14ac:dyDescent="0.35">
      <c r="E10" s="30"/>
    </row>
  </sheetData>
  <mergeCells count="2">
    <mergeCell ref="C2:D2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ASP</vt:lpstr>
      <vt:lpstr>Market 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Sharma</dc:creator>
  <cp:lastModifiedBy>Omkar Munde</cp:lastModifiedBy>
  <dcterms:created xsi:type="dcterms:W3CDTF">2015-06-05T18:17:20Z</dcterms:created>
  <dcterms:modified xsi:type="dcterms:W3CDTF">2026-06-19T08:33:03Z</dcterms:modified>
</cp:coreProperties>
</file>