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/>
  </bookViews>
  <sheets>
    <sheet name="Data" sheetId="3" r:id="rId1"/>
  </sheets>
  <definedNames>
    <definedName name="_xlnm._FilterDatabase" localSheetId="0" hidden="1">Data!$B$124:$E$144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3" l="1"/>
  <c r="E57" i="3" s="1"/>
  <c r="E64" i="3" l="1"/>
  <c r="C59" i="3"/>
  <c r="E59" i="3" s="1"/>
  <c r="E61" i="3" s="1"/>
  <c r="D59" i="3"/>
  <c r="C60" i="3"/>
  <c r="E60" i="3" s="1"/>
  <c r="C58" i="3"/>
  <c r="E58" i="3" s="1"/>
  <c r="D15" i="3"/>
  <c r="E15" i="3"/>
  <c r="F15" i="3"/>
  <c r="G15" i="3"/>
  <c r="H15" i="3"/>
  <c r="I15" i="3"/>
  <c r="J15" i="3"/>
  <c r="K15" i="3"/>
  <c r="D23" i="3"/>
  <c r="E23" i="3"/>
  <c r="F23" i="3"/>
  <c r="G23" i="3"/>
  <c r="H23" i="3"/>
  <c r="I23" i="3"/>
  <c r="J23" i="3"/>
  <c r="K23" i="3"/>
  <c r="D29" i="3"/>
  <c r="E29" i="3"/>
  <c r="F29" i="3"/>
  <c r="G29" i="3"/>
  <c r="H29" i="3"/>
  <c r="I29" i="3"/>
  <c r="J29" i="3"/>
  <c r="K29" i="3"/>
  <c r="D35" i="3"/>
  <c r="E35" i="3"/>
  <c r="F35" i="3"/>
  <c r="G35" i="3"/>
  <c r="H35" i="3"/>
  <c r="I35" i="3"/>
  <c r="J35" i="3"/>
  <c r="K35" i="3"/>
  <c r="E38" i="3"/>
  <c r="F38" i="3"/>
  <c r="G38" i="3"/>
  <c r="H38" i="3"/>
  <c r="I38" i="3"/>
  <c r="J38" i="3"/>
  <c r="K38" i="3"/>
  <c r="D38" i="3"/>
  <c r="D43" i="3"/>
  <c r="E43" i="3"/>
  <c r="F43" i="3"/>
  <c r="G43" i="3"/>
  <c r="H43" i="3"/>
  <c r="I43" i="3"/>
  <c r="J43" i="3"/>
  <c r="K43" i="3"/>
  <c r="C43" i="3"/>
  <c r="C40" i="3"/>
  <c r="C35" i="3"/>
  <c r="C29" i="3"/>
  <c r="C23" i="3"/>
  <c r="C15" i="3"/>
  <c r="E62" i="3" l="1"/>
  <c r="D56" i="3"/>
  <c r="E66" i="3"/>
  <c r="E63" i="3"/>
  <c r="E65" i="3"/>
</calcChain>
</file>

<file path=xl/sharedStrings.xml><?xml version="1.0" encoding="utf-8"?>
<sst xmlns="http://schemas.openxmlformats.org/spreadsheetml/2006/main" count="519" uniqueCount="71">
  <si>
    <t>Market Name</t>
  </si>
  <si>
    <t>Segment</t>
  </si>
  <si>
    <t>North America</t>
  </si>
  <si>
    <t>Canada</t>
  </si>
  <si>
    <t>Market Share</t>
  </si>
  <si>
    <t>CAGR</t>
  </si>
  <si>
    <t>U.S.</t>
  </si>
  <si>
    <t>U.K.</t>
  </si>
  <si>
    <t>Germany</t>
  </si>
  <si>
    <t>Italy</t>
  </si>
  <si>
    <t>France</t>
  </si>
  <si>
    <t>Spain</t>
  </si>
  <si>
    <t>Russia</t>
  </si>
  <si>
    <t>Rest of Europe</t>
  </si>
  <si>
    <t>Graph</t>
  </si>
  <si>
    <t>Europe</t>
  </si>
  <si>
    <t>Shares</t>
  </si>
  <si>
    <t>Market Size</t>
  </si>
  <si>
    <t>Bn</t>
  </si>
  <si>
    <t>By Type of Training</t>
  </si>
  <si>
    <t>Prospecting &amp; Lead Generation</t>
  </si>
  <si>
    <t>Pitching &amp; Objection Handling</t>
  </si>
  <si>
    <t>Negotiation &amp; Closing</t>
  </si>
  <si>
    <t>Sales Process &amp; Methodology</t>
  </si>
  <si>
    <t>Account Management &amp; Retention Selling</t>
  </si>
  <si>
    <t>Sales Leadership &amp; Coaching Skills</t>
  </si>
  <si>
    <t>Customer-Centric &amp; Consultative Selling</t>
  </si>
  <si>
    <t>Channel &amp; Partner Sales</t>
  </si>
  <si>
    <t>Product &amp; Industry-Specific Knowledge</t>
  </si>
  <si>
    <t>By Target User Role</t>
  </si>
  <si>
    <t>Sales Development Representatives (SDRs / BDRs)</t>
  </si>
  <si>
    <t>Account Executives (New Business / Closers)</t>
  </si>
  <si>
    <t>Sales Managers &amp; Directors</t>
  </si>
  <si>
    <t>By Delivery Mode</t>
  </si>
  <si>
    <t>Instructor-Led Training (ILT)</t>
  </si>
  <si>
    <t>Virtual Instructor-Led Training (VILT)</t>
  </si>
  <si>
    <t>By Technology Type</t>
  </si>
  <si>
    <t>By Enterprise Size</t>
  </si>
  <si>
    <t>Large Enterprises (1,000+ employees)</t>
  </si>
  <si>
    <t>Mid-Market (100–999 employees)</t>
  </si>
  <si>
    <t>Small Business &amp; SMEs (Up to 100 employees)</t>
  </si>
  <si>
    <t>By Industry Vertical</t>
  </si>
  <si>
    <t>Banking, Financial Services &amp; Insurance (BFSI)</t>
  </si>
  <si>
    <t>Healthcare &amp; Life Sciences</t>
  </si>
  <si>
    <t>Manufacturing, Automotive &amp; Industrial</t>
  </si>
  <si>
    <t>Energy &amp; Utilities</t>
  </si>
  <si>
    <t>IT, Technology and Telecommunications</t>
  </si>
  <si>
    <t>Retail &amp; E-Commerce</t>
  </si>
  <si>
    <t>Consumer Goods &amp; FMCG</t>
  </si>
  <si>
    <t>Real Estate &amp; Property Services</t>
  </si>
  <si>
    <t>Others (Public Sector, Logistics &amp; Transportation, etc.)</t>
  </si>
  <si>
    <t>By Region</t>
  </si>
  <si>
    <t>North America and Europe Sales Training Market</t>
  </si>
  <si>
    <t>Executive Leadership (C-Suite / GTM Leaders)</t>
  </si>
  <si>
    <t>Account Managers and Customer Success Managers</t>
  </si>
  <si>
    <t>Sales Operations and Enablement Teams</t>
  </si>
  <si>
    <t>Self-Paced Digital Learning (e-learning / LMS-based)</t>
  </si>
  <si>
    <t>Blended Learning (Combination of ILT, VILT, and Digital Learning)</t>
  </si>
  <si>
    <t>Learning Management Systems (LMS / LXP Platforms)</t>
  </si>
  <si>
    <t>Sales Enablement Platforms (Including CRM-Integrated Tools)</t>
  </si>
  <si>
    <t>AI-Based Sales Coaching &amp; Training Platforms</t>
  </si>
  <si>
    <t>Sales Performance &amp; Analytics Platforms</t>
  </si>
  <si>
    <t>Technology-Augmented Selling</t>
  </si>
  <si>
    <t>Others (Revenue Operations &amp; Sales Analytics Skills, etc.)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</si>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</sst>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0.0%"/>
    <numFmt numFmtId="166" formatCode="_ * #,##0.000_ ;_ * \-#,##0.000_ ;_ * &quot;-&quot;??_ ;_ @_ "/>
    <numFmt numFmtId="167" formatCode="0.0"/>
    <numFmt numFmtId="168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5" fontId="0" fillId="0" borderId="0" xfId="2" applyNumberFormat="1" applyFont="1" applyFill="1" applyAlignment="1">
      <alignment horizontal="center" vertical="center"/>
    </xf>
    <xf numFmtId="165" fontId="2" fillId="0" borderId="0" xfId="2" applyNumberFormat="1" applyFont="1" applyFill="1" applyAlignment="1">
      <alignment horizontal="center" vertical="center"/>
    </xf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 applyFill="1"/>
    <xf numFmtId="0" fontId="2" fillId="0" borderId="0" xfId="0" applyFont="1" applyAlignment="1">
      <alignment horizontal="left"/>
    </xf>
    <xf numFmtId="165" fontId="2" fillId="0" borderId="0" xfId="2" applyNumberFormat="1" applyFont="1" applyFill="1"/>
    <xf numFmtId="0" fontId="2" fillId="0" borderId="0" xfId="0" applyFont="1"/>
    <xf numFmtId="165" fontId="0" fillId="0" borderId="0" xfId="0" applyNumberFormat="1"/>
    <xf numFmtId="166" fontId="0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left" indent="1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0" fontId="2" fillId="0" borderId="0" xfId="0" applyNumberFormat="1" applyFont="1"/>
    <xf numFmtId="0" fontId="2" fillId="5" borderId="0" xfId="0" applyFont="1" applyFill="1"/>
    <xf numFmtId="165" fontId="0" fillId="0" borderId="0" xfId="2" applyNumberFormat="1" applyFont="1"/>
    <xf numFmtId="165" fontId="2" fillId="0" borderId="0" xfId="0" applyNumberFormat="1" applyFont="1"/>
    <xf numFmtId="1" fontId="2" fillId="0" borderId="0" xfId="0" applyNumberFormat="1" applyFont="1"/>
    <xf numFmtId="165" fontId="2" fillId="5" borderId="0" xfId="2" applyNumberFormat="1" applyFont="1" applyFill="1"/>
    <xf numFmtId="165" fontId="2" fillId="5" borderId="0" xfId="2" applyNumberFormat="1" applyFont="1" applyFill="1" applyAlignment="1">
      <alignment horizontal="center" vertical="center"/>
    </xf>
    <xf numFmtId="165" fontId="0" fillId="5" borderId="0" xfId="2" applyNumberFormat="1" applyFont="1" applyFill="1"/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5" fontId="2" fillId="4" borderId="1" xfId="2" applyNumberFormat="1" applyFont="1" applyFill="1" applyBorder="1" applyAlignment="1">
      <alignment horizontal="center"/>
    </xf>
    <xf numFmtId="168" fontId="2" fillId="4" borderId="1" xfId="1" applyNumberFormat="1" applyFont="1" applyFill="1" applyBorder="1" applyAlignment="1">
      <alignment horizontal="center"/>
    </xf>
    <xf numFmtId="165" fontId="0" fillId="4" borderId="1" xfId="2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65" fontId="2" fillId="5" borderId="1" xfId="2" applyNumberFormat="1" applyFont="1" applyFill="1" applyBorder="1" applyAlignment="1">
      <alignment horizontal="center" vertical="center"/>
    </xf>
    <xf numFmtId="165" fontId="0" fillId="5" borderId="1" xfId="2" applyNumberFormat="1" applyFont="1" applyFill="1" applyBorder="1" applyAlignment="1">
      <alignment horizontal="center" vertical="center"/>
    </xf>
    <xf numFmtId="2" fontId="0" fillId="4" borderId="1" xfId="2" applyNumberFormat="1" applyFont="1" applyFill="1" applyBorder="1" applyAlignment="1">
      <alignment horizontal="center" vertical="center"/>
    </xf>
    <xf numFmtId="165" fontId="0" fillId="4" borderId="1" xfId="2" applyNumberFormat="1" applyFont="1" applyFill="1" applyBorder="1"/>
    <xf numFmtId="165" fontId="0" fillId="0" borderId="1" xfId="2" applyNumberFormat="1" applyFon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 applyAlignment="1">
      <alignment horizontal="center"/>
    </xf>
    <xf numFmtId="0" fontId="0" fillId="0" borderId="1" xfId="0" applyBorder="1"/>
    <xf numFmtId="0" fontId="0" fillId="4" borderId="0" xfId="0" applyFill="1" applyAlignment="1">
      <alignment horizontal="center"/>
    </xf>
    <xf numFmtId="165" fontId="0" fillId="0" borderId="1" xfId="0" applyNumberFormat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0" fontId="0" fillId="0" borderId="0" xfId="0" applyNumberFormat="1"/>
    <xf numFmtId="0" fontId="2" fillId="3" borderId="0" xfId="0" applyFont="1" applyFill="1"/>
    <xf numFmtId="0" fontId="2" fillId="0" borderId="1" xfId="0" applyFont="1" applyBorder="1"/>
    <xf numFmtId="165" fontId="1" fillId="5" borderId="1" xfId="2" applyNumberFormat="1" applyFont="1" applyFill="1" applyBorder="1" applyAlignment="1">
      <alignment horizontal="center" vertical="center"/>
    </xf>
    <xf numFmtId="165" fontId="1" fillId="5" borderId="1" xfId="2" applyNumberFormat="1" applyFont="1" applyFill="1" applyBorder="1" applyAlignment="1">
      <alignment horizontal="center"/>
    </xf>
    <xf numFmtId="165" fontId="0" fillId="0" borderId="1" xfId="2" applyNumberFormat="1" applyFont="1" applyFill="1" applyBorder="1" applyAlignment="1">
      <alignment horizontal="left" vertical="center"/>
    </xf>
    <xf numFmtId="0" fontId="2" fillId="2" borderId="0" xfId="2" applyNumberFormat="1" applyFont="1" applyFill="1" applyAlignment="1">
      <alignment horizontal="center" vertical="center"/>
    </xf>
    <xf numFmtId="167" fontId="2" fillId="2" borderId="0" xfId="2" applyNumberFormat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center" vertical="center"/>
    </xf>
    <xf numFmtId="10" fontId="0" fillId="0" borderId="1" xfId="0" applyNumberFormat="1" applyBorder="1"/>
    <xf numFmtId="167" fontId="0" fillId="0" borderId="0" xfId="2" applyNumberFormat="1" applyFont="1" applyFill="1" applyAlignment="1">
      <alignment horizontal="center" vertical="center"/>
    </xf>
    <xf numFmtId="165" fontId="2" fillId="3" borderId="0" xfId="2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54"/>
  <sheetViews>
    <sheetView tabSelected="1" zoomScale="85" zoomScaleNormal="85" workbookViewId="0"/>
  </sheetViews>
  <sheetFormatPr defaultColWidth="9.1796875" defaultRowHeight="14.5" x14ac:dyDescent="0.35"/>
  <cols>
    <col min="1" max="1" width="13" style="36" customWidth="1"/>
    <col min="2" max="2" width="65.7265625" bestFit="1" customWidth="1"/>
    <col min="3" max="3" width="13.54296875" bestFit="1" customWidth="1"/>
    <col min="4" max="4" width="13.54296875" customWidth="1"/>
    <col min="5" max="5" width="12.7265625" customWidth="1"/>
    <col min="6" max="6" width="15" customWidth="1"/>
    <col min="7" max="7" width="15.453125" customWidth="1"/>
    <col min="8" max="10" width="10.54296875" customWidth="1"/>
    <col min="11" max="11" width="14" bestFit="1" customWidth="1"/>
    <col min="12" max="13" width="9.1796875" customWidth="1"/>
    <col min="15" max="16" width="11.1796875" bestFit="1" customWidth="1"/>
    <col min="22" max="22" width="14" bestFit="1" customWidth="1"/>
    <col min="33" max="33" width="14" bestFit="1" customWidth="1"/>
  </cols>
  <sheetData>
    <row r="1" spans="1:33" x14ac:dyDescent="0.35">
      <c r="B1" t="s">
        <v>0</v>
      </c>
      <c r="C1" s="7" t="s">
        <v>52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33" x14ac:dyDescent="0.35">
      <c r="B2" s="37"/>
      <c r="C2" t="s">
        <v>4</v>
      </c>
      <c r="E2" s="16">
        <v>0.106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t="s">
        <v>14</v>
      </c>
    </row>
    <row r="3" spans="1:33" x14ac:dyDescent="0.35">
      <c r="B3" s="38" t="s">
        <v>1</v>
      </c>
      <c r="C3" s="33" t="s">
        <v>6</v>
      </c>
      <c r="D3" s="33" t="s">
        <v>3</v>
      </c>
      <c r="E3" s="33" t="s">
        <v>8</v>
      </c>
      <c r="F3" s="33" t="s">
        <v>7</v>
      </c>
      <c r="G3" s="33" t="s">
        <v>10</v>
      </c>
      <c r="H3" s="33" t="s">
        <v>11</v>
      </c>
      <c r="I3" s="33" t="s">
        <v>9</v>
      </c>
      <c r="J3" s="33" t="s">
        <v>12</v>
      </c>
      <c r="K3" s="33" t="s">
        <v>13</v>
      </c>
      <c r="L3" s="36"/>
      <c r="M3" s="38" t="s">
        <v>1</v>
      </c>
      <c r="N3" s="33" t="s">
        <v>6</v>
      </c>
      <c r="O3" s="33" t="s">
        <v>3</v>
      </c>
      <c r="P3" s="33" t="s">
        <v>8</v>
      </c>
      <c r="Q3" s="33" t="s">
        <v>7</v>
      </c>
      <c r="R3" s="33" t="s">
        <v>10</v>
      </c>
      <c r="S3" s="33" t="s">
        <v>11</v>
      </c>
      <c r="T3" s="33" t="s">
        <v>9</v>
      </c>
      <c r="U3" s="33" t="s">
        <v>12</v>
      </c>
      <c r="V3" s="33" t="s">
        <v>13</v>
      </c>
      <c r="X3" s="38" t="s">
        <v>1</v>
      </c>
      <c r="Y3" s="33" t="s">
        <v>6</v>
      </c>
      <c r="Z3" s="33" t="s">
        <v>3</v>
      </c>
      <c r="AA3" s="33" t="s">
        <v>8</v>
      </c>
      <c r="AB3" s="33" t="s">
        <v>7</v>
      </c>
      <c r="AC3" s="33" t="s">
        <v>10</v>
      </c>
      <c r="AD3" s="33" t="s">
        <v>11</v>
      </c>
      <c r="AE3" s="33" t="s">
        <v>9</v>
      </c>
      <c r="AF3" s="33" t="s">
        <v>12</v>
      </c>
      <c r="AG3" s="33" t="s">
        <v>13</v>
      </c>
    </row>
    <row r="4" spans="1:33" s="39" customFormat="1" x14ac:dyDescent="0.35">
      <c r="A4" s="22"/>
      <c r="B4" s="34" t="s">
        <v>19</v>
      </c>
      <c r="C4" s="23"/>
      <c r="D4" s="23"/>
      <c r="E4" s="24"/>
      <c r="F4" s="23"/>
      <c r="G4" s="23"/>
      <c r="H4" s="23"/>
      <c r="I4" s="23"/>
      <c r="J4" s="23"/>
      <c r="K4" s="23"/>
      <c r="L4" s="42"/>
      <c r="M4" s="34" t="s">
        <v>19</v>
      </c>
      <c r="N4" s="30"/>
      <c r="O4" s="30"/>
      <c r="P4" s="30"/>
      <c r="Q4" s="30"/>
      <c r="R4" s="30"/>
      <c r="S4" s="30"/>
      <c r="T4" s="30"/>
      <c r="U4" s="30"/>
      <c r="V4" s="30"/>
      <c r="X4" s="34" t="s">
        <v>19</v>
      </c>
    </row>
    <row r="5" spans="1:33" s="35" customFormat="1" x14ac:dyDescent="0.35">
      <c r="A5" s="26"/>
      <c r="B5" s="40" t="s">
        <v>20</v>
      </c>
      <c r="C5" s="28">
        <v>6.8000000000000005E-2</v>
      </c>
      <c r="D5" s="50">
        <v>5.7100000000000005E-2</v>
      </c>
      <c r="E5" s="50">
        <v>5.6800000000000003E-2</v>
      </c>
      <c r="F5" s="50">
        <v>5.5900000000000005E-2</v>
      </c>
      <c r="G5" s="50">
        <v>7.2960750605949351E-2</v>
      </c>
      <c r="H5" s="50">
        <v>7.7600000000000002E-2</v>
      </c>
      <c r="I5" s="50">
        <v>6.5806639835768788E-2</v>
      </c>
      <c r="J5" s="50">
        <v>6.7040310598072764E-2</v>
      </c>
      <c r="K5" s="50">
        <v>7.3658285697007747E-2</v>
      </c>
      <c r="L5" s="49"/>
      <c r="M5" s="40" t="s">
        <v>20</v>
      </c>
      <c r="N5" s="27">
        <v>0.10028029123148026</v>
      </c>
      <c r="O5" s="27">
        <v>0.10872174211404154</v>
      </c>
      <c r="P5" s="27">
        <v>8.5685510814761029E-2</v>
      </c>
      <c r="Q5" s="27">
        <v>0.11191387198401884</v>
      </c>
      <c r="R5" s="27">
        <v>9.2660241481243646E-2</v>
      </c>
      <c r="S5" s="27">
        <v>0.105778952219273</v>
      </c>
      <c r="T5" s="27">
        <v>7.7846030241426667E-2</v>
      </c>
      <c r="U5" s="27">
        <v>7.2316204128948014E-2</v>
      </c>
      <c r="V5" s="27">
        <v>0.10049997396658644</v>
      </c>
      <c r="X5" s="40" t="s">
        <v>20</v>
      </c>
      <c r="Y5" s="40" t="s">
        <v>64</v>
      </c>
      <c r="Z5" s="40" t="s">
        <v>70</v>
      </c>
      <c r="AA5" s="40" t="s">
        <v>67</v>
      </c>
      <c r="AB5" s="40" t="s">
        <v>64</v>
      </c>
      <c r="AC5" s="40" t="s">
        <v>66</v>
      </c>
      <c r="AD5" s="40" t="s">
        <v>65</v>
      </c>
      <c r="AE5" s="40" t="s">
        <v>69</v>
      </c>
      <c r="AF5" s="40" t="s">
        <v>64</v>
      </c>
      <c r="AG5" s="40" t="s">
        <v>67</v>
      </c>
    </row>
    <row r="6" spans="1:33" s="40" customFormat="1" x14ac:dyDescent="0.35">
      <c r="A6" s="41"/>
      <c r="B6" s="40" t="s">
        <v>21</v>
      </c>
      <c r="C6" s="28">
        <v>0.11600000000000001</v>
      </c>
      <c r="D6" s="50">
        <v>0.10580000000000001</v>
      </c>
      <c r="E6" s="50">
        <v>0.10690000000000001</v>
      </c>
      <c r="F6" s="50">
        <v>0.1106</v>
      </c>
      <c r="G6" s="50">
        <v>0.109</v>
      </c>
      <c r="H6" s="50">
        <v>0.11280000000000001</v>
      </c>
      <c r="I6" s="50">
        <v>0.11610000000000001</v>
      </c>
      <c r="J6" s="50">
        <v>0.1091</v>
      </c>
      <c r="K6" s="50">
        <v>0.1125</v>
      </c>
      <c r="L6" s="42"/>
      <c r="M6" s="40" t="s">
        <v>21</v>
      </c>
      <c r="N6" s="28">
        <v>0.12124359890273745</v>
      </c>
      <c r="O6" s="28">
        <v>0.12968504978529871</v>
      </c>
      <c r="P6" s="28">
        <v>0.10664881848601822</v>
      </c>
      <c r="Q6" s="28">
        <v>0.13287717965527601</v>
      </c>
      <c r="R6" s="28">
        <v>0.11362354915250084</v>
      </c>
      <c r="S6" s="28">
        <v>0.12674225989053017</v>
      </c>
      <c r="T6" s="28">
        <v>9.8809337912683856E-2</v>
      </c>
      <c r="U6" s="28">
        <v>9.3279511800205203E-2</v>
      </c>
      <c r="V6" s="28">
        <v>0.12146328163784363</v>
      </c>
      <c r="X6" s="40" t="s">
        <v>21</v>
      </c>
      <c r="Y6" s="40" t="s">
        <v>66</v>
      </c>
      <c r="Z6" s="40" t="s">
        <v>67</v>
      </c>
      <c r="AA6" s="40" t="s">
        <v>70</v>
      </c>
      <c r="AB6" s="40" t="s">
        <v>67</v>
      </c>
      <c r="AC6" s="40" t="s">
        <v>70</v>
      </c>
      <c r="AD6" s="40" t="s">
        <v>66</v>
      </c>
      <c r="AE6" s="40" t="s">
        <v>66</v>
      </c>
      <c r="AF6" s="40" t="s">
        <v>66</v>
      </c>
      <c r="AG6" s="40" t="s">
        <v>69</v>
      </c>
    </row>
    <row r="7" spans="1:33" s="40" customFormat="1" x14ac:dyDescent="0.35">
      <c r="A7" s="41"/>
      <c r="B7" s="40" t="s">
        <v>22</v>
      </c>
      <c r="C7" s="28">
        <v>9.4E-2</v>
      </c>
      <c r="D7" s="50">
        <v>9.1700000000000004E-2</v>
      </c>
      <c r="E7" s="50">
        <v>9.2100000000000001E-2</v>
      </c>
      <c r="F7" s="50">
        <v>9.2299999999999993E-2</v>
      </c>
      <c r="G7" s="50">
        <v>8.7499999999999994E-2</v>
      </c>
      <c r="H7" s="50">
        <v>8.9099999999999999E-2</v>
      </c>
      <c r="I7" s="50">
        <v>8.5699999999999998E-2</v>
      </c>
      <c r="J7" s="50">
        <v>9.5399999999999999E-2</v>
      </c>
      <c r="K7" s="50">
        <v>9.4500000000000001E-2</v>
      </c>
      <c r="L7" s="42"/>
      <c r="M7" s="40" t="s">
        <v>22</v>
      </c>
      <c r="N7" s="28">
        <v>0.11463341885196264</v>
      </c>
      <c r="O7" s="28">
        <v>0.12307486973452392</v>
      </c>
      <c r="P7" s="28">
        <v>0.10003863843524341</v>
      </c>
      <c r="Q7" s="28">
        <v>0.12626699960450122</v>
      </c>
      <c r="R7" s="28">
        <v>0.10701336910172603</v>
      </c>
      <c r="S7" s="28">
        <v>0.12013207983975538</v>
      </c>
      <c r="T7" s="28">
        <v>9.2199157861909048E-2</v>
      </c>
      <c r="U7" s="28">
        <v>8.6669331749430395E-2</v>
      </c>
      <c r="V7" s="28">
        <v>0.11485310158706882</v>
      </c>
      <c r="X7" s="40" t="s">
        <v>22</v>
      </c>
      <c r="Y7" s="40" t="s">
        <v>65</v>
      </c>
      <c r="Z7" s="40" t="s">
        <v>69</v>
      </c>
      <c r="AA7" s="40" t="s">
        <v>70</v>
      </c>
      <c r="AB7" s="40" t="s">
        <v>65</v>
      </c>
      <c r="AC7" s="40" t="s">
        <v>70</v>
      </c>
      <c r="AD7" s="40" t="s">
        <v>70</v>
      </c>
      <c r="AE7" s="40" t="s">
        <v>67</v>
      </c>
      <c r="AF7" s="40" t="s">
        <v>64</v>
      </c>
      <c r="AG7" s="40" t="s">
        <v>69</v>
      </c>
    </row>
    <row r="8" spans="1:33" s="40" customFormat="1" x14ac:dyDescent="0.35">
      <c r="A8" s="41"/>
      <c r="B8" s="40" t="s">
        <v>23</v>
      </c>
      <c r="C8" s="28">
        <v>8.3000000000000004E-2</v>
      </c>
      <c r="D8" s="50">
        <v>7.5600000000000001E-2</v>
      </c>
      <c r="E8" s="50">
        <v>8.6500000000000007E-2</v>
      </c>
      <c r="F8" s="50">
        <v>8.5000000000000006E-2</v>
      </c>
      <c r="G8" s="50">
        <v>7.22E-2</v>
      </c>
      <c r="H8" s="50">
        <v>8.320000000000001E-2</v>
      </c>
      <c r="I8" s="50">
        <v>8.4900000000000003E-2</v>
      </c>
      <c r="J8" s="50">
        <v>8.2600000000000007E-2</v>
      </c>
      <c r="K8" s="50">
        <v>8.8900000000000007E-2</v>
      </c>
      <c r="L8" s="42"/>
      <c r="M8" s="40" t="s">
        <v>23</v>
      </c>
      <c r="N8" s="28">
        <v>9.3694893755630795E-2</v>
      </c>
      <c r="O8" s="28">
        <v>0.10213634463819207</v>
      </c>
      <c r="P8" s="28">
        <v>7.9100113338911565E-2</v>
      </c>
      <c r="Q8" s="28">
        <v>0.10532847450816937</v>
      </c>
      <c r="R8" s="28">
        <v>8.6074844005394183E-2</v>
      </c>
      <c r="S8" s="28">
        <v>9.9193554743423534E-2</v>
      </c>
      <c r="T8" s="28">
        <v>7.1260632765577203E-2</v>
      </c>
      <c r="U8" s="28">
        <v>6.573080665309855E-2</v>
      </c>
      <c r="V8" s="28">
        <v>9.3914576490736978E-2</v>
      </c>
      <c r="X8" s="40" t="s">
        <v>23</v>
      </c>
      <c r="Y8" s="40" t="s">
        <v>64</v>
      </c>
      <c r="Z8" s="40" t="s">
        <v>65</v>
      </c>
      <c r="AA8" s="40" t="s">
        <v>64</v>
      </c>
      <c r="AB8" s="40" t="s">
        <v>67</v>
      </c>
      <c r="AC8" s="40" t="s">
        <v>65</v>
      </c>
      <c r="AD8" s="40" t="s">
        <v>69</v>
      </c>
      <c r="AE8" s="40" t="s">
        <v>69</v>
      </c>
      <c r="AF8" s="40" t="s">
        <v>66</v>
      </c>
      <c r="AG8" s="40" t="s">
        <v>65</v>
      </c>
    </row>
    <row r="9" spans="1:33" s="40" customFormat="1" x14ac:dyDescent="0.35">
      <c r="A9" s="41"/>
      <c r="B9" s="40" t="s">
        <v>24</v>
      </c>
      <c r="C9" s="28">
        <v>6.0999999999999999E-2</v>
      </c>
      <c r="D9" s="50">
        <v>7.4999999999999997E-2</v>
      </c>
      <c r="E9" s="50">
        <v>7.1199999999999999E-2</v>
      </c>
      <c r="F9" s="50">
        <v>6.2599999999999989E-2</v>
      </c>
      <c r="G9" s="50">
        <v>6.9000000000000006E-2</v>
      </c>
      <c r="H9" s="50">
        <v>5.57E-2</v>
      </c>
      <c r="I9" s="50">
        <v>6.6699999999999995E-2</v>
      </c>
      <c r="J9" s="50">
        <v>6.3899999999999998E-2</v>
      </c>
      <c r="K9" s="50">
        <v>4.6799999999999994E-2</v>
      </c>
      <c r="L9" s="42"/>
      <c r="M9" s="40" t="s">
        <v>24</v>
      </c>
      <c r="N9" s="28">
        <v>0.14005531369849028</v>
      </c>
      <c r="O9" s="28">
        <v>0.14849676458105154</v>
      </c>
      <c r="P9" s="28">
        <v>0.12546053328177104</v>
      </c>
      <c r="Q9" s="28">
        <v>0.15168889445102884</v>
      </c>
      <c r="R9" s="28">
        <v>0.13243526394825367</v>
      </c>
      <c r="S9" s="28">
        <v>0.14555397468628301</v>
      </c>
      <c r="T9" s="28">
        <v>0.11762105270843667</v>
      </c>
      <c r="U9" s="28">
        <v>0.11209122659595802</v>
      </c>
      <c r="V9" s="28">
        <v>0.14027499643359645</v>
      </c>
      <c r="X9" s="40" t="s">
        <v>24</v>
      </c>
      <c r="Y9" s="40" t="s">
        <v>64</v>
      </c>
      <c r="Z9" s="40" t="s">
        <v>67</v>
      </c>
      <c r="AA9" s="40" t="s">
        <v>65</v>
      </c>
      <c r="AB9" s="40" t="s">
        <v>65</v>
      </c>
      <c r="AC9" s="40" t="s">
        <v>67</v>
      </c>
      <c r="AD9" s="40" t="s">
        <v>68</v>
      </c>
      <c r="AE9" s="40" t="s">
        <v>66</v>
      </c>
      <c r="AF9" s="40" t="s">
        <v>67</v>
      </c>
      <c r="AG9" s="40" t="s">
        <v>66</v>
      </c>
    </row>
    <row r="10" spans="1:33" s="40" customFormat="1" x14ac:dyDescent="0.35">
      <c r="A10" s="41"/>
      <c r="B10" s="40" t="s">
        <v>25</v>
      </c>
      <c r="C10" s="28">
        <v>7.8E-2</v>
      </c>
      <c r="D10" s="50">
        <v>6.7000000000000004E-2</v>
      </c>
      <c r="E10" s="50">
        <v>8.0272932700471755E-2</v>
      </c>
      <c r="F10" s="50">
        <v>6.7799999999999999E-2</v>
      </c>
      <c r="G10" s="50">
        <v>7.5235669923000001E-2</v>
      </c>
      <c r="H10" s="50">
        <v>7.1400000000000005E-2</v>
      </c>
      <c r="I10" s="50">
        <v>8.3699999999999997E-2</v>
      </c>
      <c r="J10" s="50">
        <v>6.7500000000000004E-2</v>
      </c>
      <c r="K10" s="50">
        <v>8.6199936900108617E-2</v>
      </c>
      <c r="L10" s="42"/>
      <c r="M10" s="40" t="s">
        <v>25</v>
      </c>
      <c r="N10" s="28">
        <v>0.10682480327300205</v>
      </c>
      <c r="O10" s="28">
        <v>0.11526625415556332</v>
      </c>
      <c r="P10" s="28">
        <v>9.2230022856282817E-2</v>
      </c>
      <c r="Q10" s="28">
        <v>0.11845838402554063</v>
      </c>
      <c r="R10" s="28">
        <v>9.9204753522765435E-2</v>
      </c>
      <c r="S10" s="28">
        <v>0.11232346426079479</v>
      </c>
      <c r="T10" s="28">
        <v>8.4390542282948455E-2</v>
      </c>
      <c r="U10" s="28">
        <v>7.8860716170469802E-2</v>
      </c>
      <c r="V10" s="28">
        <v>0.10704448600810823</v>
      </c>
      <c r="X10" s="40" t="s">
        <v>25</v>
      </c>
      <c r="Y10" s="40" t="s">
        <v>67</v>
      </c>
      <c r="Z10" s="40" t="s">
        <v>67</v>
      </c>
      <c r="AA10" s="40" t="s">
        <v>64</v>
      </c>
      <c r="AB10" s="40" t="s">
        <v>65</v>
      </c>
      <c r="AC10" s="40" t="s">
        <v>67</v>
      </c>
      <c r="AD10" s="40" t="s">
        <v>66</v>
      </c>
      <c r="AE10" s="40" t="s">
        <v>64</v>
      </c>
      <c r="AF10" s="40" t="s">
        <v>67</v>
      </c>
      <c r="AG10" s="40" t="s">
        <v>69</v>
      </c>
    </row>
    <row r="11" spans="1:33" s="40" customFormat="1" x14ac:dyDescent="0.35">
      <c r="A11" s="41"/>
      <c r="B11" s="40" t="s">
        <v>26</v>
      </c>
      <c r="C11" s="28">
        <v>7.0000000000000007E-2</v>
      </c>
      <c r="D11" s="50">
        <v>7.2900000000000006E-2</v>
      </c>
      <c r="E11" s="50">
        <v>7.6500000000000012E-2</v>
      </c>
      <c r="F11" s="50">
        <v>6.5326634643662382E-2</v>
      </c>
      <c r="G11" s="50">
        <v>7.4843030412736697E-2</v>
      </c>
      <c r="H11" s="50">
        <v>7.9885435949556743E-2</v>
      </c>
      <c r="I11" s="50">
        <v>7.350000000000001E-2</v>
      </c>
      <c r="J11" s="50">
        <v>6.1900000000000011E-2</v>
      </c>
      <c r="K11" s="50">
        <v>6.1750011651231944E-2</v>
      </c>
      <c r="L11" s="42"/>
      <c r="M11" s="40" t="s">
        <v>26</v>
      </c>
      <c r="N11" s="28">
        <v>0.12730674206452255</v>
      </c>
      <c r="O11" s="28">
        <v>0.13574819294708385</v>
      </c>
      <c r="P11" s="28">
        <v>0.11271196164780332</v>
      </c>
      <c r="Q11" s="28">
        <v>0.13894032281706115</v>
      </c>
      <c r="R11" s="28">
        <v>0.11968669231428594</v>
      </c>
      <c r="S11" s="28">
        <v>0.13280540305231531</v>
      </c>
      <c r="T11" s="28">
        <v>0.10487248107446896</v>
      </c>
      <c r="U11" s="28">
        <v>9.9342654961990309E-2</v>
      </c>
      <c r="V11" s="28">
        <v>0.12752642479962872</v>
      </c>
      <c r="X11" s="40" t="s">
        <v>26</v>
      </c>
      <c r="Y11" s="40" t="s">
        <v>68</v>
      </c>
      <c r="Z11" s="40" t="s">
        <v>64</v>
      </c>
      <c r="AA11" s="40" t="s">
        <v>67</v>
      </c>
      <c r="AB11" s="40" t="s">
        <v>65</v>
      </c>
      <c r="AC11" s="40" t="s">
        <v>69</v>
      </c>
      <c r="AD11" s="40" t="s">
        <v>65</v>
      </c>
      <c r="AE11" s="40" t="s">
        <v>67</v>
      </c>
      <c r="AF11" s="40" t="s">
        <v>70</v>
      </c>
      <c r="AG11" s="40" t="s">
        <v>64</v>
      </c>
    </row>
    <row r="12" spans="1:33" s="40" customFormat="1" x14ac:dyDescent="0.35">
      <c r="A12" s="41"/>
      <c r="B12" s="40" t="s">
        <v>62</v>
      </c>
      <c r="C12" s="28">
        <v>0.13700000000000001</v>
      </c>
      <c r="D12" s="50">
        <v>0.12987506635832122</v>
      </c>
      <c r="E12" s="50">
        <v>0.126</v>
      </c>
      <c r="F12" s="50">
        <v>0.14375031859621604</v>
      </c>
      <c r="G12" s="50">
        <v>0.13904587672352092</v>
      </c>
      <c r="H12" s="50">
        <v>0.13200000000000001</v>
      </c>
      <c r="I12" s="50">
        <v>0.14419999999999999</v>
      </c>
      <c r="J12" s="50">
        <v>0.14400000000000002</v>
      </c>
      <c r="K12" s="50">
        <v>0.1351</v>
      </c>
      <c r="L12" s="56"/>
      <c r="M12" s="40" t="s">
        <v>62</v>
      </c>
      <c r="N12" s="28">
        <v>0.13266317058143695</v>
      </c>
      <c r="O12" s="28">
        <v>0.14110462146399821</v>
      </c>
      <c r="P12" s="28">
        <v>0.11806839016471772</v>
      </c>
      <c r="Q12" s="28">
        <v>0.14429675133397551</v>
      </c>
      <c r="R12" s="28">
        <v>0.12504312083120034</v>
      </c>
      <c r="S12" s="28">
        <v>0.13816183156922968</v>
      </c>
      <c r="T12" s="28">
        <v>0.11022890959138336</v>
      </c>
      <c r="U12" s="28">
        <v>0.10469908347890471</v>
      </c>
      <c r="V12" s="28">
        <v>0.13288285331654315</v>
      </c>
      <c r="X12" s="40" t="s">
        <v>62</v>
      </c>
      <c r="Y12" s="40" t="s">
        <v>64</v>
      </c>
      <c r="Z12" s="40" t="s">
        <v>64</v>
      </c>
      <c r="AA12" s="40" t="s">
        <v>65</v>
      </c>
      <c r="AB12" s="40" t="s">
        <v>67</v>
      </c>
      <c r="AC12" s="40" t="s">
        <v>67</v>
      </c>
      <c r="AD12" s="40" t="s">
        <v>70</v>
      </c>
      <c r="AE12" s="40" t="s">
        <v>68</v>
      </c>
      <c r="AF12" s="40" t="s">
        <v>65</v>
      </c>
      <c r="AG12" s="40" t="s">
        <v>65</v>
      </c>
    </row>
    <row r="13" spans="1:33" s="40" customFormat="1" x14ac:dyDescent="0.35">
      <c r="A13" s="41"/>
      <c r="B13" s="40" t="s">
        <v>27</v>
      </c>
      <c r="C13" s="28">
        <v>0.11899999999999999</v>
      </c>
      <c r="D13" s="50">
        <v>0.12859999999999999</v>
      </c>
      <c r="E13" s="50">
        <v>0.12568259469805423</v>
      </c>
      <c r="F13" s="50">
        <v>0.128</v>
      </c>
      <c r="G13" s="50">
        <v>0.11521615252407326</v>
      </c>
      <c r="H13" s="50">
        <v>0.12639999999999998</v>
      </c>
      <c r="I13" s="50">
        <v>0.1077580964459528</v>
      </c>
      <c r="J13" s="50">
        <v>0.1241</v>
      </c>
      <c r="K13" s="50">
        <v>0.11069999999999999</v>
      </c>
      <c r="L13" s="42"/>
      <c r="M13" s="40" t="s">
        <v>27</v>
      </c>
      <c r="N13" s="28">
        <v>8.8049707535053437E-2</v>
      </c>
      <c r="O13" s="28">
        <v>9.6491158417614714E-2</v>
      </c>
      <c r="P13" s="28">
        <v>7.3454927118334207E-2</v>
      </c>
      <c r="Q13" s="28">
        <v>9.9683288287592015E-2</v>
      </c>
      <c r="R13" s="28">
        <v>8.0429657784816824E-2</v>
      </c>
      <c r="S13" s="28">
        <v>9.3548368522846176E-2</v>
      </c>
      <c r="T13" s="28">
        <v>6.5615446544999845E-2</v>
      </c>
      <c r="U13" s="28">
        <v>6.0085620432521192E-2</v>
      </c>
      <c r="V13" s="28">
        <v>8.826939027015962E-2</v>
      </c>
      <c r="X13" s="40" t="s">
        <v>27</v>
      </c>
      <c r="Y13" s="40" t="s">
        <v>67</v>
      </c>
      <c r="Z13" s="40" t="s">
        <v>65</v>
      </c>
      <c r="AA13" s="40" t="s">
        <v>66</v>
      </c>
      <c r="AB13" s="40" t="s">
        <v>65</v>
      </c>
      <c r="AC13" s="40" t="s">
        <v>69</v>
      </c>
      <c r="AD13" s="40" t="s">
        <v>68</v>
      </c>
      <c r="AE13" s="40" t="s">
        <v>66</v>
      </c>
      <c r="AF13" s="40" t="s">
        <v>64</v>
      </c>
      <c r="AG13" s="40" t="s">
        <v>68</v>
      </c>
    </row>
    <row r="14" spans="1:33" s="40" customFormat="1" x14ac:dyDescent="0.35">
      <c r="A14" s="41"/>
      <c r="B14" s="40" t="s">
        <v>28</v>
      </c>
      <c r="C14" s="28">
        <v>0.108</v>
      </c>
      <c r="D14" s="50">
        <v>0.1188</v>
      </c>
      <c r="E14" s="50">
        <v>0.10979999999999999</v>
      </c>
      <c r="F14" s="50">
        <v>0.1132</v>
      </c>
      <c r="G14" s="50">
        <v>0.1047</v>
      </c>
      <c r="H14" s="50">
        <v>0.10779999999999999</v>
      </c>
      <c r="I14" s="50">
        <v>0.12</v>
      </c>
      <c r="J14" s="50">
        <v>0.1198</v>
      </c>
      <c r="K14" s="50">
        <v>9.8099999999999993E-2</v>
      </c>
      <c r="L14" s="42"/>
      <c r="M14" s="40" t="s">
        <v>28</v>
      </c>
      <c r="N14" s="28">
        <v>8.2660977192995685E-2</v>
      </c>
      <c r="O14" s="28">
        <v>9.1102428075556963E-2</v>
      </c>
      <c r="P14" s="28">
        <v>6.8066196776276455E-2</v>
      </c>
      <c r="Q14" s="28">
        <v>9.4294557945534263E-2</v>
      </c>
      <c r="R14" s="28">
        <v>7.5040927442759073E-2</v>
      </c>
      <c r="S14" s="28">
        <v>8.8159638180788424E-2</v>
      </c>
      <c r="T14" s="28">
        <v>6.0226716202942093E-2</v>
      </c>
      <c r="U14" s="28">
        <v>5.469689009046344E-2</v>
      </c>
      <c r="V14" s="28">
        <v>8.2880659928101869E-2</v>
      </c>
      <c r="X14" s="40" t="s">
        <v>28</v>
      </c>
      <c r="Y14" s="40" t="s">
        <v>65</v>
      </c>
      <c r="Z14" s="40" t="s">
        <v>69</v>
      </c>
      <c r="AA14" s="40" t="s">
        <v>65</v>
      </c>
      <c r="AB14" s="40" t="s">
        <v>64</v>
      </c>
      <c r="AC14" s="40" t="s">
        <v>66</v>
      </c>
      <c r="AD14" s="40" t="s">
        <v>69</v>
      </c>
      <c r="AE14" s="40" t="s">
        <v>69</v>
      </c>
      <c r="AF14" s="40" t="s">
        <v>69</v>
      </c>
      <c r="AG14" s="40" t="s">
        <v>68</v>
      </c>
    </row>
    <row r="15" spans="1:33" s="40" customFormat="1" x14ac:dyDescent="0.35">
      <c r="A15" s="41"/>
      <c r="B15" s="40" t="s">
        <v>63</v>
      </c>
      <c r="C15" s="28">
        <f>1-SUM(C5:C14)</f>
        <v>6.5999999999999948E-2</v>
      </c>
      <c r="D15" s="28">
        <f t="shared" ref="D15:K15" si="0">1-SUM(D5:D14)</f>
        <v>7.7624933641678773E-2</v>
      </c>
      <c r="E15" s="28">
        <f t="shared" si="0"/>
        <v>6.8244472601473927E-2</v>
      </c>
      <c r="F15" s="28">
        <f t="shared" si="0"/>
        <v>7.5523046760121559E-2</v>
      </c>
      <c r="G15" s="28">
        <f t="shared" si="0"/>
        <v>8.0298519810719893E-2</v>
      </c>
      <c r="H15" s="28">
        <f t="shared" si="0"/>
        <v>6.4114564050443246E-2</v>
      </c>
      <c r="I15" s="28">
        <f t="shared" si="0"/>
        <v>5.1635263718278424E-2</v>
      </c>
      <c r="J15" s="28">
        <f t="shared" si="0"/>
        <v>6.4659689401927234E-2</v>
      </c>
      <c r="K15" s="28">
        <f t="shared" si="0"/>
        <v>9.179176575165171E-2</v>
      </c>
      <c r="L15" s="42"/>
      <c r="M15" s="40" t="s">
        <v>63</v>
      </c>
      <c r="N15" s="28">
        <v>7.7213129880279147E-2</v>
      </c>
      <c r="O15" s="28">
        <v>8.5654580762840424E-2</v>
      </c>
      <c r="P15" s="28">
        <v>6.2618349463559916E-2</v>
      </c>
      <c r="Q15" s="28">
        <v>8.8846710632817724E-2</v>
      </c>
      <c r="R15" s="28">
        <v>6.9593080130042534E-2</v>
      </c>
      <c r="S15" s="28">
        <v>8.2711790868071886E-2</v>
      </c>
      <c r="T15" s="28">
        <v>5.4778868890225554E-2</v>
      </c>
      <c r="U15" s="28">
        <v>4.9249042777746901E-2</v>
      </c>
      <c r="V15" s="28">
        <v>7.743281261538533E-2</v>
      </c>
      <c r="X15" s="40" t="s">
        <v>63</v>
      </c>
      <c r="Y15" s="40" t="s">
        <v>67</v>
      </c>
      <c r="Z15" s="40" t="s">
        <v>67</v>
      </c>
      <c r="AA15" s="40" t="s">
        <v>65</v>
      </c>
      <c r="AB15" s="40" t="s">
        <v>64</v>
      </c>
      <c r="AC15" s="40" t="s">
        <v>70</v>
      </c>
      <c r="AD15" s="40" t="s">
        <v>68</v>
      </c>
      <c r="AE15" s="40" t="s">
        <v>67</v>
      </c>
      <c r="AF15" s="40" t="s">
        <v>69</v>
      </c>
      <c r="AG15" s="40" t="s">
        <v>70</v>
      </c>
    </row>
    <row r="16" spans="1:33" s="42" customFormat="1" x14ac:dyDescent="0.35">
      <c r="A16" s="36"/>
      <c r="C16" s="31"/>
      <c r="D16" s="52"/>
      <c r="E16" s="32"/>
      <c r="F16" s="31"/>
      <c r="G16" s="31"/>
      <c r="H16" s="31"/>
      <c r="I16" s="31"/>
      <c r="J16" s="31"/>
      <c r="K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33" s="39" customFormat="1" x14ac:dyDescent="0.35">
      <c r="A17" s="43"/>
      <c r="B17" s="34" t="s">
        <v>29</v>
      </c>
      <c r="C17" s="25"/>
      <c r="D17" s="25"/>
      <c r="E17" s="29"/>
      <c r="F17" s="25"/>
      <c r="G17" s="25"/>
      <c r="H17" s="25"/>
      <c r="I17" s="25"/>
      <c r="J17" s="25"/>
      <c r="K17" s="25"/>
      <c r="L17" s="42"/>
      <c r="M17" s="34" t="s">
        <v>29</v>
      </c>
      <c r="N17" s="30"/>
      <c r="O17" s="30"/>
      <c r="P17" s="30"/>
      <c r="Q17" s="30"/>
      <c r="R17" s="30"/>
      <c r="S17" s="30"/>
      <c r="T17" s="30"/>
      <c r="U17" s="30"/>
      <c r="V17" s="30"/>
      <c r="X17" s="34" t="s">
        <v>29</v>
      </c>
    </row>
    <row r="18" spans="1:33" s="40" customFormat="1" x14ac:dyDescent="0.35">
      <c r="A18" s="41"/>
      <c r="B18" s="40" t="s">
        <v>30</v>
      </c>
      <c r="C18" s="28">
        <v>0.152</v>
      </c>
      <c r="D18" s="50">
        <v>0.13769999999999999</v>
      </c>
      <c r="E18" s="50">
        <v>0.14860000000000001</v>
      </c>
      <c r="F18" s="50">
        <v>0.14949999999999999</v>
      </c>
      <c r="G18" s="50">
        <v>0.15179999999999999</v>
      </c>
      <c r="H18" s="50">
        <v>0.1678</v>
      </c>
      <c r="I18" s="50">
        <v>0.15240000000000001</v>
      </c>
      <c r="J18" s="50">
        <v>0.16699999999999998</v>
      </c>
      <c r="K18" s="50">
        <v>0.16769999999999999</v>
      </c>
      <c r="L18" s="42"/>
      <c r="M18" s="40" t="s">
        <v>30</v>
      </c>
      <c r="N18" s="28">
        <v>0.11929442238053646</v>
      </c>
      <c r="O18" s="28">
        <v>0.12700505221605235</v>
      </c>
      <c r="P18" s="28">
        <v>0.10487240812569887</v>
      </c>
      <c r="Q18" s="28">
        <v>0.13003021656693989</v>
      </c>
      <c r="R18" s="28">
        <v>0.11144187638734167</v>
      </c>
      <c r="S18" s="28">
        <v>0.12445461093748154</v>
      </c>
      <c r="T18" s="28">
        <v>9.7789163772984938E-2</v>
      </c>
      <c r="U18" s="28">
        <v>9.1124114990036351E-2</v>
      </c>
      <c r="V18" s="28">
        <v>0.11750104877946232</v>
      </c>
      <c r="X18" s="40" t="s">
        <v>30</v>
      </c>
      <c r="Y18" s="40" t="s">
        <v>68</v>
      </c>
      <c r="Z18" s="40" t="s">
        <v>64</v>
      </c>
      <c r="AA18" s="40" t="s">
        <v>64</v>
      </c>
      <c r="AB18" s="40" t="s">
        <v>68</v>
      </c>
      <c r="AC18" s="40" t="s">
        <v>70</v>
      </c>
      <c r="AD18" s="40" t="s">
        <v>67</v>
      </c>
      <c r="AE18" s="40" t="s">
        <v>66</v>
      </c>
      <c r="AF18" s="40" t="s">
        <v>68</v>
      </c>
      <c r="AG18" s="40" t="s">
        <v>68</v>
      </c>
    </row>
    <row r="19" spans="1:33" s="40" customFormat="1" x14ac:dyDescent="0.35">
      <c r="A19" s="41"/>
      <c r="B19" s="40" t="s">
        <v>31</v>
      </c>
      <c r="C19" s="28">
        <v>0.27400000000000002</v>
      </c>
      <c r="D19" s="50">
        <v>0.29040000000000005</v>
      </c>
      <c r="E19" s="50">
        <v>0.27150000000000002</v>
      </c>
      <c r="F19" s="50">
        <v>0.27040000000000003</v>
      </c>
      <c r="G19" s="50">
        <v>0.26750000000000002</v>
      </c>
      <c r="H19" s="50">
        <v>0.26300000000000001</v>
      </c>
      <c r="I19" s="50">
        <v>0.2697</v>
      </c>
      <c r="J19" s="50">
        <v>0.26690000000000003</v>
      </c>
      <c r="K19" s="50">
        <v>0.2676</v>
      </c>
      <c r="L19" s="42"/>
      <c r="M19" s="40" t="s">
        <v>31</v>
      </c>
      <c r="N19" s="28">
        <v>0.11197486857753709</v>
      </c>
      <c r="O19" s="28">
        <v>0.119685498413053</v>
      </c>
      <c r="P19" s="28">
        <v>9.75528543226995E-2</v>
      </c>
      <c r="Q19" s="28">
        <v>0.12271066276394052</v>
      </c>
      <c r="R19" s="28">
        <v>0.1041223225843423</v>
      </c>
      <c r="S19" s="28">
        <v>0.11713505713448218</v>
      </c>
      <c r="T19" s="28">
        <v>9.046960996998557E-2</v>
      </c>
      <c r="U19" s="28">
        <v>8.3804561187036983E-2</v>
      </c>
      <c r="V19" s="28">
        <v>0.11018149497646296</v>
      </c>
      <c r="X19" s="40" t="s">
        <v>31</v>
      </c>
      <c r="Y19" s="40" t="s">
        <v>67</v>
      </c>
      <c r="Z19" s="40" t="s">
        <v>70</v>
      </c>
      <c r="AA19" s="40" t="s">
        <v>70</v>
      </c>
      <c r="AB19" s="40" t="s">
        <v>70</v>
      </c>
      <c r="AC19" s="40" t="s">
        <v>69</v>
      </c>
      <c r="AD19" s="40" t="s">
        <v>66</v>
      </c>
      <c r="AE19" s="40" t="s">
        <v>68</v>
      </c>
      <c r="AF19" s="40" t="s">
        <v>68</v>
      </c>
      <c r="AG19" s="40" t="s">
        <v>67</v>
      </c>
    </row>
    <row r="20" spans="1:33" s="40" customFormat="1" x14ac:dyDescent="0.35">
      <c r="A20" s="41"/>
      <c r="B20" s="40" t="s">
        <v>54</v>
      </c>
      <c r="C20" s="28">
        <v>0.193</v>
      </c>
      <c r="D20" s="50">
        <v>0.2069</v>
      </c>
      <c r="E20" s="50">
        <v>0.2031</v>
      </c>
      <c r="F20" s="50">
        <v>0.19209999999999999</v>
      </c>
      <c r="G20" s="50">
        <v>0.20630000000000001</v>
      </c>
      <c r="H20" s="50">
        <v>0.18310000000000001</v>
      </c>
      <c r="I20" s="50">
        <v>0.2056</v>
      </c>
      <c r="J20" s="50">
        <v>0.18820000000000001</v>
      </c>
      <c r="K20" s="50">
        <v>0.1966</v>
      </c>
      <c r="L20" s="42"/>
      <c r="M20" s="40" t="s">
        <v>54</v>
      </c>
      <c r="N20" s="28">
        <v>0.10450250497860485</v>
      </c>
      <c r="O20" s="28">
        <v>0.11221313481412075</v>
      </c>
      <c r="P20" s="28">
        <v>9.0080490723767254E-2</v>
      </c>
      <c r="Q20" s="28">
        <v>0.11523829916500827</v>
      </c>
      <c r="R20" s="28">
        <v>9.6649958985410053E-2</v>
      </c>
      <c r="S20" s="28">
        <v>0.10966269353554993</v>
      </c>
      <c r="T20" s="28">
        <v>8.2997246371053324E-2</v>
      </c>
      <c r="U20" s="28">
        <v>7.6332197588104736E-2</v>
      </c>
      <c r="V20" s="28">
        <v>0.10270913137753071</v>
      </c>
      <c r="X20" s="40" t="s">
        <v>54</v>
      </c>
      <c r="Y20" s="40" t="s">
        <v>64</v>
      </c>
      <c r="Z20" s="40" t="s">
        <v>65</v>
      </c>
      <c r="AA20" s="40" t="s">
        <v>66</v>
      </c>
      <c r="AB20" s="40" t="s">
        <v>68</v>
      </c>
      <c r="AC20" s="40" t="s">
        <v>66</v>
      </c>
      <c r="AD20" s="40" t="s">
        <v>68</v>
      </c>
      <c r="AE20" s="40" t="s">
        <v>67</v>
      </c>
      <c r="AF20" s="40" t="s">
        <v>66</v>
      </c>
      <c r="AG20" s="40" t="s">
        <v>70</v>
      </c>
    </row>
    <row r="21" spans="1:33" s="40" customFormat="1" x14ac:dyDescent="0.35">
      <c r="A21" s="41"/>
      <c r="B21" s="40" t="s">
        <v>32</v>
      </c>
      <c r="C21" s="50">
        <v>0.14099999999999999</v>
      </c>
      <c r="D21" s="50">
        <v>0.12689999999999999</v>
      </c>
      <c r="E21" s="50">
        <v>0.14359999999999998</v>
      </c>
      <c r="F21" s="50">
        <v>0.15409999999999999</v>
      </c>
      <c r="G21" s="50">
        <v>0.14539999999999997</v>
      </c>
      <c r="H21" s="50">
        <v>0.1502</v>
      </c>
      <c r="I21" s="50">
        <v>0.12699999999999997</v>
      </c>
      <c r="J21" s="50">
        <v>0.13739999999999999</v>
      </c>
      <c r="K21" s="50">
        <v>0.13339999999999999</v>
      </c>
      <c r="L21" s="42"/>
      <c r="M21" s="40" t="s">
        <v>32</v>
      </c>
      <c r="N21" s="28">
        <v>9.6497857997258879E-2</v>
      </c>
      <c r="O21" s="28">
        <v>0.10420848783277478</v>
      </c>
      <c r="P21" s="28">
        <v>8.2075843742421287E-2</v>
      </c>
      <c r="Q21" s="28">
        <v>0.10723365218366231</v>
      </c>
      <c r="R21" s="28">
        <v>8.8645312004064086E-2</v>
      </c>
      <c r="S21" s="28">
        <v>0.10165804655420396</v>
      </c>
      <c r="T21" s="28">
        <v>7.4992599389707357E-2</v>
      </c>
      <c r="U21" s="28">
        <v>6.8327550606758769E-2</v>
      </c>
      <c r="V21" s="28">
        <v>9.4704484396184743E-2</v>
      </c>
      <c r="X21" s="40" t="s">
        <v>32</v>
      </c>
      <c r="Y21" s="40" t="s">
        <v>64</v>
      </c>
      <c r="Z21" s="40" t="s">
        <v>69</v>
      </c>
      <c r="AA21" s="40" t="s">
        <v>69</v>
      </c>
      <c r="AB21" s="40" t="s">
        <v>66</v>
      </c>
      <c r="AC21" s="40" t="s">
        <v>65</v>
      </c>
      <c r="AD21" s="40" t="s">
        <v>67</v>
      </c>
      <c r="AE21" s="40" t="s">
        <v>69</v>
      </c>
      <c r="AF21" s="40" t="s">
        <v>65</v>
      </c>
      <c r="AG21" s="40" t="s">
        <v>66</v>
      </c>
    </row>
    <row r="22" spans="1:33" s="40" customFormat="1" x14ac:dyDescent="0.35">
      <c r="A22" s="41"/>
      <c r="B22" s="40" t="s">
        <v>55</v>
      </c>
      <c r="C22" s="51">
        <v>0.112</v>
      </c>
      <c r="D22" s="50">
        <v>0.1183</v>
      </c>
      <c r="E22" s="50">
        <v>0.1023</v>
      </c>
      <c r="F22" s="50">
        <v>0.125</v>
      </c>
      <c r="G22" s="50">
        <v>0.11850000000000001</v>
      </c>
      <c r="H22" s="50">
        <v>0.10830000000000001</v>
      </c>
      <c r="I22" s="50">
        <v>0.10640000000000001</v>
      </c>
      <c r="J22" s="50">
        <v>0.1042</v>
      </c>
      <c r="K22" s="50">
        <v>0.1244</v>
      </c>
      <c r="L22" s="42"/>
      <c r="M22" s="40" t="s">
        <v>55</v>
      </c>
      <c r="N22" s="28">
        <v>0.12529442238053645</v>
      </c>
      <c r="O22" s="28">
        <v>0.13300505221605236</v>
      </c>
      <c r="P22" s="28">
        <v>0.11087240812569887</v>
      </c>
      <c r="Q22" s="28">
        <v>0.13603021656693989</v>
      </c>
      <c r="R22" s="28">
        <v>0.11744187638734167</v>
      </c>
      <c r="S22" s="28">
        <v>0.13045461093748156</v>
      </c>
      <c r="T22" s="28">
        <v>0.10378916377298494</v>
      </c>
      <c r="U22" s="28">
        <v>9.7124114990036356E-2</v>
      </c>
      <c r="V22" s="28">
        <v>0.12350104877946233</v>
      </c>
      <c r="X22" s="40" t="s">
        <v>55</v>
      </c>
      <c r="Y22" s="40" t="s">
        <v>67</v>
      </c>
      <c r="Z22" s="40" t="s">
        <v>69</v>
      </c>
      <c r="AA22" s="40" t="s">
        <v>67</v>
      </c>
      <c r="AB22" s="40" t="s">
        <v>67</v>
      </c>
      <c r="AC22" s="40" t="s">
        <v>69</v>
      </c>
      <c r="AD22" s="40" t="s">
        <v>64</v>
      </c>
      <c r="AE22" s="40" t="s">
        <v>67</v>
      </c>
      <c r="AF22" s="40" t="s">
        <v>68</v>
      </c>
      <c r="AG22" s="40" t="s">
        <v>67</v>
      </c>
    </row>
    <row r="23" spans="1:33" s="40" customFormat="1" x14ac:dyDescent="0.35">
      <c r="A23" s="41"/>
      <c r="B23" s="40" t="s">
        <v>53</v>
      </c>
      <c r="C23" s="50">
        <f>1-SUM(C18:C22)</f>
        <v>0.128</v>
      </c>
      <c r="D23" s="50">
        <f t="shared" ref="D23:K23" si="1">1-SUM(D18:D22)</f>
        <v>0.11980000000000002</v>
      </c>
      <c r="E23" s="50">
        <f t="shared" si="1"/>
        <v>0.13090000000000002</v>
      </c>
      <c r="F23" s="50">
        <f t="shared" si="1"/>
        <v>0.10889999999999989</v>
      </c>
      <c r="G23" s="50">
        <f t="shared" si="1"/>
        <v>0.11049999999999993</v>
      </c>
      <c r="H23" s="50">
        <f t="shared" si="1"/>
        <v>0.12759999999999994</v>
      </c>
      <c r="I23" s="50">
        <f t="shared" si="1"/>
        <v>0.13889999999999991</v>
      </c>
      <c r="J23" s="50">
        <f t="shared" si="1"/>
        <v>0.13630000000000009</v>
      </c>
      <c r="K23" s="50">
        <f t="shared" si="1"/>
        <v>0.11030000000000006</v>
      </c>
      <c r="L23" s="42"/>
      <c r="M23" s="40" t="s">
        <v>53</v>
      </c>
      <c r="N23" s="28">
        <v>8.8100892998108027E-2</v>
      </c>
      <c r="O23" s="28">
        <v>9.581152283362393E-2</v>
      </c>
      <c r="P23" s="28">
        <v>7.3678878743270421E-2</v>
      </c>
      <c r="Q23" s="28">
        <v>9.883668718451144E-2</v>
      </c>
      <c r="R23" s="28">
        <v>8.0248347004913234E-2</v>
      </c>
      <c r="S23" s="28">
        <v>9.326108155505311E-2</v>
      </c>
      <c r="T23" s="28">
        <v>6.6595634390556491E-2</v>
      </c>
      <c r="U23" s="28">
        <v>5.993058560760791E-2</v>
      </c>
      <c r="V23" s="28">
        <v>8.6307519397033877E-2</v>
      </c>
      <c r="X23" s="40" t="s">
        <v>53</v>
      </c>
      <c r="Y23" s="40" t="s">
        <v>70</v>
      </c>
      <c r="Z23" s="40" t="s">
        <v>67</v>
      </c>
      <c r="AA23" s="40" t="s">
        <v>68</v>
      </c>
      <c r="AB23" s="40" t="s">
        <v>69</v>
      </c>
      <c r="AC23" s="40" t="s">
        <v>70</v>
      </c>
      <c r="AD23" s="40" t="s">
        <v>69</v>
      </c>
      <c r="AE23" s="40" t="s">
        <v>70</v>
      </c>
      <c r="AF23" s="40" t="s">
        <v>64</v>
      </c>
      <c r="AG23" s="40" t="s">
        <v>66</v>
      </c>
    </row>
    <row r="24" spans="1:33" s="42" customFormat="1" x14ac:dyDescent="0.35">
      <c r="A24" s="36"/>
      <c r="C24" s="31"/>
      <c r="D24" s="31"/>
      <c r="E24" s="31"/>
      <c r="F24" s="31"/>
      <c r="G24" s="31"/>
      <c r="H24" s="31"/>
      <c r="I24" s="31"/>
      <c r="J24" s="31"/>
      <c r="K24" s="31"/>
      <c r="N24" s="44"/>
      <c r="O24" s="44"/>
      <c r="P24" s="44"/>
      <c r="Q24" s="44"/>
      <c r="R24" s="44"/>
      <c r="S24" s="44"/>
      <c r="T24" s="44"/>
      <c r="U24" s="44"/>
      <c r="V24" s="44"/>
    </row>
    <row r="25" spans="1:33" s="39" customFormat="1" x14ac:dyDescent="0.35">
      <c r="A25" s="43"/>
      <c r="B25" s="34" t="s">
        <v>33</v>
      </c>
      <c r="C25" s="25"/>
      <c r="D25" s="25"/>
      <c r="E25" s="29"/>
      <c r="F25" s="25"/>
      <c r="G25" s="25"/>
      <c r="H25" s="25"/>
      <c r="I25" s="25"/>
      <c r="J25" s="25"/>
      <c r="K25" s="25"/>
      <c r="L25" s="42"/>
      <c r="M25" s="34" t="s">
        <v>33</v>
      </c>
      <c r="N25" s="30"/>
      <c r="O25" s="30"/>
      <c r="P25" s="30"/>
      <c r="Q25" s="30"/>
      <c r="R25" s="30"/>
      <c r="S25" s="30"/>
      <c r="T25" s="30"/>
      <c r="U25" s="30"/>
      <c r="V25" s="30"/>
      <c r="X25" s="34" t="s">
        <v>33</v>
      </c>
    </row>
    <row r="26" spans="1:33" s="40" customFormat="1" x14ac:dyDescent="0.35">
      <c r="A26" s="41"/>
      <c r="B26" s="40" t="s">
        <v>34</v>
      </c>
      <c r="C26" s="28">
        <v>0.21299999999999999</v>
      </c>
      <c r="D26" s="50">
        <v>0.2203</v>
      </c>
      <c r="E26" s="50">
        <v>0.21409999999999998</v>
      </c>
      <c r="F26" s="50">
        <v>0.214</v>
      </c>
      <c r="G26" s="50">
        <v>0.21</v>
      </c>
      <c r="H26" s="50">
        <v>0.2044</v>
      </c>
      <c r="I26" s="50">
        <v>0.21859999999999999</v>
      </c>
      <c r="J26" s="50">
        <v>0.2235</v>
      </c>
      <c r="K26" s="50">
        <v>0.2069</v>
      </c>
      <c r="L26" s="42"/>
      <c r="M26" s="40" t="s">
        <v>34</v>
      </c>
      <c r="N26" s="28">
        <v>9.0747589477511367E-2</v>
      </c>
      <c r="O26" s="28">
        <v>9.8976217033965891E-2</v>
      </c>
      <c r="P26" s="28">
        <v>7.6229875854859644E-2</v>
      </c>
      <c r="Q26" s="28">
        <v>0.10175395773269379</v>
      </c>
      <c r="R26" s="28">
        <v>8.326523107443265E-2</v>
      </c>
      <c r="S26" s="28">
        <v>9.5700029771401504E-2</v>
      </c>
      <c r="T26" s="28">
        <v>6.892882861637295E-2</v>
      </c>
      <c r="U26" s="28">
        <v>6.2804163357312565E-2</v>
      </c>
      <c r="V26" s="28">
        <v>8.9684875420079108E-2</v>
      </c>
      <c r="X26" s="40" t="s">
        <v>34</v>
      </c>
      <c r="Y26" s="40" t="s">
        <v>64</v>
      </c>
      <c r="Z26" s="40" t="s">
        <v>68</v>
      </c>
      <c r="AA26" s="40" t="s">
        <v>64</v>
      </c>
      <c r="AB26" s="40" t="s">
        <v>68</v>
      </c>
      <c r="AC26" s="40" t="s">
        <v>68</v>
      </c>
      <c r="AD26" s="40" t="s">
        <v>64</v>
      </c>
      <c r="AE26" s="40" t="s">
        <v>69</v>
      </c>
      <c r="AF26" s="40" t="s">
        <v>70</v>
      </c>
      <c r="AG26" s="40" t="s">
        <v>64</v>
      </c>
    </row>
    <row r="27" spans="1:33" s="40" customFormat="1" x14ac:dyDescent="0.35">
      <c r="A27" s="41"/>
      <c r="B27" s="40" t="s">
        <v>35</v>
      </c>
      <c r="C27" s="28">
        <v>0.247</v>
      </c>
      <c r="D27" s="50">
        <v>0.25519999999999998</v>
      </c>
      <c r="E27" s="50">
        <v>0.25</v>
      </c>
      <c r="F27" s="50">
        <v>0.25259999999999999</v>
      </c>
      <c r="G27" s="50">
        <v>0.23449999999999999</v>
      </c>
      <c r="H27" s="50">
        <v>0.25669999999999998</v>
      </c>
      <c r="I27" s="50">
        <v>0.2412</v>
      </c>
      <c r="J27" s="50">
        <v>0.24690000000000001</v>
      </c>
      <c r="K27" s="50">
        <v>0.2571</v>
      </c>
      <c r="L27" s="42"/>
      <c r="M27" s="40" t="s">
        <v>35</v>
      </c>
      <c r="N27" s="28">
        <v>0.11344407163878664</v>
      </c>
      <c r="O27" s="28">
        <v>0.12167269919524117</v>
      </c>
      <c r="P27" s="28">
        <v>9.8926358016134919E-2</v>
      </c>
      <c r="Q27" s="28">
        <v>0.12445043989396906</v>
      </c>
      <c r="R27" s="28">
        <v>0.10596171323570792</v>
      </c>
      <c r="S27" s="28">
        <v>0.11839651193267678</v>
      </c>
      <c r="T27" s="28">
        <v>9.1625310777648225E-2</v>
      </c>
      <c r="U27" s="28">
        <v>8.5500645518587839E-2</v>
      </c>
      <c r="V27" s="28">
        <v>0.11238135758135438</v>
      </c>
      <c r="X27" s="40" t="s">
        <v>35</v>
      </c>
      <c r="Y27" s="40" t="s">
        <v>67</v>
      </c>
      <c r="Z27" s="40" t="s">
        <v>68</v>
      </c>
      <c r="AA27" s="40" t="s">
        <v>69</v>
      </c>
      <c r="AB27" s="40" t="s">
        <v>69</v>
      </c>
      <c r="AC27" s="40" t="s">
        <v>69</v>
      </c>
      <c r="AD27" s="40" t="s">
        <v>68</v>
      </c>
      <c r="AE27" s="40" t="s">
        <v>69</v>
      </c>
      <c r="AF27" s="40" t="s">
        <v>67</v>
      </c>
      <c r="AG27" s="40" t="s">
        <v>67</v>
      </c>
    </row>
    <row r="28" spans="1:33" s="40" customFormat="1" x14ac:dyDescent="0.35">
      <c r="A28" s="41"/>
      <c r="B28" s="40" t="s">
        <v>56</v>
      </c>
      <c r="C28" s="28">
        <v>0.19600000000000001</v>
      </c>
      <c r="D28" s="50">
        <v>0.18590000000000001</v>
      </c>
      <c r="E28" s="50">
        <v>0.1825</v>
      </c>
      <c r="F28" s="50">
        <v>0.2021</v>
      </c>
      <c r="G28" s="50">
        <v>0.19720000000000001</v>
      </c>
      <c r="H28" s="50">
        <v>0.1966</v>
      </c>
      <c r="I28" s="50">
        <v>0.20850000000000002</v>
      </c>
      <c r="J28" s="50">
        <v>0.1867</v>
      </c>
      <c r="K28" s="50">
        <v>0.19020000000000001</v>
      </c>
      <c r="L28" s="42"/>
      <c r="M28" s="40" t="s">
        <v>56</v>
      </c>
      <c r="N28" s="28">
        <v>0.12399486029085037</v>
      </c>
      <c r="O28" s="28">
        <v>0.13222348784730489</v>
      </c>
      <c r="P28" s="28">
        <v>0.10947714666819865</v>
      </c>
      <c r="Q28" s="28">
        <v>0.1350012285460328</v>
      </c>
      <c r="R28" s="28">
        <v>0.11651250188777165</v>
      </c>
      <c r="S28" s="28">
        <v>0.12894730058474052</v>
      </c>
      <c r="T28" s="28">
        <v>0.10217609942971195</v>
      </c>
      <c r="U28" s="28">
        <v>9.6051434170651567E-2</v>
      </c>
      <c r="V28" s="28">
        <v>0.12293214623341811</v>
      </c>
      <c r="X28" s="40" t="s">
        <v>56</v>
      </c>
      <c r="Y28" s="40" t="s">
        <v>69</v>
      </c>
      <c r="Z28" s="40" t="s">
        <v>70</v>
      </c>
      <c r="AA28" s="40" t="s">
        <v>69</v>
      </c>
      <c r="AB28" s="40" t="s">
        <v>68</v>
      </c>
      <c r="AC28" s="40" t="s">
        <v>66</v>
      </c>
      <c r="AD28" s="40" t="s">
        <v>69</v>
      </c>
      <c r="AE28" s="40" t="s">
        <v>68</v>
      </c>
      <c r="AF28" s="40" t="s">
        <v>69</v>
      </c>
      <c r="AG28" s="40" t="s">
        <v>66</v>
      </c>
    </row>
    <row r="29" spans="1:33" s="40" customFormat="1" x14ac:dyDescent="0.35">
      <c r="A29" s="41"/>
      <c r="B29" s="40" t="s">
        <v>57</v>
      </c>
      <c r="C29" s="28">
        <f>1-SUM(C26:C28)</f>
        <v>0.34400000000000008</v>
      </c>
      <c r="D29" s="28">
        <f t="shared" ref="D29:K29" si="2">1-SUM(D26:D28)</f>
        <v>0.33860000000000001</v>
      </c>
      <c r="E29" s="28">
        <f t="shared" si="2"/>
        <v>0.35340000000000005</v>
      </c>
      <c r="F29" s="28">
        <f t="shared" si="2"/>
        <v>0.33129999999999993</v>
      </c>
      <c r="G29" s="28">
        <f t="shared" si="2"/>
        <v>0.35829999999999995</v>
      </c>
      <c r="H29" s="28">
        <f t="shared" si="2"/>
        <v>0.34230000000000005</v>
      </c>
      <c r="I29" s="28">
        <f t="shared" si="2"/>
        <v>0.33169999999999999</v>
      </c>
      <c r="J29" s="28">
        <f t="shared" si="2"/>
        <v>0.34289999999999998</v>
      </c>
      <c r="K29" s="28">
        <f t="shared" si="2"/>
        <v>0.3458</v>
      </c>
      <c r="L29" s="42"/>
      <c r="M29" s="40" t="s">
        <v>57</v>
      </c>
      <c r="N29" s="28">
        <v>0.10536634410015103</v>
      </c>
      <c r="O29" s="28">
        <v>0.11359497165660555</v>
      </c>
      <c r="P29" s="28">
        <v>9.0848630477499304E-2</v>
      </c>
      <c r="Q29" s="28">
        <v>0.11637271235533345</v>
      </c>
      <c r="R29" s="28">
        <v>9.7883985697072309E-2</v>
      </c>
      <c r="S29" s="28">
        <v>0.11031878439404116</v>
      </c>
      <c r="T29" s="28">
        <v>8.354758323901261E-2</v>
      </c>
      <c r="U29" s="28">
        <v>7.7422917979952224E-2</v>
      </c>
      <c r="V29" s="28">
        <v>0.10430363004271877</v>
      </c>
      <c r="X29" s="40" t="s">
        <v>57</v>
      </c>
      <c r="Y29" s="40" t="s">
        <v>65</v>
      </c>
      <c r="Z29" s="40" t="s">
        <v>67</v>
      </c>
      <c r="AA29" s="40" t="s">
        <v>66</v>
      </c>
      <c r="AB29" s="40" t="s">
        <v>68</v>
      </c>
      <c r="AC29" s="40" t="s">
        <v>70</v>
      </c>
      <c r="AD29" s="40" t="s">
        <v>68</v>
      </c>
      <c r="AE29" s="40" t="s">
        <v>66</v>
      </c>
      <c r="AF29" s="40" t="s">
        <v>66</v>
      </c>
      <c r="AG29" s="40" t="s">
        <v>69</v>
      </c>
    </row>
    <row r="30" spans="1:33" s="42" customFormat="1" x14ac:dyDescent="0.35">
      <c r="A30" s="36"/>
      <c r="C30" s="31"/>
      <c r="D30" s="31"/>
      <c r="E30" s="31"/>
      <c r="F30" s="31"/>
      <c r="G30" s="31"/>
      <c r="H30" s="31"/>
      <c r="I30" s="31"/>
      <c r="J30" s="31"/>
      <c r="K30" s="31"/>
      <c r="N30" s="44"/>
      <c r="O30" s="44"/>
      <c r="P30" s="44"/>
      <c r="Q30" s="44"/>
      <c r="R30" s="44"/>
      <c r="S30" s="44"/>
      <c r="T30" s="44"/>
      <c r="U30" s="44"/>
      <c r="V30" s="44"/>
    </row>
    <row r="31" spans="1:33" s="39" customFormat="1" x14ac:dyDescent="0.35">
      <c r="A31" s="43"/>
      <c r="B31" s="34" t="s">
        <v>36</v>
      </c>
      <c r="C31" s="25"/>
      <c r="D31" s="25"/>
      <c r="E31" s="29"/>
      <c r="F31" s="25"/>
      <c r="G31" s="25"/>
      <c r="H31" s="25"/>
      <c r="I31" s="25"/>
      <c r="J31" s="25"/>
      <c r="K31" s="25"/>
      <c r="L31" s="42"/>
      <c r="M31" s="34" t="s">
        <v>36</v>
      </c>
      <c r="N31" s="30"/>
      <c r="O31" s="30"/>
      <c r="P31" s="30"/>
      <c r="Q31" s="30"/>
      <c r="R31" s="30"/>
      <c r="S31" s="30"/>
      <c r="T31" s="30"/>
      <c r="U31" s="30"/>
      <c r="V31" s="30"/>
      <c r="X31" s="34" t="s">
        <v>36</v>
      </c>
    </row>
    <row r="32" spans="1:33" s="40" customFormat="1" x14ac:dyDescent="0.35">
      <c r="A32" s="41"/>
      <c r="B32" s="40" t="s">
        <v>58</v>
      </c>
      <c r="C32" s="28">
        <v>0.26900000000000002</v>
      </c>
      <c r="D32" s="50">
        <v>0.27160000000000001</v>
      </c>
      <c r="E32" s="50">
        <v>0.26130000000000003</v>
      </c>
      <c r="F32" s="50">
        <v>0.25600000000000001</v>
      </c>
      <c r="G32" s="50">
        <v>0.26940000000000003</v>
      </c>
      <c r="H32" s="50">
        <v>0.25430000000000003</v>
      </c>
      <c r="I32" s="50">
        <v>0.2641</v>
      </c>
      <c r="J32" s="50">
        <v>0.255</v>
      </c>
      <c r="K32" s="50">
        <v>0.26270000000000004</v>
      </c>
      <c r="L32" s="42"/>
      <c r="M32" s="40" t="s">
        <v>58</v>
      </c>
      <c r="N32" s="28">
        <v>9.0117955071223346E-2</v>
      </c>
      <c r="O32" s="28">
        <v>9.7668406390853682E-2</v>
      </c>
      <c r="P32" s="28">
        <v>7.5576039561175187E-2</v>
      </c>
      <c r="Q32" s="28">
        <v>0.10153121665997183</v>
      </c>
      <c r="R32" s="28">
        <v>8.2728881473867227E-2</v>
      </c>
      <c r="S32" s="28">
        <v>9.4565027537465193E-2</v>
      </c>
      <c r="T32" s="28">
        <v>6.8665643257062856E-2</v>
      </c>
      <c r="U32" s="28">
        <v>6.1119262834063728E-2</v>
      </c>
      <c r="V32" s="28">
        <v>8.943200694065144E-2</v>
      </c>
      <c r="X32" s="40" t="s">
        <v>58</v>
      </c>
      <c r="Y32" s="40" t="s">
        <v>67</v>
      </c>
      <c r="Z32" s="40" t="s">
        <v>69</v>
      </c>
      <c r="AA32" s="40" t="s">
        <v>69</v>
      </c>
      <c r="AB32" s="40" t="s">
        <v>64</v>
      </c>
      <c r="AC32" s="40" t="s">
        <v>69</v>
      </c>
      <c r="AD32" s="40" t="s">
        <v>66</v>
      </c>
      <c r="AE32" s="40" t="s">
        <v>66</v>
      </c>
      <c r="AF32" s="40" t="s">
        <v>66</v>
      </c>
      <c r="AG32" s="40" t="s">
        <v>70</v>
      </c>
    </row>
    <row r="33" spans="1:33" s="40" customFormat="1" x14ac:dyDescent="0.35">
      <c r="A33" s="41"/>
      <c r="B33" s="40" t="s">
        <v>59</v>
      </c>
      <c r="C33" s="28">
        <v>0.318</v>
      </c>
      <c r="D33" s="50">
        <v>0.3266</v>
      </c>
      <c r="E33" s="50">
        <v>0.32800000000000001</v>
      </c>
      <c r="F33" s="50">
        <v>0.3342</v>
      </c>
      <c r="G33" s="50">
        <v>0.32990000000000003</v>
      </c>
      <c r="H33" s="50">
        <v>0.32190000000000002</v>
      </c>
      <c r="I33" s="50">
        <v>0.31840000000000002</v>
      </c>
      <c r="J33" s="50">
        <v>0.32390000000000002</v>
      </c>
      <c r="K33" s="50">
        <v>0.30370000000000003</v>
      </c>
      <c r="L33" s="42"/>
      <c r="M33" s="40" t="s">
        <v>59</v>
      </c>
      <c r="N33" s="28">
        <v>0.10809776868746995</v>
      </c>
      <c r="O33" s="28">
        <v>0.11564822000710029</v>
      </c>
      <c r="P33" s="28">
        <v>9.3555853177421794E-2</v>
      </c>
      <c r="Q33" s="28">
        <v>0.11951103027621844</v>
      </c>
      <c r="R33" s="28">
        <v>0.10070869509011383</v>
      </c>
      <c r="S33" s="28">
        <v>0.1125448411537118</v>
      </c>
      <c r="T33" s="28">
        <v>8.6645456873309462E-2</v>
      </c>
      <c r="U33" s="28">
        <v>7.9099076450310335E-2</v>
      </c>
      <c r="V33" s="28">
        <v>0.10741182055689805</v>
      </c>
      <c r="X33" s="40" t="s">
        <v>59</v>
      </c>
      <c r="Y33" s="40" t="s">
        <v>69</v>
      </c>
      <c r="Z33" s="40" t="s">
        <v>67</v>
      </c>
      <c r="AA33" s="40" t="s">
        <v>69</v>
      </c>
      <c r="AB33" s="40" t="s">
        <v>69</v>
      </c>
      <c r="AC33" s="40" t="s">
        <v>64</v>
      </c>
      <c r="AD33" s="40" t="s">
        <v>64</v>
      </c>
      <c r="AE33" s="40" t="s">
        <v>69</v>
      </c>
      <c r="AF33" s="40" t="s">
        <v>66</v>
      </c>
      <c r="AG33" s="40" t="s">
        <v>68</v>
      </c>
    </row>
    <row r="34" spans="1:33" s="40" customFormat="1" x14ac:dyDescent="0.35">
      <c r="A34" s="41"/>
      <c r="B34" s="40" t="s">
        <v>60</v>
      </c>
      <c r="C34" s="28">
        <v>0.224</v>
      </c>
      <c r="D34" s="50">
        <v>0.2349</v>
      </c>
      <c r="E34" s="50">
        <v>0.2137</v>
      </c>
      <c r="F34" s="50">
        <v>0.2097</v>
      </c>
      <c r="G34" s="50">
        <v>0.21779999999999999</v>
      </c>
      <c r="H34" s="50">
        <v>0.23899999999999999</v>
      </c>
      <c r="I34" s="50">
        <v>0.2155</v>
      </c>
      <c r="J34" s="50">
        <v>0.2389</v>
      </c>
      <c r="K34" s="50">
        <v>0.2172</v>
      </c>
      <c r="L34" s="42"/>
      <c r="M34" s="40" t="s">
        <v>60</v>
      </c>
      <c r="N34" s="28">
        <v>0.13609776868746995</v>
      </c>
      <c r="O34" s="28">
        <v>0.14364822000710029</v>
      </c>
      <c r="P34" s="28">
        <v>0.12155585317742179</v>
      </c>
      <c r="Q34" s="28">
        <v>0.14751103027621842</v>
      </c>
      <c r="R34" s="28">
        <v>0.12870869509011384</v>
      </c>
      <c r="S34" s="28">
        <v>0.1405448411537118</v>
      </c>
      <c r="T34" s="28">
        <v>0.11464545687330946</v>
      </c>
      <c r="U34" s="28">
        <v>0.10709907645031033</v>
      </c>
      <c r="V34" s="28">
        <v>0.13541182055689804</v>
      </c>
      <c r="X34" s="40" t="s">
        <v>60</v>
      </c>
      <c r="Y34" s="40" t="s">
        <v>69</v>
      </c>
      <c r="Z34" s="40" t="s">
        <v>68</v>
      </c>
      <c r="AA34" s="40" t="s">
        <v>65</v>
      </c>
      <c r="AB34" s="40" t="s">
        <v>65</v>
      </c>
      <c r="AC34" s="40" t="s">
        <v>68</v>
      </c>
      <c r="AD34" s="40" t="s">
        <v>66</v>
      </c>
      <c r="AE34" s="40" t="s">
        <v>66</v>
      </c>
      <c r="AF34" s="40" t="s">
        <v>68</v>
      </c>
      <c r="AG34" s="40" t="s">
        <v>70</v>
      </c>
    </row>
    <row r="35" spans="1:33" s="40" customFormat="1" x14ac:dyDescent="0.35">
      <c r="A35" s="41"/>
      <c r="B35" s="40" t="s">
        <v>61</v>
      </c>
      <c r="C35" s="28">
        <f>1-SUM(C32:C34)</f>
        <v>0.18900000000000006</v>
      </c>
      <c r="D35" s="28">
        <f t="shared" ref="D35:K35" si="3">1-SUM(D32:D34)</f>
        <v>0.16689999999999994</v>
      </c>
      <c r="E35" s="28">
        <f t="shared" si="3"/>
        <v>0.19699999999999995</v>
      </c>
      <c r="F35" s="28">
        <f t="shared" si="3"/>
        <v>0.20009999999999994</v>
      </c>
      <c r="G35" s="28">
        <f t="shared" si="3"/>
        <v>0.18289999999999995</v>
      </c>
      <c r="H35" s="28">
        <f t="shared" si="3"/>
        <v>0.18479999999999996</v>
      </c>
      <c r="I35" s="28">
        <f t="shared" si="3"/>
        <v>0.20199999999999996</v>
      </c>
      <c r="J35" s="28">
        <f t="shared" si="3"/>
        <v>0.18220000000000003</v>
      </c>
      <c r="K35" s="28">
        <f t="shared" si="3"/>
        <v>0.21639999999999993</v>
      </c>
      <c r="L35" s="42"/>
      <c r="M35" s="40" t="s">
        <v>61</v>
      </c>
      <c r="N35" s="28">
        <v>9.9450882000957946E-2</v>
      </c>
      <c r="O35" s="28">
        <v>0.10700133332058828</v>
      </c>
      <c r="P35" s="28">
        <v>8.4908966490909787E-2</v>
      </c>
      <c r="Q35" s="28">
        <v>0.11086414358970643</v>
      </c>
      <c r="R35" s="28">
        <v>9.2061808403601827E-2</v>
      </c>
      <c r="S35" s="28">
        <v>0.10389795446719979</v>
      </c>
      <c r="T35" s="28">
        <v>7.7998570186797456E-2</v>
      </c>
      <c r="U35" s="28">
        <v>7.0452189763798329E-2</v>
      </c>
      <c r="V35" s="28">
        <v>9.876493387038604E-2</v>
      </c>
      <c r="X35" s="40" t="s">
        <v>61</v>
      </c>
      <c r="Y35" s="40" t="s">
        <v>68</v>
      </c>
      <c r="Z35" s="40" t="s">
        <v>65</v>
      </c>
      <c r="AA35" s="40" t="s">
        <v>70</v>
      </c>
      <c r="AB35" s="40" t="s">
        <v>66</v>
      </c>
      <c r="AC35" s="40" t="s">
        <v>68</v>
      </c>
      <c r="AD35" s="40" t="s">
        <v>64</v>
      </c>
      <c r="AE35" s="40" t="s">
        <v>65</v>
      </c>
      <c r="AF35" s="40" t="s">
        <v>66</v>
      </c>
      <c r="AG35" s="40" t="s">
        <v>69</v>
      </c>
    </row>
    <row r="36" spans="1:33" s="42" customFormat="1" x14ac:dyDescent="0.35">
      <c r="A36" s="36"/>
      <c r="C36" s="31"/>
      <c r="D36" s="31"/>
      <c r="E36" s="31"/>
      <c r="F36" s="31"/>
      <c r="G36" s="31"/>
      <c r="H36" s="31"/>
      <c r="I36" s="31"/>
      <c r="J36" s="31"/>
      <c r="K36" s="31"/>
      <c r="N36" s="44"/>
      <c r="O36" s="44"/>
      <c r="P36" s="44"/>
      <c r="Q36" s="44"/>
      <c r="R36" s="44"/>
      <c r="S36" s="44"/>
      <c r="T36" s="44"/>
      <c r="U36" s="44"/>
      <c r="V36" s="44"/>
    </row>
    <row r="37" spans="1:33" s="39" customFormat="1" x14ac:dyDescent="0.35">
      <c r="A37" s="43"/>
      <c r="B37" s="34" t="s">
        <v>37</v>
      </c>
      <c r="C37" s="25"/>
      <c r="D37" s="25"/>
      <c r="E37" s="29"/>
      <c r="F37" s="25"/>
      <c r="G37" s="25"/>
      <c r="H37" s="25"/>
      <c r="I37" s="25"/>
      <c r="J37" s="25"/>
      <c r="K37" s="25"/>
      <c r="L37" s="42"/>
      <c r="M37" s="34" t="s">
        <v>37</v>
      </c>
      <c r="N37" s="30"/>
      <c r="O37" s="30"/>
      <c r="P37" s="30"/>
      <c r="Q37" s="30"/>
      <c r="R37" s="30"/>
      <c r="S37" s="30"/>
      <c r="T37" s="30"/>
      <c r="U37" s="30"/>
      <c r="V37" s="30"/>
      <c r="X37" s="34" t="s">
        <v>37</v>
      </c>
    </row>
    <row r="38" spans="1:33" s="40" customFormat="1" x14ac:dyDescent="0.35">
      <c r="A38" s="41"/>
      <c r="B38" s="40" t="s">
        <v>38</v>
      </c>
      <c r="C38" s="28">
        <v>0.55800000000000005</v>
      </c>
      <c r="D38" s="50">
        <f>1-SUM(D39:D40)</f>
        <v>0.53849999999999998</v>
      </c>
      <c r="E38" s="50">
        <f t="shared" ref="E38:K38" si="4">1-SUM(E39:E40)</f>
        <v>0.55110000000000003</v>
      </c>
      <c r="F38" s="50">
        <f t="shared" si="4"/>
        <v>0.54180000000000006</v>
      </c>
      <c r="G38" s="50">
        <f t="shared" si="4"/>
        <v>0.5665</v>
      </c>
      <c r="H38" s="50">
        <f t="shared" si="4"/>
        <v>0.56620000000000004</v>
      </c>
      <c r="I38" s="50">
        <f t="shared" si="4"/>
        <v>0.53390000000000004</v>
      </c>
      <c r="J38" s="50">
        <f t="shared" si="4"/>
        <v>0.56000000000000005</v>
      </c>
      <c r="K38" s="50">
        <f t="shared" si="4"/>
        <v>0.54360000000000008</v>
      </c>
      <c r="L38" s="42"/>
      <c r="M38" s="40" t="s">
        <v>38</v>
      </c>
      <c r="N38" s="28">
        <v>9.6159937240948845E-2</v>
      </c>
      <c r="O38" s="28">
        <v>0.10363993724094885</v>
      </c>
      <c r="P38" s="28">
        <v>8.1321191202253687E-2</v>
      </c>
      <c r="Q38" s="28">
        <v>0.10677215596448825</v>
      </c>
      <c r="R38" s="28">
        <v>8.8819417726933927E-2</v>
      </c>
      <c r="S38" s="28">
        <v>0.10166272989143288</v>
      </c>
      <c r="T38" s="28">
        <v>7.3747416986583297E-2</v>
      </c>
      <c r="U38" s="28">
        <v>6.8075961223884957E-2</v>
      </c>
      <c r="V38" s="28">
        <v>9.4730037240948847E-2</v>
      </c>
      <c r="X38" s="40" t="s">
        <v>38</v>
      </c>
      <c r="Y38" s="40" t="s">
        <v>68</v>
      </c>
      <c r="Z38" s="40" t="s">
        <v>68</v>
      </c>
      <c r="AA38" s="40" t="s">
        <v>68</v>
      </c>
      <c r="AB38" s="40" t="s">
        <v>68</v>
      </c>
      <c r="AC38" s="40" t="s">
        <v>64</v>
      </c>
      <c r="AD38" s="40" t="s">
        <v>64</v>
      </c>
      <c r="AE38" s="40" t="s">
        <v>68</v>
      </c>
      <c r="AF38" s="40" t="s">
        <v>66</v>
      </c>
      <c r="AG38" s="40" t="s">
        <v>65</v>
      </c>
    </row>
    <row r="39" spans="1:33" s="40" customFormat="1" x14ac:dyDescent="0.35">
      <c r="A39" s="41"/>
      <c r="B39" s="40" t="s">
        <v>39</v>
      </c>
      <c r="C39" s="28">
        <v>0.28699999999999998</v>
      </c>
      <c r="D39" s="50">
        <v>0.29949999999999999</v>
      </c>
      <c r="E39" s="50">
        <v>0.29959999999999998</v>
      </c>
      <c r="F39" s="50">
        <v>0.28919999999999996</v>
      </c>
      <c r="G39" s="50">
        <v>0.2777</v>
      </c>
      <c r="H39" s="50">
        <v>0.29069999999999996</v>
      </c>
      <c r="I39" s="50">
        <v>0.29819999999999997</v>
      </c>
      <c r="J39" s="50">
        <v>0.29599999999999999</v>
      </c>
      <c r="K39" s="50">
        <v>0.29269999999999996</v>
      </c>
      <c r="L39" s="42"/>
      <c r="M39" s="40" t="s">
        <v>39</v>
      </c>
      <c r="N39" s="28">
        <v>0.11815993724094885</v>
      </c>
      <c r="O39" s="28">
        <v>0.12563993724094885</v>
      </c>
      <c r="P39" s="28">
        <v>0.10332119120225369</v>
      </c>
      <c r="Q39" s="28">
        <v>0.12877215596448827</v>
      </c>
      <c r="R39" s="28">
        <v>0.11081941772693393</v>
      </c>
      <c r="S39" s="28">
        <v>0.12366272989143288</v>
      </c>
      <c r="T39" s="28">
        <v>9.5747416986583303E-2</v>
      </c>
      <c r="U39" s="28">
        <v>9.0075961223884962E-2</v>
      </c>
      <c r="V39" s="28">
        <v>0.11673003724094885</v>
      </c>
      <c r="X39" s="40" t="s">
        <v>39</v>
      </c>
      <c r="Y39" s="40" t="s">
        <v>68</v>
      </c>
      <c r="Z39" s="40" t="s">
        <v>64</v>
      </c>
      <c r="AA39" s="40" t="s">
        <v>69</v>
      </c>
      <c r="AB39" s="40" t="s">
        <v>69</v>
      </c>
      <c r="AC39" s="40" t="s">
        <v>66</v>
      </c>
      <c r="AD39" s="40" t="s">
        <v>70</v>
      </c>
      <c r="AE39" s="40" t="s">
        <v>64</v>
      </c>
      <c r="AF39" s="40" t="s">
        <v>68</v>
      </c>
      <c r="AG39" s="40" t="s">
        <v>66</v>
      </c>
    </row>
    <row r="40" spans="1:33" s="40" customFormat="1" x14ac:dyDescent="0.35">
      <c r="A40" s="41"/>
      <c r="B40" s="40" t="s">
        <v>40</v>
      </c>
      <c r="C40" s="28">
        <f>1-SUM(C38:C39)</f>
        <v>0.15500000000000003</v>
      </c>
      <c r="D40" s="50">
        <v>0.16200000000000003</v>
      </c>
      <c r="E40" s="50">
        <v>0.14930000000000002</v>
      </c>
      <c r="F40" s="50">
        <v>0.16900000000000004</v>
      </c>
      <c r="G40" s="50">
        <v>0.15580000000000002</v>
      </c>
      <c r="H40" s="50">
        <v>0.14310000000000003</v>
      </c>
      <c r="I40" s="50">
        <v>0.16790000000000002</v>
      </c>
      <c r="J40" s="50">
        <v>0.14400000000000002</v>
      </c>
      <c r="K40" s="50">
        <v>0.16370000000000001</v>
      </c>
      <c r="L40" s="42"/>
      <c r="M40" s="40" t="s">
        <v>40</v>
      </c>
      <c r="N40" s="28">
        <v>0.13115993724094885</v>
      </c>
      <c r="O40" s="28">
        <v>0.13863993724094886</v>
      </c>
      <c r="P40" s="28">
        <v>0.11632119120225369</v>
      </c>
      <c r="Q40" s="28">
        <v>0.14177215596448825</v>
      </c>
      <c r="R40" s="28">
        <v>0.12381941772693393</v>
      </c>
      <c r="S40" s="28">
        <v>0.13666272989143288</v>
      </c>
      <c r="T40" s="28">
        <v>0.1087474169865833</v>
      </c>
      <c r="U40" s="28">
        <v>0.10307596122388496</v>
      </c>
      <c r="V40" s="28">
        <v>0.12973003724094884</v>
      </c>
      <c r="X40" s="40" t="s">
        <v>40</v>
      </c>
      <c r="Y40" s="40" t="s">
        <v>67</v>
      </c>
      <c r="Z40" s="40" t="s">
        <v>64</v>
      </c>
      <c r="AA40" s="40" t="s">
        <v>67</v>
      </c>
      <c r="AB40" s="40" t="s">
        <v>65</v>
      </c>
      <c r="AC40" s="40" t="s">
        <v>66</v>
      </c>
      <c r="AD40" s="40" t="s">
        <v>64</v>
      </c>
      <c r="AE40" s="40" t="s">
        <v>65</v>
      </c>
      <c r="AF40" s="40" t="s">
        <v>69</v>
      </c>
      <c r="AG40" s="40" t="s">
        <v>68</v>
      </c>
    </row>
    <row r="41" spans="1:33" s="42" customFormat="1" x14ac:dyDescent="0.35">
      <c r="A41" s="36"/>
      <c r="C41" s="31"/>
      <c r="D41" s="31"/>
      <c r="E41" s="31"/>
      <c r="F41" s="31"/>
      <c r="G41" s="31"/>
      <c r="H41" s="31"/>
      <c r="I41" s="31"/>
      <c r="J41" s="31"/>
      <c r="K41" s="31"/>
      <c r="N41" s="44"/>
      <c r="O41" s="44"/>
      <c r="P41" s="44"/>
      <c r="Q41" s="44"/>
      <c r="R41" s="44"/>
      <c r="S41" s="44"/>
      <c r="T41" s="44"/>
      <c r="U41" s="44"/>
      <c r="V41" s="44"/>
    </row>
    <row r="42" spans="1:33" s="39" customFormat="1" x14ac:dyDescent="0.35">
      <c r="A42" s="43"/>
      <c r="B42" s="34" t="s">
        <v>41</v>
      </c>
      <c r="C42" s="25"/>
      <c r="D42" s="25"/>
      <c r="E42" s="29"/>
      <c r="F42" s="25"/>
      <c r="G42" s="25"/>
      <c r="H42" s="25"/>
      <c r="I42" s="25"/>
      <c r="J42" s="25"/>
      <c r="K42" s="25"/>
      <c r="L42" s="42"/>
      <c r="M42" s="34" t="s">
        <v>41</v>
      </c>
      <c r="N42" s="30"/>
      <c r="O42" s="30"/>
      <c r="P42" s="30"/>
      <c r="Q42" s="30"/>
      <c r="R42" s="30"/>
      <c r="S42" s="30"/>
      <c r="T42" s="30"/>
      <c r="U42" s="30"/>
      <c r="V42" s="30"/>
      <c r="X42" s="34" t="s">
        <v>41</v>
      </c>
    </row>
    <row r="43" spans="1:33" s="40" customFormat="1" x14ac:dyDescent="0.35">
      <c r="A43" s="41"/>
      <c r="B43" s="40" t="s">
        <v>42</v>
      </c>
      <c r="C43" s="28">
        <f>1-SUM(C44:C51)</f>
        <v>0.17900000000000005</v>
      </c>
      <c r="D43" s="28">
        <f t="shared" ref="D43:K43" si="5">1-SUM(D44:D51)</f>
        <v>0.18479999999999985</v>
      </c>
      <c r="E43" s="28">
        <f t="shared" si="5"/>
        <v>0.16339999999999999</v>
      </c>
      <c r="F43" s="28">
        <f t="shared" si="5"/>
        <v>0.15849999999999986</v>
      </c>
      <c r="G43" s="28">
        <f t="shared" si="5"/>
        <v>0.16269999999999996</v>
      </c>
      <c r="H43" s="28">
        <f t="shared" si="5"/>
        <v>0.17659999999999998</v>
      </c>
      <c r="I43" s="28">
        <f t="shared" si="5"/>
        <v>0.17000000000000004</v>
      </c>
      <c r="J43" s="28">
        <f t="shared" si="5"/>
        <v>0.16310000000000002</v>
      </c>
      <c r="K43" s="28">
        <f t="shared" si="5"/>
        <v>0.18280000000000007</v>
      </c>
      <c r="L43" s="42"/>
      <c r="M43" s="40" t="s">
        <v>42</v>
      </c>
      <c r="N43" s="28">
        <v>0.10204279671212005</v>
      </c>
      <c r="O43" s="28">
        <v>0.11007479888347033</v>
      </c>
      <c r="P43" s="28">
        <v>8.7206826339383953E-2</v>
      </c>
      <c r="Q43" s="28">
        <v>0.11298271100720624</v>
      </c>
      <c r="R43" s="28">
        <v>9.4684621222559551E-2</v>
      </c>
      <c r="S43" s="28">
        <v>0.10795959611194285</v>
      </c>
      <c r="T43" s="28">
        <v>8.0354509575164643E-2</v>
      </c>
      <c r="U43" s="28">
        <v>7.4144439263122558E-2</v>
      </c>
      <c r="V43" s="28">
        <v>0.10116304389506676</v>
      </c>
      <c r="X43" s="40" t="s">
        <v>42</v>
      </c>
      <c r="Y43" s="40" t="s">
        <v>65</v>
      </c>
      <c r="Z43" s="40" t="s">
        <v>67</v>
      </c>
      <c r="AA43" s="40" t="s">
        <v>66</v>
      </c>
      <c r="AB43" s="40" t="s">
        <v>65</v>
      </c>
      <c r="AC43" s="40" t="s">
        <v>68</v>
      </c>
      <c r="AD43" s="40" t="s">
        <v>68</v>
      </c>
      <c r="AE43" s="40" t="s">
        <v>69</v>
      </c>
      <c r="AF43" s="40" t="s">
        <v>68</v>
      </c>
      <c r="AG43" s="40" t="s">
        <v>66</v>
      </c>
    </row>
    <row r="44" spans="1:33" s="40" customFormat="1" x14ac:dyDescent="0.35">
      <c r="A44" s="41"/>
      <c r="B44" s="40" t="s">
        <v>43</v>
      </c>
      <c r="C44" s="28">
        <v>0.126</v>
      </c>
      <c r="D44" s="50">
        <v>0.13520000000000001</v>
      </c>
      <c r="E44" s="50">
        <v>0.13930000000000001</v>
      </c>
      <c r="F44" s="50">
        <v>0.1212</v>
      </c>
      <c r="G44" s="50">
        <v>0.1263</v>
      </c>
      <c r="H44" s="50">
        <v>0.1288</v>
      </c>
      <c r="I44" s="50">
        <v>0.12090000000000001</v>
      </c>
      <c r="J44" s="50">
        <v>0.1203</v>
      </c>
      <c r="K44" s="50">
        <v>0.1268</v>
      </c>
      <c r="L44" s="42"/>
      <c r="M44" s="40" t="s">
        <v>43</v>
      </c>
      <c r="N44" s="28">
        <v>0.12091969719524323</v>
      </c>
      <c r="O44" s="28">
        <v>0.12895169936659351</v>
      </c>
      <c r="P44" s="28">
        <v>0.10608372682250714</v>
      </c>
      <c r="Q44" s="28">
        <v>0.13185961149032943</v>
      </c>
      <c r="R44" s="28">
        <v>0.11356152170568273</v>
      </c>
      <c r="S44" s="28">
        <v>0.12683649659506602</v>
      </c>
      <c r="T44" s="28">
        <v>9.9231410058287825E-2</v>
      </c>
      <c r="U44" s="28">
        <v>9.302133974624574E-2</v>
      </c>
      <c r="V44" s="28">
        <v>0.12003994437818995</v>
      </c>
      <c r="X44" s="40" t="s">
        <v>43</v>
      </c>
      <c r="Y44" s="40" t="s">
        <v>65</v>
      </c>
      <c r="Z44" s="40" t="s">
        <v>70</v>
      </c>
      <c r="AA44" s="40" t="s">
        <v>67</v>
      </c>
      <c r="AB44" s="40" t="s">
        <v>70</v>
      </c>
      <c r="AC44" s="40" t="s">
        <v>69</v>
      </c>
      <c r="AD44" s="40" t="s">
        <v>64</v>
      </c>
      <c r="AE44" s="40" t="s">
        <v>67</v>
      </c>
      <c r="AF44" s="40" t="s">
        <v>68</v>
      </c>
      <c r="AG44" s="40" t="s">
        <v>68</v>
      </c>
    </row>
    <row r="45" spans="1:33" s="40" customFormat="1" x14ac:dyDescent="0.35">
      <c r="A45" s="41"/>
      <c r="B45" s="40" t="s">
        <v>44</v>
      </c>
      <c r="C45" s="28">
        <v>0.11799999999999999</v>
      </c>
      <c r="D45" s="50">
        <v>0.1167</v>
      </c>
      <c r="E45" s="50">
        <v>0.13250000000000001</v>
      </c>
      <c r="F45" s="50">
        <v>0.12429999999999999</v>
      </c>
      <c r="G45" s="50">
        <v>0.1055</v>
      </c>
      <c r="H45" s="50">
        <v>0.11449999999999999</v>
      </c>
      <c r="I45" s="50">
        <v>0.1125</v>
      </c>
      <c r="J45" s="50">
        <v>0.1171</v>
      </c>
      <c r="K45" s="50">
        <v>0.1216</v>
      </c>
      <c r="L45" s="42"/>
      <c r="M45" s="40" t="s">
        <v>44</v>
      </c>
      <c r="N45" s="28">
        <v>0.10759861713605934</v>
      </c>
      <c r="O45" s="28">
        <v>0.11563061930740962</v>
      </c>
      <c r="P45" s="28">
        <v>9.2762646763323242E-2</v>
      </c>
      <c r="Q45" s="28">
        <v>0.11853853143114552</v>
      </c>
      <c r="R45" s="28">
        <v>0.10024044164649884</v>
      </c>
      <c r="S45" s="28">
        <v>0.11351541653588214</v>
      </c>
      <c r="T45" s="28">
        <v>8.5910329999103932E-2</v>
      </c>
      <c r="U45" s="28">
        <v>7.9700259687061847E-2</v>
      </c>
      <c r="V45" s="28">
        <v>0.10671886431900605</v>
      </c>
      <c r="X45" s="40" t="s">
        <v>44</v>
      </c>
      <c r="Y45" s="40" t="s">
        <v>64</v>
      </c>
      <c r="Z45" s="40" t="s">
        <v>69</v>
      </c>
      <c r="AA45" s="40" t="s">
        <v>69</v>
      </c>
      <c r="AB45" s="40" t="s">
        <v>67</v>
      </c>
      <c r="AC45" s="40" t="s">
        <v>68</v>
      </c>
      <c r="AD45" s="40" t="s">
        <v>65</v>
      </c>
      <c r="AE45" s="40" t="s">
        <v>68</v>
      </c>
      <c r="AF45" s="40" t="s">
        <v>66</v>
      </c>
      <c r="AG45" s="40" t="s">
        <v>68</v>
      </c>
    </row>
    <row r="46" spans="1:33" s="40" customFormat="1" x14ac:dyDescent="0.35">
      <c r="A46" s="41"/>
      <c r="B46" s="40" t="s">
        <v>45</v>
      </c>
      <c r="C46" s="28">
        <v>6.2E-2</v>
      </c>
      <c r="D46" s="50">
        <v>6.6299999999999998E-2</v>
      </c>
      <c r="E46" s="50">
        <v>6.1100000000000002E-2</v>
      </c>
      <c r="F46" s="50">
        <v>4.7199999999999999E-2</v>
      </c>
      <c r="G46" s="50">
        <v>5.3899999999999997E-2</v>
      </c>
      <c r="H46" s="50">
        <v>7.1499999999999994E-2</v>
      </c>
      <c r="I46" s="50">
        <v>5.5900000000000005E-2</v>
      </c>
      <c r="J46" s="50">
        <v>7.22E-2</v>
      </c>
      <c r="K46" s="50">
        <v>6.0999999999999999E-2</v>
      </c>
      <c r="L46" s="42"/>
      <c r="M46" s="40" t="s">
        <v>45</v>
      </c>
      <c r="N46" s="28">
        <v>7.3868538514090809E-2</v>
      </c>
      <c r="O46" s="28">
        <v>8.1900540685441087E-2</v>
      </c>
      <c r="P46" s="28">
        <v>5.903256814135472E-2</v>
      </c>
      <c r="Q46" s="28">
        <v>8.480845280917701E-2</v>
      </c>
      <c r="R46" s="28">
        <v>6.6510363024530311E-2</v>
      </c>
      <c r="S46" s="28">
        <v>7.9785337913913623E-2</v>
      </c>
      <c r="T46" s="28">
        <v>5.218025137713541E-2</v>
      </c>
      <c r="U46" s="28">
        <v>4.5970181065093325E-2</v>
      </c>
      <c r="V46" s="28">
        <v>7.2988785697037539E-2</v>
      </c>
      <c r="X46" s="40" t="s">
        <v>45</v>
      </c>
      <c r="Y46" s="40" t="s">
        <v>70</v>
      </c>
      <c r="Z46" s="40" t="s">
        <v>69</v>
      </c>
      <c r="AA46" s="40" t="s">
        <v>69</v>
      </c>
      <c r="AB46" s="40" t="s">
        <v>70</v>
      </c>
      <c r="AC46" s="40" t="s">
        <v>64</v>
      </c>
      <c r="AD46" s="40" t="s">
        <v>70</v>
      </c>
      <c r="AE46" s="40" t="s">
        <v>68</v>
      </c>
      <c r="AF46" s="40" t="s">
        <v>65</v>
      </c>
      <c r="AG46" s="40" t="s">
        <v>64</v>
      </c>
    </row>
    <row r="47" spans="1:33" s="40" customFormat="1" x14ac:dyDescent="0.35">
      <c r="A47" s="41"/>
      <c r="B47" s="40" t="s">
        <v>46</v>
      </c>
      <c r="C47" s="28">
        <v>0.224</v>
      </c>
      <c r="D47" s="50">
        <v>0.21730000000000002</v>
      </c>
      <c r="E47" s="50">
        <v>0.21590000000000001</v>
      </c>
      <c r="F47" s="50">
        <v>0.22850000000000001</v>
      </c>
      <c r="G47" s="50">
        <v>0.222</v>
      </c>
      <c r="H47" s="50">
        <v>0.21110000000000001</v>
      </c>
      <c r="I47" s="50">
        <v>0.21920000000000001</v>
      </c>
      <c r="J47" s="50">
        <v>0.23130000000000001</v>
      </c>
      <c r="K47" s="50">
        <v>0.2117</v>
      </c>
      <c r="L47" s="42"/>
      <c r="M47" s="40" t="s">
        <v>46</v>
      </c>
      <c r="N47" s="28">
        <v>0.12768064737603502</v>
      </c>
      <c r="O47" s="28">
        <v>0.13571264954738532</v>
      </c>
      <c r="P47" s="28">
        <v>0.11284467700329893</v>
      </c>
      <c r="Q47" s="28">
        <v>0.13862056167112122</v>
      </c>
      <c r="R47" s="28">
        <v>0.12032247188647453</v>
      </c>
      <c r="S47" s="28">
        <v>0.13359744677585783</v>
      </c>
      <c r="T47" s="28">
        <v>0.10599236023907962</v>
      </c>
      <c r="U47" s="28">
        <v>9.978228992703754E-2</v>
      </c>
      <c r="V47" s="28">
        <v>0.12680089455898175</v>
      </c>
      <c r="X47" s="40" t="s">
        <v>46</v>
      </c>
      <c r="Y47" s="40" t="s">
        <v>69</v>
      </c>
      <c r="Z47" s="40" t="s">
        <v>70</v>
      </c>
      <c r="AA47" s="40" t="s">
        <v>68</v>
      </c>
      <c r="AB47" s="40" t="s">
        <v>69</v>
      </c>
      <c r="AC47" s="40" t="s">
        <v>67</v>
      </c>
      <c r="AD47" s="40" t="s">
        <v>66</v>
      </c>
      <c r="AE47" s="40" t="s">
        <v>64</v>
      </c>
      <c r="AF47" s="40" t="s">
        <v>67</v>
      </c>
      <c r="AG47" s="40" t="s">
        <v>69</v>
      </c>
    </row>
    <row r="48" spans="1:33" s="40" customFormat="1" x14ac:dyDescent="0.35">
      <c r="A48" s="41"/>
      <c r="B48" s="40" t="s">
        <v>47</v>
      </c>
      <c r="C48" s="28">
        <v>9.8000000000000004E-2</v>
      </c>
      <c r="D48" s="50">
        <v>9.5000000000000015E-2</v>
      </c>
      <c r="E48" s="50">
        <v>9.6799999999999997E-2</v>
      </c>
      <c r="F48" s="50">
        <v>0.1087</v>
      </c>
      <c r="G48" s="50">
        <v>0.1057</v>
      </c>
      <c r="H48" s="50">
        <v>9.5200000000000007E-2</v>
      </c>
      <c r="I48" s="50">
        <v>0.115</v>
      </c>
      <c r="J48" s="50">
        <v>9.7500000000000003E-2</v>
      </c>
      <c r="K48" s="50">
        <v>0.10540000000000001</v>
      </c>
      <c r="L48" s="42"/>
      <c r="M48" s="40" t="s">
        <v>47</v>
      </c>
      <c r="N48" s="28">
        <v>0.11371951836873107</v>
      </c>
      <c r="O48" s="28">
        <v>0.12175152054008134</v>
      </c>
      <c r="P48" s="28">
        <v>9.8883547995994969E-2</v>
      </c>
      <c r="Q48" s="28">
        <v>0.12465943266381725</v>
      </c>
      <c r="R48" s="28">
        <v>0.10636134287917057</v>
      </c>
      <c r="S48" s="28">
        <v>0.11963631776855387</v>
      </c>
      <c r="T48" s="28">
        <v>9.2031231231775659E-2</v>
      </c>
      <c r="U48" s="28">
        <v>8.5821160919733575E-2</v>
      </c>
      <c r="V48" s="28">
        <v>0.11283976555167778</v>
      </c>
      <c r="X48" s="40" t="s">
        <v>47</v>
      </c>
      <c r="Y48" s="40" t="s">
        <v>67</v>
      </c>
      <c r="Z48" s="40" t="s">
        <v>70</v>
      </c>
      <c r="AA48" s="40" t="s">
        <v>69</v>
      </c>
      <c r="AB48" s="40" t="s">
        <v>69</v>
      </c>
      <c r="AC48" s="40" t="s">
        <v>69</v>
      </c>
      <c r="AD48" s="40" t="s">
        <v>70</v>
      </c>
      <c r="AE48" s="40" t="s">
        <v>68</v>
      </c>
      <c r="AF48" s="40" t="s">
        <v>69</v>
      </c>
      <c r="AG48" s="40" t="s">
        <v>65</v>
      </c>
    </row>
    <row r="49" spans="1:33" s="40" customFormat="1" x14ac:dyDescent="0.35">
      <c r="A49" s="41"/>
      <c r="B49" s="40" t="s">
        <v>48</v>
      </c>
      <c r="C49" s="28">
        <v>8.3000000000000004E-2</v>
      </c>
      <c r="D49" s="50">
        <v>7.9200000000000007E-2</v>
      </c>
      <c r="E49" s="50">
        <v>7.8E-2</v>
      </c>
      <c r="F49" s="50">
        <v>7.9200000000000007E-2</v>
      </c>
      <c r="G49" s="50">
        <v>9.6000000000000002E-2</v>
      </c>
      <c r="H49" s="50">
        <v>9.0700000000000003E-2</v>
      </c>
      <c r="I49" s="50">
        <v>8.7500000000000008E-2</v>
      </c>
      <c r="J49" s="50">
        <v>8.6800000000000002E-2</v>
      </c>
      <c r="K49" s="50">
        <v>8.5100000000000009E-2</v>
      </c>
      <c r="L49" s="42"/>
      <c r="M49" s="40" t="s">
        <v>48</v>
      </c>
      <c r="N49" s="28">
        <v>9.5998144362838059E-2</v>
      </c>
      <c r="O49" s="28">
        <v>0.10403014653418834</v>
      </c>
      <c r="P49" s="28">
        <v>8.1162173990101963E-2</v>
      </c>
      <c r="Q49" s="28">
        <v>0.10693805865792425</v>
      </c>
      <c r="R49" s="28">
        <v>8.8639968873277561E-2</v>
      </c>
      <c r="S49" s="28">
        <v>0.10191494376266086</v>
      </c>
      <c r="T49" s="28">
        <v>7.4309857225882653E-2</v>
      </c>
      <c r="U49" s="28">
        <v>6.8099786913840568E-2</v>
      </c>
      <c r="V49" s="28">
        <v>9.5118391545784775E-2</v>
      </c>
      <c r="X49" s="40" t="s">
        <v>48</v>
      </c>
      <c r="Y49" s="40" t="s">
        <v>68</v>
      </c>
      <c r="Z49" s="40" t="s">
        <v>67</v>
      </c>
      <c r="AA49" s="40" t="s">
        <v>69</v>
      </c>
      <c r="AB49" s="40" t="s">
        <v>64</v>
      </c>
      <c r="AC49" s="40" t="s">
        <v>65</v>
      </c>
      <c r="AD49" s="40" t="s">
        <v>64</v>
      </c>
      <c r="AE49" s="40" t="s">
        <v>67</v>
      </c>
      <c r="AF49" s="40" t="s">
        <v>65</v>
      </c>
      <c r="AG49" s="40" t="s">
        <v>68</v>
      </c>
    </row>
    <row r="50" spans="1:33" s="40" customFormat="1" x14ac:dyDescent="0.35">
      <c r="A50" s="41"/>
      <c r="B50" s="40" t="s">
        <v>49</v>
      </c>
      <c r="C50" s="28">
        <v>4.9000000000000002E-2</v>
      </c>
      <c r="D50" s="50">
        <v>4.3100000000000006E-2</v>
      </c>
      <c r="E50" s="50">
        <v>5.5300000000000002E-2</v>
      </c>
      <c r="F50" s="50">
        <v>6.4299999999999996E-2</v>
      </c>
      <c r="G50" s="50">
        <v>5.5500000000000001E-2</v>
      </c>
      <c r="H50" s="50">
        <v>5.9200000000000003E-2</v>
      </c>
      <c r="I50" s="50">
        <v>4.9500000000000009E-2</v>
      </c>
      <c r="J50" s="50">
        <v>6.2200000000000005E-2</v>
      </c>
      <c r="K50" s="50">
        <v>4.8800000000000003E-2</v>
      </c>
      <c r="L50" s="42"/>
      <c r="M50" s="40" t="s">
        <v>49</v>
      </c>
      <c r="N50" s="28">
        <v>8.0941310830632524E-2</v>
      </c>
      <c r="O50" s="28">
        <v>8.8973313001982801E-2</v>
      </c>
      <c r="P50" s="28">
        <v>6.6105340457896428E-2</v>
      </c>
      <c r="Q50" s="28">
        <v>9.188122512571871E-2</v>
      </c>
      <c r="R50" s="28">
        <v>7.3583135341072026E-2</v>
      </c>
      <c r="S50" s="28">
        <v>8.6858110230455324E-2</v>
      </c>
      <c r="T50" s="28">
        <v>5.9253023693677118E-2</v>
      </c>
      <c r="U50" s="28">
        <v>5.3042953381635033E-2</v>
      </c>
      <c r="V50" s="28">
        <v>8.006155801357924E-2</v>
      </c>
      <c r="X50" s="40" t="s">
        <v>49</v>
      </c>
      <c r="Y50" s="40" t="s">
        <v>65</v>
      </c>
      <c r="Z50" s="40" t="s">
        <v>66</v>
      </c>
      <c r="AA50" s="40" t="s">
        <v>68</v>
      </c>
      <c r="AB50" s="40" t="s">
        <v>70</v>
      </c>
      <c r="AC50" s="40" t="s">
        <v>66</v>
      </c>
      <c r="AD50" s="40" t="s">
        <v>69</v>
      </c>
      <c r="AE50" s="40" t="s">
        <v>67</v>
      </c>
      <c r="AF50" s="40" t="s">
        <v>69</v>
      </c>
      <c r="AG50" s="40" t="s">
        <v>65</v>
      </c>
    </row>
    <row r="51" spans="1:33" s="40" customFormat="1" x14ac:dyDescent="0.35">
      <c r="A51" s="41"/>
      <c r="B51" s="40" t="s">
        <v>50</v>
      </c>
      <c r="C51" s="28">
        <v>6.0999999999999999E-2</v>
      </c>
      <c r="D51" s="50">
        <v>6.2400000000000004E-2</v>
      </c>
      <c r="E51" s="50">
        <v>5.7700000000000001E-2</v>
      </c>
      <c r="F51" s="50">
        <v>6.8099999999999994E-2</v>
      </c>
      <c r="G51" s="50">
        <v>7.2399999999999992E-2</v>
      </c>
      <c r="H51" s="50">
        <v>5.2400000000000002E-2</v>
      </c>
      <c r="I51" s="50">
        <v>6.9500000000000006E-2</v>
      </c>
      <c r="J51" s="50">
        <v>4.9500000000000002E-2</v>
      </c>
      <c r="K51" s="50">
        <v>5.6800000000000003E-2</v>
      </c>
      <c r="L51" s="42"/>
      <c r="M51" s="40" t="s">
        <v>50</v>
      </c>
      <c r="N51" s="28">
        <v>8.9212467996164474E-2</v>
      </c>
      <c r="O51" s="28">
        <v>9.7244470167514752E-2</v>
      </c>
      <c r="P51" s="28">
        <v>7.4376497623428378E-2</v>
      </c>
      <c r="Q51" s="28">
        <v>0.10015238229125066</v>
      </c>
      <c r="R51" s="28">
        <v>8.1854292506603976E-2</v>
      </c>
      <c r="S51" s="28">
        <v>9.5129267395987274E-2</v>
      </c>
      <c r="T51" s="28">
        <v>6.7524180859209068E-2</v>
      </c>
      <c r="U51" s="28">
        <v>6.1314110547166983E-2</v>
      </c>
      <c r="V51" s="28">
        <v>8.833271517911119E-2</v>
      </c>
      <c r="X51" s="40" t="s">
        <v>50</v>
      </c>
      <c r="Y51" s="40" t="s">
        <v>69</v>
      </c>
      <c r="Z51" s="40" t="s">
        <v>66</v>
      </c>
      <c r="AA51" s="40" t="s">
        <v>64</v>
      </c>
      <c r="AB51" s="40" t="s">
        <v>65</v>
      </c>
      <c r="AC51" s="40" t="s">
        <v>64</v>
      </c>
      <c r="AD51" s="40" t="s">
        <v>66</v>
      </c>
      <c r="AE51" s="40" t="s">
        <v>65</v>
      </c>
      <c r="AF51" s="40" t="s">
        <v>67</v>
      </c>
      <c r="AG51" s="40" t="s">
        <v>66</v>
      </c>
    </row>
    <row r="52" spans="1:33" x14ac:dyDescent="0.35">
      <c r="C52" s="1"/>
      <c r="D52" s="1"/>
      <c r="E52" s="1"/>
      <c r="F52" s="1"/>
      <c r="G52" s="1"/>
      <c r="H52" s="1"/>
      <c r="I52" s="1"/>
      <c r="J52" s="1"/>
      <c r="K52" s="1"/>
      <c r="P52" s="8"/>
    </row>
    <row r="53" spans="1:33" x14ac:dyDescent="0.35">
      <c r="C53" s="1"/>
      <c r="D53" s="1"/>
      <c r="E53" s="1"/>
      <c r="F53" s="1"/>
      <c r="G53" s="1"/>
      <c r="H53" s="1"/>
      <c r="I53" s="1"/>
      <c r="J53" s="1"/>
      <c r="K53" s="1"/>
      <c r="P53" s="8"/>
    </row>
    <row r="54" spans="1:33" x14ac:dyDescent="0.35">
      <c r="C54" s="1"/>
      <c r="D54" s="1"/>
      <c r="E54" s="1"/>
      <c r="F54" s="1"/>
      <c r="G54" s="1"/>
      <c r="H54" s="1"/>
      <c r="I54" s="1"/>
      <c r="J54" s="1"/>
      <c r="K54" s="1"/>
      <c r="P54" s="8"/>
    </row>
    <row r="55" spans="1:33" x14ac:dyDescent="0.35">
      <c r="B55" s="7" t="s">
        <v>51</v>
      </c>
      <c r="C55" s="2" t="s">
        <v>16</v>
      </c>
      <c r="D55" s="12" t="s">
        <v>5</v>
      </c>
      <c r="E55" s="12"/>
      <c r="F55" s="1"/>
      <c r="G55" s="53" t="s">
        <v>17</v>
      </c>
      <c r="H55" s="54">
        <v>14.933633299200002</v>
      </c>
      <c r="I55" s="1" t="s">
        <v>18</v>
      </c>
      <c r="J55" s="1"/>
      <c r="K55" s="1"/>
      <c r="P55" s="8"/>
    </row>
    <row r="56" spans="1:33" x14ac:dyDescent="0.35">
      <c r="B56" s="48" t="s">
        <v>2</v>
      </c>
      <c r="C56" s="58">
        <v>0.59322033898305082</v>
      </c>
      <c r="D56" s="58">
        <f>SUMPRODUCT(D57:D58,C57:C58)</f>
        <v>0.10876293724094885</v>
      </c>
      <c r="E56" s="59">
        <f>C56*$H$55*1000</f>
        <v>8858.9350080000022</v>
      </c>
      <c r="F56" s="1"/>
      <c r="G56" s="53" t="s">
        <v>5</v>
      </c>
      <c r="H56" s="55">
        <v>0.106</v>
      </c>
      <c r="I56" s="1"/>
      <c r="J56" s="1"/>
      <c r="K56" s="1"/>
      <c r="P56" s="8"/>
    </row>
    <row r="57" spans="1:33" x14ac:dyDescent="0.35">
      <c r="B57" t="s">
        <v>6</v>
      </c>
      <c r="C57" s="1">
        <v>0.89200000000000002</v>
      </c>
      <c r="D57" s="1">
        <v>0.10789893724094886</v>
      </c>
      <c r="E57" s="57">
        <f>C57*E56</f>
        <v>7902.1700271360023</v>
      </c>
      <c r="F57" s="1"/>
      <c r="G57" s="1"/>
      <c r="H57" s="1"/>
      <c r="I57" s="1"/>
      <c r="J57" s="1"/>
      <c r="K57" s="1"/>
      <c r="P57" s="8"/>
    </row>
    <row r="58" spans="1:33" x14ac:dyDescent="0.35">
      <c r="B58" t="s">
        <v>3</v>
      </c>
      <c r="C58" s="1">
        <f>1-C57</f>
        <v>0.10799999999999998</v>
      </c>
      <c r="D58" s="1">
        <v>0.11589893724094885</v>
      </c>
      <c r="E58" s="57">
        <f>C58*E56</f>
        <v>956.76498086400011</v>
      </c>
      <c r="F58" s="1"/>
      <c r="G58" s="1"/>
      <c r="H58" s="1"/>
      <c r="I58" s="1"/>
      <c r="J58" s="1"/>
      <c r="K58" s="1"/>
      <c r="P58" s="8"/>
    </row>
    <row r="59" spans="1:33" x14ac:dyDescent="0.35">
      <c r="B59" s="48" t="s">
        <v>15</v>
      </c>
      <c r="C59" s="58">
        <f>1-C56</f>
        <v>0.40677966101694918</v>
      </c>
      <c r="D59" s="58">
        <f>SUMPRODUCT(D60:D66,C60:C66)</f>
        <v>0.10197071652361622</v>
      </c>
      <c r="E59" s="59">
        <f>C59*$H$55*1000</f>
        <v>6074.6982912000012</v>
      </c>
      <c r="F59" s="1"/>
      <c r="G59" s="1"/>
      <c r="H59" s="2" t="s">
        <v>4</v>
      </c>
      <c r="I59" s="2" t="s">
        <v>17</v>
      </c>
      <c r="J59" s="1"/>
      <c r="K59" s="1"/>
      <c r="P59" s="8"/>
    </row>
    <row r="60" spans="1:33" x14ac:dyDescent="0.35">
      <c r="B60" t="s">
        <v>8</v>
      </c>
      <c r="C60" s="1">
        <f>1-SUM(C61:C66)</f>
        <v>0.26300000000000001</v>
      </c>
      <c r="D60" s="1">
        <v>9.3137891202253686E-2</v>
      </c>
      <c r="E60" s="57">
        <f>C60*$E$59</f>
        <v>1597.6456505856004</v>
      </c>
      <c r="F60" s="1"/>
      <c r="G60" s="53" t="s">
        <v>2</v>
      </c>
      <c r="H60" s="1">
        <v>0.59322033898305082</v>
      </c>
      <c r="I60" s="54">
        <v>8.8589350080000049</v>
      </c>
      <c r="J60" s="1" t="s">
        <v>18</v>
      </c>
      <c r="K60" s="1"/>
      <c r="P60" s="8"/>
    </row>
    <row r="61" spans="1:33" x14ac:dyDescent="0.35">
      <c r="B61" t="s">
        <v>7</v>
      </c>
      <c r="C61" s="1">
        <v>0.217</v>
      </c>
      <c r="D61" s="1">
        <v>0.11904955596448825</v>
      </c>
      <c r="E61" s="57">
        <f t="shared" ref="E61:E66" si="6">C61*$E$59</f>
        <v>1318.2095291904002</v>
      </c>
      <c r="F61" s="1"/>
      <c r="G61" s="53" t="s">
        <v>15</v>
      </c>
      <c r="H61" s="1">
        <v>0.40677966101694918</v>
      </c>
      <c r="I61" s="54">
        <v>6.0746982912000016</v>
      </c>
      <c r="J61" s="1" t="s">
        <v>18</v>
      </c>
      <c r="K61" s="1"/>
      <c r="P61" s="8"/>
    </row>
    <row r="62" spans="1:33" x14ac:dyDescent="0.35">
      <c r="B62" t="s">
        <v>10</v>
      </c>
      <c r="C62" s="1">
        <v>0.152</v>
      </c>
      <c r="D62" s="1">
        <v>0.10038181772693394</v>
      </c>
      <c r="E62" s="57">
        <f t="shared" si="6"/>
        <v>923.35414026240016</v>
      </c>
      <c r="F62" s="1"/>
      <c r="G62" s="1"/>
      <c r="H62" s="1"/>
      <c r="I62" s="1"/>
      <c r="J62" s="1"/>
      <c r="K62" s="1"/>
      <c r="P62" s="8"/>
    </row>
    <row r="63" spans="1:33" x14ac:dyDescent="0.35">
      <c r="B63" t="s">
        <v>11</v>
      </c>
      <c r="C63" s="1">
        <v>9.8000000000000004E-2</v>
      </c>
      <c r="D63" s="1">
        <v>0.11306662989143287</v>
      </c>
      <c r="E63" s="57">
        <f t="shared" si="6"/>
        <v>595.32043253760014</v>
      </c>
      <c r="F63" s="1"/>
      <c r="G63" s="1"/>
      <c r="H63" s="1"/>
      <c r="I63" s="1"/>
      <c r="J63" s="1"/>
      <c r="K63" s="1"/>
      <c r="P63" s="8"/>
    </row>
    <row r="64" spans="1:33" x14ac:dyDescent="0.35">
      <c r="B64" t="s">
        <v>9</v>
      </c>
      <c r="C64" s="1">
        <v>8.1000000000000003E-2</v>
      </c>
      <c r="D64" s="1">
        <v>8.6184316986583298E-2</v>
      </c>
      <c r="E64" s="57">
        <f t="shared" si="6"/>
        <v>492.05056158720009</v>
      </c>
      <c r="F64" s="1"/>
      <c r="G64" s="1"/>
      <c r="H64" s="1"/>
      <c r="I64" s="1"/>
      <c r="J64" s="1"/>
      <c r="K64" s="1"/>
      <c r="P64" s="8"/>
    </row>
    <row r="65" spans="2:24" x14ac:dyDescent="0.35">
      <c r="B65" t="s">
        <v>12</v>
      </c>
      <c r="C65" s="1">
        <v>6.9000000000000006E-2</v>
      </c>
      <c r="D65" s="46">
        <v>7.9627961223884963E-2</v>
      </c>
      <c r="E65" s="57">
        <f t="shared" si="6"/>
        <v>419.15418209280011</v>
      </c>
      <c r="H65" s="1"/>
      <c r="I65" s="1"/>
      <c r="J65" s="1"/>
      <c r="K65" s="1"/>
      <c r="P65" s="8"/>
    </row>
    <row r="66" spans="2:24" x14ac:dyDescent="0.35">
      <c r="B66" t="s">
        <v>13</v>
      </c>
      <c r="C66" s="1">
        <v>0.12</v>
      </c>
      <c r="D66" s="46">
        <v>0.10689893724094886</v>
      </c>
      <c r="E66" s="57">
        <f t="shared" si="6"/>
        <v>728.96379494400014</v>
      </c>
      <c r="H66" s="47"/>
      <c r="I66" s="1"/>
      <c r="J66" s="1"/>
      <c r="K66" s="1"/>
      <c r="P66" s="8"/>
    </row>
    <row r="67" spans="2:24" x14ac:dyDescent="0.35">
      <c r="C67" s="1"/>
      <c r="D67" s="1"/>
      <c r="H67" s="47"/>
      <c r="I67" s="1"/>
      <c r="J67" s="1"/>
      <c r="K67" s="1"/>
      <c r="P67" s="8"/>
    </row>
    <row r="68" spans="2:24" x14ac:dyDescent="0.35">
      <c r="C68" s="1"/>
      <c r="D68" s="1"/>
      <c r="E68" s="1"/>
      <c r="F68" s="1"/>
      <c r="G68" s="1"/>
      <c r="H68" s="1"/>
      <c r="I68" s="1"/>
      <c r="J68" s="1"/>
      <c r="K68" s="1"/>
      <c r="P68" s="8"/>
    </row>
    <row r="69" spans="2:24" x14ac:dyDescent="0.35">
      <c r="F69" s="1"/>
      <c r="G69" s="1"/>
      <c r="H69" s="1"/>
      <c r="I69" s="1"/>
      <c r="J69" s="1"/>
      <c r="K69" s="1"/>
      <c r="P69" s="8"/>
    </row>
    <row r="70" spans="2:24" x14ac:dyDescent="0.35">
      <c r="F70" s="1"/>
      <c r="G70" s="1"/>
      <c r="H70" s="1"/>
      <c r="I70" s="1"/>
      <c r="J70" s="1"/>
      <c r="K70" s="1"/>
      <c r="P70" s="8"/>
    </row>
    <row r="71" spans="2:24" x14ac:dyDescent="0.35">
      <c r="F71" s="1"/>
      <c r="G71" s="1"/>
      <c r="H71" s="1"/>
      <c r="I71" s="1"/>
      <c r="J71" s="1"/>
      <c r="K71" s="1"/>
      <c r="P71" s="8"/>
    </row>
    <row r="72" spans="2:24" x14ac:dyDescent="0.35">
      <c r="C72" s="1"/>
      <c r="D72" s="1"/>
      <c r="E72" s="1"/>
      <c r="F72" s="1"/>
      <c r="G72" s="1"/>
      <c r="H72" s="1"/>
      <c r="I72" s="1"/>
      <c r="J72" s="1"/>
      <c r="K72" s="1"/>
      <c r="P72" s="8"/>
    </row>
    <row r="73" spans="2:24" x14ac:dyDescent="0.35">
      <c r="C73" s="1"/>
      <c r="D73" s="1"/>
      <c r="E73" s="1"/>
      <c r="F73" s="1"/>
      <c r="G73" s="1"/>
      <c r="H73" s="1"/>
      <c r="I73" s="1"/>
      <c r="J73" s="1"/>
      <c r="K73" s="1"/>
      <c r="P73" s="8"/>
    </row>
    <row r="74" spans="2:24" x14ac:dyDescent="0.35">
      <c r="C74" s="1"/>
      <c r="D74" s="1"/>
      <c r="E74" s="1"/>
      <c r="F74" s="1"/>
      <c r="G74" s="1"/>
      <c r="H74" s="1"/>
      <c r="I74" s="1"/>
      <c r="J74" s="1"/>
      <c r="K74" s="1"/>
      <c r="P74" s="8"/>
    </row>
    <row r="75" spans="2:24" x14ac:dyDescent="0.35">
      <c r="C75" s="1"/>
      <c r="D75" s="1"/>
      <c r="E75" s="1"/>
      <c r="F75" s="1"/>
      <c r="G75" s="1"/>
      <c r="H75" s="1"/>
      <c r="I75" s="1"/>
      <c r="J75" s="1"/>
      <c r="K75" s="1"/>
      <c r="P75" s="8"/>
    </row>
    <row r="76" spans="2:24" x14ac:dyDescent="0.35">
      <c r="B76" s="45"/>
      <c r="C76" s="3"/>
      <c r="D76" s="3"/>
      <c r="E76" s="3"/>
      <c r="F76" s="3"/>
      <c r="G76" s="3"/>
      <c r="H76" s="3"/>
      <c r="I76" s="3"/>
      <c r="J76" s="3"/>
      <c r="K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2:24" x14ac:dyDescent="0.35">
      <c r="B77" s="45"/>
      <c r="C77" s="9"/>
      <c r="D77" s="9"/>
      <c r="E77" s="9"/>
      <c r="F77" s="9"/>
      <c r="G77" s="9"/>
      <c r="H77" s="9"/>
      <c r="I77" s="9"/>
      <c r="J77" s="9"/>
      <c r="K77" s="9"/>
    </row>
    <row r="78" spans="2:24" hidden="1" x14ac:dyDescent="0.35">
      <c r="B78" s="45"/>
      <c r="C78" s="9"/>
      <c r="D78" s="9"/>
      <c r="E78" s="9"/>
      <c r="F78" s="9"/>
      <c r="G78" s="9"/>
      <c r="H78" s="9"/>
      <c r="I78" s="9"/>
      <c r="J78" s="9"/>
      <c r="K78" s="9"/>
    </row>
    <row r="79" spans="2:24" hidden="1" x14ac:dyDescent="0.35">
      <c r="B79" s="10"/>
      <c r="C79" s="9"/>
      <c r="D79" s="9"/>
      <c r="E79" s="9"/>
      <c r="F79" s="9"/>
      <c r="G79" s="9"/>
      <c r="H79" s="9"/>
      <c r="I79" s="9"/>
      <c r="J79" s="9"/>
      <c r="K79" s="9"/>
    </row>
    <row r="80" spans="2:24" hidden="1" x14ac:dyDescent="0.35">
      <c r="B80" s="10"/>
      <c r="C80" s="9"/>
      <c r="D80" s="9"/>
      <c r="E80" s="9"/>
      <c r="F80" s="9"/>
      <c r="G80" s="9"/>
      <c r="H80" s="9"/>
      <c r="I80" s="9"/>
      <c r="J80" s="9"/>
      <c r="K80" s="9"/>
    </row>
    <row r="81" spans="2:11" hidden="1" x14ac:dyDescent="0.35">
      <c r="C81" s="9"/>
      <c r="D81" s="9"/>
      <c r="E81" s="9"/>
      <c r="F81" s="9"/>
      <c r="G81" s="9"/>
      <c r="H81" s="9"/>
      <c r="I81" s="9"/>
      <c r="J81" s="9"/>
      <c r="K81" s="9"/>
    </row>
    <row r="82" spans="2:11" hidden="1" x14ac:dyDescent="0.35">
      <c r="B82" s="45"/>
      <c r="C82" s="9"/>
      <c r="D82" s="9"/>
      <c r="E82" s="9"/>
      <c r="F82" s="9"/>
      <c r="G82" s="9"/>
      <c r="H82" s="9"/>
      <c r="I82" s="9"/>
      <c r="J82" s="9"/>
      <c r="K82" s="9"/>
    </row>
    <row r="83" spans="2:11" hidden="1" x14ac:dyDescent="0.35">
      <c r="B83" s="10"/>
      <c r="C83" s="9"/>
      <c r="D83" s="9"/>
      <c r="E83" s="9"/>
      <c r="F83" s="9"/>
      <c r="G83" s="9"/>
      <c r="H83" s="9"/>
      <c r="I83" s="9"/>
      <c r="J83" s="9"/>
      <c r="K83" s="9"/>
    </row>
    <row r="84" spans="2:11" hidden="1" x14ac:dyDescent="0.35">
      <c r="B84" s="10"/>
      <c r="C84" s="9"/>
      <c r="D84" s="9"/>
      <c r="E84" s="9"/>
      <c r="F84" s="9"/>
      <c r="G84" s="9"/>
      <c r="H84" s="9"/>
      <c r="I84" s="9"/>
      <c r="J84" s="9"/>
      <c r="K84" s="9"/>
    </row>
    <row r="85" spans="2:11" hidden="1" x14ac:dyDescent="0.35">
      <c r="C85" s="9"/>
      <c r="D85" s="9"/>
      <c r="E85" s="9"/>
      <c r="F85" s="9"/>
      <c r="G85" s="9"/>
      <c r="H85" s="9"/>
      <c r="I85" s="9"/>
      <c r="J85" s="9"/>
      <c r="K85" s="9"/>
    </row>
    <row r="86" spans="2:11" hidden="1" x14ac:dyDescent="0.35">
      <c r="C86" s="9"/>
      <c r="D86" s="9"/>
      <c r="E86" s="9"/>
      <c r="F86" s="9"/>
      <c r="G86" s="9"/>
      <c r="H86" s="9"/>
      <c r="I86" s="9"/>
      <c r="J86" s="9"/>
      <c r="K86" s="9"/>
    </row>
    <row r="87" spans="2:11" hidden="1" x14ac:dyDescent="0.35">
      <c r="C87" s="9"/>
      <c r="D87" s="9"/>
      <c r="E87" s="9"/>
      <c r="F87" s="9"/>
      <c r="G87" s="9"/>
      <c r="H87" s="9"/>
      <c r="I87" s="9"/>
      <c r="J87" s="9"/>
      <c r="K87" s="9"/>
    </row>
    <row r="88" spans="2:11" hidden="1" x14ac:dyDescent="0.35">
      <c r="C88" s="9"/>
      <c r="D88" s="9"/>
      <c r="E88" s="9"/>
      <c r="F88" s="9"/>
      <c r="G88" s="9"/>
      <c r="H88" s="9"/>
      <c r="I88" s="9"/>
      <c r="J88" s="9"/>
      <c r="K88" s="9"/>
    </row>
    <row r="89" spans="2:11" hidden="1" x14ac:dyDescent="0.35">
      <c r="C89" s="9"/>
      <c r="D89" s="9"/>
      <c r="E89" s="9"/>
      <c r="F89" s="9"/>
      <c r="G89" s="9"/>
      <c r="H89" s="9"/>
      <c r="I89" s="9"/>
      <c r="J89" s="9"/>
      <c r="K89" s="9"/>
    </row>
    <row r="90" spans="2:11" hidden="1" x14ac:dyDescent="0.35">
      <c r="C90" s="9"/>
      <c r="D90" s="9"/>
      <c r="E90" s="9"/>
      <c r="F90" s="9"/>
      <c r="G90" s="9"/>
      <c r="H90" s="9"/>
      <c r="I90" s="9"/>
      <c r="J90" s="9"/>
      <c r="K90" s="9"/>
    </row>
    <row r="91" spans="2:11" hidden="1" x14ac:dyDescent="0.35">
      <c r="C91" s="9"/>
      <c r="D91" s="9"/>
      <c r="E91" s="9"/>
      <c r="F91" s="9"/>
      <c r="G91" s="9"/>
      <c r="H91" s="9"/>
      <c r="I91" s="9"/>
      <c r="J91" s="9"/>
      <c r="K91" s="9"/>
    </row>
    <row r="92" spans="2:11" hidden="1" x14ac:dyDescent="0.35">
      <c r="C92" s="9"/>
      <c r="D92" s="9"/>
      <c r="E92" s="9"/>
      <c r="F92" s="9"/>
      <c r="G92" s="9"/>
      <c r="H92" s="9"/>
      <c r="I92" s="9"/>
      <c r="J92" s="9"/>
      <c r="K92" s="9"/>
    </row>
    <row r="93" spans="2:11" hidden="1" x14ac:dyDescent="0.35">
      <c r="C93" s="9"/>
      <c r="D93" s="9"/>
      <c r="E93" s="9"/>
      <c r="F93" s="9"/>
      <c r="G93" s="9"/>
      <c r="H93" s="9"/>
      <c r="I93" s="9"/>
      <c r="J93" s="9"/>
      <c r="K93" s="9"/>
    </row>
    <row r="94" spans="2:11" hidden="1" x14ac:dyDescent="0.35">
      <c r="C94" s="9"/>
      <c r="D94" s="9"/>
      <c r="E94" s="9"/>
      <c r="F94" s="9"/>
      <c r="G94" s="9"/>
      <c r="H94" s="9"/>
      <c r="I94" s="9"/>
      <c r="J94" s="9"/>
      <c r="K94" s="9"/>
    </row>
    <row r="95" spans="2:11" hidden="1" x14ac:dyDescent="0.35">
      <c r="C95" s="9"/>
      <c r="D95" s="9"/>
      <c r="E95" s="9"/>
      <c r="F95" s="9"/>
      <c r="G95" s="9"/>
      <c r="H95" s="9"/>
      <c r="I95" s="9"/>
      <c r="J95" s="9"/>
      <c r="K95" s="9"/>
    </row>
    <row r="96" spans="2:11" hidden="1" x14ac:dyDescent="0.35">
      <c r="C96" s="9"/>
      <c r="D96" s="9"/>
      <c r="E96" s="9"/>
      <c r="F96" s="9"/>
      <c r="G96" s="9"/>
      <c r="H96" s="9"/>
      <c r="I96" s="9"/>
      <c r="J96" s="9"/>
      <c r="K96" s="9"/>
    </row>
    <row r="97" spans="3:11" hidden="1" x14ac:dyDescent="0.35">
      <c r="C97" s="9"/>
      <c r="D97" s="9"/>
      <c r="E97" s="9"/>
      <c r="F97" s="9"/>
      <c r="G97" s="9"/>
      <c r="H97" s="9"/>
      <c r="I97" s="9"/>
      <c r="J97" s="9"/>
      <c r="K97" s="9"/>
    </row>
    <row r="98" spans="3:11" hidden="1" x14ac:dyDescent="0.35">
      <c r="C98" s="9"/>
      <c r="D98" s="9"/>
      <c r="E98" s="9"/>
      <c r="F98" s="9"/>
      <c r="G98" s="9"/>
      <c r="H98" s="9"/>
      <c r="I98" s="9"/>
      <c r="J98" s="9"/>
      <c r="K98" s="9"/>
    </row>
    <row r="99" spans="3:11" hidden="1" x14ac:dyDescent="0.35">
      <c r="C99" s="9"/>
      <c r="D99" s="9"/>
      <c r="E99" s="9"/>
      <c r="F99" s="9"/>
      <c r="G99" s="9"/>
      <c r="H99" s="9"/>
      <c r="I99" s="9"/>
      <c r="J99" s="9"/>
      <c r="K99" s="9"/>
    </row>
    <row r="100" spans="3:11" hidden="1" x14ac:dyDescent="0.35">
      <c r="C100" s="9"/>
      <c r="D100" s="9"/>
      <c r="E100" s="9"/>
      <c r="F100" s="9"/>
      <c r="G100" s="9"/>
      <c r="H100" s="9"/>
      <c r="I100" s="9"/>
      <c r="J100" s="9"/>
      <c r="K100" s="9"/>
    </row>
    <row r="101" spans="3:11" hidden="1" x14ac:dyDescent="0.35">
      <c r="C101" s="9"/>
      <c r="D101" s="9"/>
      <c r="E101" s="9"/>
      <c r="F101" s="9"/>
      <c r="G101" s="9"/>
      <c r="H101" s="9"/>
      <c r="I101" s="9"/>
      <c r="J101" s="9"/>
      <c r="K101" s="9"/>
    </row>
    <row r="102" spans="3:11" hidden="1" x14ac:dyDescent="0.35">
      <c r="C102" s="9"/>
      <c r="D102" s="9"/>
      <c r="E102" s="9"/>
      <c r="F102" s="9"/>
      <c r="G102" s="9"/>
      <c r="H102" s="9"/>
      <c r="I102" s="9"/>
      <c r="J102" s="9"/>
      <c r="K102" s="9"/>
    </row>
    <row r="103" spans="3:11" hidden="1" x14ac:dyDescent="0.35">
      <c r="C103" s="9"/>
      <c r="D103" s="9"/>
      <c r="E103" s="9"/>
      <c r="F103" s="9"/>
      <c r="G103" s="9"/>
      <c r="H103" s="9"/>
      <c r="I103" s="9"/>
      <c r="J103" s="9"/>
      <c r="K103" s="9"/>
    </row>
    <row r="104" spans="3:11" hidden="1" x14ac:dyDescent="0.35">
      <c r="C104" s="9"/>
      <c r="D104" s="9"/>
      <c r="E104" s="9"/>
      <c r="F104" s="9"/>
      <c r="G104" s="9"/>
      <c r="H104" s="9"/>
      <c r="I104" s="9"/>
      <c r="J104" s="9"/>
      <c r="K104" s="9"/>
    </row>
    <row r="105" spans="3:11" hidden="1" x14ac:dyDescent="0.35">
      <c r="C105" s="9"/>
      <c r="D105" s="9"/>
      <c r="E105" s="9"/>
      <c r="F105" s="9"/>
      <c r="G105" s="9"/>
      <c r="H105" s="9"/>
      <c r="I105" s="9"/>
      <c r="J105" s="9"/>
      <c r="K105" s="9"/>
    </row>
    <row r="106" spans="3:11" hidden="1" x14ac:dyDescent="0.35">
      <c r="C106" s="9"/>
      <c r="D106" s="9"/>
      <c r="E106" s="9"/>
      <c r="F106" s="9"/>
      <c r="G106" s="9"/>
      <c r="H106" s="9"/>
      <c r="I106" s="9"/>
      <c r="J106" s="9"/>
      <c r="K106" s="9"/>
    </row>
    <row r="107" spans="3:11" hidden="1" x14ac:dyDescent="0.35">
      <c r="C107" s="9"/>
      <c r="D107" s="9"/>
      <c r="E107" s="9"/>
      <c r="F107" s="9"/>
      <c r="G107" s="9"/>
      <c r="H107" s="9"/>
      <c r="I107" s="9"/>
      <c r="J107" s="9"/>
      <c r="K107" s="9"/>
    </row>
    <row r="108" spans="3:11" hidden="1" x14ac:dyDescent="0.35">
      <c r="C108" s="9"/>
      <c r="D108" s="9"/>
      <c r="E108" s="9"/>
      <c r="F108" s="9"/>
      <c r="G108" s="9"/>
      <c r="H108" s="9"/>
      <c r="I108" s="9"/>
      <c r="J108" s="9"/>
      <c r="K108" s="9"/>
    </row>
    <row r="109" spans="3:11" hidden="1" x14ac:dyDescent="0.35">
      <c r="C109" s="9"/>
      <c r="D109" s="9"/>
      <c r="E109" s="9"/>
      <c r="F109" s="9"/>
      <c r="G109" s="9"/>
      <c r="H109" s="9"/>
      <c r="I109" s="9"/>
      <c r="J109" s="9"/>
      <c r="K109" s="9"/>
    </row>
    <row r="110" spans="3:11" hidden="1" x14ac:dyDescent="0.35">
      <c r="C110" s="9"/>
      <c r="D110" s="9"/>
      <c r="E110" s="9"/>
      <c r="F110" s="9"/>
      <c r="G110" s="9"/>
      <c r="H110" s="9"/>
      <c r="I110" s="9"/>
      <c r="J110" s="9"/>
      <c r="K110" s="9"/>
    </row>
    <row r="111" spans="3:11" hidden="1" x14ac:dyDescent="0.35">
      <c r="C111" s="9"/>
      <c r="D111" s="9"/>
      <c r="E111" s="9"/>
      <c r="F111" s="9"/>
      <c r="G111" s="9"/>
      <c r="H111" s="9"/>
      <c r="I111" s="9"/>
      <c r="J111" s="9"/>
      <c r="K111" s="9"/>
    </row>
    <row r="112" spans="3:11" hidden="1" x14ac:dyDescent="0.35">
      <c r="C112" s="9"/>
      <c r="D112" s="9"/>
      <c r="E112" s="9"/>
      <c r="F112" s="9"/>
      <c r="G112" s="9"/>
      <c r="H112" s="9"/>
      <c r="I112" s="9"/>
      <c r="J112" s="9"/>
      <c r="K112" s="9"/>
    </row>
    <row r="113" spans="2:11" hidden="1" x14ac:dyDescent="0.35">
      <c r="C113" s="9"/>
      <c r="D113" s="9"/>
      <c r="E113" s="9"/>
      <c r="F113" s="9"/>
      <c r="G113" s="9"/>
      <c r="H113" s="9"/>
      <c r="I113" s="9"/>
      <c r="J113" s="9"/>
      <c r="K113" s="9"/>
    </row>
    <row r="114" spans="2:11" hidden="1" x14ac:dyDescent="0.35">
      <c r="C114" s="9"/>
      <c r="D114" s="9"/>
      <c r="E114" s="9"/>
      <c r="F114" s="9"/>
      <c r="G114" s="9"/>
      <c r="H114" s="9"/>
      <c r="I114" s="9"/>
      <c r="J114" s="9"/>
      <c r="K114" s="9"/>
    </row>
    <row r="115" spans="2:11" hidden="1" x14ac:dyDescent="0.35">
      <c r="C115" s="9"/>
      <c r="D115" s="9"/>
      <c r="E115" s="9"/>
      <c r="F115" s="9"/>
      <c r="G115" s="9"/>
      <c r="H115" s="9"/>
      <c r="I115" s="9"/>
      <c r="J115" s="9"/>
      <c r="K115" s="9"/>
    </row>
    <row r="116" spans="2:11" hidden="1" x14ac:dyDescent="0.35">
      <c r="C116" s="9"/>
      <c r="D116" s="9"/>
      <c r="E116" s="9"/>
      <c r="F116" s="9"/>
      <c r="G116" s="9"/>
      <c r="H116" s="9"/>
      <c r="I116" s="9"/>
      <c r="J116" s="9"/>
      <c r="K116" s="9"/>
    </row>
    <row r="117" spans="2:11" hidden="1" x14ac:dyDescent="0.35">
      <c r="C117" s="9"/>
      <c r="D117" s="9"/>
      <c r="E117" s="9"/>
      <c r="F117" s="9"/>
      <c r="G117" s="9"/>
      <c r="H117" s="9"/>
      <c r="I117" s="9"/>
      <c r="J117" s="9"/>
      <c r="K117" s="9"/>
    </row>
    <row r="118" spans="2:11" hidden="1" x14ac:dyDescent="0.35">
      <c r="C118" s="9"/>
      <c r="D118" s="9"/>
      <c r="E118" s="9"/>
      <c r="F118" s="9"/>
      <c r="G118" s="9"/>
      <c r="H118" s="9"/>
      <c r="I118" s="9"/>
      <c r="J118" s="9"/>
      <c r="K118" s="9"/>
    </row>
    <row r="119" spans="2:11" hidden="1" x14ac:dyDescent="0.35">
      <c r="C119" s="9"/>
      <c r="D119" s="9"/>
      <c r="E119" s="9"/>
      <c r="F119" s="9"/>
      <c r="G119" s="9"/>
      <c r="H119" s="9"/>
      <c r="I119" s="9"/>
      <c r="J119" s="9"/>
      <c r="K119" s="9"/>
    </row>
    <row r="120" spans="2:11" hidden="1" x14ac:dyDescent="0.35">
      <c r="C120" s="9"/>
      <c r="D120" s="9"/>
      <c r="E120" s="9"/>
      <c r="F120" s="9"/>
      <c r="G120" s="9"/>
      <c r="H120" s="9"/>
      <c r="I120" s="9"/>
      <c r="J120" s="9"/>
      <c r="K120" s="9"/>
    </row>
    <row r="121" spans="2:11" hidden="1" x14ac:dyDescent="0.35">
      <c r="C121" s="9"/>
      <c r="D121" s="9"/>
      <c r="E121" s="9"/>
      <c r="F121" s="9"/>
      <c r="G121" s="9"/>
      <c r="H121" s="9"/>
      <c r="I121" s="9"/>
      <c r="J121" s="9"/>
      <c r="K121" s="9"/>
    </row>
    <row r="122" spans="2:11" hidden="1" x14ac:dyDescent="0.35">
      <c r="C122" s="9"/>
      <c r="D122" s="9"/>
      <c r="E122" s="9"/>
      <c r="F122" s="9"/>
      <c r="G122" s="9"/>
      <c r="H122" s="9"/>
      <c r="I122" s="9"/>
      <c r="J122" s="9"/>
      <c r="K122" s="9"/>
    </row>
    <row r="123" spans="2:11" x14ac:dyDescent="0.35"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2:11" x14ac:dyDescent="0.35">
      <c r="B124" s="7"/>
      <c r="C124" s="11"/>
      <c r="D124" s="11"/>
      <c r="E124" s="11"/>
    </row>
    <row r="125" spans="2:11" x14ac:dyDescent="0.35">
      <c r="B125" s="10"/>
      <c r="C125" s="2"/>
      <c r="D125" s="2"/>
      <c r="E125" s="12"/>
      <c r="F125" s="4"/>
      <c r="K125" s="5"/>
    </row>
    <row r="126" spans="2:11" x14ac:dyDescent="0.35">
      <c r="B126" s="21"/>
      <c r="C126" s="18"/>
      <c r="D126" s="18"/>
      <c r="E126" s="19"/>
      <c r="F126" s="20"/>
      <c r="G126" s="8"/>
      <c r="K126" s="5"/>
    </row>
    <row r="127" spans="2:11" x14ac:dyDescent="0.35">
      <c r="C127" s="4"/>
      <c r="D127" s="4"/>
      <c r="E127" s="1"/>
      <c r="F127" s="4"/>
      <c r="K127" s="47"/>
    </row>
    <row r="128" spans="2:11" x14ac:dyDescent="0.35">
      <c r="C128" s="4"/>
      <c r="D128" s="4"/>
      <c r="E128" s="1"/>
      <c r="F128" s="4"/>
      <c r="K128" s="13"/>
    </row>
    <row r="129" spans="2:11" x14ac:dyDescent="0.35">
      <c r="B129" s="14"/>
      <c r="C129" s="18"/>
      <c r="D129" s="18"/>
      <c r="E129" s="19"/>
      <c r="F129" s="20"/>
      <c r="G129" s="8"/>
      <c r="I129" s="8"/>
      <c r="J129" s="15"/>
      <c r="K129" s="47"/>
    </row>
    <row r="130" spans="2:11" x14ac:dyDescent="0.35">
      <c r="C130" s="4"/>
      <c r="D130" s="4"/>
      <c r="E130" s="1"/>
      <c r="F130" s="4"/>
      <c r="J130" s="4"/>
      <c r="K130" s="7"/>
    </row>
    <row r="131" spans="2:11" x14ac:dyDescent="0.35">
      <c r="C131" s="4"/>
      <c r="D131" s="4"/>
      <c r="E131" s="1"/>
      <c r="F131" s="4"/>
      <c r="K131" s="7"/>
    </row>
    <row r="132" spans="2:11" x14ac:dyDescent="0.35">
      <c r="C132" s="4"/>
      <c r="D132" s="4"/>
      <c r="E132" s="1"/>
      <c r="F132" s="4"/>
      <c r="G132" s="7"/>
      <c r="I132" s="6"/>
      <c r="J132" s="8"/>
      <c r="K132" s="7"/>
    </row>
    <row r="133" spans="2:11" x14ac:dyDescent="0.35">
      <c r="C133" s="4"/>
      <c r="D133" s="4"/>
      <c r="E133" s="1"/>
      <c r="F133" s="4"/>
      <c r="G133" s="5"/>
      <c r="I133" s="6"/>
      <c r="J133" s="8"/>
    </row>
    <row r="134" spans="2:11" x14ac:dyDescent="0.35">
      <c r="C134" s="4"/>
      <c r="D134" s="4"/>
      <c r="E134" s="1"/>
      <c r="F134" s="4"/>
      <c r="G134" s="7"/>
      <c r="I134" s="6"/>
      <c r="J134" s="8"/>
    </row>
    <row r="135" spans="2:11" x14ac:dyDescent="0.35">
      <c r="C135" s="4"/>
      <c r="D135" s="4"/>
      <c r="E135" s="1"/>
      <c r="F135" s="4"/>
      <c r="G135" s="7"/>
      <c r="I135" s="6"/>
      <c r="J135" s="4"/>
    </row>
    <row r="136" spans="2:11" x14ac:dyDescent="0.35">
      <c r="C136" s="4"/>
      <c r="D136" s="4"/>
      <c r="E136" s="1"/>
      <c r="F136" s="4"/>
      <c r="G136" s="7"/>
      <c r="I136" s="6"/>
      <c r="J136" s="4"/>
    </row>
    <row r="137" spans="2:11" x14ac:dyDescent="0.35">
      <c r="B137" s="14"/>
      <c r="C137" s="18"/>
      <c r="D137" s="18"/>
      <c r="E137" s="19"/>
      <c r="F137" s="20"/>
      <c r="G137" s="8"/>
      <c r="J137" s="4"/>
    </row>
    <row r="138" spans="2:11" x14ac:dyDescent="0.35">
      <c r="C138" s="4"/>
      <c r="D138" s="4"/>
      <c r="E138" s="1"/>
      <c r="F138" s="4"/>
      <c r="J138" s="4"/>
    </row>
    <row r="139" spans="2:11" x14ac:dyDescent="0.35">
      <c r="C139" s="4"/>
      <c r="D139" s="4"/>
      <c r="E139" s="1"/>
      <c r="F139" s="4"/>
      <c r="J139" s="4"/>
      <c r="K139" s="17"/>
    </row>
    <row r="140" spans="2:11" x14ac:dyDescent="0.35">
      <c r="C140" s="4"/>
      <c r="D140" s="4"/>
      <c r="E140" s="1"/>
      <c r="F140" s="4"/>
      <c r="J140" s="4"/>
    </row>
    <row r="141" spans="2:11" x14ac:dyDescent="0.35">
      <c r="C141" s="4"/>
      <c r="D141" s="4"/>
      <c r="E141" s="1"/>
      <c r="F141" s="4"/>
      <c r="J141" s="4"/>
    </row>
    <row r="142" spans="2:11" x14ac:dyDescent="0.35">
      <c r="C142" s="4"/>
      <c r="D142" s="4"/>
      <c r="E142" s="1"/>
      <c r="F142" s="4"/>
      <c r="I142" s="47"/>
      <c r="J142" s="4"/>
    </row>
    <row r="143" spans="2:11" x14ac:dyDescent="0.35">
      <c r="C143" s="4"/>
      <c r="D143" s="4"/>
      <c r="E143" s="1"/>
      <c r="F143" s="4"/>
      <c r="J143" s="4"/>
    </row>
    <row r="144" spans="2:11" x14ac:dyDescent="0.35">
      <c r="C144" s="4"/>
      <c r="D144" s="4"/>
      <c r="E144" s="1"/>
      <c r="F144" s="4"/>
      <c r="J144" s="4"/>
    </row>
    <row r="145" spans="2:10" x14ac:dyDescent="0.35">
      <c r="B145" s="14"/>
      <c r="C145" s="18"/>
      <c r="D145" s="18"/>
      <c r="E145" s="19"/>
      <c r="F145" s="20"/>
      <c r="G145" s="8"/>
      <c r="J145" s="4"/>
    </row>
    <row r="146" spans="2:10" x14ac:dyDescent="0.35">
      <c r="C146" s="4"/>
      <c r="D146" s="4"/>
      <c r="E146" s="1"/>
      <c r="F146" s="4"/>
      <c r="J146" s="4"/>
    </row>
    <row r="147" spans="2:10" x14ac:dyDescent="0.35">
      <c r="C147" s="4"/>
      <c r="D147" s="4"/>
      <c r="E147" s="1"/>
      <c r="F147" s="4"/>
      <c r="J147" s="4"/>
    </row>
    <row r="148" spans="2:10" x14ac:dyDescent="0.35">
      <c r="C148" s="4"/>
      <c r="D148" s="4"/>
      <c r="E148" s="1"/>
      <c r="F148" s="4"/>
      <c r="J148" s="4"/>
    </row>
    <row r="149" spans="2:10" x14ac:dyDescent="0.35">
      <c r="C149" s="4"/>
      <c r="D149" s="4"/>
      <c r="E149" s="1"/>
      <c r="F149" s="4"/>
      <c r="J149" s="4"/>
    </row>
    <row r="150" spans="2:10" x14ac:dyDescent="0.35">
      <c r="B150" s="14"/>
      <c r="C150" s="18"/>
      <c r="D150" s="18"/>
      <c r="E150" s="19"/>
      <c r="F150" s="20"/>
      <c r="G150" s="8"/>
      <c r="J150" s="4"/>
    </row>
    <row r="151" spans="2:10" x14ac:dyDescent="0.35">
      <c r="C151" s="4"/>
      <c r="D151" s="4"/>
      <c r="E151" s="1"/>
      <c r="F151" s="4"/>
    </row>
    <row r="152" spans="2:10" x14ac:dyDescent="0.35">
      <c r="C152" s="4"/>
      <c r="D152" s="4"/>
      <c r="E152" s="1"/>
      <c r="F152" s="4"/>
    </row>
    <row r="153" spans="2:10" x14ac:dyDescent="0.35">
      <c r="C153" s="4"/>
      <c r="D153" s="4"/>
      <c r="E153" s="1"/>
      <c r="F153" s="4"/>
    </row>
    <row r="154" spans="2:10" x14ac:dyDescent="0.35">
      <c r="E154" s="1"/>
      <c r="J15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Rajeev Ranjan</cp:lastModifiedBy>
  <dcterms:created xsi:type="dcterms:W3CDTF">2015-06-05T18:17:20Z</dcterms:created>
  <dcterms:modified xsi:type="dcterms:W3CDTF">2026-06-25T07:10:51Z</dcterms:modified>
</cp:coreProperties>
</file>