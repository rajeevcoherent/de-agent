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192.168.0.190\IT-Temp-Folder\Vijay Budhwani\Data files\"/>
    </mc:Choice>
  </mc:AlternateContent>
  <xr:revisionPtr revIDLastSave="0" documentId="13_ncr:1_{9E5347F3-62D9-4FF7-B1B8-BF885FB4E7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3" r:id="rId1"/>
    <sheet name="AS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C40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C44" i="2"/>
  <c r="C45" i="2"/>
  <c r="C46" i="2"/>
  <c r="C47" i="2"/>
  <c r="C48" i="2"/>
  <c r="C49" i="2"/>
  <c r="C43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C32" i="2"/>
  <c r="C33" i="2"/>
  <c r="C34" i="2"/>
  <c r="C35" i="2"/>
  <c r="C36" i="2"/>
  <c r="C37" i="2"/>
  <c r="C31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C28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E94" i="3"/>
  <c r="E95" i="3"/>
  <c r="E93" i="3"/>
  <c r="E92" i="3"/>
  <c r="E90" i="3"/>
  <c r="E91" i="3"/>
  <c r="E89" i="3"/>
  <c r="E88" i="3"/>
  <c r="E85" i="3"/>
  <c r="E86" i="3"/>
  <c r="E87" i="3"/>
  <c r="E84" i="3"/>
  <c r="E83" i="3"/>
  <c r="E77" i="3"/>
  <c r="E78" i="3"/>
  <c r="E79" i="3"/>
  <c r="E80" i="3"/>
  <c r="E81" i="3"/>
  <c r="E82" i="3"/>
  <c r="E76" i="3"/>
  <c r="E75" i="3"/>
  <c r="E69" i="3"/>
  <c r="E70" i="3"/>
  <c r="E71" i="3"/>
  <c r="E72" i="3"/>
  <c r="E73" i="3"/>
  <c r="E74" i="3"/>
  <c r="E68" i="3"/>
  <c r="E67" i="3"/>
  <c r="E66" i="3"/>
  <c r="E65" i="3"/>
  <c r="E64" i="3"/>
  <c r="E57" i="3"/>
  <c r="E58" i="3"/>
  <c r="E59" i="3"/>
  <c r="E60" i="3"/>
  <c r="E61" i="3"/>
  <c r="E56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C51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C44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C3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C14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C11" i="3"/>
  <c r="AA2" i="2" l="1"/>
  <c r="Z2" i="2"/>
  <c r="Y2" i="2"/>
  <c r="W2" i="2"/>
  <c r="T2" i="2"/>
  <c r="R2" i="2"/>
  <c r="Q2" i="2"/>
  <c r="P2" i="2"/>
  <c r="O2" i="2"/>
  <c r="N2" i="2"/>
  <c r="M2" i="2"/>
  <c r="L2" i="2"/>
  <c r="G2" i="2"/>
  <c r="F2" i="2"/>
  <c r="D2" i="2"/>
  <c r="I2" i="2" l="1"/>
  <c r="AB2" i="2"/>
  <c r="V2" i="2"/>
  <c r="X2" i="2"/>
  <c r="U2" i="2"/>
  <c r="S2" i="2"/>
  <c r="K2" i="2"/>
  <c r="J2" i="2"/>
  <c r="H2" i="2"/>
  <c r="E2" i="2"/>
  <c r="C2" i="2" l="1"/>
  <c r="B40" i="2"/>
</calcChain>
</file>

<file path=xl/sharedStrings.xml><?xml version="1.0" encoding="utf-8"?>
<sst xmlns="http://schemas.openxmlformats.org/spreadsheetml/2006/main" count="1598" uniqueCount="101">
  <si>
    <t>CAGR</t>
  </si>
  <si>
    <t>By Resin / Chemistry Type</t>
  </si>
  <si>
    <t>Acrylic Adhesives</t>
  </si>
  <si>
    <t>North America</t>
  </si>
  <si>
    <t>Epoxy Adhesives</t>
  </si>
  <si>
    <t>U.S.</t>
  </si>
  <si>
    <t>Polyurethane Adhesives</t>
  </si>
  <si>
    <t>Canada</t>
  </si>
  <si>
    <t>Silicone Adhesives</t>
  </si>
  <si>
    <t>Europe</t>
  </si>
  <si>
    <t>Cyanoacrylate Adhesives</t>
  </si>
  <si>
    <t>Germany</t>
  </si>
  <si>
    <t>Ethylene Vinyl Acetate Adhesives</t>
  </si>
  <si>
    <t>U.K.</t>
  </si>
  <si>
    <t>Others (Polyvinyl Acetate, Rubber-based, Phenolic, etc.)</t>
  </si>
  <si>
    <t>France</t>
  </si>
  <si>
    <t>Italy</t>
  </si>
  <si>
    <t>By Formulation</t>
  </si>
  <si>
    <t>Spain</t>
  </si>
  <si>
    <t>Water Based Adhesives</t>
  </si>
  <si>
    <t>Russia</t>
  </si>
  <si>
    <t>Solvent Based Adhesives</t>
  </si>
  <si>
    <t>Rest of Europe</t>
  </si>
  <si>
    <t>Hot Melt Adhesives</t>
  </si>
  <si>
    <t>Asia Pacific</t>
  </si>
  <si>
    <t>Reactive Adhesives</t>
  </si>
  <si>
    <t>China</t>
  </si>
  <si>
    <t>UV Cured / Light Cured Adhesives</t>
  </si>
  <si>
    <t>India</t>
  </si>
  <si>
    <t>Pressure Sensitive Adhesives</t>
  </si>
  <si>
    <t>Japan</t>
  </si>
  <si>
    <t>Adhesive Films and Tapes</t>
  </si>
  <si>
    <t>South Korea</t>
  </si>
  <si>
    <t>ASEAN</t>
  </si>
  <si>
    <t>By Bonding Type</t>
  </si>
  <si>
    <t>Australia</t>
  </si>
  <si>
    <t>Structural Bonding</t>
  </si>
  <si>
    <t>Rest of Asia Pacific</t>
  </si>
  <si>
    <t>Non-Structural Bonding</t>
  </si>
  <si>
    <t>Latin America</t>
  </si>
  <si>
    <t>Flexible / Elastic Bonding</t>
  </si>
  <si>
    <t>Brazil</t>
  </si>
  <si>
    <t>Surface Lamination Bonding</t>
  </si>
  <si>
    <t>Mexico</t>
  </si>
  <si>
    <t>Assembly Bonding</t>
  </si>
  <si>
    <t>Argentina</t>
  </si>
  <si>
    <t>Temporary / Removable Bonding</t>
  </si>
  <si>
    <t>Rest of Latin America</t>
  </si>
  <si>
    <t>Hybrid Bonding</t>
  </si>
  <si>
    <t>Middle East</t>
  </si>
  <si>
    <t>Israel</t>
  </si>
  <si>
    <t>By Substrate</t>
  </si>
  <si>
    <t>GCC</t>
  </si>
  <si>
    <t>Metal</t>
  </si>
  <si>
    <t>Rest of Middle East</t>
  </si>
  <si>
    <t>Plastic</t>
  </si>
  <si>
    <t>Africa</t>
  </si>
  <si>
    <t>Composite</t>
  </si>
  <si>
    <t>North Africa</t>
  </si>
  <si>
    <t>Glass</t>
  </si>
  <si>
    <t>Central Africa</t>
  </si>
  <si>
    <t>Paper &amp; Paperboard</t>
  </si>
  <si>
    <t>South Africa</t>
  </si>
  <si>
    <t>Wood</t>
  </si>
  <si>
    <t>Others (Rubber, Textile, etc.)</t>
  </si>
  <si>
    <t>By End Use</t>
  </si>
  <si>
    <t>Automotive</t>
  </si>
  <si>
    <t>Consumer Electronics</t>
  </si>
  <si>
    <t>Aerospace</t>
  </si>
  <si>
    <t>Packaging</t>
  </si>
  <si>
    <t>Building &amp; Construction</t>
  </si>
  <si>
    <t>Medical Devices</t>
  </si>
  <si>
    <t>Consumer Goods</t>
  </si>
  <si>
    <t>Others (Furniture, Footwear, etc.)</t>
  </si>
  <si>
    <t>By Distribution Channel</t>
  </si>
  <si>
    <t>Direct OEM Supplies</t>
  </si>
  <si>
    <t>Indirect (via Distributors)</t>
  </si>
  <si>
    <t>By Product</t>
  </si>
  <si>
    <t>Adhesives</t>
  </si>
  <si>
    <t>ASP4</t>
  </si>
  <si>
    <t>ASP6</t>
  </si>
  <si>
    <t>ASP5</t>
  </si>
  <si>
    <t>ASP7</t>
  </si>
  <si>
    <t>ASP8</t>
  </si>
  <si>
    <t>ASP3</t>
  </si>
  <si>
    <t>ASP2</t>
  </si>
  <si>
    <t>ASP1</t>
  </si>
  <si>
    <t>ASP9</t>
  </si>
  <si>
    <t>Ktons</t>
  </si>
  <si>
    <t>Market Size US$ Mn in 2025</t>
  </si>
  <si>
    <t>Share</t>
  </si>
  <si>
    <t>Value</t>
  </si>
  <si>
    <t>CMI_Trend_56</t>
  </si>
  <si>
    <t>CMI_Trend_38</t>
  </si>
  <si>
    <t>CMI_Trend_25</t>
  </si>
  <si>
    <t>CMI_Trend_46</t>
  </si>
  <si>
    <t>CMI_Trend_20</t>
  </si>
  <si>
    <t>CMI_Trend_52</t>
  </si>
  <si>
    <t>CMI_Trend_60</t>
  </si>
  <si>
    <t>Adhesive &amp; Bonding Market</t>
  </si>
  <si>
    <t>Market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</si>
</sst>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 ;_ * \-#,##0.00_ ;_ * &quot;-&quot;??_ ;_ @_ "/>
    <numFmt numFmtId="165" formatCode="0.0%"/>
    <numFmt numFmtId="166" formatCode="0.0"/>
    <numFmt numFmtId="167" formatCode="_ * #,##0.0_ ;_ * \-#,##0.0_ ;_ * &quot;-&quot;??_ ;_ @_ "/>
    <numFmt numFmtId="168" formatCode="_(* #,##0.0_);_(* \(#,##0.0\);_(* &quot;-&quot;??_);_(@_)"/>
  </numFmts>
  <fonts count="8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rlito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DDEBF7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2"/>
    <xf numFmtId="168" fontId="2" fillId="0" borderId="0" xfId="2" applyNumberFormat="1"/>
    <xf numFmtId="9" fontId="2" fillId="0" borderId="0" xfId="2" applyNumberFormat="1"/>
    <xf numFmtId="43" fontId="2" fillId="0" borderId="0" xfId="2" applyNumberFormat="1"/>
    <xf numFmtId="0" fontId="2" fillId="0" borderId="1" xfId="2" applyBorder="1" applyAlignment="1">
      <alignment horizontal="center" vertical="center"/>
    </xf>
    <xf numFmtId="0" fontId="4" fillId="5" borderId="1" xfId="2" applyFont="1" applyFill="1" applyBorder="1"/>
    <xf numFmtId="165" fontId="0" fillId="0" borderId="0" xfId="3" applyNumberFormat="1" applyFont="1" applyAlignment="1">
      <alignment horizontal="center" vertical="center"/>
    </xf>
    <xf numFmtId="166" fontId="2" fillId="0" borderId="0" xfId="2" applyNumberFormat="1" applyAlignment="1">
      <alignment horizontal="center" vertical="center"/>
    </xf>
    <xf numFmtId="0" fontId="4" fillId="0" borderId="0" xfId="2" applyFont="1"/>
    <xf numFmtId="165" fontId="2" fillId="0" borderId="0" xfId="2" applyNumberFormat="1" applyAlignment="1">
      <alignment horizontal="center" vertical="center"/>
    </xf>
    <xf numFmtId="0" fontId="2" fillId="0" borderId="0" xfId="2" applyAlignment="1">
      <alignment horizontal="left" indent="1"/>
    </xf>
    <xf numFmtId="2" fontId="2" fillId="0" borderId="0" xfId="2" applyNumberFormat="1" applyAlignment="1">
      <alignment horizontal="center" vertical="center"/>
    </xf>
    <xf numFmtId="2" fontId="2" fillId="0" borderId="0" xfId="2" applyNumberFormat="1"/>
    <xf numFmtId="168" fontId="0" fillId="0" borderId="0" xfId="4" applyNumberFormat="1" applyFont="1"/>
    <xf numFmtId="2" fontId="2" fillId="0" borderId="1" xfId="2" applyNumberFormat="1" applyBorder="1" applyAlignment="1">
      <alignment horizontal="center" vertical="center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/>
    <xf numFmtId="0" fontId="6" fillId="0" borderId="0" xfId="0" applyFont="1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165" fontId="7" fillId="0" borderId="0" xfId="5" applyNumberFormat="1" applyFont="1" applyAlignment="1">
      <alignment horizontal="center" vertical="center"/>
    </xf>
    <xf numFmtId="165" fontId="7" fillId="0" borderId="0" xfId="0" applyNumberFormat="1" applyFont="1"/>
    <xf numFmtId="165" fontId="7" fillId="0" borderId="0" xfId="0" applyNumberFormat="1" applyFont="1" applyAlignment="1">
      <alignment horizontal="center" vertical="center"/>
    </xf>
    <xf numFmtId="43" fontId="7" fillId="0" borderId="0" xfId="0" applyNumberFormat="1" applyFont="1"/>
    <xf numFmtId="0" fontId="5" fillId="4" borderId="1" xfId="0" applyFont="1" applyFill="1" applyBorder="1" applyAlignment="1">
      <alignment vertical="center"/>
    </xf>
    <xf numFmtId="167" fontId="5" fillId="4" borderId="1" xfId="1" applyNumberFormat="1" applyFont="1" applyFill="1" applyBorder="1" applyAlignment="1">
      <alignment vertical="center"/>
    </xf>
    <xf numFmtId="165" fontId="6" fillId="2" borderId="1" xfId="0" applyNumberFormat="1" applyFont="1" applyFill="1" applyBorder="1"/>
    <xf numFmtId="165" fontId="6" fillId="2" borderId="1" xfId="0" applyNumberFormat="1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165" fontId="7" fillId="3" borderId="1" xfId="0" applyNumberFormat="1" applyFont="1" applyFill="1" applyBorder="1" applyAlignment="1">
      <alignment wrapText="1"/>
    </xf>
    <xf numFmtId="2" fontId="6" fillId="2" borderId="1" xfId="0" applyNumberFormat="1" applyFont="1" applyFill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wrapText="1"/>
    </xf>
    <xf numFmtId="166" fontId="2" fillId="0" borderId="0" xfId="2" applyNumberFormat="1"/>
    <xf numFmtId="2" fontId="7" fillId="0" borderId="0" xfId="0" applyNumberFormat="1" applyFont="1" applyAlignment="1">
      <alignment horizontal="center" vertical="center"/>
    </xf>
  </cellXfs>
  <cellStyles count="8">
    <cellStyle name="Comma" xfId="1" builtinId="3"/>
    <cellStyle name="Comma 2" xfId="4" xr:uid="{98BF83D6-93B5-4846-8DB2-341C22E771B1}"/>
    <cellStyle name="Normal" xfId="0" builtinId="0"/>
    <cellStyle name="Normal 2" xfId="2" xr:uid="{FB60DEF5-3B7D-4B91-BA2C-424EB761E56C}"/>
    <cellStyle name="Normal 3" xfId="6" xr:uid="{82A50465-AD47-4AB7-97AC-B39859E3681B}"/>
    <cellStyle name="Percent" xfId="5" builtinId="5"/>
    <cellStyle name="Percent 2" xfId="3" xr:uid="{08E1B80D-D3C0-4C3B-836B-F9E1449A8D09}"/>
    <cellStyle name="Percent 3" xfId="7" xr:uid="{8AB1FE1B-22CE-4080-8EEA-B234C2700851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9BDD-ED94-4C24-8B64-4F2A046D7AEB}">
  <dimension ref="B1:CF95"/>
  <sheetViews>
    <sheetView tabSelected="1" zoomScale="90" zoomScaleNormal="90" workbookViewId="0">
      <pane xSplit="2" ySplit="3" topLeftCell="C4" activePane="bottomRight" state="frozen"/>
      <selection activeCell="C15" sqref="C15"/>
      <selection pane="topRight" activeCell="C15" sqref="C15"/>
      <selection pane="bottomLeft" activeCell="C15" sqref="C15"/>
      <selection pane="bottomRight" activeCell="C1" sqref="C1"/>
    </sheetView>
  </sheetViews>
  <sheetFormatPr defaultRowHeight="14.5"/>
  <cols>
    <col min="1" max="1" width="8.6640625" style="19"/>
    <col min="2" max="2" width="19.75" style="19" customWidth="1"/>
    <col min="3" max="4" width="8.6640625" style="19"/>
    <col min="5" max="5" width="9.33203125" style="19" bestFit="1" customWidth="1"/>
    <col min="6" max="16384" width="8.6640625" style="19"/>
  </cols>
  <sheetData>
    <row r="1" spans="2:84">
      <c r="B1" s="19" t="s">
        <v>100</v>
      </c>
      <c r="C1" s="18" t="s">
        <v>99</v>
      </c>
    </row>
    <row r="2" spans="2:84">
      <c r="C2" s="23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</row>
    <row r="3" spans="2:84">
      <c r="C3" s="20" t="s">
        <v>5</v>
      </c>
      <c r="D3" s="20" t="s">
        <v>7</v>
      </c>
      <c r="E3" s="20" t="s">
        <v>11</v>
      </c>
      <c r="F3" s="20" t="s">
        <v>13</v>
      </c>
      <c r="G3" s="20" t="s">
        <v>15</v>
      </c>
      <c r="H3" s="20" t="s">
        <v>16</v>
      </c>
      <c r="I3" s="20" t="s">
        <v>18</v>
      </c>
      <c r="J3" s="20" t="s">
        <v>20</v>
      </c>
      <c r="K3" s="20" t="s">
        <v>22</v>
      </c>
      <c r="L3" s="20" t="s">
        <v>26</v>
      </c>
      <c r="M3" s="20" t="s">
        <v>28</v>
      </c>
      <c r="N3" s="20" t="s">
        <v>30</v>
      </c>
      <c r="O3" s="20" t="s">
        <v>32</v>
      </c>
      <c r="P3" s="20" t="s">
        <v>33</v>
      </c>
      <c r="Q3" s="20" t="s">
        <v>35</v>
      </c>
      <c r="R3" s="20" t="s">
        <v>37</v>
      </c>
      <c r="S3" s="20" t="s">
        <v>41</v>
      </c>
      <c r="T3" s="20" t="s">
        <v>43</v>
      </c>
      <c r="U3" s="20" t="s">
        <v>45</v>
      </c>
      <c r="V3" s="20" t="s">
        <v>47</v>
      </c>
      <c r="W3" s="20" t="s">
        <v>50</v>
      </c>
      <c r="X3" s="20" t="s">
        <v>52</v>
      </c>
      <c r="Y3" s="20" t="s">
        <v>54</v>
      </c>
      <c r="Z3" s="20" t="s">
        <v>58</v>
      </c>
      <c r="AA3" s="20" t="s">
        <v>60</v>
      </c>
      <c r="AB3" s="20" t="s">
        <v>62</v>
      </c>
      <c r="AE3" s="20" t="s">
        <v>5</v>
      </c>
      <c r="AF3" s="20" t="s">
        <v>7</v>
      </c>
      <c r="AG3" s="20" t="s">
        <v>11</v>
      </c>
      <c r="AH3" s="20" t="s">
        <v>13</v>
      </c>
      <c r="AI3" s="20" t="s">
        <v>15</v>
      </c>
      <c r="AJ3" s="20" t="s">
        <v>16</v>
      </c>
      <c r="AK3" s="20" t="s">
        <v>18</v>
      </c>
      <c r="AL3" s="20" t="s">
        <v>20</v>
      </c>
      <c r="AM3" s="20" t="s">
        <v>22</v>
      </c>
      <c r="AN3" s="20" t="s">
        <v>26</v>
      </c>
      <c r="AO3" s="20" t="s">
        <v>28</v>
      </c>
      <c r="AP3" s="20" t="s">
        <v>30</v>
      </c>
      <c r="AQ3" s="20" t="s">
        <v>32</v>
      </c>
      <c r="AR3" s="20" t="s">
        <v>33</v>
      </c>
      <c r="AS3" s="20" t="s">
        <v>35</v>
      </c>
      <c r="AT3" s="20" t="s">
        <v>37</v>
      </c>
      <c r="AU3" s="20" t="s">
        <v>41</v>
      </c>
      <c r="AV3" s="20" t="s">
        <v>43</v>
      </c>
      <c r="AW3" s="20" t="s">
        <v>45</v>
      </c>
      <c r="AX3" s="20" t="s">
        <v>47</v>
      </c>
      <c r="AY3" s="20" t="s">
        <v>50</v>
      </c>
      <c r="AZ3" s="20" t="s">
        <v>52</v>
      </c>
      <c r="BA3" s="20" t="s">
        <v>54</v>
      </c>
      <c r="BB3" s="20" t="s">
        <v>58</v>
      </c>
      <c r="BC3" s="20" t="s">
        <v>60</v>
      </c>
      <c r="BD3" s="20" t="s">
        <v>62</v>
      </c>
      <c r="BG3" s="20" t="s">
        <v>5</v>
      </c>
      <c r="BH3" s="20" t="s">
        <v>7</v>
      </c>
      <c r="BI3" s="20" t="s">
        <v>11</v>
      </c>
      <c r="BJ3" s="20" t="s">
        <v>13</v>
      </c>
      <c r="BK3" s="20" t="s">
        <v>15</v>
      </c>
      <c r="BL3" s="20" t="s">
        <v>16</v>
      </c>
      <c r="BM3" s="20" t="s">
        <v>18</v>
      </c>
      <c r="BN3" s="20" t="s">
        <v>20</v>
      </c>
      <c r="BO3" s="20" t="s">
        <v>22</v>
      </c>
      <c r="BP3" s="20" t="s">
        <v>26</v>
      </c>
      <c r="BQ3" s="20" t="s">
        <v>28</v>
      </c>
      <c r="BR3" s="20" t="s">
        <v>30</v>
      </c>
      <c r="BS3" s="20" t="s">
        <v>32</v>
      </c>
      <c r="BT3" s="20" t="s">
        <v>33</v>
      </c>
      <c r="BU3" s="20" t="s">
        <v>35</v>
      </c>
      <c r="BV3" s="20" t="s">
        <v>37</v>
      </c>
      <c r="BW3" s="20" t="s">
        <v>41</v>
      </c>
      <c r="BX3" s="20" t="s">
        <v>43</v>
      </c>
      <c r="BY3" s="20" t="s">
        <v>45</v>
      </c>
      <c r="BZ3" s="20" t="s">
        <v>47</v>
      </c>
      <c r="CA3" s="20" t="s">
        <v>50</v>
      </c>
      <c r="CB3" s="20" t="s">
        <v>52</v>
      </c>
      <c r="CC3" s="20" t="s">
        <v>54</v>
      </c>
      <c r="CD3" s="20" t="s">
        <v>58</v>
      </c>
      <c r="CE3" s="20" t="s">
        <v>60</v>
      </c>
      <c r="CF3" s="20" t="s">
        <v>62</v>
      </c>
    </row>
    <row r="4" spans="2:84">
      <c r="B4" s="18" t="s">
        <v>1</v>
      </c>
      <c r="AD4" s="18" t="s">
        <v>1</v>
      </c>
      <c r="BF4" s="18" t="s">
        <v>1</v>
      </c>
    </row>
    <row r="5" spans="2:84">
      <c r="B5" s="19" t="s">
        <v>2</v>
      </c>
      <c r="C5" s="23">
        <v>0.1744</v>
      </c>
      <c r="D5" s="23">
        <v>0.16340000000000002</v>
      </c>
      <c r="E5" s="23">
        <v>0.1918</v>
      </c>
      <c r="F5" s="23">
        <v>0.17430000000000001</v>
      </c>
      <c r="G5" s="23">
        <v>0.16700000000000001</v>
      </c>
      <c r="H5" s="23">
        <v>0.15770000000000001</v>
      </c>
      <c r="I5" s="23">
        <v>0.1661</v>
      </c>
      <c r="J5" s="23">
        <v>0.1701</v>
      </c>
      <c r="K5" s="23">
        <v>0.188</v>
      </c>
      <c r="L5" s="23">
        <v>0.159</v>
      </c>
      <c r="M5" s="23">
        <v>0.19090000000000001</v>
      </c>
      <c r="N5" s="23">
        <v>0.17220000000000002</v>
      </c>
      <c r="O5" s="23">
        <v>0.1731</v>
      </c>
      <c r="P5" s="23">
        <v>0.18510000000000001</v>
      </c>
      <c r="Q5" s="23">
        <v>0.16840000000000002</v>
      </c>
      <c r="R5" s="23">
        <v>0.18940000000000001</v>
      </c>
      <c r="S5" s="23">
        <v>0.16790000000000002</v>
      </c>
      <c r="T5" s="23">
        <v>0.18560000000000001</v>
      </c>
      <c r="U5" s="23">
        <v>0.18150000000000002</v>
      </c>
      <c r="V5" s="23">
        <v>0.18530000000000002</v>
      </c>
      <c r="W5" s="23">
        <v>0.17150000000000001</v>
      </c>
      <c r="X5" s="23">
        <v>0.1772</v>
      </c>
      <c r="Y5" s="23">
        <v>0.18110000000000001</v>
      </c>
      <c r="Z5" s="23">
        <v>0.15840000000000001</v>
      </c>
      <c r="AA5" s="23">
        <v>0.16390000000000002</v>
      </c>
      <c r="AB5" s="23">
        <v>0.1706</v>
      </c>
      <c r="AD5" s="19" t="s">
        <v>2</v>
      </c>
      <c r="AE5" s="21">
        <v>6.3279556509054938E-2</v>
      </c>
      <c r="AF5" s="21">
        <v>5.4070821066514917E-2</v>
      </c>
      <c r="AG5" s="21">
        <v>6.190046530631152E-2</v>
      </c>
      <c r="AH5" s="21">
        <v>5.6174978567380796E-2</v>
      </c>
      <c r="AI5" s="21">
        <v>5.156037438441801E-2</v>
      </c>
      <c r="AJ5" s="21">
        <v>4.695791783679653E-2</v>
      </c>
      <c r="AK5" s="21">
        <v>4.1192437581171554E-2</v>
      </c>
      <c r="AL5" s="21">
        <v>2.9657601717395874E-2</v>
      </c>
      <c r="AM5" s="21">
        <v>3.4102058383060491E-2</v>
      </c>
      <c r="AN5" s="21">
        <v>8.2483544659212663E-2</v>
      </c>
      <c r="AO5" s="21">
        <v>9.5068406846299885E-2</v>
      </c>
      <c r="AP5" s="21">
        <v>6.632241330708398E-2</v>
      </c>
      <c r="AQ5" s="21">
        <v>7.3392173504411767E-2</v>
      </c>
      <c r="AR5" s="21">
        <v>8.7387128993817204E-2</v>
      </c>
      <c r="AS5" s="21">
        <v>5.5924192038110054E-2</v>
      </c>
      <c r="AT5" s="21">
        <v>5.9173723789654735E-2</v>
      </c>
      <c r="AU5" s="21">
        <v>7.4382845404980191E-2</v>
      </c>
      <c r="AV5" s="21">
        <v>6.6849400064883907E-2</v>
      </c>
      <c r="AW5" s="21">
        <v>5.9544124423648384E-2</v>
      </c>
      <c r="AX5" s="21">
        <v>5.3378589109808285E-2</v>
      </c>
      <c r="AY5" s="21">
        <v>6.1862161614962677E-2</v>
      </c>
      <c r="AZ5" s="21">
        <v>7.755189406312743E-2</v>
      </c>
      <c r="BA5" s="21">
        <v>6.9064251947141414E-2</v>
      </c>
      <c r="BB5" s="21">
        <v>6.3767298938860628E-2</v>
      </c>
      <c r="BC5" s="21">
        <v>5.4577946878063652E-2</v>
      </c>
      <c r="BD5" s="21">
        <v>5.0623724122209453E-2</v>
      </c>
      <c r="BF5" s="19" t="s">
        <v>2</v>
      </c>
      <c r="BG5" s="19" t="s">
        <v>95</v>
      </c>
      <c r="BH5" s="19" t="s">
        <v>94</v>
      </c>
      <c r="BI5" s="19" t="s">
        <v>94</v>
      </c>
      <c r="BJ5" s="19" t="s">
        <v>95</v>
      </c>
      <c r="BK5" s="19" t="s">
        <v>96</v>
      </c>
      <c r="BL5" s="19" t="s">
        <v>92</v>
      </c>
      <c r="BM5" s="19" t="s">
        <v>94</v>
      </c>
      <c r="BN5" s="19" t="s">
        <v>92</v>
      </c>
      <c r="BO5" s="19" t="s">
        <v>97</v>
      </c>
      <c r="BP5" s="19" t="s">
        <v>93</v>
      </c>
      <c r="BQ5" s="19" t="s">
        <v>97</v>
      </c>
      <c r="BR5" s="19" t="s">
        <v>92</v>
      </c>
      <c r="BS5" s="19" t="s">
        <v>94</v>
      </c>
      <c r="BT5" s="19" t="s">
        <v>92</v>
      </c>
      <c r="BU5" s="19" t="s">
        <v>97</v>
      </c>
      <c r="BV5" s="19" t="s">
        <v>93</v>
      </c>
      <c r="BW5" s="19" t="s">
        <v>96</v>
      </c>
      <c r="BX5" s="19" t="s">
        <v>95</v>
      </c>
      <c r="BY5" s="19" t="s">
        <v>94</v>
      </c>
      <c r="BZ5" s="19" t="s">
        <v>93</v>
      </c>
      <c r="CA5" s="19" t="s">
        <v>93</v>
      </c>
      <c r="CB5" s="19" t="s">
        <v>97</v>
      </c>
      <c r="CC5" s="19" t="s">
        <v>96</v>
      </c>
      <c r="CD5" s="19" t="s">
        <v>93</v>
      </c>
      <c r="CE5" s="19" t="s">
        <v>94</v>
      </c>
      <c r="CF5" s="19" t="s">
        <v>94</v>
      </c>
    </row>
    <row r="6" spans="2:84">
      <c r="B6" s="19" t="s">
        <v>4</v>
      </c>
      <c r="C6" s="23">
        <v>0.16869999999999999</v>
      </c>
      <c r="D6" s="23">
        <v>0.17809999999999998</v>
      </c>
      <c r="E6" s="23">
        <v>0.1865</v>
      </c>
      <c r="F6" s="23">
        <v>0.1754</v>
      </c>
      <c r="G6" s="23">
        <v>0.17069999999999999</v>
      </c>
      <c r="H6" s="23">
        <v>0.17259999999999998</v>
      </c>
      <c r="I6" s="23">
        <v>0.17409999999999998</v>
      </c>
      <c r="J6" s="23">
        <v>0.19819999999999999</v>
      </c>
      <c r="K6" s="23">
        <v>0.1706</v>
      </c>
      <c r="L6" s="23">
        <v>0.1764</v>
      </c>
      <c r="M6" s="23">
        <v>0.18389999999999998</v>
      </c>
      <c r="N6" s="23">
        <v>0.16819999999999999</v>
      </c>
      <c r="O6" s="23">
        <v>0.17679999999999998</v>
      </c>
      <c r="P6" s="23">
        <v>0.18669999999999998</v>
      </c>
      <c r="Q6" s="23">
        <v>0.183</v>
      </c>
      <c r="R6" s="23">
        <v>0.17979999999999999</v>
      </c>
      <c r="S6" s="23">
        <v>0.16649999999999998</v>
      </c>
      <c r="T6" s="23">
        <v>0.17929999999999999</v>
      </c>
      <c r="U6" s="23">
        <v>0.19719999999999999</v>
      </c>
      <c r="V6" s="23">
        <v>0.186</v>
      </c>
      <c r="W6" s="23">
        <v>0.19639999999999999</v>
      </c>
      <c r="X6" s="23">
        <v>0.1789</v>
      </c>
      <c r="Y6" s="23">
        <v>0.18279999999999999</v>
      </c>
      <c r="Z6" s="23">
        <v>0.17529999999999998</v>
      </c>
      <c r="AA6" s="23">
        <v>0.19999999999999998</v>
      </c>
      <c r="AB6" s="23">
        <v>0.1769</v>
      </c>
      <c r="AD6" s="19" t="s">
        <v>4</v>
      </c>
      <c r="AE6" s="21">
        <v>6.9220150568460884E-2</v>
      </c>
      <c r="AF6" s="21">
        <v>6.0011415125920863E-2</v>
      </c>
      <c r="AG6" s="21">
        <v>6.7841059365717465E-2</v>
      </c>
      <c r="AH6" s="21">
        <v>6.2115572626786741E-2</v>
      </c>
      <c r="AI6" s="21">
        <v>5.7500968443823956E-2</v>
      </c>
      <c r="AJ6" s="21">
        <v>5.2898511896202476E-2</v>
      </c>
      <c r="AK6" s="21">
        <v>4.71330316405775E-2</v>
      </c>
      <c r="AL6" s="21">
        <v>3.2568823665081847E-2</v>
      </c>
      <c r="AM6" s="21">
        <v>3.8751000626341014E-2</v>
      </c>
      <c r="AN6" s="21">
        <v>8.8424138718618608E-2</v>
      </c>
      <c r="AO6" s="21">
        <v>0.10100900090570583</v>
      </c>
      <c r="AP6" s="21">
        <v>7.2263007366489926E-2</v>
      </c>
      <c r="AQ6" s="21">
        <v>7.9332767563817713E-2</v>
      </c>
      <c r="AR6" s="21">
        <v>9.3327723053223149E-2</v>
      </c>
      <c r="AS6" s="21">
        <v>6.1864786097516E-2</v>
      </c>
      <c r="AT6" s="21">
        <v>6.5114317849060688E-2</v>
      </c>
      <c r="AU6" s="21">
        <v>8.0323439464386137E-2</v>
      </c>
      <c r="AV6" s="21">
        <v>7.2789994124289853E-2</v>
      </c>
      <c r="AW6" s="21">
        <v>6.548471848305433E-2</v>
      </c>
      <c r="AX6" s="21">
        <v>5.931918316921423E-2</v>
      </c>
      <c r="AY6" s="21">
        <v>6.7802755674368623E-2</v>
      </c>
      <c r="AZ6" s="21">
        <v>8.3492488122533376E-2</v>
      </c>
      <c r="BA6" s="21">
        <v>7.500484600654736E-2</v>
      </c>
      <c r="BB6" s="21">
        <v>6.9707892998266574E-2</v>
      </c>
      <c r="BC6" s="21">
        <v>6.0518540937469598E-2</v>
      </c>
      <c r="BD6" s="21">
        <v>5.6564318181615399E-2</v>
      </c>
      <c r="BF6" s="19" t="s">
        <v>4</v>
      </c>
      <c r="BG6" s="19" t="s">
        <v>98</v>
      </c>
      <c r="BH6" s="19" t="s">
        <v>98</v>
      </c>
      <c r="BI6" s="19" t="s">
        <v>93</v>
      </c>
      <c r="BJ6" s="19" t="s">
        <v>97</v>
      </c>
      <c r="BK6" s="19" t="s">
        <v>92</v>
      </c>
      <c r="BL6" s="19" t="s">
        <v>96</v>
      </c>
      <c r="BM6" s="19" t="s">
        <v>95</v>
      </c>
      <c r="BN6" s="19" t="s">
        <v>95</v>
      </c>
      <c r="BO6" s="19" t="s">
        <v>94</v>
      </c>
      <c r="BP6" s="19" t="s">
        <v>92</v>
      </c>
      <c r="BQ6" s="19" t="s">
        <v>97</v>
      </c>
      <c r="BR6" s="19" t="s">
        <v>98</v>
      </c>
      <c r="BS6" s="19" t="s">
        <v>93</v>
      </c>
      <c r="BT6" s="19" t="s">
        <v>92</v>
      </c>
      <c r="BU6" s="19" t="s">
        <v>93</v>
      </c>
      <c r="BV6" s="19" t="s">
        <v>96</v>
      </c>
      <c r="BW6" s="19" t="s">
        <v>96</v>
      </c>
      <c r="BX6" s="19" t="s">
        <v>94</v>
      </c>
      <c r="BY6" s="19" t="s">
        <v>94</v>
      </c>
      <c r="BZ6" s="19" t="s">
        <v>96</v>
      </c>
      <c r="CA6" s="19" t="s">
        <v>94</v>
      </c>
      <c r="CB6" s="19" t="s">
        <v>93</v>
      </c>
      <c r="CC6" s="19" t="s">
        <v>93</v>
      </c>
      <c r="CD6" s="19" t="s">
        <v>95</v>
      </c>
      <c r="CE6" s="19" t="s">
        <v>93</v>
      </c>
      <c r="CF6" s="19" t="s">
        <v>93</v>
      </c>
    </row>
    <row r="7" spans="2:84">
      <c r="B7" s="19" t="s">
        <v>6</v>
      </c>
      <c r="C7" s="23">
        <v>0.19850000000000001</v>
      </c>
      <c r="D7" s="23">
        <v>0.1694</v>
      </c>
      <c r="E7" s="23">
        <v>0.18340000000000001</v>
      </c>
      <c r="F7" s="23">
        <v>0.1767</v>
      </c>
      <c r="G7" s="23">
        <v>0.1807</v>
      </c>
      <c r="H7" s="23">
        <v>0.18030000000000002</v>
      </c>
      <c r="I7" s="23">
        <v>0.16770000000000002</v>
      </c>
      <c r="J7" s="23">
        <v>0.1678</v>
      </c>
      <c r="K7" s="23">
        <v>0.19450000000000001</v>
      </c>
      <c r="L7" s="23">
        <v>0.17580000000000001</v>
      </c>
      <c r="M7" s="23">
        <v>0.17</v>
      </c>
      <c r="N7" s="23">
        <v>0.17900000000000002</v>
      </c>
      <c r="O7" s="23">
        <v>0.1678</v>
      </c>
      <c r="P7" s="23">
        <v>0.17420000000000002</v>
      </c>
      <c r="Q7" s="23">
        <v>0.19890000000000002</v>
      </c>
      <c r="R7" s="23">
        <v>0.1963</v>
      </c>
      <c r="S7" s="23">
        <v>0.1711</v>
      </c>
      <c r="T7" s="23">
        <v>0.1784</v>
      </c>
      <c r="U7" s="23">
        <v>0.19170000000000001</v>
      </c>
      <c r="V7" s="23">
        <v>0.19600000000000001</v>
      </c>
      <c r="W7" s="23">
        <v>0.1777</v>
      </c>
      <c r="X7" s="23">
        <v>0.18290000000000001</v>
      </c>
      <c r="Y7" s="23">
        <v>0.19</v>
      </c>
      <c r="Z7" s="23">
        <v>0.19980000000000001</v>
      </c>
      <c r="AA7" s="23">
        <v>0.18060000000000001</v>
      </c>
      <c r="AB7" s="23">
        <v>0.1686</v>
      </c>
      <c r="AD7" s="19" t="s">
        <v>6</v>
      </c>
      <c r="AE7" s="21">
        <v>5.6950469380342074E-2</v>
      </c>
      <c r="AF7" s="21">
        <v>4.7741733937802053E-2</v>
      </c>
      <c r="AG7" s="21">
        <v>5.5571378177598656E-2</v>
      </c>
      <c r="AH7" s="21">
        <v>4.9845891438667932E-2</v>
      </c>
      <c r="AI7" s="21">
        <v>4.5231287255705147E-2</v>
      </c>
      <c r="AJ7" s="21">
        <v>4.0628830708083666E-2</v>
      </c>
      <c r="AK7" s="21">
        <v>3.486335045245869E-2</v>
      </c>
      <c r="AL7" s="21">
        <v>2.6095084955648832E-2</v>
      </c>
      <c r="AM7" s="21">
        <v>2.8894169740916187E-2</v>
      </c>
      <c r="AN7" s="21">
        <v>7.6154457530499792E-2</v>
      </c>
      <c r="AO7" s="21">
        <v>8.8739319717587029E-2</v>
      </c>
      <c r="AP7" s="21">
        <v>5.9993326178371116E-2</v>
      </c>
      <c r="AQ7" s="21">
        <v>6.7063086375698897E-2</v>
      </c>
      <c r="AR7" s="21">
        <v>8.1058041865104347E-2</v>
      </c>
      <c r="AS7" s="21">
        <v>4.959510490939719E-2</v>
      </c>
      <c r="AT7" s="21">
        <v>5.2844636660941871E-2</v>
      </c>
      <c r="AU7" s="21">
        <v>6.805375827626732E-2</v>
      </c>
      <c r="AV7" s="21">
        <v>6.0520312936171036E-2</v>
      </c>
      <c r="AW7" s="21">
        <v>5.321503729493552E-2</v>
      </c>
      <c r="AX7" s="21">
        <v>4.7049501981095421E-2</v>
      </c>
      <c r="AY7" s="21">
        <v>5.5533074486249813E-2</v>
      </c>
      <c r="AZ7" s="21">
        <v>7.1222806934414573E-2</v>
      </c>
      <c r="BA7" s="21">
        <v>6.2735164818428543E-2</v>
      </c>
      <c r="BB7" s="21">
        <v>5.7438211810147771E-2</v>
      </c>
      <c r="BC7" s="21">
        <v>4.8248859749350788E-2</v>
      </c>
      <c r="BD7" s="21">
        <v>4.4294636993496589E-2</v>
      </c>
      <c r="BF7" s="19" t="s">
        <v>6</v>
      </c>
      <c r="BG7" s="19" t="s">
        <v>94</v>
      </c>
      <c r="BH7" s="19" t="s">
        <v>96</v>
      </c>
      <c r="BI7" s="19" t="s">
        <v>92</v>
      </c>
      <c r="BJ7" s="19" t="s">
        <v>92</v>
      </c>
      <c r="BK7" s="19" t="s">
        <v>96</v>
      </c>
      <c r="BL7" s="19" t="s">
        <v>95</v>
      </c>
      <c r="BM7" s="19" t="s">
        <v>94</v>
      </c>
      <c r="BN7" s="19" t="s">
        <v>97</v>
      </c>
      <c r="BO7" s="19" t="s">
        <v>94</v>
      </c>
      <c r="BP7" s="19" t="s">
        <v>93</v>
      </c>
      <c r="BQ7" s="19" t="s">
        <v>93</v>
      </c>
      <c r="BR7" s="19" t="s">
        <v>92</v>
      </c>
      <c r="BS7" s="19" t="s">
        <v>93</v>
      </c>
      <c r="BT7" s="19" t="s">
        <v>96</v>
      </c>
      <c r="BU7" s="19" t="s">
        <v>96</v>
      </c>
      <c r="BV7" s="19" t="s">
        <v>93</v>
      </c>
      <c r="BW7" s="19" t="s">
        <v>97</v>
      </c>
      <c r="BX7" s="19" t="s">
        <v>93</v>
      </c>
      <c r="BY7" s="19" t="s">
        <v>98</v>
      </c>
      <c r="BZ7" s="19" t="s">
        <v>97</v>
      </c>
      <c r="CA7" s="19" t="s">
        <v>95</v>
      </c>
      <c r="CB7" s="19" t="s">
        <v>96</v>
      </c>
      <c r="CC7" s="19" t="s">
        <v>93</v>
      </c>
      <c r="CD7" s="19" t="s">
        <v>92</v>
      </c>
      <c r="CE7" s="19" t="s">
        <v>96</v>
      </c>
      <c r="CF7" s="19" t="s">
        <v>92</v>
      </c>
    </row>
    <row r="8" spans="2:84">
      <c r="B8" s="19" t="s">
        <v>8</v>
      </c>
      <c r="C8" s="23">
        <v>0.11680000000000001</v>
      </c>
      <c r="D8" s="23">
        <v>0.1275</v>
      </c>
      <c r="E8" s="23">
        <v>0.1464</v>
      </c>
      <c r="F8" s="23">
        <v>0.14380000000000001</v>
      </c>
      <c r="G8" s="23">
        <v>0.14800000000000002</v>
      </c>
      <c r="H8" s="23">
        <v>0.1346</v>
      </c>
      <c r="I8" s="23">
        <v>0.1467</v>
      </c>
      <c r="J8" s="23">
        <v>0.12380000000000001</v>
      </c>
      <c r="K8" s="23">
        <v>0.13490000000000002</v>
      </c>
      <c r="L8" s="23">
        <v>0.14850000000000002</v>
      </c>
      <c r="M8" s="23">
        <v>0.1242</v>
      </c>
      <c r="N8" s="23">
        <v>0.1391</v>
      </c>
      <c r="O8" s="23">
        <v>0.1255</v>
      </c>
      <c r="P8" s="23">
        <v>0.12720000000000001</v>
      </c>
      <c r="Q8" s="23">
        <v>0.14850000000000002</v>
      </c>
      <c r="R8" s="23">
        <v>0.14080000000000001</v>
      </c>
      <c r="S8" s="23">
        <v>0.13220000000000001</v>
      </c>
      <c r="T8" s="23">
        <v>0.13950000000000001</v>
      </c>
      <c r="U8" s="23">
        <v>0.13720000000000002</v>
      </c>
      <c r="V8" s="23">
        <v>0.12870000000000001</v>
      </c>
      <c r="W8" s="23">
        <v>0.1331</v>
      </c>
      <c r="X8" s="23">
        <v>0.1198</v>
      </c>
      <c r="Y8" s="23">
        <v>0.12610000000000002</v>
      </c>
      <c r="Z8" s="23">
        <v>0.1479</v>
      </c>
      <c r="AA8" s="23">
        <v>0.1241</v>
      </c>
      <c r="AB8" s="23">
        <v>0.12720000000000001</v>
      </c>
      <c r="AD8" s="19" t="s">
        <v>8</v>
      </c>
      <c r="AE8" s="21">
        <v>4.4486970439547101E-2</v>
      </c>
      <c r="AF8" s="21">
        <v>3.527823499700708E-2</v>
      </c>
      <c r="AG8" s="21">
        <v>4.3107879236803683E-2</v>
      </c>
      <c r="AH8" s="21">
        <v>3.7382392497872959E-2</v>
      </c>
      <c r="AI8" s="21">
        <v>3.2767788314910173E-2</v>
      </c>
      <c r="AJ8" s="21">
        <v>2.8165331767288693E-2</v>
      </c>
      <c r="AK8" s="21">
        <v>2.2399851511663717E-2</v>
      </c>
      <c r="AL8" s="21">
        <v>1.9252162780526133E-2</v>
      </c>
      <c r="AM8" s="21">
        <v>1.9831055875539804E-2</v>
      </c>
      <c r="AN8" s="21">
        <v>6.3690958589704832E-2</v>
      </c>
      <c r="AO8" s="21">
        <v>7.6275820776792055E-2</v>
      </c>
      <c r="AP8" s="21">
        <v>4.7529827237576143E-2</v>
      </c>
      <c r="AQ8" s="21">
        <v>5.4599587434903923E-2</v>
      </c>
      <c r="AR8" s="21">
        <v>6.8594542924309373E-2</v>
      </c>
      <c r="AS8" s="21">
        <v>3.7131605968602217E-2</v>
      </c>
      <c r="AT8" s="21">
        <v>4.0381137720146898E-2</v>
      </c>
      <c r="AU8" s="21">
        <v>5.5590259335472347E-2</v>
      </c>
      <c r="AV8" s="21">
        <v>4.8056813995376063E-2</v>
      </c>
      <c r="AW8" s="21">
        <v>4.0751538354140547E-2</v>
      </c>
      <c r="AX8" s="21">
        <v>3.4586003040300448E-2</v>
      </c>
      <c r="AY8" s="21">
        <v>4.306957554545484E-2</v>
      </c>
      <c r="AZ8" s="21">
        <v>5.8759307993619593E-2</v>
      </c>
      <c r="BA8" s="21">
        <v>5.027166587763357E-2</v>
      </c>
      <c r="BB8" s="21">
        <v>4.4974712869352798E-2</v>
      </c>
      <c r="BC8" s="21">
        <v>3.5785360808555815E-2</v>
      </c>
      <c r="BD8" s="21">
        <v>3.1831138052701616E-2</v>
      </c>
      <c r="BF8" s="19" t="s">
        <v>8</v>
      </c>
      <c r="BG8" s="19" t="s">
        <v>94</v>
      </c>
      <c r="BH8" s="19" t="s">
        <v>95</v>
      </c>
      <c r="BI8" s="19" t="s">
        <v>95</v>
      </c>
      <c r="BJ8" s="19" t="s">
        <v>95</v>
      </c>
      <c r="BK8" s="19" t="s">
        <v>93</v>
      </c>
      <c r="BL8" s="19" t="s">
        <v>95</v>
      </c>
      <c r="BM8" s="19" t="s">
        <v>95</v>
      </c>
      <c r="BN8" s="19" t="s">
        <v>96</v>
      </c>
      <c r="BO8" s="19" t="s">
        <v>93</v>
      </c>
      <c r="BP8" s="19" t="s">
        <v>97</v>
      </c>
      <c r="BQ8" s="19" t="s">
        <v>92</v>
      </c>
      <c r="BR8" s="19" t="s">
        <v>93</v>
      </c>
      <c r="BS8" s="19" t="s">
        <v>96</v>
      </c>
      <c r="BT8" s="19" t="s">
        <v>92</v>
      </c>
      <c r="BU8" s="19" t="s">
        <v>97</v>
      </c>
      <c r="BV8" s="19" t="s">
        <v>96</v>
      </c>
      <c r="BW8" s="19" t="s">
        <v>92</v>
      </c>
      <c r="BX8" s="19" t="s">
        <v>96</v>
      </c>
      <c r="BY8" s="19" t="s">
        <v>92</v>
      </c>
      <c r="BZ8" s="19" t="s">
        <v>94</v>
      </c>
      <c r="CA8" s="19" t="s">
        <v>92</v>
      </c>
      <c r="CB8" s="19" t="s">
        <v>97</v>
      </c>
      <c r="CC8" s="19" t="s">
        <v>97</v>
      </c>
      <c r="CD8" s="19" t="s">
        <v>95</v>
      </c>
      <c r="CE8" s="19" t="s">
        <v>94</v>
      </c>
      <c r="CF8" s="19" t="s">
        <v>96</v>
      </c>
    </row>
    <row r="9" spans="2:84">
      <c r="B9" s="19" t="s">
        <v>10</v>
      </c>
      <c r="C9" s="23">
        <v>0.13250000000000001</v>
      </c>
      <c r="D9" s="23">
        <v>0.125</v>
      </c>
      <c r="E9" s="23">
        <v>0.10479999999999999</v>
      </c>
      <c r="F9" s="23">
        <v>0.11639999999999999</v>
      </c>
      <c r="G9" s="23">
        <v>0.1182</v>
      </c>
      <c r="H9" s="23">
        <v>0.1221</v>
      </c>
      <c r="I9" s="23">
        <v>0.13009999999999999</v>
      </c>
      <c r="J9" s="23">
        <v>0.12559999999999999</v>
      </c>
      <c r="K9" s="23">
        <v>0.129</v>
      </c>
      <c r="L9" s="23">
        <v>0.10669999999999999</v>
      </c>
      <c r="M9" s="23">
        <v>0.1202</v>
      </c>
      <c r="N9" s="23">
        <v>0.11609999999999999</v>
      </c>
      <c r="O9" s="23">
        <v>0.12959999999999999</v>
      </c>
      <c r="P9" s="23">
        <v>0.1132</v>
      </c>
      <c r="Q9" s="23">
        <v>0.1154</v>
      </c>
      <c r="R9" s="23">
        <v>0.10869999999999999</v>
      </c>
      <c r="S9" s="23">
        <v>0.13</v>
      </c>
      <c r="T9" s="23">
        <v>0.1047</v>
      </c>
      <c r="U9" s="23">
        <v>0.10589999999999999</v>
      </c>
      <c r="V9" s="23">
        <v>0.1147</v>
      </c>
      <c r="W9" s="23">
        <v>0.10009999999999999</v>
      </c>
      <c r="X9" s="23">
        <v>0.12139999999999999</v>
      </c>
      <c r="Y9" s="23">
        <v>0.10249999999999999</v>
      </c>
      <c r="Z9" s="23">
        <v>0.1037</v>
      </c>
      <c r="AA9" s="23">
        <v>0.12589999999999998</v>
      </c>
      <c r="AB9" s="23">
        <v>0.1051</v>
      </c>
      <c r="AD9" s="19" t="s">
        <v>10</v>
      </c>
      <c r="AE9" s="21">
        <v>7.4950469380342069E-2</v>
      </c>
      <c r="AF9" s="21">
        <v>6.5741733937802055E-2</v>
      </c>
      <c r="AG9" s="21">
        <v>7.3571378177598651E-2</v>
      </c>
      <c r="AH9" s="21">
        <v>6.7845891438667927E-2</v>
      </c>
      <c r="AI9" s="21">
        <v>6.3231287255705149E-2</v>
      </c>
      <c r="AJ9" s="21">
        <v>5.8628830708083661E-2</v>
      </c>
      <c r="AK9" s="21">
        <v>5.2863350452458685E-2</v>
      </c>
      <c r="AL9" s="21">
        <v>3.7153297435789129E-2</v>
      </c>
      <c r="AM9" s="21">
        <v>4.3235378460023378E-2</v>
      </c>
      <c r="AN9" s="21">
        <v>9.4154457530499794E-2</v>
      </c>
      <c r="AO9" s="21">
        <v>0.10673931971758702</v>
      </c>
      <c r="AP9" s="21">
        <v>7.7993326178371111E-2</v>
      </c>
      <c r="AQ9" s="21">
        <v>8.5063086375698899E-2</v>
      </c>
      <c r="AR9" s="21">
        <v>9.9058041865104335E-2</v>
      </c>
      <c r="AS9" s="21">
        <v>6.7595104909397186E-2</v>
      </c>
      <c r="AT9" s="21">
        <v>7.0844636660941873E-2</v>
      </c>
      <c r="AU9" s="21">
        <v>8.6053758276267323E-2</v>
      </c>
      <c r="AV9" s="21">
        <v>7.8520312936171038E-2</v>
      </c>
      <c r="AW9" s="21">
        <v>7.1215037294935515E-2</v>
      </c>
      <c r="AX9" s="21">
        <v>6.5049501981095409E-2</v>
      </c>
      <c r="AY9" s="21">
        <v>7.3533074486249808E-2</v>
      </c>
      <c r="AZ9" s="21">
        <v>8.9222806934414561E-2</v>
      </c>
      <c r="BA9" s="21">
        <v>8.0735164818428545E-2</v>
      </c>
      <c r="BB9" s="21">
        <v>7.5438211810147759E-2</v>
      </c>
      <c r="BC9" s="21">
        <v>6.6248859749350783E-2</v>
      </c>
      <c r="BD9" s="21">
        <v>6.2294636993496584E-2</v>
      </c>
      <c r="BF9" s="19" t="s">
        <v>10</v>
      </c>
      <c r="BG9" s="19" t="s">
        <v>97</v>
      </c>
      <c r="BH9" s="19" t="s">
        <v>98</v>
      </c>
      <c r="BI9" s="19" t="s">
        <v>95</v>
      </c>
      <c r="BJ9" s="19" t="s">
        <v>97</v>
      </c>
      <c r="BK9" s="19" t="s">
        <v>97</v>
      </c>
      <c r="BL9" s="19" t="s">
        <v>95</v>
      </c>
      <c r="BM9" s="19" t="s">
        <v>97</v>
      </c>
      <c r="BN9" s="19" t="s">
        <v>92</v>
      </c>
      <c r="BO9" s="19" t="s">
        <v>97</v>
      </c>
      <c r="BP9" s="19" t="s">
        <v>96</v>
      </c>
      <c r="BQ9" s="19" t="s">
        <v>96</v>
      </c>
      <c r="BR9" s="19" t="s">
        <v>93</v>
      </c>
      <c r="BS9" s="19" t="s">
        <v>97</v>
      </c>
      <c r="BT9" s="19" t="s">
        <v>98</v>
      </c>
      <c r="BU9" s="19" t="s">
        <v>92</v>
      </c>
      <c r="BV9" s="19" t="s">
        <v>97</v>
      </c>
      <c r="BW9" s="19" t="s">
        <v>93</v>
      </c>
      <c r="BX9" s="19" t="s">
        <v>97</v>
      </c>
      <c r="BY9" s="19" t="s">
        <v>94</v>
      </c>
      <c r="BZ9" s="19" t="s">
        <v>96</v>
      </c>
      <c r="CA9" s="19" t="s">
        <v>92</v>
      </c>
      <c r="CB9" s="19" t="s">
        <v>94</v>
      </c>
      <c r="CC9" s="19" t="s">
        <v>98</v>
      </c>
      <c r="CD9" s="19" t="s">
        <v>98</v>
      </c>
      <c r="CE9" s="19" t="s">
        <v>92</v>
      </c>
      <c r="CF9" s="19" t="s">
        <v>93</v>
      </c>
    </row>
    <row r="10" spans="2:84">
      <c r="B10" s="19" t="s">
        <v>12</v>
      </c>
      <c r="C10" s="23">
        <v>5.8700000000000002E-2</v>
      </c>
      <c r="D10" s="23">
        <v>4.9800000000000011E-2</v>
      </c>
      <c r="E10" s="23">
        <v>5.4100000000000002E-2</v>
      </c>
      <c r="F10" s="23">
        <v>5.8400000000000001E-2</v>
      </c>
      <c r="G10" s="23">
        <v>5.8900000000000001E-2</v>
      </c>
      <c r="H10" s="23">
        <v>5.5600000000000004E-2</v>
      </c>
      <c r="I10" s="23">
        <v>5.11E-2</v>
      </c>
      <c r="J10" s="23">
        <v>5.8299999999999998E-2</v>
      </c>
      <c r="K10" s="23">
        <v>5.3299999999999993E-2</v>
      </c>
      <c r="L10" s="23">
        <v>4.9099999999999998E-2</v>
      </c>
      <c r="M10" s="23">
        <v>5.3300000000000014E-2</v>
      </c>
      <c r="N10" s="23">
        <v>4.8399999999999999E-2</v>
      </c>
      <c r="O10" s="23">
        <v>5.8799999999999991E-2</v>
      </c>
      <c r="P10" s="23">
        <v>5.6399999999999999E-2</v>
      </c>
      <c r="Q10" s="23">
        <v>5.1799999999999999E-2</v>
      </c>
      <c r="R10" s="23">
        <v>5.91E-2</v>
      </c>
      <c r="S10" s="23">
        <v>4.9699999999999994E-2</v>
      </c>
      <c r="T10" s="23">
        <v>5.79E-2</v>
      </c>
      <c r="U10" s="23">
        <v>4.8400000000000012E-2</v>
      </c>
      <c r="V10" s="23">
        <v>5.2600000000000001E-2</v>
      </c>
      <c r="W10" s="23">
        <v>5.7000000000000009E-2</v>
      </c>
      <c r="X10" s="23">
        <v>4.9100000000000005E-2</v>
      </c>
      <c r="Y10" s="23">
        <v>5.6599999999999998E-2</v>
      </c>
      <c r="Z10" s="23">
        <v>5.0599999999999992E-2</v>
      </c>
      <c r="AA10" s="23">
        <v>4.830000000000001E-2</v>
      </c>
      <c r="AB10" s="23">
        <v>5.5799999999999995E-2</v>
      </c>
      <c r="AD10" s="19" t="s">
        <v>12</v>
      </c>
      <c r="AE10" s="21">
        <v>5.0408269380342069E-2</v>
      </c>
      <c r="AF10" s="21">
        <v>4.1199533937802048E-2</v>
      </c>
      <c r="AG10" s="21">
        <v>4.9029178177598651E-2</v>
      </c>
      <c r="AH10" s="21">
        <v>4.3303691438667927E-2</v>
      </c>
      <c r="AI10" s="21">
        <v>3.8689087255705142E-2</v>
      </c>
      <c r="AJ10" s="21">
        <v>3.4086630708083661E-2</v>
      </c>
      <c r="AK10" s="21">
        <v>2.8321150452458685E-2</v>
      </c>
      <c r="AL10" s="21">
        <v>2.2436947822007985E-2</v>
      </c>
      <c r="AM10" s="21">
        <v>2.3877128288557269E-2</v>
      </c>
      <c r="AN10" s="21">
        <v>6.9612257530499794E-2</v>
      </c>
      <c r="AO10" s="21">
        <v>8.2197119717587031E-2</v>
      </c>
      <c r="AP10" s="21">
        <v>5.3451126178371111E-2</v>
      </c>
      <c r="AQ10" s="21">
        <v>6.0520886375698892E-2</v>
      </c>
      <c r="AR10" s="21">
        <v>7.4515841865104349E-2</v>
      </c>
      <c r="AS10" s="21">
        <v>4.3052904909397186E-2</v>
      </c>
      <c r="AT10" s="21">
        <v>4.6302436660941866E-2</v>
      </c>
      <c r="AU10" s="21">
        <v>6.1511558276267315E-2</v>
      </c>
      <c r="AV10" s="21">
        <v>5.3978112936171031E-2</v>
      </c>
      <c r="AW10" s="21">
        <v>4.6672837294935515E-2</v>
      </c>
      <c r="AX10" s="21">
        <v>4.0507301981095416E-2</v>
      </c>
      <c r="AY10" s="21">
        <v>4.8990874486249808E-2</v>
      </c>
      <c r="AZ10" s="21">
        <v>6.4680606934414561E-2</v>
      </c>
      <c r="BA10" s="21">
        <v>5.6192964818428538E-2</v>
      </c>
      <c r="BB10" s="21">
        <v>5.0896011810147766E-2</v>
      </c>
      <c r="BC10" s="21">
        <v>4.1706659749350783E-2</v>
      </c>
      <c r="BD10" s="21">
        <v>3.7752436993496584E-2</v>
      </c>
      <c r="BF10" s="19" t="s">
        <v>12</v>
      </c>
      <c r="BG10" s="19" t="s">
        <v>94</v>
      </c>
      <c r="BH10" s="19" t="s">
        <v>92</v>
      </c>
      <c r="BI10" s="19" t="s">
        <v>93</v>
      </c>
      <c r="BJ10" s="19" t="s">
        <v>98</v>
      </c>
      <c r="BK10" s="19" t="s">
        <v>94</v>
      </c>
      <c r="BL10" s="19" t="s">
        <v>92</v>
      </c>
      <c r="BM10" s="19" t="s">
        <v>93</v>
      </c>
      <c r="BN10" s="19" t="s">
        <v>92</v>
      </c>
      <c r="BO10" s="19" t="s">
        <v>96</v>
      </c>
      <c r="BP10" s="19" t="s">
        <v>97</v>
      </c>
      <c r="BQ10" s="19" t="s">
        <v>98</v>
      </c>
      <c r="BR10" s="19" t="s">
        <v>94</v>
      </c>
      <c r="BS10" s="19" t="s">
        <v>94</v>
      </c>
      <c r="BT10" s="19" t="s">
        <v>98</v>
      </c>
      <c r="BU10" s="19" t="s">
        <v>94</v>
      </c>
      <c r="BV10" s="19" t="s">
        <v>92</v>
      </c>
      <c r="BW10" s="19" t="s">
        <v>96</v>
      </c>
      <c r="BX10" s="19" t="s">
        <v>93</v>
      </c>
      <c r="BY10" s="19" t="s">
        <v>97</v>
      </c>
      <c r="BZ10" s="19" t="s">
        <v>96</v>
      </c>
      <c r="CA10" s="19" t="s">
        <v>94</v>
      </c>
      <c r="CB10" s="19" t="s">
        <v>94</v>
      </c>
      <c r="CC10" s="19" t="s">
        <v>97</v>
      </c>
      <c r="CD10" s="19" t="s">
        <v>92</v>
      </c>
      <c r="CE10" s="19" t="s">
        <v>97</v>
      </c>
      <c r="CF10" s="19" t="s">
        <v>94</v>
      </c>
    </row>
    <row r="11" spans="2:84">
      <c r="B11" s="19" t="s">
        <v>14</v>
      </c>
      <c r="C11" s="23">
        <f>1-SUM(C5:C10)</f>
        <v>0.15040000000000009</v>
      </c>
      <c r="D11" s="23">
        <f t="shared" ref="D11:AB11" si="0">1-SUM(D5:D10)</f>
        <v>0.18679999999999986</v>
      </c>
      <c r="E11" s="23">
        <f t="shared" si="0"/>
        <v>0.13300000000000001</v>
      </c>
      <c r="F11" s="23">
        <f t="shared" si="0"/>
        <v>0.15500000000000003</v>
      </c>
      <c r="G11" s="23">
        <f t="shared" si="0"/>
        <v>0.15650000000000008</v>
      </c>
      <c r="H11" s="23">
        <f t="shared" si="0"/>
        <v>0.17710000000000004</v>
      </c>
      <c r="I11" s="23">
        <f t="shared" si="0"/>
        <v>0.1641999999999999</v>
      </c>
      <c r="J11" s="23">
        <f t="shared" si="0"/>
        <v>0.15619999999999989</v>
      </c>
      <c r="K11" s="23">
        <f t="shared" si="0"/>
        <v>0.12969999999999993</v>
      </c>
      <c r="L11" s="23">
        <f t="shared" si="0"/>
        <v>0.18449999999999978</v>
      </c>
      <c r="M11" s="23">
        <f t="shared" si="0"/>
        <v>0.15749999999999997</v>
      </c>
      <c r="N11" s="23">
        <f t="shared" si="0"/>
        <v>0.17699999999999994</v>
      </c>
      <c r="O11" s="23">
        <f t="shared" si="0"/>
        <v>0.16840000000000011</v>
      </c>
      <c r="P11" s="23">
        <f t="shared" si="0"/>
        <v>0.15720000000000001</v>
      </c>
      <c r="Q11" s="23">
        <f t="shared" si="0"/>
        <v>0.13400000000000001</v>
      </c>
      <c r="R11" s="23">
        <f t="shared" si="0"/>
        <v>0.1258999999999999</v>
      </c>
      <c r="S11" s="23">
        <f t="shared" si="0"/>
        <v>0.18259999999999998</v>
      </c>
      <c r="T11" s="23">
        <f t="shared" si="0"/>
        <v>0.15459999999999996</v>
      </c>
      <c r="U11" s="23">
        <f t="shared" si="0"/>
        <v>0.1381</v>
      </c>
      <c r="V11" s="23">
        <f t="shared" si="0"/>
        <v>0.13669999999999993</v>
      </c>
      <c r="W11" s="23">
        <f t="shared" si="0"/>
        <v>0.16420000000000001</v>
      </c>
      <c r="X11" s="23">
        <f t="shared" si="0"/>
        <v>0.17070000000000007</v>
      </c>
      <c r="Y11" s="23">
        <f t="shared" si="0"/>
        <v>0.16089999999999993</v>
      </c>
      <c r="Z11" s="23">
        <f t="shared" si="0"/>
        <v>0.1643</v>
      </c>
      <c r="AA11" s="23">
        <f t="shared" si="0"/>
        <v>0.15720000000000001</v>
      </c>
      <c r="AB11" s="23">
        <f t="shared" si="0"/>
        <v>0.19580000000000009</v>
      </c>
      <c r="AD11" s="19" t="s">
        <v>14</v>
      </c>
      <c r="AE11" s="21">
        <v>3.9729432469739631E-2</v>
      </c>
      <c r="AF11" s="21">
        <v>3.052069702719961E-2</v>
      </c>
      <c r="AG11" s="21">
        <v>3.8350341266996213E-2</v>
      </c>
      <c r="AH11" s="21">
        <v>3.2624854528065489E-2</v>
      </c>
      <c r="AI11" s="21">
        <v>2.8010250345102704E-2</v>
      </c>
      <c r="AJ11" s="21">
        <v>2.3407793797481223E-2</v>
      </c>
      <c r="AK11" s="21">
        <v>1.7642313541856247E-2</v>
      </c>
      <c r="AL11" s="21">
        <v>1.6745445140592969E-2</v>
      </c>
      <c r="AM11" s="21">
        <v>1.7232449188629435E-2</v>
      </c>
      <c r="AN11" s="21">
        <v>5.8933420619897356E-2</v>
      </c>
      <c r="AO11" s="21">
        <v>7.1518282806984579E-2</v>
      </c>
      <c r="AP11" s="21">
        <v>4.2772289267768673E-2</v>
      </c>
      <c r="AQ11" s="21">
        <v>4.9842049465096454E-2</v>
      </c>
      <c r="AR11" s="21">
        <v>6.3837004954501897E-2</v>
      </c>
      <c r="AS11" s="21">
        <v>3.2374067998794748E-2</v>
      </c>
      <c r="AT11" s="21">
        <v>3.5623599750339428E-2</v>
      </c>
      <c r="AU11" s="21">
        <v>5.0832721365664878E-2</v>
      </c>
      <c r="AV11" s="21">
        <v>4.3299276025568594E-2</v>
      </c>
      <c r="AW11" s="21">
        <v>3.5994000384333077E-2</v>
      </c>
      <c r="AX11" s="21">
        <v>2.9828465070492978E-2</v>
      </c>
      <c r="AY11" s="21">
        <v>3.831203757564737E-2</v>
      </c>
      <c r="AZ11" s="21">
        <v>5.4001770023812123E-2</v>
      </c>
      <c r="BA11" s="21">
        <v>4.55141279078261E-2</v>
      </c>
      <c r="BB11" s="21">
        <v>4.0217174899545328E-2</v>
      </c>
      <c r="BC11" s="21">
        <v>3.1027822838748345E-2</v>
      </c>
      <c r="BD11" s="21">
        <v>2.7073600082894146E-2</v>
      </c>
      <c r="BF11" s="19" t="s">
        <v>14</v>
      </c>
      <c r="BG11" s="19" t="s">
        <v>94</v>
      </c>
      <c r="BH11" s="19" t="s">
        <v>97</v>
      </c>
      <c r="BI11" s="19" t="s">
        <v>94</v>
      </c>
      <c r="BJ11" s="19" t="s">
        <v>95</v>
      </c>
      <c r="BK11" s="19" t="s">
        <v>96</v>
      </c>
      <c r="BL11" s="19" t="s">
        <v>94</v>
      </c>
      <c r="BM11" s="19" t="s">
        <v>95</v>
      </c>
      <c r="BN11" s="19" t="s">
        <v>96</v>
      </c>
      <c r="BO11" s="19" t="s">
        <v>92</v>
      </c>
      <c r="BP11" s="19" t="s">
        <v>98</v>
      </c>
      <c r="BQ11" s="19" t="s">
        <v>93</v>
      </c>
      <c r="BR11" s="19" t="s">
        <v>93</v>
      </c>
      <c r="BS11" s="19" t="s">
        <v>92</v>
      </c>
      <c r="BT11" s="19" t="s">
        <v>95</v>
      </c>
      <c r="BU11" s="19" t="s">
        <v>96</v>
      </c>
      <c r="BV11" s="19" t="s">
        <v>96</v>
      </c>
      <c r="BW11" s="19" t="s">
        <v>97</v>
      </c>
      <c r="BX11" s="19" t="s">
        <v>98</v>
      </c>
      <c r="BY11" s="19" t="s">
        <v>95</v>
      </c>
      <c r="BZ11" s="19" t="s">
        <v>92</v>
      </c>
      <c r="CA11" s="19" t="s">
        <v>93</v>
      </c>
      <c r="CB11" s="19" t="s">
        <v>97</v>
      </c>
      <c r="CC11" s="19" t="s">
        <v>96</v>
      </c>
      <c r="CD11" s="19" t="s">
        <v>94</v>
      </c>
      <c r="CE11" s="19" t="s">
        <v>92</v>
      </c>
      <c r="CF11" s="19" t="s">
        <v>94</v>
      </c>
    </row>
    <row r="12" spans="2:84"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</row>
    <row r="13" spans="2:84">
      <c r="B13" s="18" t="s">
        <v>17</v>
      </c>
      <c r="AD13" s="18" t="s">
        <v>17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F13" s="18" t="s">
        <v>17</v>
      </c>
    </row>
    <row r="14" spans="2:84">
      <c r="B14" s="19" t="s">
        <v>19</v>
      </c>
      <c r="C14" s="23">
        <f>1-SUM(C15:C20)</f>
        <v>0.34759999999999991</v>
      </c>
      <c r="D14" s="23">
        <f t="shared" ref="D14:AB14" si="1">1-SUM(D15:D20)</f>
        <v>0.33270000000000011</v>
      </c>
      <c r="E14" s="23">
        <f t="shared" si="1"/>
        <v>0.29689999999999994</v>
      </c>
      <c r="F14" s="23">
        <f t="shared" si="1"/>
        <v>0.32419999999999993</v>
      </c>
      <c r="G14" s="23">
        <f t="shared" si="1"/>
        <v>0.3538</v>
      </c>
      <c r="H14" s="23">
        <f t="shared" si="1"/>
        <v>0.29470000000000007</v>
      </c>
      <c r="I14" s="23">
        <f t="shared" si="1"/>
        <v>0.3478</v>
      </c>
      <c r="J14" s="23">
        <f t="shared" si="1"/>
        <v>0.32489999999999997</v>
      </c>
      <c r="K14" s="23">
        <f t="shared" si="1"/>
        <v>0.3246</v>
      </c>
      <c r="L14" s="23">
        <f t="shared" si="1"/>
        <v>0.29779999999999995</v>
      </c>
      <c r="M14" s="23">
        <f t="shared" si="1"/>
        <v>0.32869999999999988</v>
      </c>
      <c r="N14" s="23">
        <f t="shared" si="1"/>
        <v>0.30759999999999998</v>
      </c>
      <c r="O14" s="23">
        <f t="shared" si="1"/>
        <v>0.32619999999999993</v>
      </c>
      <c r="P14" s="23">
        <f t="shared" si="1"/>
        <v>0.35529999999999995</v>
      </c>
      <c r="Q14" s="23">
        <f t="shared" si="1"/>
        <v>0.30669999999999997</v>
      </c>
      <c r="R14" s="23">
        <f t="shared" si="1"/>
        <v>0.3143999999999999</v>
      </c>
      <c r="S14" s="23">
        <f t="shared" si="1"/>
        <v>0.30259999999999998</v>
      </c>
      <c r="T14" s="23">
        <f t="shared" si="1"/>
        <v>0.29659999999999997</v>
      </c>
      <c r="U14" s="23">
        <f t="shared" si="1"/>
        <v>0.28270000000000006</v>
      </c>
      <c r="V14" s="23">
        <f t="shared" si="1"/>
        <v>0.28749999999999987</v>
      </c>
      <c r="W14" s="23">
        <f t="shared" si="1"/>
        <v>0.29930000000000012</v>
      </c>
      <c r="X14" s="23">
        <f t="shared" si="1"/>
        <v>0.31459999999999999</v>
      </c>
      <c r="Y14" s="23">
        <f t="shared" si="1"/>
        <v>0.33419999999999994</v>
      </c>
      <c r="Z14" s="23">
        <f t="shared" si="1"/>
        <v>0.3286</v>
      </c>
      <c r="AA14" s="23">
        <f t="shared" si="1"/>
        <v>0.3357</v>
      </c>
      <c r="AB14" s="23">
        <f t="shared" si="1"/>
        <v>0.32009999999999994</v>
      </c>
      <c r="AD14" s="19" t="s">
        <v>19</v>
      </c>
      <c r="AE14" s="21">
        <v>5.1028903536750332E-2</v>
      </c>
      <c r="AF14" s="21">
        <v>4.1134669440015321E-2</v>
      </c>
      <c r="AG14" s="21">
        <v>4.8827015235144496E-2</v>
      </c>
      <c r="AH14" s="21">
        <v>4.3207012313097794E-2</v>
      </c>
      <c r="AI14" s="21">
        <v>3.8657782884450098E-2</v>
      </c>
      <c r="AJ14" s="21">
        <v>3.3200388304810535E-2</v>
      </c>
      <c r="AK14" s="21">
        <v>2.8649791880534424E-2</v>
      </c>
      <c r="AL14" s="21">
        <v>2.1964644402216876E-2</v>
      </c>
      <c r="AM14" s="21">
        <v>2.286240213291757E-2</v>
      </c>
      <c r="AN14" s="21">
        <v>6.830328267021793E-2</v>
      </c>
      <c r="AO14" s="21">
        <v>8.3021227026870481E-2</v>
      </c>
      <c r="AP14" s="21">
        <v>5.261728952347338E-2</v>
      </c>
      <c r="AQ14" s="21">
        <v>6.040491553009323E-2</v>
      </c>
      <c r="AR14" s="21">
        <v>7.4888352077403381E-2</v>
      </c>
      <c r="AS14" s="21">
        <v>4.2585817443492352E-2</v>
      </c>
      <c r="AT14" s="21">
        <v>4.634056995778181E-2</v>
      </c>
      <c r="AU14" s="21">
        <v>6.0987755430634116E-2</v>
      </c>
      <c r="AV14" s="21">
        <v>5.3407033169530778E-2</v>
      </c>
      <c r="AW14" s="21">
        <v>4.6541144853968111E-2</v>
      </c>
      <c r="AX14" s="21">
        <v>4.0817656149283954E-2</v>
      </c>
      <c r="AY14" s="21">
        <v>4.8514122896672805E-2</v>
      </c>
      <c r="AZ14" s="21">
        <v>6.5212266546850611E-2</v>
      </c>
      <c r="BA14" s="21">
        <v>5.6727765079694216E-2</v>
      </c>
      <c r="BB14" s="21">
        <v>5.0164063870749141E-2</v>
      </c>
      <c r="BC14" s="21">
        <v>4.2494930066796457E-2</v>
      </c>
      <c r="BD14" s="21">
        <v>3.7376252161806719E-2</v>
      </c>
      <c r="BF14" s="19" t="s">
        <v>19</v>
      </c>
      <c r="BG14" s="19" t="s">
        <v>93</v>
      </c>
      <c r="BH14" s="19" t="s">
        <v>95</v>
      </c>
      <c r="BI14" s="19" t="s">
        <v>92</v>
      </c>
      <c r="BJ14" s="19" t="s">
        <v>93</v>
      </c>
      <c r="BK14" s="19" t="s">
        <v>96</v>
      </c>
      <c r="BL14" s="19" t="s">
        <v>92</v>
      </c>
      <c r="BM14" s="19" t="s">
        <v>98</v>
      </c>
      <c r="BN14" s="19" t="s">
        <v>92</v>
      </c>
      <c r="BO14" s="19" t="s">
        <v>98</v>
      </c>
      <c r="BP14" s="19" t="s">
        <v>94</v>
      </c>
      <c r="BQ14" s="19" t="s">
        <v>93</v>
      </c>
      <c r="BR14" s="19" t="s">
        <v>97</v>
      </c>
      <c r="BS14" s="19" t="s">
        <v>98</v>
      </c>
      <c r="BT14" s="19" t="s">
        <v>97</v>
      </c>
      <c r="BU14" s="19" t="s">
        <v>93</v>
      </c>
      <c r="BV14" s="19" t="s">
        <v>98</v>
      </c>
      <c r="BW14" s="19" t="s">
        <v>98</v>
      </c>
      <c r="BX14" s="19" t="s">
        <v>95</v>
      </c>
      <c r="BY14" s="19" t="s">
        <v>96</v>
      </c>
      <c r="BZ14" s="19" t="s">
        <v>97</v>
      </c>
      <c r="CA14" s="19" t="s">
        <v>95</v>
      </c>
      <c r="CB14" s="19" t="s">
        <v>92</v>
      </c>
      <c r="CC14" s="19" t="s">
        <v>95</v>
      </c>
      <c r="CD14" s="19" t="s">
        <v>92</v>
      </c>
      <c r="CE14" s="19" t="s">
        <v>94</v>
      </c>
      <c r="CF14" s="19" t="s">
        <v>93</v>
      </c>
    </row>
    <row r="15" spans="2:84">
      <c r="B15" s="19" t="s">
        <v>21</v>
      </c>
      <c r="C15" s="23">
        <v>0.2271</v>
      </c>
      <c r="D15" s="23">
        <v>0.23909999999999998</v>
      </c>
      <c r="E15" s="23">
        <v>0.23719999999999999</v>
      </c>
      <c r="F15" s="23">
        <v>0.2301</v>
      </c>
      <c r="G15" s="23">
        <v>0.22649999999999998</v>
      </c>
      <c r="H15" s="23">
        <v>0.2366</v>
      </c>
      <c r="I15" s="23">
        <v>0.23679999999999998</v>
      </c>
      <c r="J15" s="23">
        <v>0.2442</v>
      </c>
      <c r="K15" s="23">
        <v>0.22989999999999999</v>
      </c>
      <c r="L15" s="23">
        <v>0.24399999999999999</v>
      </c>
      <c r="M15" s="23">
        <v>0.24349999999999999</v>
      </c>
      <c r="N15" s="23">
        <v>0.23809999999999998</v>
      </c>
      <c r="O15" s="23">
        <v>0.22109999999999999</v>
      </c>
      <c r="P15" s="23">
        <v>0.2177</v>
      </c>
      <c r="Q15" s="23">
        <v>0.22259999999999999</v>
      </c>
      <c r="R15" s="23">
        <v>0.2316</v>
      </c>
      <c r="S15" s="23">
        <v>0.24299999999999999</v>
      </c>
      <c r="T15" s="23">
        <v>0.2475</v>
      </c>
      <c r="U15" s="23">
        <v>0.245</v>
      </c>
      <c r="V15" s="23">
        <v>0.25090000000000001</v>
      </c>
      <c r="W15" s="23">
        <v>0.24789999999999998</v>
      </c>
      <c r="X15" s="23">
        <v>0.2487</v>
      </c>
      <c r="Y15" s="23">
        <v>0.25290000000000001</v>
      </c>
      <c r="Z15" s="23">
        <v>0.2271</v>
      </c>
      <c r="AA15" s="23">
        <v>0.24429999999999999</v>
      </c>
      <c r="AB15" s="23">
        <v>0.24759999999999999</v>
      </c>
      <c r="AD15" s="19" t="s">
        <v>21</v>
      </c>
      <c r="AE15" s="21">
        <v>4.4028903536750333E-2</v>
      </c>
      <c r="AF15" s="21">
        <v>3.4134669440015322E-2</v>
      </c>
      <c r="AG15" s="21">
        <v>4.1827015235144496E-2</v>
      </c>
      <c r="AH15" s="21">
        <v>3.6207012313097794E-2</v>
      </c>
      <c r="AI15" s="21">
        <v>3.1657782884450099E-2</v>
      </c>
      <c r="AJ15" s="21">
        <v>2.6200388304810536E-2</v>
      </c>
      <c r="AK15" s="21">
        <v>2.1649791880534425E-2</v>
      </c>
      <c r="AL15" s="21">
        <v>1.7270914174297998E-2</v>
      </c>
      <c r="AM15" s="21">
        <v>1.7176708516998953E-2</v>
      </c>
      <c r="AN15" s="21">
        <v>6.1303282670217937E-2</v>
      </c>
      <c r="AO15" s="21">
        <v>7.6021227026870489E-2</v>
      </c>
      <c r="AP15" s="21">
        <v>4.5617289523473381E-2</v>
      </c>
      <c r="AQ15" s="21">
        <v>5.340491553009323E-2</v>
      </c>
      <c r="AR15" s="21">
        <v>6.7888352077403374E-2</v>
      </c>
      <c r="AS15" s="21">
        <v>3.5585817443492353E-2</v>
      </c>
      <c r="AT15" s="21">
        <v>3.9340569957781811E-2</v>
      </c>
      <c r="AU15" s="21">
        <v>5.3987755430634117E-2</v>
      </c>
      <c r="AV15" s="21">
        <v>4.6407033169530779E-2</v>
      </c>
      <c r="AW15" s="21">
        <v>3.9541144853968112E-2</v>
      </c>
      <c r="AX15" s="21">
        <v>3.3817656149283955E-2</v>
      </c>
      <c r="AY15" s="21">
        <v>4.1514122896672806E-2</v>
      </c>
      <c r="AZ15" s="21">
        <v>5.8212266546850612E-2</v>
      </c>
      <c r="BA15" s="21">
        <v>4.9727765079694217E-2</v>
      </c>
      <c r="BB15" s="21">
        <v>4.3164063870749142E-2</v>
      </c>
      <c r="BC15" s="21">
        <v>3.5494930066796458E-2</v>
      </c>
      <c r="BD15" s="21">
        <v>3.037625216180672E-2</v>
      </c>
      <c r="BF15" s="19" t="s">
        <v>21</v>
      </c>
      <c r="BG15" s="19" t="s">
        <v>97</v>
      </c>
      <c r="BH15" s="19" t="s">
        <v>94</v>
      </c>
      <c r="BI15" s="19" t="s">
        <v>97</v>
      </c>
      <c r="BJ15" s="19" t="s">
        <v>93</v>
      </c>
      <c r="BK15" s="19" t="s">
        <v>92</v>
      </c>
      <c r="BL15" s="19" t="s">
        <v>92</v>
      </c>
      <c r="BM15" s="19" t="s">
        <v>95</v>
      </c>
      <c r="BN15" s="19" t="s">
        <v>92</v>
      </c>
      <c r="BO15" s="19" t="s">
        <v>96</v>
      </c>
      <c r="BP15" s="19" t="s">
        <v>94</v>
      </c>
      <c r="BQ15" s="19" t="s">
        <v>95</v>
      </c>
      <c r="BR15" s="19" t="s">
        <v>98</v>
      </c>
      <c r="BS15" s="19" t="s">
        <v>96</v>
      </c>
      <c r="BT15" s="19" t="s">
        <v>92</v>
      </c>
      <c r="BU15" s="19" t="s">
        <v>95</v>
      </c>
      <c r="BV15" s="19" t="s">
        <v>92</v>
      </c>
      <c r="BW15" s="19" t="s">
        <v>97</v>
      </c>
      <c r="BX15" s="19" t="s">
        <v>97</v>
      </c>
      <c r="BY15" s="19" t="s">
        <v>96</v>
      </c>
      <c r="BZ15" s="19" t="s">
        <v>97</v>
      </c>
      <c r="CA15" s="19" t="s">
        <v>95</v>
      </c>
      <c r="CB15" s="19" t="s">
        <v>96</v>
      </c>
      <c r="CC15" s="19" t="s">
        <v>95</v>
      </c>
      <c r="CD15" s="19" t="s">
        <v>95</v>
      </c>
      <c r="CE15" s="19" t="s">
        <v>92</v>
      </c>
      <c r="CF15" s="19" t="s">
        <v>97</v>
      </c>
    </row>
    <row r="16" spans="2:84">
      <c r="B16" s="19" t="s">
        <v>23</v>
      </c>
      <c r="C16" s="23">
        <v>0.1729</v>
      </c>
      <c r="D16" s="23">
        <v>0.17379999999999998</v>
      </c>
      <c r="E16" s="23">
        <v>0.1855</v>
      </c>
      <c r="F16" s="23">
        <v>0.155</v>
      </c>
      <c r="G16" s="23">
        <v>0.16399999999999998</v>
      </c>
      <c r="H16" s="23">
        <v>0.18409999999999999</v>
      </c>
      <c r="I16" s="23">
        <v>0.15309999999999999</v>
      </c>
      <c r="J16" s="23">
        <v>0.17879999999999999</v>
      </c>
      <c r="K16" s="23">
        <v>0.17069999999999999</v>
      </c>
      <c r="L16" s="23">
        <v>0.1769</v>
      </c>
      <c r="M16" s="23">
        <v>0.15569999999999998</v>
      </c>
      <c r="N16" s="23">
        <v>0.18149999999999999</v>
      </c>
      <c r="O16" s="23">
        <v>0.16299999999999998</v>
      </c>
      <c r="P16" s="23">
        <v>0.15429999999999999</v>
      </c>
      <c r="Q16" s="23">
        <v>0.18529999999999999</v>
      </c>
      <c r="R16" s="23">
        <v>0.18259999999999998</v>
      </c>
      <c r="S16" s="23">
        <v>0.1769</v>
      </c>
      <c r="T16" s="23">
        <v>0.18479999999999999</v>
      </c>
      <c r="U16" s="23">
        <v>0.18129999999999999</v>
      </c>
      <c r="V16" s="23">
        <v>0.18389999999999998</v>
      </c>
      <c r="W16" s="23">
        <v>0.1772</v>
      </c>
      <c r="X16" s="23">
        <v>0.1525</v>
      </c>
      <c r="Y16" s="23">
        <v>0.15719999999999998</v>
      </c>
      <c r="Z16" s="23">
        <v>0.15609999999999999</v>
      </c>
      <c r="AA16" s="23">
        <v>0.1699</v>
      </c>
      <c r="AB16" s="23">
        <v>0.15819999999999998</v>
      </c>
      <c r="AD16" s="19" t="s">
        <v>23</v>
      </c>
      <c r="AE16" s="21">
        <v>7.719601631675034E-2</v>
      </c>
      <c r="AF16" s="21">
        <v>6.730178222001533E-2</v>
      </c>
      <c r="AG16" s="21">
        <v>7.4994128015144504E-2</v>
      </c>
      <c r="AH16" s="21">
        <v>6.9374125093097802E-2</v>
      </c>
      <c r="AI16" s="21">
        <v>6.48248956644501E-2</v>
      </c>
      <c r="AJ16" s="21">
        <v>5.9367501084810544E-2</v>
      </c>
      <c r="AK16" s="21">
        <v>5.4816904660534432E-2</v>
      </c>
      <c r="AL16" s="21">
        <v>4.0039946182493805E-2</v>
      </c>
      <c r="AM16" s="21">
        <v>4.9029514912917578E-2</v>
      </c>
      <c r="AN16" s="21">
        <v>9.4470395450217945E-2</v>
      </c>
      <c r="AO16" s="21">
        <v>0.1091883398068705</v>
      </c>
      <c r="AP16" s="21">
        <v>7.8784402303473389E-2</v>
      </c>
      <c r="AQ16" s="21">
        <v>8.6572028310093238E-2</v>
      </c>
      <c r="AR16" s="21">
        <v>0.10105546485740338</v>
      </c>
      <c r="AS16" s="21">
        <v>6.8752930223492353E-2</v>
      </c>
      <c r="AT16" s="21">
        <v>7.2507682737781826E-2</v>
      </c>
      <c r="AU16" s="21">
        <v>8.7154868210634118E-2</v>
      </c>
      <c r="AV16" s="21">
        <v>7.9574145949530786E-2</v>
      </c>
      <c r="AW16" s="21">
        <v>7.2708257633968126E-2</v>
      </c>
      <c r="AX16" s="21">
        <v>6.6984768929283955E-2</v>
      </c>
      <c r="AY16" s="21">
        <v>7.4681235676672814E-2</v>
      </c>
      <c r="AZ16" s="21">
        <v>9.1379379326850613E-2</v>
      </c>
      <c r="BA16" s="21">
        <v>8.2894877859694224E-2</v>
      </c>
      <c r="BB16" s="21">
        <v>7.633117665074915E-2</v>
      </c>
      <c r="BC16" s="21">
        <v>6.8662042846796473E-2</v>
      </c>
      <c r="BD16" s="21">
        <v>6.3543364941806735E-2</v>
      </c>
      <c r="BF16" s="19" t="s">
        <v>23</v>
      </c>
      <c r="BG16" s="19" t="s">
        <v>98</v>
      </c>
      <c r="BH16" s="19" t="s">
        <v>94</v>
      </c>
      <c r="BI16" s="19" t="s">
        <v>98</v>
      </c>
      <c r="BJ16" s="19" t="s">
        <v>95</v>
      </c>
      <c r="BK16" s="19" t="s">
        <v>95</v>
      </c>
      <c r="BL16" s="19" t="s">
        <v>96</v>
      </c>
      <c r="BM16" s="19" t="s">
        <v>97</v>
      </c>
      <c r="BN16" s="19" t="s">
        <v>95</v>
      </c>
      <c r="BO16" s="19" t="s">
        <v>97</v>
      </c>
      <c r="BP16" s="19" t="s">
        <v>97</v>
      </c>
      <c r="BQ16" s="19" t="s">
        <v>96</v>
      </c>
      <c r="BR16" s="19" t="s">
        <v>98</v>
      </c>
      <c r="BS16" s="19" t="s">
        <v>93</v>
      </c>
      <c r="BT16" s="19" t="s">
        <v>97</v>
      </c>
      <c r="BU16" s="19" t="s">
        <v>96</v>
      </c>
      <c r="BV16" s="19" t="s">
        <v>92</v>
      </c>
      <c r="BW16" s="19" t="s">
        <v>96</v>
      </c>
      <c r="BX16" s="19" t="s">
        <v>96</v>
      </c>
      <c r="BY16" s="19" t="s">
        <v>94</v>
      </c>
      <c r="BZ16" s="19" t="s">
        <v>94</v>
      </c>
      <c r="CA16" s="19" t="s">
        <v>97</v>
      </c>
      <c r="CB16" s="19" t="s">
        <v>97</v>
      </c>
      <c r="CC16" s="19" t="s">
        <v>95</v>
      </c>
      <c r="CD16" s="19" t="s">
        <v>95</v>
      </c>
      <c r="CE16" s="19" t="s">
        <v>93</v>
      </c>
      <c r="CF16" s="19" t="s">
        <v>97</v>
      </c>
    </row>
    <row r="17" spans="2:84">
      <c r="B17" s="19" t="s">
        <v>25</v>
      </c>
      <c r="C17" s="23">
        <v>0.10260000000000001</v>
      </c>
      <c r="D17" s="23">
        <v>9.870000000000001E-2</v>
      </c>
      <c r="E17" s="23">
        <v>0.12190000000000001</v>
      </c>
      <c r="F17" s="23">
        <v>0.1275</v>
      </c>
      <c r="G17" s="23">
        <v>9.7000000000000003E-2</v>
      </c>
      <c r="H17" s="23">
        <v>0.1232</v>
      </c>
      <c r="I17" s="23">
        <v>0.10300000000000001</v>
      </c>
      <c r="J17" s="23">
        <v>9.9299999999999999E-2</v>
      </c>
      <c r="K17" s="23">
        <v>0.10830000000000001</v>
      </c>
      <c r="L17" s="23">
        <v>0.114</v>
      </c>
      <c r="M17" s="23">
        <v>0.12570000000000001</v>
      </c>
      <c r="N17" s="23">
        <v>0.10880000000000001</v>
      </c>
      <c r="O17" s="23">
        <v>0.1258</v>
      </c>
      <c r="P17" s="23">
        <v>0.11380000000000001</v>
      </c>
      <c r="Q17" s="23">
        <v>0.12840000000000001</v>
      </c>
      <c r="R17" s="23">
        <v>0.10930000000000001</v>
      </c>
      <c r="S17" s="23">
        <v>0.12690000000000001</v>
      </c>
      <c r="T17" s="23">
        <v>0.1129</v>
      </c>
      <c r="U17" s="23">
        <v>0.12809999999999999</v>
      </c>
      <c r="V17" s="23">
        <v>0.1174</v>
      </c>
      <c r="W17" s="23">
        <v>0.1226</v>
      </c>
      <c r="X17" s="23">
        <v>0.12290000000000001</v>
      </c>
      <c r="Y17" s="23">
        <v>0.1018</v>
      </c>
      <c r="Z17" s="23">
        <v>0.12610000000000002</v>
      </c>
      <c r="AA17" s="23">
        <v>0.1008</v>
      </c>
      <c r="AB17" s="23">
        <v>0.1187</v>
      </c>
      <c r="AD17" s="19" t="s">
        <v>25</v>
      </c>
      <c r="AE17" s="21">
        <v>6.5050039585078351E-2</v>
      </c>
      <c r="AF17" s="21">
        <v>5.515580548834334E-2</v>
      </c>
      <c r="AG17" s="21">
        <v>6.2848151283472514E-2</v>
      </c>
      <c r="AH17" s="21">
        <v>5.7228148361425812E-2</v>
      </c>
      <c r="AI17" s="21">
        <v>5.2678918932778117E-2</v>
      </c>
      <c r="AJ17" s="21">
        <v>4.7221524353138554E-2</v>
      </c>
      <c r="AK17" s="21">
        <v>4.2670927928862443E-2</v>
      </c>
      <c r="AL17" s="21">
        <v>3.0124692422112923E-2</v>
      </c>
      <c r="AM17" s="21">
        <v>3.6883538181245588E-2</v>
      </c>
      <c r="AN17" s="21">
        <v>8.2324418718545955E-2</v>
      </c>
      <c r="AO17" s="21">
        <v>9.7042363075198507E-2</v>
      </c>
      <c r="AP17" s="21">
        <v>6.6638425571801399E-2</v>
      </c>
      <c r="AQ17" s="21">
        <v>7.4426051578421248E-2</v>
      </c>
      <c r="AR17" s="21">
        <v>8.8909488125731392E-2</v>
      </c>
      <c r="AS17" s="21">
        <v>5.6606953491820371E-2</v>
      </c>
      <c r="AT17" s="21">
        <v>6.0361706006109829E-2</v>
      </c>
      <c r="AU17" s="21">
        <v>7.5008891478962142E-2</v>
      </c>
      <c r="AV17" s="21">
        <v>6.7428169217858797E-2</v>
      </c>
      <c r="AW17" s="21">
        <v>6.056228090229613E-2</v>
      </c>
      <c r="AX17" s="21">
        <v>5.4838792197611973E-2</v>
      </c>
      <c r="AY17" s="21">
        <v>6.2535258945000824E-2</v>
      </c>
      <c r="AZ17" s="21">
        <v>7.9233402595178637E-2</v>
      </c>
      <c r="BA17" s="21">
        <v>7.0748901128022235E-2</v>
      </c>
      <c r="BB17" s="21">
        <v>6.418519991907716E-2</v>
      </c>
      <c r="BC17" s="21">
        <v>5.6516066115124476E-2</v>
      </c>
      <c r="BD17" s="21">
        <v>5.1397388210134738E-2</v>
      </c>
      <c r="BF17" s="19" t="s">
        <v>25</v>
      </c>
      <c r="BG17" s="19" t="s">
        <v>98</v>
      </c>
      <c r="BH17" s="19" t="s">
        <v>92</v>
      </c>
      <c r="BI17" s="19" t="s">
        <v>93</v>
      </c>
      <c r="BJ17" s="19" t="s">
        <v>92</v>
      </c>
      <c r="BK17" s="19" t="s">
        <v>94</v>
      </c>
      <c r="BL17" s="19" t="s">
        <v>96</v>
      </c>
      <c r="BM17" s="19" t="s">
        <v>98</v>
      </c>
      <c r="BN17" s="19" t="s">
        <v>98</v>
      </c>
      <c r="BO17" s="19" t="s">
        <v>98</v>
      </c>
      <c r="BP17" s="19" t="s">
        <v>93</v>
      </c>
      <c r="BQ17" s="19" t="s">
        <v>98</v>
      </c>
      <c r="BR17" s="19" t="s">
        <v>92</v>
      </c>
      <c r="BS17" s="19" t="s">
        <v>97</v>
      </c>
      <c r="BT17" s="19" t="s">
        <v>94</v>
      </c>
      <c r="BU17" s="19" t="s">
        <v>92</v>
      </c>
      <c r="BV17" s="19" t="s">
        <v>93</v>
      </c>
      <c r="BW17" s="19" t="s">
        <v>97</v>
      </c>
      <c r="BX17" s="19" t="s">
        <v>93</v>
      </c>
      <c r="BY17" s="19" t="s">
        <v>96</v>
      </c>
      <c r="BZ17" s="19" t="s">
        <v>96</v>
      </c>
      <c r="CA17" s="19" t="s">
        <v>94</v>
      </c>
      <c r="CB17" s="19" t="s">
        <v>98</v>
      </c>
      <c r="CC17" s="19" t="s">
        <v>94</v>
      </c>
      <c r="CD17" s="19" t="s">
        <v>93</v>
      </c>
      <c r="CE17" s="19" t="s">
        <v>93</v>
      </c>
      <c r="CF17" s="19" t="s">
        <v>94</v>
      </c>
    </row>
    <row r="18" spans="2:84">
      <c r="B18" s="19" t="s">
        <v>27</v>
      </c>
      <c r="C18" s="23">
        <v>3.7100000000000008E-2</v>
      </c>
      <c r="D18" s="23">
        <v>4.0500000000000008E-2</v>
      </c>
      <c r="E18" s="23">
        <v>3.9900000000000005E-2</v>
      </c>
      <c r="F18" s="23">
        <v>4.6099999999999995E-2</v>
      </c>
      <c r="G18" s="23">
        <v>4.6099999999999995E-2</v>
      </c>
      <c r="H18" s="23">
        <v>3.7200000000000004E-2</v>
      </c>
      <c r="I18" s="23">
        <v>4.7800000000000002E-2</v>
      </c>
      <c r="J18" s="23">
        <v>3.9199999999999999E-2</v>
      </c>
      <c r="K18" s="23">
        <v>4.41E-2</v>
      </c>
      <c r="L18" s="23">
        <v>4.7200000000000006E-2</v>
      </c>
      <c r="M18" s="23">
        <v>3.740000000000001E-2</v>
      </c>
      <c r="N18" s="23">
        <v>4.2300000000000011E-2</v>
      </c>
      <c r="O18" s="23">
        <v>4.7600000000000003E-2</v>
      </c>
      <c r="P18" s="23">
        <v>4.4900000000000002E-2</v>
      </c>
      <c r="Q18" s="23">
        <v>4.0300000000000002E-2</v>
      </c>
      <c r="R18" s="23">
        <v>4.4600000000000015E-2</v>
      </c>
      <c r="S18" s="23">
        <v>3.7000000000000012E-2</v>
      </c>
      <c r="T18" s="23">
        <v>4.8000000000000001E-2</v>
      </c>
      <c r="U18" s="23">
        <v>4.7699999999999999E-2</v>
      </c>
      <c r="V18" s="23">
        <v>3.8200000000000005E-2</v>
      </c>
      <c r="W18" s="23">
        <v>4.6599999999999989E-2</v>
      </c>
      <c r="X18" s="23">
        <v>3.9299999999999988E-2</v>
      </c>
      <c r="Y18" s="23">
        <v>4.4199999999999989E-2</v>
      </c>
      <c r="Z18" s="23">
        <v>4.7699999999999992E-2</v>
      </c>
      <c r="AA18" s="23">
        <v>4.7E-2</v>
      </c>
      <c r="AB18" s="23">
        <v>3.8000000000000006E-2</v>
      </c>
      <c r="AD18" s="19" t="s">
        <v>27</v>
      </c>
      <c r="AE18" s="21">
        <v>8.3028903536750326E-2</v>
      </c>
      <c r="AF18" s="21">
        <v>7.3134669440015315E-2</v>
      </c>
      <c r="AG18" s="21">
        <v>8.0827015235144489E-2</v>
      </c>
      <c r="AH18" s="21">
        <v>7.5207012313097787E-2</v>
      </c>
      <c r="AI18" s="21">
        <v>7.0657782884450099E-2</v>
      </c>
      <c r="AJ18" s="21">
        <v>6.5200388304810536E-2</v>
      </c>
      <c r="AK18" s="21">
        <v>6.0649791880534418E-2</v>
      </c>
      <c r="AL18" s="21">
        <v>4.4952685905451949E-2</v>
      </c>
      <c r="AM18" s="21">
        <v>5.4862402132917563E-2</v>
      </c>
      <c r="AN18" s="21">
        <v>0.10030328267021793</v>
      </c>
      <c r="AO18" s="21">
        <v>0.11502122702687048</v>
      </c>
      <c r="AP18" s="21">
        <v>8.4617289523473374E-2</v>
      </c>
      <c r="AQ18" s="21">
        <v>9.2404915530093223E-2</v>
      </c>
      <c r="AR18" s="21">
        <v>0.10688835207740337</v>
      </c>
      <c r="AS18" s="21">
        <v>7.4585817443492353E-2</v>
      </c>
      <c r="AT18" s="21">
        <v>7.8340569957781797E-2</v>
      </c>
      <c r="AU18" s="21">
        <v>9.2987755430634117E-2</v>
      </c>
      <c r="AV18" s="21">
        <v>8.5407033169530772E-2</v>
      </c>
      <c r="AW18" s="21">
        <v>7.8541144853968098E-2</v>
      </c>
      <c r="AX18" s="21">
        <v>7.2817656149283955E-2</v>
      </c>
      <c r="AY18" s="21">
        <v>8.0514122896672799E-2</v>
      </c>
      <c r="AZ18" s="21">
        <v>9.7212266546850612E-2</v>
      </c>
      <c r="BA18" s="21">
        <v>8.872776507969421E-2</v>
      </c>
      <c r="BB18" s="21">
        <v>8.2164063870749135E-2</v>
      </c>
      <c r="BC18" s="21">
        <v>7.4494930066796444E-2</v>
      </c>
      <c r="BD18" s="21">
        <v>6.9376252161806706E-2</v>
      </c>
      <c r="BF18" s="19" t="s">
        <v>27</v>
      </c>
      <c r="BG18" s="19" t="s">
        <v>94</v>
      </c>
      <c r="BH18" s="19" t="s">
        <v>95</v>
      </c>
      <c r="BI18" s="19" t="s">
        <v>97</v>
      </c>
      <c r="BJ18" s="19" t="s">
        <v>92</v>
      </c>
      <c r="BK18" s="19" t="s">
        <v>92</v>
      </c>
      <c r="BL18" s="19" t="s">
        <v>98</v>
      </c>
      <c r="BM18" s="19" t="s">
        <v>97</v>
      </c>
      <c r="BN18" s="19" t="s">
        <v>94</v>
      </c>
      <c r="BO18" s="19" t="s">
        <v>94</v>
      </c>
      <c r="BP18" s="19" t="s">
        <v>95</v>
      </c>
      <c r="BQ18" s="19" t="s">
        <v>94</v>
      </c>
      <c r="BR18" s="19" t="s">
        <v>92</v>
      </c>
      <c r="BS18" s="19" t="s">
        <v>96</v>
      </c>
      <c r="BT18" s="19" t="s">
        <v>94</v>
      </c>
      <c r="BU18" s="19" t="s">
        <v>92</v>
      </c>
      <c r="BV18" s="19" t="s">
        <v>98</v>
      </c>
      <c r="BW18" s="19" t="s">
        <v>92</v>
      </c>
      <c r="BX18" s="19" t="s">
        <v>92</v>
      </c>
      <c r="BY18" s="19" t="s">
        <v>93</v>
      </c>
      <c r="BZ18" s="19" t="s">
        <v>97</v>
      </c>
      <c r="CA18" s="19" t="s">
        <v>93</v>
      </c>
      <c r="CB18" s="19" t="s">
        <v>97</v>
      </c>
      <c r="CC18" s="19" t="s">
        <v>94</v>
      </c>
      <c r="CD18" s="19" t="s">
        <v>95</v>
      </c>
      <c r="CE18" s="19" t="s">
        <v>93</v>
      </c>
      <c r="CF18" s="19" t="s">
        <v>96</v>
      </c>
    </row>
    <row r="19" spans="2:84">
      <c r="B19" s="19" t="s">
        <v>29</v>
      </c>
      <c r="C19" s="23">
        <v>5.9300000000000005E-2</v>
      </c>
      <c r="D19" s="23">
        <v>7.0900000000000005E-2</v>
      </c>
      <c r="E19" s="23">
        <v>6.8900000000000003E-2</v>
      </c>
      <c r="F19" s="23">
        <v>7.0199999999999999E-2</v>
      </c>
      <c r="G19" s="23">
        <v>6.7199999999999996E-2</v>
      </c>
      <c r="H19" s="23">
        <v>7.0800000000000002E-2</v>
      </c>
      <c r="I19" s="23">
        <v>6.2100000000000002E-2</v>
      </c>
      <c r="J19" s="23">
        <v>6.2E-2</v>
      </c>
      <c r="K19" s="23">
        <v>7.039999999999999E-2</v>
      </c>
      <c r="L19" s="23">
        <v>6.5099999999999991E-2</v>
      </c>
      <c r="M19" s="23">
        <v>5.9900000000000009E-2</v>
      </c>
      <c r="N19" s="23">
        <v>6.7900000000000002E-2</v>
      </c>
      <c r="O19" s="23">
        <v>7.17E-2</v>
      </c>
      <c r="P19" s="23">
        <v>6.3500000000000001E-2</v>
      </c>
      <c r="Q19" s="23">
        <v>6.3200000000000006E-2</v>
      </c>
      <c r="R19" s="23">
        <v>7.0699999999999999E-2</v>
      </c>
      <c r="S19" s="23">
        <v>5.9700000000000003E-2</v>
      </c>
      <c r="T19" s="23">
        <v>6.4699999999999994E-2</v>
      </c>
      <c r="U19" s="23">
        <v>7.0800000000000002E-2</v>
      </c>
      <c r="V19" s="23">
        <v>7.1199999999999999E-2</v>
      </c>
      <c r="W19" s="23">
        <v>6.0800000000000007E-2</v>
      </c>
      <c r="X19" s="23">
        <v>7.0800000000000002E-2</v>
      </c>
      <c r="Y19" s="23">
        <v>6.5999999999999989E-2</v>
      </c>
      <c r="Z19" s="23">
        <v>6.1100000000000002E-2</v>
      </c>
      <c r="AA19" s="23">
        <v>5.8799999999999998E-2</v>
      </c>
      <c r="AB19" s="23">
        <v>6.9599999999999995E-2</v>
      </c>
      <c r="AD19" s="19" t="s">
        <v>29</v>
      </c>
      <c r="AE19" s="21">
        <v>5.8146673004119576E-2</v>
      </c>
      <c r="AF19" s="21">
        <v>4.8252438907384565E-2</v>
      </c>
      <c r="AG19" s="21">
        <v>5.5944784702513739E-2</v>
      </c>
      <c r="AH19" s="21">
        <v>5.0324781780467037E-2</v>
      </c>
      <c r="AI19" s="21">
        <v>4.5775552351819342E-2</v>
      </c>
      <c r="AJ19" s="21">
        <v>4.0318157772179779E-2</v>
      </c>
      <c r="AK19" s="21">
        <v>3.5767561347903667E-2</v>
      </c>
      <c r="AL19" s="21">
        <v>2.6282091878422377E-2</v>
      </c>
      <c r="AM19" s="21">
        <v>2.9980171600286813E-2</v>
      </c>
      <c r="AN19" s="21">
        <v>7.542105213758718E-2</v>
      </c>
      <c r="AO19" s="21">
        <v>9.0138996494239731E-2</v>
      </c>
      <c r="AP19" s="21">
        <v>5.9735058990842624E-2</v>
      </c>
      <c r="AQ19" s="21">
        <v>6.7522684997462473E-2</v>
      </c>
      <c r="AR19" s="21">
        <v>8.2006121544772617E-2</v>
      </c>
      <c r="AS19" s="21">
        <v>4.9703586910861595E-2</v>
      </c>
      <c r="AT19" s="21">
        <v>5.3458339425151054E-2</v>
      </c>
      <c r="AU19" s="21">
        <v>6.8105524898003367E-2</v>
      </c>
      <c r="AV19" s="21">
        <v>6.0524802636900021E-2</v>
      </c>
      <c r="AW19" s="21">
        <v>5.3658914321337355E-2</v>
      </c>
      <c r="AX19" s="21">
        <v>4.7935425616653198E-2</v>
      </c>
      <c r="AY19" s="21">
        <v>5.5631892364042049E-2</v>
      </c>
      <c r="AZ19" s="21">
        <v>7.2330036014219862E-2</v>
      </c>
      <c r="BA19" s="21">
        <v>6.3845534547063459E-2</v>
      </c>
      <c r="BB19" s="21">
        <v>5.7281833338118385E-2</v>
      </c>
      <c r="BC19" s="21">
        <v>4.9612699534165701E-2</v>
      </c>
      <c r="BD19" s="21">
        <v>4.4494021629175963E-2</v>
      </c>
      <c r="BF19" s="19" t="s">
        <v>29</v>
      </c>
      <c r="BG19" s="19" t="s">
        <v>93</v>
      </c>
      <c r="BH19" s="19" t="s">
        <v>95</v>
      </c>
      <c r="BI19" s="19" t="s">
        <v>93</v>
      </c>
      <c r="BJ19" s="19" t="s">
        <v>92</v>
      </c>
      <c r="BK19" s="19" t="s">
        <v>93</v>
      </c>
      <c r="BL19" s="19" t="s">
        <v>92</v>
      </c>
      <c r="BM19" s="19" t="s">
        <v>94</v>
      </c>
      <c r="BN19" s="19" t="s">
        <v>94</v>
      </c>
      <c r="BO19" s="19" t="s">
        <v>96</v>
      </c>
      <c r="BP19" s="19" t="s">
        <v>96</v>
      </c>
      <c r="BQ19" s="19" t="s">
        <v>94</v>
      </c>
      <c r="BR19" s="19" t="s">
        <v>98</v>
      </c>
      <c r="BS19" s="19" t="s">
        <v>94</v>
      </c>
      <c r="BT19" s="19" t="s">
        <v>98</v>
      </c>
      <c r="BU19" s="19" t="s">
        <v>94</v>
      </c>
      <c r="BV19" s="19" t="s">
        <v>95</v>
      </c>
      <c r="BW19" s="19" t="s">
        <v>93</v>
      </c>
      <c r="BX19" s="19" t="s">
        <v>97</v>
      </c>
      <c r="BY19" s="19" t="s">
        <v>97</v>
      </c>
      <c r="BZ19" s="19" t="s">
        <v>94</v>
      </c>
      <c r="CA19" s="19" t="s">
        <v>95</v>
      </c>
      <c r="CB19" s="19" t="s">
        <v>96</v>
      </c>
      <c r="CC19" s="19" t="s">
        <v>95</v>
      </c>
      <c r="CD19" s="19" t="s">
        <v>95</v>
      </c>
      <c r="CE19" s="19" t="s">
        <v>96</v>
      </c>
      <c r="CF19" s="19" t="s">
        <v>94</v>
      </c>
    </row>
    <row r="20" spans="2:84">
      <c r="B20" s="19" t="s">
        <v>31</v>
      </c>
      <c r="C20" s="23">
        <v>5.3400000000000024E-2</v>
      </c>
      <c r="D20" s="23">
        <v>4.4300000000000034E-2</v>
      </c>
      <c r="E20" s="23">
        <v>4.970000000000005E-2</v>
      </c>
      <c r="F20" s="23">
        <v>4.6900000000000032E-2</v>
      </c>
      <c r="G20" s="23">
        <v>4.5400000000000044E-2</v>
      </c>
      <c r="H20" s="23">
        <v>5.3400000000000024E-2</v>
      </c>
      <c r="I20" s="23">
        <v>4.9400000000000027E-2</v>
      </c>
      <c r="J20" s="23">
        <v>5.1600000000000035E-2</v>
      </c>
      <c r="K20" s="23">
        <v>5.2000000000000032E-2</v>
      </c>
      <c r="L20" s="23">
        <v>5.5000000000000035E-2</v>
      </c>
      <c r="M20" s="23">
        <v>4.9100000000000026E-2</v>
      </c>
      <c r="N20" s="23">
        <v>5.3800000000000028E-2</v>
      </c>
      <c r="O20" s="23">
        <v>4.4600000000000035E-2</v>
      </c>
      <c r="P20" s="23">
        <v>5.0500000000000031E-2</v>
      </c>
      <c r="Q20" s="23">
        <v>5.3500000000000027E-2</v>
      </c>
      <c r="R20" s="23">
        <v>4.6800000000000036E-2</v>
      </c>
      <c r="S20" s="23">
        <v>5.3900000000000031E-2</v>
      </c>
      <c r="T20" s="23">
        <v>4.5500000000000033E-2</v>
      </c>
      <c r="U20" s="23">
        <v>4.4400000000000044E-2</v>
      </c>
      <c r="V20" s="23">
        <v>5.0900000000000035E-2</v>
      </c>
      <c r="W20" s="23">
        <v>4.5600000000000029E-2</v>
      </c>
      <c r="X20" s="23">
        <v>5.1200000000000037E-2</v>
      </c>
      <c r="Y20" s="23">
        <v>4.3700000000000044E-2</v>
      </c>
      <c r="Z20" s="23">
        <v>5.3300000000000014E-2</v>
      </c>
      <c r="AA20" s="23">
        <v>4.3500000000000011E-2</v>
      </c>
      <c r="AB20" s="23">
        <v>4.780000000000003E-2</v>
      </c>
      <c r="AD20" s="19" t="s">
        <v>31</v>
      </c>
      <c r="AE20" s="21">
        <v>7.1028903536750329E-2</v>
      </c>
      <c r="AF20" s="21">
        <v>6.1134669440015318E-2</v>
      </c>
      <c r="AG20" s="21">
        <v>6.8827015235144492E-2</v>
      </c>
      <c r="AH20" s="21">
        <v>6.3207012313097791E-2</v>
      </c>
      <c r="AI20" s="21">
        <v>5.8657782884450095E-2</v>
      </c>
      <c r="AJ20" s="21">
        <v>5.3200388304810532E-2</v>
      </c>
      <c r="AK20" s="21">
        <v>4.8649791880534421E-2</v>
      </c>
      <c r="AL20" s="21">
        <v>3.4973263856332676E-2</v>
      </c>
      <c r="AM20" s="21">
        <v>4.2862402132917567E-2</v>
      </c>
      <c r="AN20" s="21">
        <v>8.8303282670217934E-2</v>
      </c>
      <c r="AO20" s="21">
        <v>0.10302122702687048</v>
      </c>
      <c r="AP20" s="21">
        <v>7.2617289523473377E-2</v>
      </c>
      <c r="AQ20" s="21">
        <v>8.0404915530093227E-2</v>
      </c>
      <c r="AR20" s="21">
        <v>9.4888352077403371E-2</v>
      </c>
      <c r="AS20" s="21">
        <v>6.2585817443492342E-2</v>
      </c>
      <c r="AT20" s="21">
        <v>6.6340569957781814E-2</v>
      </c>
      <c r="AU20" s="21">
        <v>8.0987755430634106E-2</v>
      </c>
      <c r="AV20" s="21">
        <v>7.3407033169530775E-2</v>
      </c>
      <c r="AW20" s="21">
        <v>6.6541144853968115E-2</v>
      </c>
      <c r="AX20" s="21">
        <v>6.0817656149283951E-2</v>
      </c>
      <c r="AY20" s="21">
        <v>6.8514122896672802E-2</v>
      </c>
      <c r="AZ20" s="21">
        <v>8.5212266546850601E-2</v>
      </c>
      <c r="BA20" s="21">
        <v>7.6727765079694213E-2</v>
      </c>
      <c r="BB20" s="21">
        <v>7.0164063870749138E-2</v>
      </c>
      <c r="BC20" s="21">
        <v>6.2494930066796454E-2</v>
      </c>
      <c r="BD20" s="21">
        <v>5.7376252161806716E-2</v>
      </c>
      <c r="BF20" s="19" t="s">
        <v>31</v>
      </c>
      <c r="BG20" s="19" t="s">
        <v>96</v>
      </c>
      <c r="BH20" s="19" t="s">
        <v>92</v>
      </c>
      <c r="BI20" s="19" t="s">
        <v>97</v>
      </c>
      <c r="BJ20" s="19" t="s">
        <v>98</v>
      </c>
      <c r="BK20" s="19" t="s">
        <v>93</v>
      </c>
      <c r="BL20" s="19" t="s">
        <v>97</v>
      </c>
      <c r="BM20" s="19" t="s">
        <v>93</v>
      </c>
      <c r="BN20" s="19" t="s">
        <v>93</v>
      </c>
      <c r="BO20" s="19" t="s">
        <v>92</v>
      </c>
      <c r="BP20" s="19" t="s">
        <v>93</v>
      </c>
      <c r="BQ20" s="19" t="s">
        <v>96</v>
      </c>
      <c r="BR20" s="19" t="s">
        <v>95</v>
      </c>
      <c r="BS20" s="19" t="s">
        <v>95</v>
      </c>
      <c r="BT20" s="19" t="s">
        <v>95</v>
      </c>
      <c r="BU20" s="19" t="s">
        <v>95</v>
      </c>
      <c r="BV20" s="19" t="s">
        <v>94</v>
      </c>
      <c r="BW20" s="19" t="s">
        <v>94</v>
      </c>
      <c r="BX20" s="19" t="s">
        <v>97</v>
      </c>
      <c r="BY20" s="19" t="s">
        <v>95</v>
      </c>
      <c r="BZ20" s="19" t="s">
        <v>97</v>
      </c>
      <c r="CA20" s="19" t="s">
        <v>94</v>
      </c>
      <c r="CB20" s="19" t="s">
        <v>98</v>
      </c>
      <c r="CC20" s="19" t="s">
        <v>93</v>
      </c>
      <c r="CD20" s="19" t="s">
        <v>92</v>
      </c>
      <c r="CE20" s="19" t="s">
        <v>95</v>
      </c>
      <c r="CF20" s="19" t="s">
        <v>94</v>
      </c>
    </row>
    <row r="21" spans="2:84"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</row>
    <row r="22" spans="2:84">
      <c r="B22" s="18" t="s">
        <v>34</v>
      </c>
      <c r="AD22" s="18" t="s">
        <v>34</v>
      </c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F22" s="18" t="s">
        <v>34</v>
      </c>
    </row>
    <row r="23" spans="2:84">
      <c r="B23" s="19" t="s">
        <v>36</v>
      </c>
      <c r="C23" s="23">
        <f>1-SUM(C24:C29)</f>
        <v>0.21489999999999987</v>
      </c>
      <c r="D23" s="23">
        <f t="shared" ref="D23" si="2">1-SUM(D24:D29)</f>
        <v>0.2359</v>
      </c>
      <c r="E23" s="23">
        <f t="shared" ref="E23" si="3">1-SUM(E24:E29)</f>
        <v>0.25440000000000007</v>
      </c>
      <c r="F23" s="23">
        <f t="shared" ref="F23" si="4">1-SUM(F24:F29)</f>
        <v>0.24389999999999989</v>
      </c>
      <c r="G23" s="23">
        <f t="shared" ref="G23" si="5">1-SUM(G24:G29)</f>
        <v>0.24690000000000001</v>
      </c>
      <c r="H23" s="23">
        <f t="shared" ref="H23" si="6">1-SUM(H24:H29)</f>
        <v>0.24469999999999992</v>
      </c>
      <c r="I23" s="23">
        <f t="shared" ref="I23" si="7">1-SUM(I24:I29)</f>
        <v>0.20839999999999992</v>
      </c>
      <c r="J23" s="23">
        <f t="shared" ref="J23" si="8">1-SUM(J24:J29)</f>
        <v>0.22699999999999987</v>
      </c>
      <c r="K23" s="23">
        <f t="shared" ref="K23" si="9">1-SUM(K24:K29)</f>
        <v>0.2399</v>
      </c>
      <c r="L23" s="23">
        <f t="shared" ref="L23" si="10">1-SUM(L24:L29)</f>
        <v>0.25949999999999995</v>
      </c>
      <c r="M23" s="23">
        <f t="shared" ref="M23" si="11">1-SUM(M24:M29)</f>
        <v>0.25939999999999996</v>
      </c>
      <c r="N23" s="23">
        <f t="shared" ref="N23" si="12">1-SUM(N24:N29)</f>
        <v>0.25889999999999991</v>
      </c>
      <c r="O23" s="23">
        <f t="shared" ref="O23" si="13">1-SUM(O24:O29)</f>
        <v>0.21109999999999995</v>
      </c>
      <c r="P23" s="23">
        <f t="shared" ref="P23" si="14">1-SUM(P24:P29)</f>
        <v>0.2198</v>
      </c>
      <c r="Q23" s="23">
        <f t="shared" ref="Q23" si="15">1-SUM(Q24:Q29)</f>
        <v>0.26100000000000001</v>
      </c>
      <c r="R23" s="23">
        <f t="shared" ref="R23" si="16">1-SUM(R24:R29)</f>
        <v>0.2458999999999999</v>
      </c>
      <c r="S23" s="23">
        <f t="shared" ref="S23" si="17">1-SUM(S24:S29)</f>
        <v>0.25219999999999998</v>
      </c>
      <c r="T23" s="23">
        <f t="shared" ref="T23" si="18">1-SUM(T24:T29)</f>
        <v>0.24839999999999995</v>
      </c>
      <c r="U23" s="23">
        <f t="shared" ref="U23" si="19">1-SUM(U24:U29)</f>
        <v>0.24289999999999989</v>
      </c>
      <c r="V23" s="23">
        <f t="shared" ref="V23" si="20">1-SUM(V24:V29)</f>
        <v>0.23619999999999997</v>
      </c>
      <c r="W23" s="23">
        <f t="shared" ref="W23" si="21">1-SUM(W24:W29)</f>
        <v>0.25499999999999989</v>
      </c>
      <c r="X23" s="23">
        <f t="shared" ref="X23" si="22">1-SUM(X24:X29)</f>
        <v>0.23080000000000001</v>
      </c>
      <c r="Y23" s="23">
        <f t="shared" ref="Y23" si="23">1-SUM(Y24:Y29)</f>
        <v>0.28149999999999997</v>
      </c>
      <c r="Z23" s="23">
        <f t="shared" ref="Z23" si="24">1-SUM(Z24:Z29)</f>
        <v>0.25380000000000003</v>
      </c>
      <c r="AA23" s="23">
        <f t="shared" ref="AA23" si="25">1-SUM(AA24:AA29)</f>
        <v>0.24459999999999993</v>
      </c>
      <c r="AB23" s="23">
        <f t="shared" ref="AB23" si="26">1-SUM(AB24:AB29)</f>
        <v>0.22559999999999991</v>
      </c>
      <c r="AD23" s="19" t="s">
        <v>36</v>
      </c>
      <c r="AE23" s="21">
        <v>6.9041071635797369E-2</v>
      </c>
      <c r="AF23" s="21">
        <v>5.8621684070736202E-2</v>
      </c>
      <c r="AG23" s="21">
        <v>6.723016602226134E-2</v>
      </c>
      <c r="AH23" s="21">
        <v>6.0782864278341106E-2</v>
      </c>
      <c r="AI23" s="21">
        <v>5.6047396654035048E-2</v>
      </c>
      <c r="AJ23" s="21">
        <v>5.1650095584514187E-2</v>
      </c>
      <c r="AK23" s="21">
        <v>4.6424156505655588E-2</v>
      </c>
      <c r="AL23" s="21">
        <v>3.4118932258971148E-2</v>
      </c>
      <c r="AM23" s="21">
        <v>3.7423010800708846E-2</v>
      </c>
      <c r="AN23" s="21">
        <v>8.6243544328921007E-2</v>
      </c>
      <c r="AO23" s="21">
        <v>0.10014828472185386</v>
      </c>
      <c r="AP23" s="21">
        <v>7.1060920749263567E-2</v>
      </c>
      <c r="AQ23" s="21">
        <v>7.9024447834843581E-2</v>
      </c>
      <c r="AR23" s="21">
        <v>9.2750338427562806E-2</v>
      </c>
      <c r="AS23" s="21">
        <v>6.0668542034073097E-2</v>
      </c>
      <c r="AT23" s="21">
        <v>6.4436001608776799E-2</v>
      </c>
      <c r="AU23" s="21">
        <v>7.9125348662911765E-2</v>
      </c>
      <c r="AV23" s="21">
        <v>7.1484635187017281E-2</v>
      </c>
      <c r="AW23" s="21">
        <v>6.5105954921692202E-2</v>
      </c>
      <c r="AX23" s="21">
        <v>5.8856977769078285E-2</v>
      </c>
      <c r="AY23" s="21">
        <v>6.6537338595565737E-2</v>
      </c>
      <c r="AZ23" s="21">
        <v>8.2834401272165403E-2</v>
      </c>
      <c r="BA23" s="21">
        <v>7.307512218076688E-2</v>
      </c>
      <c r="BB23" s="21">
        <v>6.7779151084050693E-2</v>
      </c>
      <c r="BC23" s="21">
        <v>6.0232213920877672E-2</v>
      </c>
      <c r="BD23" s="21">
        <v>5.4857769794290294E-2</v>
      </c>
      <c r="BF23" s="19" t="s">
        <v>36</v>
      </c>
      <c r="BG23" s="19" t="s">
        <v>94</v>
      </c>
      <c r="BH23" s="19" t="s">
        <v>98</v>
      </c>
      <c r="BI23" s="19" t="s">
        <v>92</v>
      </c>
      <c r="BJ23" s="19" t="s">
        <v>98</v>
      </c>
      <c r="BK23" s="19" t="s">
        <v>94</v>
      </c>
      <c r="BL23" s="19" t="s">
        <v>98</v>
      </c>
      <c r="BM23" s="19" t="s">
        <v>93</v>
      </c>
      <c r="BN23" s="19" t="s">
        <v>95</v>
      </c>
      <c r="BO23" s="19" t="s">
        <v>93</v>
      </c>
      <c r="BP23" s="19" t="s">
        <v>95</v>
      </c>
      <c r="BQ23" s="19" t="s">
        <v>95</v>
      </c>
      <c r="BR23" s="19" t="s">
        <v>97</v>
      </c>
      <c r="BS23" s="19" t="s">
        <v>95</v>
      </c>
      <c r="BT23" s="19" t="s">
        <v>96</v>
      </c>
      <c r="BU23" s="19" t="s">
        <v>97</v>
      </c>
      <c r="BV23" s="19" t="s">
        <v>97</v>
      </c>
      <c r="BW23" s="19" t="s">
        <v>96</v>
      </c>
      <c r="BX23" s="19" t="s">
        <v>93</v>
      </c>
      <c r="BY23" s="19" t="s">
        <v>95</v>
      </c>
      <c r="BZ23" s="19" t="s">
        <v>94</v>
      </c>
      <c r="CA23" s="19" t="s">
        <v>95</v>
      </c>
      <c r="CB23" s="19" t="s">
        <v>92</v>
      </c>
      <c r="CC23" s="19" t="s">
        <v>94</v>
      </c>
      <c r="CD23" s="19" t="s">
        <v>93</v>
      </c>
      <c r="CE23" s="19" t="s">
        <v>97</v>
      </c>
      <c r="CF23" s="19" t="s">
        <v>92</v>
      </c>
    </row>
    <row r="24" spans="2:84">
      <c r="B24" s="19" t="s">
        <v>38</v>
      </c>
      <c r="C24" s="23">
        <v>0.191</v>
      </c>
      <c r="D24" s="23">
        <v>0.17149999999999999</v>
      </c>
      <c r="E24" s="23">
        <v>0.17249999999999999</v>
      </c>
      <c r="F24" s="23">
        <v>0.1757</v>
      </c>
      <c r="G24" s="23">
        <v>0.1643</v>
      </c>
      <c r="H24" s="23">
        <v>0.19569999999999999</v>
      </c>
      <c r="I24" s="23">
        <v>0.17979999999999999</v>
      </c>
      <c r="J24" s="23">
        <v>0.1948</v>
      </c>
      <c r="K24" s="23">
        <v>0.16880000000000001</v>
      </c>
      <c r="L24" s="23">
        <v>0.1754</v>
      </c>
      <c r="M24" s="23">
        <v>0.17169999999999999</v>
      </c>
      <c r="N24" s="23">
        <v>0.19309999999999999</v>
      </c>
      <c r="O24" s="23">
        <v>0.19189999999999999</v>
      </c>
      <c r="P24" s="23">
        <v>0.16469999999999999</v>
      </c>
      <c r="Q24" s="23">
        <v>0.1666</v>
      </c>
      <c r="R24" s="23">
        <v>0.18179999999999999</v>
      </c>
      <c r="S24" s="23">
        <v>0.1862</v>
      </c>
      <c r="T24" s="23">
        <v>0.17879999999999999</v>
      </c>
      <c r="U24" s="23">
        <v>0.1923</v>
      </c>
      <c r="V24" s="23">
        <v>0.1704</v>
      </c>
      <c r="W24" s="23">
        <v>0.17749999999999999</v>
      </c>
      <c r="X24" s="23">
        <v>0.18859999999999999</v>
      </c>
      <c r="Y24" s="23">
        <v>0.16200000000000001</v>
      </c>
      <c r="Z24" s="23">
        <v>0.17649999999999999</v>
      </c>
      <c r="AA24" s="23">
        <v>0.18640000000000001</v>
      </c>
      <c r="AB24" s="23">
        <v>0.17560000000000001</v>
      </c>
      <c r="AD24" s="19" t="s">
        <v>38</v>
      </c>
      <c r="AE24" s="21">
        <v>4.4974201599418825E-2</v>
      </c>
      <c r="AF24" s="21">
        <v>3.4554814034357666E-2</v>
      </c>
      <c r="AG24" s="21">
        <v>4.3163295985882803E-2</v>
      </c>
      <c r="AH24" s="21">
        <v>3.671599424196257E-2</v>
      </c>
      <c r="AI24" s="21">
        <v>3.1980526617656511E-2</v>
      </c>
      <c r="AJ24" s="21">
        <v>2.7583225548135651E-2</v>
      </c>
      <c r="AK24" s="21">
        <v>2.2357286469277052E-2</v>
      </c>
      <c r="AL24" s="21">
        <v>1.8744845948524276E-2</v>
      </c>
      <c r="AM24" s="21">
        <v>2.2048924490261974E-2</v>
      </c>
      <c r="AN24" s="21">
        <v>6.2176674292542464E-2</v>
      </c>
      <c r="AO24" s="21">
        <v>7.6081414685475315E-2</v>
      </c>
      <c r="AP24" s="21">
        <v>4.6994050712885031E-2</v>
      </c>
      <c r="AQ24" s="21">
        <v>5.4957577798465045E-2</v>
      </c>
      <c r="AR24" s="21">
        <v>6.8683468391184263E-2</v>
      </c>
      <c r="AS24" s="21">
        <v>3.6601671997694561E-2</v>
      </c>
      <c r="AT24" s="21">
        <v>4.0369131572398263E-2</v>
      </c>
      <c r="AU24" s="21">
        <v>5.5058478626533229E-2</v>
      </c>
      <c r="AV24" s="21">
        <v>4.7417765150638745E-2</v>
      </c>
      <c r="AW24" s="21">
        <v>4.1039084885313666E-2</v>
      </c>
      <c r="AX24" s="21">
        <v>3.4790107732699749E-2</v>
      </c>
      <c r="AY24" s="21">
        <v>4.2470468559187208E-2</v>
      </c>
      <c r="AZ24" s="21">
        <v>5.876753123578686E-2</v>
      </c>
      <c r="BA24" s="21">
        <v>4.9008252144388344E-2</v>
      </c>
      <c r="BB24" s="21">
        <v>4.371228104767215E-2</v>
      </c>
      <c r="BC24" s="21">
        <v>3.6165343884499136E-2</v>
      </c>
      <c r="BD24" s="21">
        <v>3.0790899757911758E-2</v>
      </c>
      <c r="BF24" s="19" t="s">
        <v>38</v>
      </c>
      <c r="BG24" s="19" t="s">
        <v>96</v>
      </c>
      <c r="BH24" s="19" t="s">
        <v>98</v>
      </c>
      <c r="BI24" s="19" t="s">
        <v>97</v>
      </c>
      <c r="BJ24" s="19" t="s">
        <v>97</v>
      </c>
      <c r="BK24" s="19" t="s">
        <v>98</v>
      </c>
      <c r="BL24" s="19" t="s">
        <v>95</v>
      </c>
      <c r="BM24" s="19" t="s">
        <v>98</v>
      </c>
      <c r="BN24" s="19" t="s">
        <v>92</v>
      </c>
      <c r="BO24" s="19" t="s">
        <v>95</v>
      </c>
      <c r="BP24" s="19" t="s">
        <v>94</v>
      </c>
      <c r="BQ24" s="19" t="s">
        <v>97</v>
      </c>
      <c r="BR24" s="19" t="s">
        <v>97</v>
      </c>
      <c r="BS24" s="19" t="s">
        <v>97</v>
      </c>
      <c r="BT24" s="19" t="s">
        <v>97</v>
      </c>
      <c r="BU24" s="19" t="s">
        <v>93</v>
      </c>
      <c r="BV24" s="19" t="s">
        <v>93</v>
      </c>
      <c r="BW24" s="19" t="s">
        <v>95</v>
      </c>
      <c r="BX24" s="19" t="s">
        <v>97</v>
      </c>
      <c r="BY24" s="19" t="s">
        <v>96</v>
      </c>
      <c r="BZ24" s="19" t="s">
        <v>95</v>
      </c>
      <c r="CA24" s="19" t="s">
        <v>98</v>
      </c>
      <c r="CB24" s="19" t="s">
        <v>97</v>
      </c>
      <c r="CC24" s="19" t="s">
        <v>98</v>
      </c>
      <c r="CD24" s="19" t="s">
        <v>96</v>
      </c>
      <c r="CE24" s="19" t="s">
        <v>96</v>
      </c>
      <c r="CF24" s="19" t="s">
        <v>96</v>
      </c>
    </row>
    <row r="25" spans="2:84">
      <c r="B25" s="19" t="s">
        <v>40</v>
      </c>
      <c r="C25" s="23">
        <v>0.12820000000000001</v>
      </c>
      <c r="D25" s="23">
        <v>0.1439</v>
      </c>
      <c r="E25" s="23">
        <v>0.15839999999999999</v>
      </c>
      <c r="F25" s="23">
        <v>0.13450000000000001</v>
      </c>
      <c r="G25" s="23">
        <v>0.1404</v>
      </c>
      <c r="H25" s="23">
        <v>0.159</v>
      </c>
      <c r="I25" s="23">
        <v>0.1598</v>
      </c>
      <c r="J25" s="23">
        <v>0.13150000000000001</v>
      </c>
      <c r="K25" s="23">
        <v>0.14799999999999999</v>
      </c>
      <c r="L25" s="23">
        <v>0.13600000000000001</v>
      </c>
      <c r="M25" s="23">
        <v>0.13189999999999999</v>
      </c>
      <c r="N25" s="23">
        <v>0.13239999999999999</v>
      </c>
      <c r="O25" s="23">
        <v>0.15790000000000001</v>
      </c>
      <c r="P25" s="23">
        <v>0.15609999999999999</v>
      </c>
      <c r="Q25" s="23">
        <v>0.15140000000000001</v>
      </c>
      <c r="R25" s="23">
        <v>0.15959999999999999</v>
      </c>
      <c r="S25" s="23">
        <v>0.1275</v>
      </c>
      <c r="T25" s="23">
        <v>0.14149999999999999</v>
      </c>
      <c r="U25" s="23">
        <v>0.13569999999999999</v>
      </c>
      <c r="V25" s="23">
        <v>0.14560000000000001</v>
      </c>
      <c r="W25" s="23">
        <v>0.14050000000000001</v>
      </c>
      <c r="X25" s="23">
        <v>0.13769999999999999</v>
      </c>
      <c r="Y25" s="23">
        <v>0.1482</v>
      </c>
      <c r="Z25" s="23">
        <v>0.15659999999999999</v>
      </c>
      <c r="AA25" s="23">
        <v>0.1396</v>
      </c>
      <c r="AB25" s="23">
        <v>0.13439999999999999</v>
      </c>
      <c r="AD25" s="19" t="s">
        <v>40</v>
      </c>
      <c r="AE25" s="21">
        <v>5.7509465839419086E-2</v>
      </c>
      <c r="AF25" s="21">
        <v>4.7090078274357926E-2</v>
      </c>
      <c r="AG25" s="21">
        <v>5.5698560225883063E-2</v>
      </c>
      <c r="AH25" s="21">
        <v>4.925125848196283E-2</v>
      </c>
      <c r="AI25" s="21">
        <v>4.4515790857656772E-2</v>
      </c>
      <c r="AJ25" s="21">
        <v>4.0118489788135911E-2</v>
      </c>
      <c r="AK25" s="21">
        <v>3.4892550709277312E-2</v>
      </c>
      <c r="AL25" s="21">
        <v>2.6025951639374906E-2</v>
      </c>
      <c r="AM25" s="21">
        <v>2.9330030181112604E-2</v>
      </c>
      <c r="AN25" s="21">
        <v>7.4711938532542724E-2</v>
      </c>
      <c r="AO25" s="21">
        <v>8.8616678925475575E-2</v>
      </c>
      <c r="AP25" s="21">
        <v>5.9529314952885291E-2</v>
      </c>
      <c r="AQ25" s="21">
        <v>6.7492842038465312E-2</v>
      </c>
      <c r="AR25" s="21">
        <v>8.1218732631184523E-2</v>
      </c>
      <c r="AS25" s="21">
        <v>4.9136936237694821E-2</v>
      </c>
      <c r="AT25" s="21">
        <v>5.2904395812398523E-2</v>
      </c>
      <c r="AU25" s="21">
        <v>6.7593742866533496E-2</v>
      </c>
      <c r="AV25" s="21">
        <v>5.9953029390639005E-2</v>
      </c>
      <c r="AW25" s="21">
        <v>5.3574349125313926E-2</v>
      </c>
      <c r="AX25" s="21">
        <v>4.7325371972700009E-2</v>
      </c>
      <c r="AY25" s="21">
        <v>5.5005732799187468E-2</v>
      </c>
      <c r="AZ25" s="21">
        <v>7.130279547578712E-2</v>
      </c>
      <c r="BA25" s="21">
        <v>6.1543516384388604E-2</v>
      </c>
      <c r="BB25" s="21">
        <v>5.624754528767241E-2</v>
      </c>
      <c r="BC25" s="21">
        <v>4.8700608124499396E-2</v>
      </c>
      <c r="BD25" s="21">
        <v>4.3326163997912018E-2</v>
      </c>
      <c r="BF25" s="19" t="s">
        <v>40</v>
      </c>
      <c r="BG25" s="19" t="s">
        <v>92</v>
      </c>
      <c r="BH25" s="19" t="s">
        <v>94</v>
      </c>
      <c r="BI25" s="19" t="s">
        <v>96</v>
      </c>
      <c r="BJ25" s="19" t="s">
        <v>94</v>
      </c>
      <c r="BK25" s="19" t="s">
        <v>97</v>
      </c>
      <c r="BL25" s="19" t="s">
        <v>93</v>
      </c>
      <c r="BM25" s="19" t="s">
        <v>97</v>
      </c>
      <c r="BN25" s="19" t="s">
        <v>96</v>
      </c>
      <c r="BO25" s="19" t="s">
        <v>97</v>
      </c>
      <c r="BP25" s="19" t="s">
        <v>92</v>
      </c>
      <c r="BQ25" s="19" t="s">
        <v>94</v>
      </c>
      <c r="BR25" s="19" t="s">
        <v>93</v>
      </c>
      <c r="BS25" s="19" t="s">
        <v>96</v>
      </c>
      <c r="BT25" s="19" t="s">
        <v>97</v>
      </c>
      <c r="BU25" s="19" t="s">
        <v>92</v>
      </c>
      <c r="BV25" s="19" t="s">
        <v>96</v>
      </c>
      <c r="BW25" s="19" t="s">
        <v>96</v>
      </c>
      <c r="BX25" s="19" t="s">
        <v>93</v>
      </c>
      <c r="BY25" s="19" t="s">
        <v>96</v>
      </c>
      <c r="BZ25" s="19" t="s">
        <v>93</v>
      </c>
      <c r="CA25" s="19" t="s">
        <v>94</v>
      </c>
      <c r="CB25" s="19" t="s">
        <v>96</v>
      </c>
      <c r="CC25" s="19" t="s">
        <v>93</v>
      </c>
      <c r="CD25" s="19" t="s">
        <v>92</v>
      </c>
      <c r="CE25" s="19" t="s">
        <v>97</v>
      </c>
      <c r="CF25" s="19" t="s">
        <v>94</v>
      </c>
    </row>
    <row r="26" spans="2:84">
      <c r="B26" s="19" t="s">
        <v>42</v>
      </c>
      <c r="C26" s="23">
        <v>0.1787</v>
      </c>
      <c r="D26" s="23">
        <v>0.16239999999999999</v>
      </c>
      <c r="E26" s="23">
        <v>0.1699</v>
      </c>
      <c r="F26" s="23">
        <v>0.16439999999999999</v>
      </c>
      <c r="G26" s="23">
        <v>0.16869999999999999</v>
      </c>
      <c r="H26" s="23">
        <v>0.1522</v>
      </c>
      <c r="I26" s="23">
        <v>0.17430000000000001</v>
      </c>
      <c r="J26" s="23">
        <v>0.1709</v>
      </c>
      <c r="K26" s="23">
        <v>0.17130000000000001</v>
      </c>
      <c r="L26" s="23">
        <v>0.1686</v>
      </c>
      <c r="M26" s="23">
        <v>0.1646</v>
      </c>
      <c r="N26" s="23">
        <v>0.16250000000000001</v>
      </c>
      <c r="O26" s="23">
        <v>0.18090000000000001</v>
      </c>
      <c r="P26" s="23">
        <v>0.17949999999999999</v>
      </c>
      <c r="Q26" s="23">
        <v>0.1555</v>
      </c>
      <c r="R26" s="23">
        <v>0.1474</v>
      </c>
      <c r="S26" s="23">
        <v>0.1721</v>
      </c>
      <c r="T26" s="23">
        <v>0.15659999999999999</v>
      </c>
      <c r="U26" s="23">
        <v>0.1663</v>
      </c>
      <c r="V26" s="23">
        <v>0.1782</v>
      </c>
      <c r="W26" s="23">
        <v>0.1671</v>
      </c>
      <c r="X26" s="23">
        <v>0.15379999999999999</v>
      </c>
      <c r="Y26" s="23">
        <v>0.15229999999999999</v>
      </c>
      <c r="Z26" s="23">
        <v>0.14679999999999999</v>
      </c>
      <c r="AA26" s="23">
        <v>0.15590000000000001</v>
      </c>
      <c r="AB26" s="23">
        <v>0.1804</v>
      </c>
      <c r="AD26" s="19" t="s">
        <v>42</v>
      </c>
      <c r="AE26" s="21">
        <v>5.104107163579736E-2</v>
      </c>
      <c r="AF26" s="21">
        <v>4.06216840707362E-2</v>
      </c>
      <c r="AG26" s="21">
        <v>4.9230166022261337E-2</v>
      </c>
      <c r="AH26" s="21">
        <v>4.2782864278341104E-2</v>
      </c>
      <c r="AI26" s="21">
        <v>3.8047396654035046E-2</v>
      </c>
      <c r="AJ26" s="21">
        <v>3.3650095584514185E-2</v>
      </c>
      <c r="AK26" s="21">
        <v>2.8424156505655586E-2</v>
      </c>
      <c r="AL26" s="21">
        <v>2.1930139101768158E-2</v>
      </c>
      <c r="AM26" s="21">
        <v>2.5234217643505856E-2</v>
      </c>
      <c r="AN26" s="21">
        <v>6.8243544328920991E-2</v>
      </c>
      <c r="AO26" s="21">
        <v>8.2148284721853843E-2</v>
      </c>
      <c r="AP26" s="21">
        <v>5.3060920749263565E-2</v>
      </c>
      <c r="AQ26" s="21">
        <v>6.1024447834843579E-2</v>
      </c>
      <c r="AR26" s="21">
        <v>7.475033842756279E-2</v>
      </c>
      <c r="AS26" s="21">
        <v>4.2668542034073095E-2</v>
      </c>
      <c r="AT26" s="21">
        <v>4.6436001608776797E-2</v>
      </c>
      <c r="AU26" s="21">
        <v>6.1125348662911763E-2</v>
      </c>
      <c r="AV26" s="21">
        <v>5.3484635187017279E-2</v>
      </c>
      <c r="AW26" s="21">
        <v>4.71059549216922E-2</v>
      </c>
      <c r="AX26" s="21">
        <v>4.0856977769078283E-2</v>
      </c>
      <c r="AY26" s="21">
        <v>4.8537338595565742E-2</v>
      </c>
      <c r="AZ26" s="21">
        <v>6.4834401272165387E-2</v>
      </c>
      <c r="BA26" s="21">
        <v>5.5075122180766878E-2</v>
      </c>
      <c r="BB26" s="21">
        <v>4.9779151084050684E-2</v>
      </c>
      <c r="BC26" s="21">
        <v>4.223221392087767E-2</v>
      </c>
      <c r="BD26" s="21">
        <v>3.6857769794290292E-2</v>
      </c>
      <c r="BF26" s="19" t="s">
        <v>42</v>
      </c>
      <c r="BG26" s="19" t="s">
        <v>98</v>
      </c>
      <c r="BH26" s="19" t="s">
        <v>93</v>
      </c>
      <c r="BI26" s="19" t="s">
        <v>96</v>
      </c>
      <c r="BJ26" s="19" t="s">
        <v>98</v>
      </c>
      <c r="BK26" s="19" t="s">
        <v>92</v>
      </c>
      <c r="BL26" s="19" t="s">
        <v>92</v>
      </c>
      <c r="BM26" s="19" t="s">
        <v>95</v>
      </c>
      <c r="BN26" s="19" t="s">
        <v>95</v>
      </c>
      <c r="BO26" s="19" t="s">
        <v>93</v>
      </c>
      <c r="BP26" s="19" t="s">
        <v>96</v>
      </c>
      <c r="BQ26" s="19" t="s">
        <v>96</v>
      </c>
      <c r="BR26" s="19" t="s">
        <v>95</v>
      </c>
      <c r="BS26" s="19" t="s">
        <v>96</v>
      </c>
      <c r="BT26" s="19" t="s">
        <v>92</v>
      </c>
      <c r="BU26" s="19" t="s">
        <v>94</v>
      </c>
      <c r="BV26" s="19" t="s">
        <v>92</v>
      </c>
      <c r="BW26" s="19" t="s">
        <v>96</v>
      </c>
      <c r="BX26" s="19" t="s">
        <v>94</v>
      </c>
      <c r="BY26" s="19" t="s">
        <v>96</v>
      </c>
      <c r="BZ26" s="19" t="s">
        <v>92</v>
      </c>
      <c r="CA26" s="19" t="s">
        <v>97</v>
      </c>
      <c r="CB26" s="19" t="s">
        <v>93</v>
      </c>
      <c r="CC26" s="19" t="s">
        <v>95</v>
      </c>
      <c r="CD26" s="19" t="s">
        <v>93</v>
      </c>
      <c r="CE26" s="19" t="s">
        <v>95</v>
      </c>
      <c r="CF26" s="19" t="s">
        <v>93</v>
      </c>
    </row>
    <row r="27" spans="2:84">
      <c r="B27" s="19" t="s">
        <v>44</v>
      </c>
      <c r="C27" s="23">
        <v>0.17849999999999999</v>
      </c>
      <c r="D27" s="23">
        <v>0.17250000000000001</v>
      </c>
      <c r="E27" s="23">
        <v>0.14710000000000001</v>
      </c>
      <c r="F27" s="23">
        <v>0.18140000000000001</v>
      </c>
      <c r="G27" s="23">
        <v>0.18149999999999999</v>
      </c>
      <c r="H27" s="23">
        <v>0.14710000000000001</v>
      </c>
      <c r="I27" s="23">
        <v>0.16889999999999999</v>
      </c>
      <c r="J27" s="23">
        <v>0.18110000000000001</v>
      </c>
      <c r="K27" s="23">
        <v>0.16370000000000001</v>
      </c>
      <c r="L27" s="23">
        <v>0.15290000000000001</v>
      </c>
      <c r="M27" s="23">
        <v>0.1651</v>
      </c>
      <c r="N27" s="23">
        <v>0.14990000000000001</v>
      </c>
      <c r="O27" s="23">
        <v>0.15060000000000001</v>
      </c>
      <c r="P27" s="23">
        <v>0.16670000000000001</v>
      </c>
      <c r="Q27" s="23">
        <v>0.1678</v>
      </c>
      <c r="R27" s="23">
        <v>0.153</v>
      </c>
      <c r="S27" s="23">
        <v>0.1676</v>
      </c>
      <c r="T27" s="23">
        <v>0.1636</v>
      </c>
      <c r="U27" s="23">
        <v>0.16540000000000002</v>
      </c>
      <c r="V27" s="23">
        <v>0.16689999999999999</v>
      </c>
      <c r="W27" s="23">
        <v>0.14680000000000001</v>
      </c>
      <c r="X27" s="23">
        <v>0.17960000000000001</v>
      </c>
      <c r="Y27" s="23">
        <v>0.14910000000000001</v>
      </c>
      <c r="Z27" s="23">
        <v>0.16830000000000001</v>
      </c>
      <c r="AA27" s="23">
        <v>0.1691</v>
      </c>
      <c r="AB27" s="23">
        <v>0.17400000000000002</v>
      </c>
      <c r="AD27" s="19" t="s">
        <v>44</v>
      </c>
      <c r="AE27" s="21">
        <v>6.341730925955974E-2</v>
      </c>
      <c r="AF27" s="21">
        <v>5.2997921694498573E-2</v>
      </c>
      <c r="AG27" s="21">
        <v>6.1606403646023711E-2</v>
      </c>
      <c r="AH27" s="21">
        <v>5.5159101902103477E-2</v>
      </c>
      <c r="AI27" s="21">
        <v>5.0423634277797419E-2</v>
      </c>
      <c r="AJ27" s="21">
        <v>4.6026333208276558E-2</v>
      </c>
      <c r="AK27" s="21">
        <v>4.0800394129417959E-2</v>
      </c>
      <c r="AL27" s="21">
        <v>3.0197969851332031E-2</v>
      </c>
      <c r="AM27" s="21">
        <v>3.3502048393069729E-2</v>
      </c>
      <c r="AN27" s="21">
        <v>8.0619781952683378E-2</v>
      </c>
      <c r="AO27" s="21">
        <v>9.452452234561623E-2</v>
      </c>
      <c r="AP27" s="21">
        <v>6.5437158373025939E-2</v>
      </c>
      <c r="AQ27" s="21">
        <v>7.3400685458605952E-2</v>
      </c>
      <c r="AR27" s="21">
        <v>8.7126576051325177E-2</v>
      </c>
      <c r="AS27" s="21">
        <v>5.5044779657835469E-2</v>
      </c>
      <c r="AT27" s="21">
        <v>5.8812239232539171E-2</v>
      </c>
      <c r="AU27" s="21">
        <v>7.3501586286674137E-2</v>
      </c>
      <c r="AV27" s="21">
        <v>6.5860872810779653E-2</v>
      </c>
      <c r="AW27" s="21">
        <v>5.9482192545454574E-2</v>
      </c>
      <c r="AX27" s="21">
        <v>5.3233215392840656E-2</v>
      </c>
      <c r="AY27" s="21">
        <v>6.0913576219328115E-2</v>
      </c>
      <c r="AZ27" s="21">
        <v>7.7210638895927775E-2</v>
      </c>
      <c r="BA27" s="21">
        <v>6.7451359804529251E-2</v>
      </c>
      <c r="BB27" s="21">
        <v>6.2155388707813057E-2</v>
      </c>
      <c r="BC27" s="21">
        <v>5.4608451544640044E-2</v>
      </c>
      <c r="BD27" s="21">
        <v>4.9234007418052665E-2</v>
      </c>
      <c r="BF27" s="19" t="s">
        <v>44</v>
      </c>
      <c r="BG27" s="19" t="s">
        <v>97</v>
      </c>
      <c r="BH27" s="19" t="s">
        <v>97</v>
      </c>
      <c r="BI27" s="19" t="s">
        <v>94</v>
      </c>
      <c r="BJ27" s="19" t="s">
        <v>97</v>
      </c>
      <c r="BK27" s="19" t="s">
        <v>94</v>
      </c>
      <c r="BL27" s="19" t="s">
        <v>95</v>
      </c>
      <c r="BM27" s="19" t="s">
        <v>92</v>
      </c>
      <c r="BN27" s="19" t="s">
        <v>94</v>
      </c>
      <c r="BO27" s="19" t="s">
        <v>93</v>
      </c>
      <c r="BP27" s="19" t="s">
        <v>92</v>
      </c>
      <c r="BQ27" s="19" t="s">
        <v>94</v>
      </c>
      <c r="BR27" s="19" t="s">
        <v>93</v>
      </c>
      <c r="BS27" s="19" t="s">
        <v>97</v>
      </c>
      <c r="BT27" s="19" t="s">
        <v>94</v>
      </c>
      <c r="BU27" s="19" t="s">
        <v>97</v>
      </c>
      <c r="BV27" s="19" t="s">
        <v>96</v>
      </c>
      <c r="BW27" s="19" t="s">
        <v>93</v>
      </c>
      <c r="BX27" s="19" t="s">
        <v>95</v>
      </c>
      <c r="BY27" s="19" t="s">
        <v>98</v>
      </c>
      <c r="BZ27" s="19" t="s">
        <v>95</v>
      </c>
      <c r="CA27" s="19" t="s">
        <v>92</v>
      </c>
      <c r="CB27" s="19" t="s">
        <v>98</v>
      </c>
      <c r="CC27" s="19" t="s">
        <v>94</v>
      </c>
      <c r="CD27" s="19" t="s">
        <v>95</v>
      </c>
      <c r="CE27" s="19" t="s">
        <v>98</v>
      </c>
      <c r="CF27" s="19" t="s">
        <v>92</v>
      </c>
    </row>
    <row r="28" spans="2:84">
      <c r="B28" s="19" t="s">
        <v>46</v>
      </c>
      <c r="C28" s="23">
        <v>3.8800000000000008E-2</v>
      </c>
      <c r="D28" s="23">
        <v>4.5099999999999994E-2</v>
      </c>
      <c r="E28" s="23">
        <v>4.24E-2</v>
      </c>
      <c r="F28" s="23">
        <v>3.7300000000000007E-2</v>
      </c>
      <c r="G28" s="23">
        <v>4.1300000000000003E-2</v>
      </c>
      <c r="H28" s="23">
        <v>3.7999999999999999E-2</v>
      </c>
      <c r="I28" s="23">
        <v>4.1500000000000002E-2</v>
      </c>
      <c r="J28" s="23">
        <v>3.790000000000001E-2</v>
      </c>
      <c r="K28" s="23">
        <v>4.6299999999999994E-2</v>
      </c>
      <c r="L28" s="23">
        <v>3.8499999999999993E-2</v>
      </c>
      <c r="M28" s="23">
        <v>4.3400000000000001E-2</v>
      </c>
      <c r="N28" s="23">
        <v>4.6299999999999994E-2</v>
      </c>
      <c r="O28" s="23">
        <v>3.8700000000000005E-2</v>
      </c>
      <c r="P28" s="23">
        <v>4.6600000000000016E-2</v>
      </c>
      <c r="Q28" s="23">
        <v>3.7200000000000004E-2</v>
      </c>
      <c r="R28" s="23">
        <v>4.3400000000000015E-2</v>
      </c>
      <c r="S28" s="23">
        <v>3.839999999999999E-2</v>
      </c>
      <c r="T28" s="23">
        <v>4.3199999999999995E-2</v>
      </c>
      <c r="U28" s="23">
        <v>3.7700000000000011E-2</v>
      </c>
      <c r="V28" s="23">
        <v>3.7600000000000008E-2</v>
      </c>
      <c r="W28" s="23">
        <v>4.4400000000000002E-2</v>
      </c>
      <c r="X28" s="23">
        <v>4.6900000000000004E-2</v>
      </c>
      <c r="Y28" s="23">
        <v>3.7499999999999999E-2</v>
      </c>
      <c r="Z28" s="23">
        <v>3.7200000000000004E-2</v>
      </c>
      <c r="AA28" s="23">
        <v>4.5499999999999992E-2</v>
      </c>
      <c r="AB28" s="23">
        <v>4.1099999999999991E-2</v>
      </c>
      <c r="AD28" s="19" t="s">
        <v>46</v>
      </c>
      <c r="AE28" s="21">
        <v>3.9261267841746945E-2</v>
      </c>
      <c r="AF28" s="21">
        <v>2.8841880276685786E-2</v>
      </c>
      <c r="AG28" s="21">
        <v>3.7450362228210923E-2</v>
      </c>
      <c r="AH28" s="21">
        <v>3.100306048429069E-2</v>
      </c>
      <c r="AI28" s="21">
        <v>2.6267592859984631E-2</v>
      </c>
      <c r="AJ28" s="21">
        <v>2.1870291790463771E-2</v>
      </c>
      <c r="AK28" s="21">
        <v>1.7493381977306224E-2</v>
      </c>
      <c r="AL28" s="21">
        <v>1.5490863287479076E-2</v>
      </c>
      <c r="AM28" s="21">
        <v>1.8794941829216774E-2</v>
      </c>
      <c r="AN28" s="21">
        <v>5.6463740534870584E-2</v>
      </c>
      <c r="AO28" s="21">
        <v>7.0368480927803428E-2</v>
      </c>
      <c r="AP28" s="21">
        <v>4.1281116955213151E-2</v>
      </c>
      <c r="AQ28" s="21">
        <v>4.9244644040793165E-2</v>
      </c>
      <c r="AR28" s="21">
        <v>6.2970534633512376E-2</v>
      </c>
      <c r="AS28" s="21">
        <v>3.0888738240022681E-2</v>
      </c>
      <c r="AT28" s="21">
        <v>3.4656197814726383E-2</v>
      </c>
      <c r="AU28" s="21">
        <v>4.9345544868861349E-2</v>
      </c>
      <c r="AV28" s="21">
        <v>4.1704831392966865E-2</v>
      </c>
      <c r="AW28" s="21">
        <v>3.5326151127641786E-2</v>
      </c>
      <c r="AX28" s="21">
        <v>2.9077173975027869E-2</v>
      </c>
      <c r="AY28" s="21">
        <v>3.6757534801515328E-2</v>
      </c>
      <c r="AZ28" s="21">
        <v>5.305459747811498E-2</v>
      </c>
      <c r="BA28" s="21">
        <v>4.3295318386716464E-2</v>
      </c>
      <c r="BB28" s="21">
        <v>3.799934729000027E-2</v>
      </c>
      <c r="BC28" s="21">
        <v>3.0452410126827256E-2</v>
      </c>
      <c r="BD28" s="21">
        <v>2.5077966000239878E-2</v>
      </c>
      <c r="BF28" s="19" t="s">
        <v>46</v>
      </c>
      <c r="BG28" s="19" t="s">
        <v>98</v>
      </c>
      <c r="BH28" s="19" t="s">
        <v>92</v>
      </c>
      <c r="BI28" s="19" t="s">
        <v>94</v>
      </c>
      <c r="BJ28" s="19" t="s">
        <v>92</v>
      </c>
      <c r="BK28" s="19" t="s">
        <v>96</v>
      </c>
      <c r="BL28" s="19" t="s">
        <v>93</v>
      </c>
      <c r="BM28" s="19" t="s">
        <v>92</v>
      </c>
      <c r="BN28" s="19" t="s">
        <v>96</v>
      </c>
      <c r="BO28" s="19" t="s">
        <v>97</v>
      </c>
      <c r="BP28" s="19" t="s">
        <v>93</v>
      </c>
      <c r="BQ28" s="19" t="s">
        <v>96</v>
      </c>
      <c r="BR28" s="19" t="s">
        <v>97</v>
      </c>
      <c r="BS28" s="19" t="s">
        <v>93</v>
      </c>
      <c r="BT28" s="19" t="s">
        <v>96</v>
      </c>
      <c r="BU28" s="19" t="s">
        <v>97</v>
      </c>
      <c r="BV28" s="19" t="s">
        <v>92</v>
      </c>
      <c r="BW28" s="19" t="s">
        <v>93</v>
      </c>
      <c r="BX28" s="19" t="s">
        <v>98</v>
      </c>
      <c r="BY28" s="19" t="s">
        <v>93</v>
      </c>
      <c r="BZ28" s="19" t="s">
        <v>96</v>
      </c>
      <c r="CA28" s="19" t="s">
        <v>96</v>
      </c>
      <c r="CB28" s="19" t="s">
        <v>93</v>
      </c>
      <c r="CC28" s="19" t="s">
        <v>94</v>
      </c>
      <c r="CD28" s="19" t="s">
        <v>98</v>
      </c>
      <c r="CE28" s="19" t="s">
        <v>98</v>
      </c>
      <c r="CF28" s="19" t="s">
        <v>92</v>
      </c>
    </row>
    <row r="29" spans="2:84">
      <c r="B29" s="19" t="s">
        <v>48</v>
      </c>
      <c r="C29" s="23">
        <v>6.9900000000000032E-2</v>
      </c>
      <c r="D29" s="23">
        <v>6.8700000000000025E-2</v>
      </c>
      <c r="E29" s="23">
        <v>5.530000000000003E-2</v>
      </c>
      <c r="F29" s="23">
        <v>6.2800000000000036E-2</v>
      </c>
      <c r="G29" s="23">
        <v>5.6900000000000034E-2</v>
      </c>
      <c r="H29" s="23">
        <v>6.3300000000000023E-2</v>
      </c>
      <c r="I29" s="23">
        <v>6.7300000000000026E-2</v>
      </c>
      <c r="J29" s="23">
        <v>5.6800000000000038E-2</v>
      </c>
      <c r="K29" s="23">
        <v>6.2000000000000034E-2</v>
      </c>
      <c r="L29" s="23">
        <v>6.9100000000000023E-2</v>
      </c>
      <c r="M29" s="23">
        <v>6.3900000000000026E-2</v>
      </c>
      <c r="N29" s="23">
        <v>5.6900000000000041E-2</v>
      </c>
      <c r="O29" s="23">
        <v>6.8900000000000031E-2</v>
      </c>
      <c r="P29" s="23">
        <v>6.6600000000000034E-2</v>
      </c>
      <c r="Q29" s="23">
        <v>6.0500000000000047E-2</v>
      </c>
      <c r="R29" s="23">
        <v>6.8900000000000031E-2</v>
      </c>
      <c r="S29" s="23">
        <v>5.6000000000000043E-2</v>
      </c>
      <c r="T29" s="23">
        <v>6.790000000000003E-2</v>
      </c>
      <c r="U29" s="23">
        <v>5.9700000000000031E-2</v>
      </c>
      <c r="V29" s="23">
        <v>6.5100000000000047E-2</v>
      </c>
      <c r="W29" s="23">
        <v>6.8700000000000039E-2</v>
      </c>
      <c r="X29" s="23">
        <v>6.2600000000000017E-2</v>
      </c>
      <c r="Y29" s="23">
        <v>6.9400000000000031E-2</v>
      </c>
      <c r="Z29" s="23">
        <v>6.0800000000000021E-2</v>
      </c>
      <c r="AA29" s="23">
        <v>5.8900000000000036E-2</v>
      </c>
      <c r="AB29" s="23">
        <v>6.8900000000000031E-2</v>
      </c>
      <c r="AD29" s="19" t="s">
        <v>48</v>
      </c>
      <c r="AE29" s="21">
        <v>7.6041071635797347E-2</v>
      </c>
      <c r="AF29" s="21">
        <v>6.5621684070736194E-2</v>
      </c>
      <c r="AG29" s="21">
        <v>7.4230166022261332E-2</v>
      </c>
      <c r="AH29" s="21">
        <v>6.7782864278341098E-2</v>
      </c>
      <c r="AI29" s="21">
        <v>6.304739665403504E-2</v>
      </c>
      <c r="AJ29" s="21">
        <v>5.8650095584514179E-2</v>
      </c>
      <c r="AK29" s="21">
        <v>5.342415650565558E-2</v>
      </c>
      <c r="AL29" s="21">
        <v>3.6583219299851692E-2</v>
      </c>
      <c r="AM29" s="21">
        <v>3.9887297841589391E-2</v>
      </c>
      <c r="AN29" s="21">
        <v>9.3243544328920985E-2</v>
      </c>
      <c r="AO29" s="21">
        <v>0.10714828472185384</v>
      </c>
      <c r="AP29" s="21">
        <v>7.806092074926356E-2</v>
      </c>
      <c r="AQ29" s="21">
        <v>8.6024447834843573E-2</v>
      </c>
      <c r="AR29" s="21">
        <v>9.9750338427562785E-2</v>
      </c>
      <c r="AS29" s="21">
        <v>6.766854203407309E-2</v>
      </c>
      <c r="AT29" s="21">
        <v>7.1436001608776792E-2</v>
      </c>
      <c r="AU29" s="21">
        <v>8.6125348662911758E-2</v>
      </c>
      <c r="AV29" s="21">
        <v>7.8484635187017274E-2</v>
      </c>
      <c r="AW29" s="21">
        <v>7.2105954921692195E-2</v>
      </c>
      <c r="AX29" s="21">
        <v>6.5856977769078284E-2</v>
      </c>
      <c r="AY29" s="21">
        <v>7.3537338595565743E-2</v>
      </c>
      <c r="AZ29" s="21">
        <v>8.9834401272165382E-2</v>
      </c>
      <c r="BA29" s="21">
        <v>8.0075122180766872E-2</v>
      </c>
      <c r="BB29" s="21">
        <v>7.4779151084050671E-2</v>
      </c>
      <c r="BC29" s="21">
        <v>6.7232213920877665E-2</v>
      </c>
      <c r="BD29" s="21">
        <v>6.1857769794290286E-2</v>
      </c>
      <c r="BF29" s="19" t="s">
        <v>48</v>
      </c>
      <c r="BG29" s="19" t="s">
        <v>93</v>
      </c>
      <c r="BH29" s="19" t="s">
        <v>93</v>
      </c>
      <c r="BI29" s="19" t="s">
        <v>97</v>
      </c>
      <c r="BJ29" s="19" t="s">
        <v>98</v>
      </c>
      <c r="BK29" s="19" t="s">
        <v>94</v>
      </c>
      <c r="BL29" s="19" t="s">
        <v>97</v>
      </c>
      <c r="BM29" s="19" t="s">
        <v>92</v>
      </c>
      <c r="BN29" s="19" t="s">
        <v>96</v>
      </c>
      <c r="BO29" s="19" t="s">
        <v>96</v>
      </c>
      <c r="BP29" s="19" t="s">
        <v>93</v>
      </c>
      <c r="BQ29" s="19" t="s">
        <v>95</v>
      </c>
      <c r="BR29" s="19" t="s">
        <v>97</v>
      </c>
      <c r="BS29" s="19" t="s">
        <v>94</v>
      </c>
      <c r="BT29" s="19" t="s">
        <v>98</v>
      </c>
      <c r="BU29" s="19" t="s">
        <v>92</v>
      </c>
      <c r="BV29" s="19" t="s">
        <v>96</v>
      </c>
      <c r="BW29" s="19" t="s">
        <v>97</v>
      </c>
      <c r="BX29" s="19" t="s">
        <v>94</v>
      </c>
      <c r="BY29" s="19" t="s">
        <v>96</v>
      </c>
      <c r="BZ29" s="19" t="s">
        <v>96</v>
      </c>
      <c r="CA29" s="19" t="s">
        <v>94</v>
      </c>
      <c r="CB29" s="19" t="s">
        <v>96</v>
      </c>
      <c r="CC29" s="19" t="s">
        <v>96</v>
      </c>
      <c r="CD29" s="19" t="s">
        <v>98</v>
      </c>
      <c r="CE29" s="19" t="s">
        <v>93</v>
      </c>
      <c r="CF29" s="19" t="s">
        <v>94</v>
      </c>
    </row>
    <row r="30" spans="2:84"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</row>
    <row r="31" spans="2:84">
      <c r="B31" s="18" t="s">
        <v>51</v>
      </c>
      <c r="AD31" s="18" t="s">
        <v>51</v>
      </c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F31" s="18" t="s">
        <v>51</v>
      </c>
    </row>
    <row r="32" spans="2:84">
      <c r="B32" s="19" t="s">
        <v>53</v>
      </c>
      <c r="C32" s="23">
        <v>0.18340000000000001</v>
      </c>
      <c r="D32" s="23">
        <v>0.18340000000000001</v>
      </c>
      <c r="E32" s="23">
        <v>0.18340000000000001</v>
      </c>
      <c r="F32" s="23">
        <v>0.18340000000000001</v>
      </c>
      <c r="G32" s="23">
        <v>0.18340000000000001</v>
      </c>
      <c r="H32" s="23">
        <v>0.18340000000000001</v>
      </c>
      <c r="I32" s="23">
        <v>0.18340000000000001</v>
      </c>
      <c r="J32" s="23">
        <v>0.18340000000000001</v>
      </c>
      <c r="K32" s="23">
        <v>0.18340000000000001</v>
      </c>
      <c r="L32" s="23">
        <v>0.18340000000000001</v>
      </c>
      <c r="M32" s="23">
        <v>0.18340000000000001</v>
      </c>
      <c r="N32" s="23">
        <v>0.18340000000000001</v>
      </c>
      <c r="O32" s="23">
        <v>0.18340000000000001</v>
      </c>
      <c r="P32" s="23">
        <v>0.18340000000000001</v>
      </c>
      <c r="Q32" s="23">
        <v>0.18340000000000001</v>
      </c>
      <c r="R32" s="23">
        <v>0.18340000000000001</v>
      </c>
      <c r="S32" s="23">
        <v>0.18340000000000001</v>
      </c>
      <c r="T32" s="23">
        <v>0.18340000000000001</v>
      </c>
      <c r="U32" s="23">
        <v>0.18340000000000001</v>
      </c>
      <c r="V32" s="23">
        <v>0.18340000000000001</v>
      </c>
      <c r="W32" s="23">
        <v>0.18340000000000001</v>
      </c>
      <c r="X32" s="23">
        <v>0.18340000000000001</v>
      </c>
      <c r="Y32" s="23">
        <v>0.18340000000000001</v>
      </c>
      <c r="Z32" s="23">
        <v>0.18340000000000001</v>
      </c>
      <c r="AA32" s="23">
        <v>0.18340000000000001</v>
      </c>
      <c r="AB32" s="23">
        <v>0.18340000000000001</v>
      </c>
      <c r="AD32" s="19" t="s">
        <v>53</v>
      </c>
      <c r="AE32" s="21">
        <v>6.1461954930821544E-2</v>
      </c>
      <c r="AF32" s="21">
        <v>5.0655905376288897E-2</v>
      </c>
      <c r="AG32" s="21">
        <v>5.8815117147846346E-2</v>
      </c>
      <c r="AH32" s="21">
        <v>5.366358395598439E-2</v>
      </c>
      <c r="AI32" s="21">
        <v>4.8273752413103346E-2</v>
      </c>
      <c r="AJ32" s="21">
        <v>4.3631462443632939E-2</v>
      </c>
      <c r="AK32" s="21">
        <v>3.8639642234563489E-2</v>
      </c>
      <c r="AL32" s="21">
        <v>2.8869733871910275E-2</v>
      </c>
      <c r="AM32" s="21">
        <v>3.2503429448889447E-2</v>
      </c>
      <c r="AN32" s="21">
        <v>7.8487133431804107E-2</v>
      </c>
      <c r="AO32" s="21">
        <v>9.2500504565752165E-2</v>
      </c>
      <c r="AP32" s="21">
        <v>6.2619308193603548E-2</v>
      </c>
      <c r="AQ32" s="21">
        <v>7.0384423668079829E-2</v>
      </c>
      <c r="AR32" s="21">
        <v>8.4568501077071812E-2</v>
      </c>
      <c r="AS32" s="21">
        <v>5.3156700079352574E-2</v>
      </c>
      <c r="AT32" s="21">
        <v>5.6646756013485781E-2</v>
      </c>
      <c r="AU32" s="21">
        <v>7.0997298308878812E-2</v>
      </c>
      <c r="AV32" s="21">
        <v>6.4105328173228476E-2</v>
      </c>
      <c r="AW32" s="21">
        <v>5.7615103321096602E-2</v>
      </c>
      <c r="AX32" s="21">
        <v>5.1623959517894225E-2</v>
      </c>
      <c r="AY32" s="21">
        <v>5.9700298568374326E-2</v>
      </c>
      <c r="AZ32" s="21">
        <v>7.4926632678650198E-2</v>
      </c>
      <c r="BA32" s="21">
        <v>6.5771799625196012E-2</v>
      </c>
      <c r="BB32" s="21">
        <v>6.0221848584622185E-2</v>
      </c>
      <c r="BC32" s="21">
        <v>5.2358394977087983E-2</v>
      </c>
      <c r="BD32" s="21">
        <v>4.7133401655126306E-2</v>
      </c>
      <c r="BF32" s="19" t="s">
        <v>53</v>
      </c>
      <c r="BG32" s="19" t="s">
        <v>98</v>
      </c>
      <c r="BH32" s="19" t="s">
        <v>98</v>
      </c>
      <c r="BI32" s="19" t="s">
        <v>94</v>
      </c>
      <c r="BJ32" s="19" t="s">
        <v>96</v>
      </c>
      <c r="BK32" s="19" t="s">
        <v>92</v>
      </c>
      <c r="BL32" s="19" t="s">
        <v>95</v>
      </c>
      <c r="BM32" s="19" t="s">
        <v>94</v>
      </c>
      <c r="BN32" s="19" t="s">
        <v>97</v>
      </c>
      <c r="BO32" s="19" t="s">
        <v>95</v>
      </c>
      <c r="BP32" s="19" t="s">
        <v>94</v>
      </c>
      <c r="BQ32" s="19" t="s">
        <v>96</v>
      </c>
      <c r="BR32" s="19" t="s">
        <v>93</v>
      </c>
      <c r="BS32" s="19" t="s">
        <v>92</v>
      </c>
      <c r="BT32" s="19" t="s">
        <v>92</v>
      </c>
      <c r="BU32" s="19" t="s">
        <v>98</v>
      </c>
      <c r="BV32" s="19" t="s">
        <v>97</v>
      </c>
      <c r="BW32" s="19" t="s">
        <v>94</v>
      </c>
      <c r="BX32" s="19" t="s">
        <v>92</v>
      </c>
      <c r="BY32" s="19" t="s">
        <v>92</v>
      </c>
      <c r="BZ32" s="19" t="s">
        <v>93</v>
      </c>
      <c r="CA32" s="19" t="s">
        <v>97</v>
      </c>
      <c r="CB32" s="19" t="s">
        <v>94</v>
      </c>
      <c r="CC32" s="19" t="s">
        <v>95</v>
      </c>
      <c r="CD32" s="19" t="s">
        <v>93</v>
      </c>
      <c r="CE32" s="19" t="s">
        <v>98</v>
      </c>
      <c r="CF32" s="19" t="s">
        <v>96</v>
      </c>
    </row>
    <row r="33" spans="2:84">
      <c r="B33" s="19" t="s">
        <v>55</v>
      </c>
      <c r="C33" s="23">
        <f>1-C32-SUM(C34:C38)</f>
        <v>0.22319999999999995</v>
      </c>
      <c r="D33" s="23">
        <f t="shared" ref="D33:AB33" si="27">1-D32-SUM(D34:D38)</f>
        <v>0.26589999999999991</v>
      </c>
      <c r="E33" s="23">
        <f t="shared" si="27"/>
        <v>0.27679999999999993</v>
      </c>
      <c r="F33" s="23">
        <f t="shared" si="27"/>
        <v>0.2339</v>
      </c>
      <c r="G33" s="23">
        <f t="shared" si="27"/>
        <v>0.25409999999999999</v>
      </c>
      <c r="H33" s="23">
        <f t="shared" si="27"/>
        <v>0.26959999999999984</v>
      </c>
      <c r="I33" s="23">
        <f t="shared" si="27"/>
        <v>0.24899999999999989</v>
      </c>
      <c r="J33" s="23">
        <f t="shared" si="27"/>
        <v>0.25270000000000004</v>
      </c>
      <c r="K33" s="23">
        <f t="shared" si="27"/>
        <v>0.25919999999999987</v>
      </c>
      <c r="L33" s="23">
        <f t="shared" si="27"/>
        <v>0.25789999999999991</v>
      </c>
      <c r="M33" s="23">
        <f t="shared" si="27"/>
        <v>0.24309999999999998</v>
      </c>
      <c r="N33" s="23">
        <f t="shared" si="27"/>
        <v>0.25919999999999999</v>
      </c>
      <c r="O33" s="23">
        <f t="shared" si="27"/>
        <v>0.24490000000000001</v>
      </c>
      <c r="P33" s="23">
        <f t="shared" si="27"/>
        <v>0.25609999999999999</v>
      </c>
      <c r="Q33" s="23">
        <f t="shared" si="27"/>
        <v>0.26129999999999998</v>
      </c>
      <c r="R33" s="23">
        <f t="shared" si="27"/>
        <v>0.2407999999999999</v>
      </c>
      <c r="S33" s="23">
        <f t="shared" si="27"/>
        <v>0.27070000000000005</v>
      </c>
      <c r="T33" s="23">
        <f t="shared" si="27"/>
        <v>0.24439999999999995</v>
      </c>
      <c r="U33" s="23">
        <f t="shared" si="27"/>
        <v>0.24259999999999993</v>
      </c>
      <c r="V33" s="23">
        <f t="shared" si="27"/>
        <v>0.21599999999999997</v>
      </c>
      <c r="W33" s="23">
        <f t="shared" si="27"/>
        <v>0.20450000000000002</v>
      </c>
      <c r="X33" s="23">
        <f t="shared" si="27"/>
        <v>0.2409</v>
      </c>
      <c r="Y33" s="23">
        <f t="shared" si="27"/>
        <v>0.25789999999999991</v>
      </c>
      <c r="Z33" s="23">
        <f t="shared" si="27"/>
        <v>0.25139999999999996</v>
      </c>
      <c r="AA33" s="23">
        <f t="shared" si="27"/>
        <v>0.24150000000000005</v>
      </c>
      <c r="AB33" s="23">
        <f t="shared" si="27"/>
        <v>0.24449999999999994</v>
      </c>
      <c r="AD33" s="19" t="s">
        <v>55</v>
      </c>
      <c r="AE33" s="21">
        <v>6.9367015207961041E-2</v>
      </c>
      <c r="AF33" s="21">
        <v>5.8560965653428394E-2</v>
      </c>
      <c r="AG33" s="21">
        <v>6.6720177424985844E-2</v>
      </c>
      <c r="AH33" s="21">
        <v>6.1568644233123887E-2</v>
      </c>
      <c r="AI33" s="21">
        <v>5.6178812690242844E-2</v>
      </c>
      <c r="AJ33" s="21">
        <v>5.1536522720772436E-2</v>
      </c>
      <c r="AK33" s="21">
        <v>4.6544702511702986E-2</v>
      </c>
      <c r="AL33" s="21">
        <v>3.1662367694898504E-2</v>
      </c>
      <c r="AM33" s="21">
        <v>3.5296063271877676E-2</v>
      </c>
      <c r="AN33" s="21">
        <v>8.6392193708943604E-2</v>
      </c>
      <c r="AO33" s="21">
        <v>0.10040556484289166</v>
      </c>
      <c r="AP33" s="21">
        <v>7.0524368470743046E-2</v>
      </c>
      <c r="AQ33" s="21">
        <v>7.8289483945219326E-2</v>
      </c>
      <c r="AR33" s="21">
        <v>9.2473561354211309E-2</v>
      </c>
      <c r="AS33" s="21">
        <v>6.1061760356492072E-2</v>
      </c>
      <c r="AT33" s="21">
        <v>6.4551816290625286E-2</v>
      </c>
      <c r="AU33" s="21">
        <v>7.8902358586018309E-2</v>
      </c>
      <c r="AV33" s="21">
        <v>7.2010388450367974E-2</v>
      </c>
      <c r="AW33" s="21">
        <v>6.5520163598236092E-2</v>
      </c>
      <c r="AX33" s="21">
        <v>5.9529019795033722E-2</v>
      </c>
      <c r="AY33" s="21">
        <v>6.760535884551383E-2</v>
      </c>
      <c r="AZ33" s="21">
        <v>8.2831692955789696E-2</v>
      </c>
      <c r="BA33" s="21">
        <v>7.3676859902335509E-2</v>
      </c>
      <c r="BB33" s="21">
        <v>6.8126908861761676E-2</v>
      </c>
      <c r="BC33" s="21">
        <v>6.026345525422748E-2</v>
      </c>
      <c r="BD33" s="21">
        <v>5.5038461932265803E-2</v>
      </c>
      <c r="BF33" s="19" t="s">
        <v>55</v>
      </c>
      <c r="BG33" s="19" t="s">
        <v>93</v>
      </c>
      <c r="BH33" s="19" t="s">
        <v>96</v>
      </c>
      <c r="BI33" s="19" t="s">
        <v>95</v>
      </c>
      <c r="BJ33" s="19" t="s">
        <v>92</v>
      </c>
      <c r="BK33" s="19" t="s">
        <v>95</v>
      </c>
      <c r="BL33" s="19" t="s">
        <v>97</v>
      </c>
      <c r="BM33" s="19" t="s">
        <v>94</v>
      </c>
      <c r="BN33" s="19" t="s">
        <v>92</v>
      </c>
      <c r="BO33" s="19" t="s">
        <v>97</v>
      </c>
      <c r="BP33" s="19" t="s">
        <v>95</v>
      </c>
      <c r="BQ33" s="19" t="s">
        <v>92</v>
      </c>
      <c r="BR33" s="19" t="s">
        <v>98</v>
      </c>
      <c r="BS33" s="19" t="s">
        <v>95</v>
      </c>
      <c r="BT33" s="19" t="s">
        <v>94</v>
      </c>
      <c r="BU33" s="19" t="s">
        <v>97</v>
      </c>
      <c r="BV33" s="19" t="s">
        <v>94</v>
      </c>
      <c r="BW33" s="19" t="s">
        <v>98</v>
      </c>
      <c r="BX33" s="19" t="s">
        <v>95</v>
      </c>
      <c r="BY33" s="19" t="s">
        <v>92</v>
      </c>
      <c r="BZ33" s="19" t="s">
        <v>97</v>
      </c>
      <c r="CA33" s="19" t="s">
        <v>94</v>
      </c>
      <c r="CB33" s="19" t="s">
        <v>98</v>
      </c>
      <c r="CC33" s="19" t="s">
        <v>92</v>
      </c>
      <c r="CD33" s="19" t="s">
        <v>97</v>
      </c>
      <c r="CE33" s="19" t="s">
        <v>97</v>
      </c>
      <c r="CF33" s="19" t="s">
        <v>97</v>
      </c>
    </row>
    <row r="34" spans="2:84">
      <c r="B34" s="19" t="s">
        <v>57</v>
      </c>
      <c r="C34" s="23">
        <v>7.8699999999999992E-2</v>
      </c>
      <c r="D34" s="23">
        <v>6.7500000000000004E-2</v>
      </c>
      <c r="E34" s="23">
        <v>7.1000000000000008E-2</v>
      </c>
      <c r="F34" s="23">
        <v>6.9400000000000017E-2</v>
      </c>
      <c r="G34" s="23">
        <v>7.3700000000000002E-2</v>
      </c>
      <c r="H34" s="23">
        <v>6.5300000000000011E-2</v>
      </c>
      <c r="I34" s="23">
        <v>6.4000000000000001E-2</v>
      </c>
      <c r="J34" s="23">
        <v>7.8699999999999992E-2</v>
      </c>
      <c r="K34" s="23">
        <v>6.6800000000000012E-2</v>
      </c>
      <c r="L34" s="23">
        <v>7.2899999999999993E-2</v>
      </c>
      <c r="M34" s="23">
        <v>7.9699999999999993E-2</v>
      </c>
      <c r="N34" s="23">
        <v>7.3999999999999996E-2</v>
      </c>
      <c r="O34" s="23">
        <v>7.9299999999999995E-2</v>
      </c>
      <c r="P34" s="23">
        <v>7.17E-2</v>
      </c>
      <c r="Q34" s="23">
        <v>6.5600000000000006E-2</v>
      </c>
      <c r="R34" s="23">
        <v>7.980000000000001E-2</v>
      </c>
      <c r="S34" s="23">
        <v>6.7100000000000007E-2</v>
      </c>
      <c r="T34" s="23">
        <v>7.0700000000000013E-2</v>
      </c>
      <c r="U34" s="23">
        <v>6.4700000000000008E-2</v>
      </c>
      <c r="V34" s="23">
        <v>7.3300000000000004E-2</v>
      </c>
      <c r="W34" s="23">
        <v>7.8100000000000003E-2</v>
      </c>
      <c r="X34" s="23">
        <v>7.4900000000000008E-2</v>
      </c>
      <c r="Y34" s="23">
        <v>7.5000000000000011E-2</v>
      </c>
      <c r="Z34" s="23">
        <v>7.8600000000000003E-2</v>
      </c>
      <c r="AA34" s="23">
        <v>7.2199999999999986E-2</v>
      </c>
      <c r="AB34" s="23">
        <v>6.9700000000000012E-2</v>
      </c>
      <c r="AD34" s="19" t="s">
        <v>57</v>
      </c>
      <c r="AE34" s="21">
        <v>7.6461954930821543E-2</v>
      </c>
      <c r="AF34" s="21">
        <v>6.5655905376288903E-2</v>
      </c>
      <c r="AG34" s="21">
        <v>7.3815117147846346E-2</v>
      </c>
      <c r="AH34" s="21">
        <v>6.8663583955984389E-2</v>
      </c>
      <c r="AI34" s="21">
        <v>6.3273752413103346E-2</v>
      </c>
      <c r="AJ34" s="21">
        <v>5.8631462443632938E-2</v>
      </c>
      <c r="AK34" s="21">
        <v>5.3639642234563488E-2</v>
      </c>
      <c r="AL34" s="21">
        <v>3.5027146737615103E-2</v>
      </c>
      <c r="AM34" s="21">
        <v>3.8660842314594275E-2</v>
      </c>
      <c r="AN34" s="21">
        <v>9.348713343180412E-2</v>
      </c>
      <c r="AO34" s="21">
        <v>0.10750050456575216</v>
      </c>
      <c r="AP34" s="21">
        <v>7.7619308193603548E-2</v>
      </c>
      <c r="AQ34" s="21">
        <v>8.5384423668079829E-2</v>
      </c>
      <c r="AR34" s="21">
        <v>9.9568501077071811E-2</v>
      </c>
      <c r="AS34" s="21">
        <v>6.8156700079352567E-2</v>
      </c>
      <c r="AT34" s="21">
        <v>7.1646756013485774E-2</v>
      </c>
      <c r="AU34" s="21">
        <v>8.5997298308878811E-2</v>
      </c>
      <c r="AV34" s="21">
        <v>7.9105328173228462E-2</v>
      </c>
      <c r="AW34" s="21">
        <v>7.2615103321096608E-2</v>
      </c>
      <c r="AX34" s="21">
        <v>6.6623959517894224E-2</v>
      </c>
      <c r="AY34" s="21">
        <v>7.4700298568374318E-2</v>
      </c>
      <c r="AZ34" s="21">
        <v>8.9926632678650198E-2</v>
      </c>
      <c r="BA34" s="21">
        <v>8.0771799625196011E-2</v>
      </c>
      <c r="BB34" s="21">
        <v>7.5221848584622192E-2</v>
      </c>
      <c r="BC34" s="21">
        <v>6.7358394977087982E-2</v>
      </c>
      <c r="BD34" s="21">
        <v>6.2133401655126305E-2</v>
      </c>
      <c r="BF34" s="19" t="s">
        <v>57</v>
      </c>
      <c r="BG34" s="19" t="s">
        <v>98</v>
      </c>
      <c r="BH34" s="19" t="s">
        <v>97</v>
      </c>
      <c r="BI34" s="19" t="s">
        <v>93</v>
      </c>
      <c r="BJ34" s="19" t="s">
        <v>92</v>
      </c>
      <c r="BK34" s="19" t="s">
        <v>98</v>
      </c>
      <c r="BL34" s="19" t="s">
        <v>97</v>
      </c>
      <c r="BM34" s="19" t="s">
        <v>96</v>
      </c>
      <c r="BN34" s="19" t="s">
        <v>93</v>
      </c>
      <c r="BO34" s="19" t="s">
        <v>97</v>
      </c>
      <c r="BP34" s="19" t="s">
        <v>94</v>
      </c>
      <c r="BQ34" s="19" t="s">
        <v>98</v>
      </c>
      <c r="BR34" s="19" t="s">
        <v>97</v>
      </c>
      <c r="BS34" s="19" t="s">
        <v>94</v>
      </c>
      <c r="BT34" s="19" t="s">
        <v>92</v>
      </c>
      <c r="BU34" s="19" t="s">
        <v>93</v>
      </c>
      <c r="BV34" s="19" t="s">
        <v>92</v>
      </c>
      <c r="BW34" s="19" t="s">
        <v>95</v>
      </c>
      <c r="BX34" s="19" t="s">
        <v>93</v>
      </c>
      <c r="BY34" s="19" t="s">
        <v>98</v>
      </c>
      <c r="BZ34" s="19" t="s">
        <v>95</v>
      </c>
      <c r="CA34" s="19" t="s">
        <v>97</v>
      </c>
      <c r="CB34" s="19" t="s">
        <v>93</v>
      </c>
      <c r="CC34" s="19" t="s">
        <v>94</v>
      </c>
      <c r="CD34" s="19" t="s">
        <v>96</v>
      </c>
      <c r="CE34" s="19" t="s">
        <v>96</v>
      </c>
      <c r="CF34" s="19" t="s">
        <v>94</v>
      </c>
    </row>
    <row r="35" spans="2:84">
      <c r="B35" s="19" t="s">
        <v>59</v>
      </c>
      <c r="C35" s="23">
        <v>5.7599999999999998E-2</v>
      </c>
      <c r="D35" s="23">
        <v>5.7000000000000002E-2</v>
      </c>
      <c r="E35" s="23">
        <v>6.1099999999999988E-2</v>
      </c>
      <c r="F35" s="23">
        <v>6.2100000000000002E-2</v>
      </c>
      <c r="G35" s="23">
        <v>5.7200000000000015E-2</v>
      </c>
      <c r="H35" s="23">
        <v>6.7599999999999993E-2</v>
      </c>
      <c r="I35" s="23">
        <v>5.8800000000000005E-2</v>
      </c>
      <c r="J35" s="23">
        <v>5.8000000000000003E-2</v>
      </c>
      <c r="K35" s="23">
        <v>6.3500000000000001E-2</v>
      </c>
      <c r="L35" s="23">
        <v>6.4899999999999985E-2</v>
      </c>
      <c r="M35" s="23">
        <v>6.83E-2</v>
      </c>
      <c r="N35" s="23">
        <v>6.1599999999999988E-2</v>
      </c>
      <c r="O35" s="23">
        <v>5.7499999999999982E-2</v>
      </c>
      <c r="P35" s="23">
        <v>6.8900000000000003E-2</v>
      </c>
      <c r="Q35" s="23">
        <v>6.3299999999999981E-2</v>
      </c>
      <c r="R35" s="23">
        <v>6.5500000000000003E-2</v>
      </c>
      <c r="S35" s="23">
        <v>6.0699999999999976E-2</v>
      </c>
      <c r="T35" s="23">
        <v>5.8700000000000002E-2</v>
      </c>
      <c r="U35" s="23">
        <v>6.6699999999999995E-2</v>
      </c>
      <c r="V35" s="23">
        <v>5.7300000000000004E-2</v>
      </c>
      <c r="W35" s="23">
        <v>6.83E-2</v>
      </c>
      <c r="X35" s="23">
        <v>6.1199999999999991E-2</v>
      </c>
      <c r="Y35" s="23">
        <v>6.0299999999999999E-2</v>
      </c>
      <c r="Z35" s="23">
        <v>6.5799999999999997E-2</v>
      </c>
      <c r="AA35" s="23">
        <v>6.4299999999999996E-2</v>
      </c>
      <c r="AB35" s="23">
        <v>6.9400000000000003E-2</v>
      </c>
      <c r="AD35" s="19" t="s">
        <v>59</v>
      </c>
      <c r="AE35" s="21">
        <v>4.4863435676783033E-2</v>
      </c>
      <c r="AF35" s="21">
        <v>3.4057386122250385E-2</v>
      </c>
      <c r="AG35" s="21">
        <v>4.2216597893807835E-2</v>
      </c>
      <c r="AH35" s="21">
        <v>3.7065064701945878E-2</v>
      </c>
      <c r="AI35" s="21">
        <v>3.1675233159064835E-2</v>
      </c>
      <c r="AJ35" s="21">
        <v>2.7032943189594427E-2</v>
      </c>
      <c r="AK35" s="21">
        <v>2.2041122980524977E-2</v>
      </c>
      <c r="AL35" s="21">
        <v>1.8855542045439346E-2</v>
      </c>
      <c r="AM35" s="21">
        <v>2.2489237622418518E-2</v>
      </c>
      <c r="AN35" s="21">
        <v>6.1888614177765602E-2</v>
      </c>
      <c r="AO35" s="21">
        <v>7.590198531171366E-2</v>
      </c>
      <c r="AP35" s="21">
        <v>4.6020788939565037E-2</v>
      </c>
      <c r="AQ35" s="21">
        <v>5.3785904414041318E-2</v>
      </c>
      <c r="AR35" s="21">
        <v>6.7969981823033293E-2</v>
      </c>
      <c r="AS35" s="21">
        <v>3.6558180825314063E-2</v>
      </c>
      <c r="AT35" s="21">
        <v>4.004823675944727E-2</v>
      </c>
      <c r="AU35" s="21">
        <v>5.43987790548403E-2</v>
      </c>
      <c r="AV35" s="21">
        <v>4.7506808919189958E-2</v>
      </c>
      <c r="AW35" s="21">
        <v>4.101658406705809E-2</v>
      </c>
      <c r="AX35" s="21">
        <v>3.5025440263855713E-2</v>
      </c>
      <c r="AY35" s="21">
        <v>4.3101779314335814E-2</v>
      </c>
      <c r="AZ35" s="21">
        <v>5.8328113424611687E-2</v>
      </c>
      <c r="BA35" s="21">
        <v>4.91732803711575E-2</v>
      </c>
      <c r="BB35" s="21">
        <v>4.3623329330583674E-2</v>
      </c>
      <c r="BC35" s="21">
        <v>3.5759875723049471E-2</v>
      </c>
      <c r="BD35" s="21">
        <v>3.0534882401087794E-2</v>
      </c>
      <c r="BF35" s="19" t="s">
        <v>59</v>
      </c>
      <c r="BG35" s="19" t="s">
        <v>92</v>
      </c>
      <c r="BH35" s="19" t="s">
        <v>92</v>
      </c>
      <c r="BI35" s="19" t="s">
        <v>95</v>
      </c>
      <c r="BJ35" s="19" t="s">
        <v>97</v>
      </c>
      <c r="BK35" s="19" t="s">
        <v>96</v>
      </c>
      <c r="BL35" s="19" t="s">
        <v>95</v>
      </c>
      <c r="BM35" s="19" t="s">
        <v>92</v>
      </c>
      <c r="BN35" s="19" t="s">
        <v>93</v>
      </c>
      <c r="BO35" s="19" t="s">
        <v>94</v>
      </c>
      <c r="BP35" s="19" t="s">
        <v>95</v>
      </c>
      <c r="BQ35" s="19" t="s">
        <v>97</v>
      </c>
      <c r="BR35" s="19" t="s">
        <v>92</v>
      </c>
      <c r="BS35" s="19" t="s">
        <v>95</v>
      </c>
      <c r="BT35" s="19" t="s">
        <v>93</v>
      </c>
      <c r="BU35" s="19" t="s">
        <v>95</v>
      </c>
      <c r="BV35" s="19" t="s">
        <v>92</v>
      </c>
      <c r="BW35" s="19" t="s">
        <v>96</v>
      </c>
      <c r="BX35" s="19" t="s">
        <v>92</v>
      </c>
      <c r="BY35" s="19" t="s">
        <v>94</v>
      </c>
      <c r="BZ35" s="19" t="s">
        <v>98</v>
      </c>
      <c r="CA35" s="19" t="s">
        <v>97</v>
      </c>
      <c r="CB35" s="19" t="s">
        <v>96</v>
      </c>
      <c r="CC35" s="19" t="s">
        <v>94</v>
      </c>
      <c r="CD35" s="19" t="s">
        <v>96</v>
      </c>
      <c r="CE35" s="19" t="s">
        <v>96</v>
      </c>
      <c r="CF35" s="19" t="s">
        <v>94</v>
      </c>
    </row>
    <row r="36" spans="2:84">
      <c r="B36" s="19" t="s">
        <v>61</v>
      </c>
      <c r="C36" s="23">
        <v>0.2248</v>
      </c>
      <c r="D36" s="23">
        <v>0.21680000000000002</v>
      </c>
      <c r="E36" s="23">
        <v>0.2114</v>
      </c>
      <c r="F36" s="23">
        <v>0.2366</v>
      </c>
      <c r="G36" s="23">
        <v>0.23200000000000001</v>
      </c>
      <c r="H36" s="23">
        <v>0.21050000000000002</v>
      </c>
      <c r="I36" s="23">
        <v>0.21660000000000001</v>
      </c>
      <c r="J36" s="23">
        <v>0.2356</v>
      </c>
      <c r="K36" s="23">
        <v>0.23930000000000001</v>
      </c>
      <c r="L36" s="23">
        <v>0.21690000000000001</v>
      </c>
      <c r="M36" s="23">
        <v>0.2288</v>
      </c>
      <c r="N36" s="23">
        <v>0.22940000000000002</v>
      </c>
      <c r="O36" s="23">
        <v>0.22620000000000001</v>
      </c>
      <c r="P36" s="23">
        <v>0.2263</v>
      </c>
      <c r="Q36" s="23">
        <v>0.23810000000000001</v>
      </c>
      <c r="R36" s="23">
        <v>0.23670000000000002</v>
      </c>
      <c r="S36" s="23">
        <v>0.2104</v>
      </c>
      <c r="T36" s="23">
        <v>0.22330000000000003</v>
      </c>
      <c r="U36" s="23">
        <v>0.22310000000000002</v>
      </c>
      <c r="V36" s="23">
        <v>0.24530000000000002</v>
      </c>
      <c r="W36" s="23">
        <v>0.23780000000000001</v>
      </c>
      <c r="X36" s="23">
        <v>0.2359</v>
      </c>
      <c r="Y36" s="23">
        <v>0.23570000000000002</v>
      </c>
      <c r="Z36" s="23">
        <v>0.2107</v>
      </c>
      <c r="AA36" s="23">
        <v>0.23470000000000002</v>
      </c>
      <c r="AB36" s="23">
        <v>0.23420000000000002</v>
      </c>
      <c r="AD36" s="19" t="s">
        <v>61</v>
      </c>
      <c r="AE36" s="21">
        <v>5.5081755944273329E-2</v>
      </c>
      <c r="AF36" s="21">
        <v>4.4275706389740682E-2</v>
      </c>
      <c r="AG36" s="21">
        <v>5.2434918161298132E-2</v>
      </c>
      <c r="AH36" s="21">
        <v>4.7283384969436175E-2</v>
      </c>
      <c r="AI36" s="21">
        <v>4.1893553426555132E-2</v>
      </c>
      <c r="AJ36" s="21">
        <v>3.7251263457084724E-2</v>
      </c>
      <c r="AK36" s="21">
        <v>3.2259443248015274E-2</v>
      </c>
      <c r="AL36" s="21">
        <v>2.5314122474756843E-2</v>
      </c>
      <c r="AM36" s="21">
        <v>2.8947818051736015E-2</v>
      </c>
      <c r="AN36" s="21">
        <v>7.2106934445255899E-2</v>
      </c>
      <c r="AO36" s="21">
        <v>8.6120305579203943E-2</v>
      </c>
      <c r="AP36" s="21">
        <v>5.6239109207055334E-2</v>
      </c>
      <c r="AQ36" s="21">
        <v>6.4004224681531607E-2</v>
      </c>
      <c r="AR36" s="21">
        <v>7.8188302090523604E-2</v>
      </c>
      <c r="AS36" s="21">
        <v>4.677650109280436E-2</v>
      </c>
      <c r="AT36" s="21">
        <v>5.0266557026937567E-2</v>
      </c>
      <c r="AU36" s="21">
        <v>6.461709932233059E-2</v>
      </c>
      <c r="AV36" s="21">
        <v>5.7725129186680255E-2</v>
      </c>
      <c r="AW36" s="21">
        <v>5.1234904334548387E-2</v>
      </c>
      <c r="AX36" s="21">
        <v>4.524376053134601E-2</v>
      </c>
      <c r="AY36" s="21">
        <v>5.3320099581826111E-2</v>
      </c>
      <c r="AZ36" s="21">
        <v>6.8546433692101977E-2</v>
      </c>
      <c r="BA36" s="21">
        <v>5.9391600638647797E-2</v>
      </c>
      <c r="BB36" s="21">
        <v>5.3841649598073971E-2</v>
      </c>
      <c r="BC36" s="21">
        <v>4.5978195990539768E-2</v>
      </c>
      <c r="BD36" s="21">
        <v>4.0753202668578091E-2</v>
      </c>
      <c r="BF36" s="19" t="s">
        <v>61</v>
      </c>
      <c r="BG36" s="19" t="s">
        <v>93</v>
      </c>
      <c r="BH36" s="19" t="s">
        <v>98</v>
      </c>
      <c r="BI36" s="19" t="s">
        <v>98</v>
      </c>
      <c r="BJ36" s="19" t="s">
        <v>92</v>
      </c>
      <c r="BK36" s="19" t="s">
        <v>98</v>
      </c>
      <c r="BL36" s="19" t="s">
        <v>92</v>
      </c>
      <c r="BM36" s="19" t="s">
        <v>94</v>
      </c>
      <c r="BN36" s="19" t="s">
        <v>92</v>
      </c>
      <c r="BO36" s="19" t="s">
        <v>96</v>
      </c>
      <c r="BP36" s="19" t="s">
        <v>94</v>
      </c>
      <c r="BQ36" s="19" t="s">
        <v>93</v>
      </c>
      <c r="BR36" s="19" t="s">
        <v>92</v>
      </c>
      <c r="BS36" s="19" t="s">
        <v>96</v>
      </c>
      <c r="BT36" s="19" t="s">
        <v>98</v>
      </c>
      <c r="BU36" s="19" t="s">
        <v>98</v>
      </c>
      <c r="BV36" s="19" t="s">
        <v>96</v>
      </c>
      <c r="BW36" s="19" t="s">
        <v>94</v>
      </c>
      <c r="BX36" s="19" t="s">
        <v>98</v>
      </c>
      <c r="BY36" s="19" t="s">
        <v>95</v>
      </c>
      <c r="BZ36" s="19" t="s">
        <v>92</v>
      </c>
      <c r="CA36" s="19" t="s">
        <v>98</v>
      </c>
      <c r="CB36" s="19" t="s">
        <v>98</v>
      </c>
      <c r="CC36" s="19" t="s">
        <v>92</v>
      </c>
      <c r="CD36" s="19" t="s">
        <v>95</v>
      </c>
      <c r="CE36" s="19" t="s">
        <v>94</v>
      </c>
      <c r="CF36" s="19" t="s">
        <v>93</v>
      </c>
    </row>
    <row r="37" spans="2:84">
      <c r="B37" s="19" t="s">
        <v>63</v>
      </c>
      <c r="C37" s="23">
        <v>0.12640000000000001</v>
      </c>
      <c r="D37" s="23">
        <v>9.6800000000000011E-2</v>
      </c>
      <c r="E37" s="23">
        <v>9.6500000000000002E-2</v>
      </c>
      <c r="F37" s="23">
        <v>0.11890000000000001</v>
      </c>
      <c r="G37" s="23">
        <v>0.1077</v>
      </c>
      <c r="H37" s="23">
        <v>0.10850000000000001</v>
      </c>
      <c r="I37" s="23">
        <v>0.1187</v>
      </c>
      <c r="J37" s="23">
        <v>9.1100000000000014E-2</v>
      </c>
      <c r="K37" s="23">
        <v>9.7600000000000006E-2</v>
      </c>
      <c r="L37" s="23">
        <v>9.3100000000000002E-2</v>
      </c>
      <c r="M37" s="23">
        <v>0.1008</v>
      </c>
      <c r="N37" s="23">
        <v>9.4900000000000012E-2</v>
      </c>
      <c r="O37" s="23">
        <v>9.1900000000000009E-2</v>
      </c>
      <c r="P37" s="23">
        <v>9.6500000000000002E-2</v>
      </c>
      <c r="Q37" s="23">
        <v>9.870000000000001E-2</v>
      </c>
      <c r="R37" s="23">
        <v>0.10260000000000001</v>
      </c>
      <c r="S37" s="23">
        <v>0.10310000000000001</v>
      </c>
      <c r="T37" s="23">
        <v>0.11750000000000001</v>
      </c>
      <c r="U37" s="23">
        <v>0.11650000000000001</v>
      </c>
      <c r="V37" s="23">
        <v>0.1076</v>
      </c>
      <c r="W37" s="23">
        <v>0.12440000000000001</v>
      </c>
      <c r="X37" s="23">
        <v>0.11180000000000001</v>
      </c>
      <c r="Y37" s="23">
        <v>0.10150000000000001</v>
      </c>
      <c r="Z37" s="23">
        <v>0.10850000000000001</v>
      </c>
      <c r="AA37" s="23">
        <v>0.10120000000000001</v>
      </c>
      <c r="AB37" s="23">
        <v>0.10650000000000001</v>
      </c>
      <c r="AD37" s="19" t="s">
        <v>63</v>
      </c>
      <c r="AE37" s="21">
        <v>3.9529428672240491E-2</v>
      </c>
      <c r="AF37" s="21">
        <v>2.8723379117707844E-2</v>
      </c>
      <c r="AG37" s="21">
        <v>3.6882590889265293E-2</v>
      </c>
      <c r="AH37" s="21">
        <v>3.1731057697403336E-2</v>
      </c>
      <c r="AI37" s="21">
        <v>2.6341226154522293E-2</v>
      </c>
      <c r="AJ37" s="21">
        <v>2.1698936185051886E-2</v>
      </c>
      <c r="AK37" s="21">
        <v>1.7213358297170682E-2</v>
      </c>
      <c r="AL37" s="21">
        <v>1.5022403566002811E-2</v>
      </c>
      <c r="AM37" s="21">
        <v>1.8656099142981983E-2</v>
      </c>
      <c r="AN37" s="21">
        <v>5.6554607173223061E-2</v>
      </c>
      <c r="AO37" s="21">
        <v>7.0567978307171111E-2</v>
      </c>
      <c r="AP37" s="21">
        <v>4.0686781935022495E-2</v>
      </c>
      <c r="AQ37" s="21">
        <v>4.8451897409498776E-2</v>
      </c>
      <c r="AR37" s="21">
        <v>6.2635974818490758E-2</v>
      </c>
      <c r="AS37" s="21">
        <v>3.1224173820771521E-2</v>
      </c>
      <c r="AT37" s="21">
        <v>3.4714229754904728E-2</v>
      </c>
      <c r="AU37" s="21">
        <v>4.9064772050297759E-2</v>
      </c>
      <c r="AV37" s="21">
        <v>4.2172801914647416E-2</v>
      </c>
      <c r="AW37" s="21">
        <v>3.5682577062515548E-2</v>
      </c>
      <c r="AX37" s="21">
        <v>2.9691433259313171E-2</v>
      </c>
      <c r="AY37" s="21">
        <v>3.7767772309793272E-2</v>
      </c>
      <c r="AZ37" s="21">
        <v>5.2994106420069145E-2</v>
      </c>
      <c r="BA37" s="21">
        <v>4.3839273366614959E-2</v>
      </c>
      <c r="BB37" s="21">
        <v>3.8289322326041132E-2</v>
      </c>
      <c r="BC37" s="21">
        <v>3.0425868718506929E-2</v>
      </c>
      <c r="BD37" s="21">
        <v>2.5200875396545253E-2</v>
      </c>
      <c r="BF37" s="19" t="s">
        <v>63</v>
      </c>
      <c r="BG37" s="19" t="s">
        <v>93</v>
      </c>
      <c r="BH37" s="19" t="s">
        <v>93</v>
      </c>
      <c r="BI37" s="19" t="s">
        <v>94</v>
      </c>
      <c r="BJ37" s="19" t="s">
        <v>96</v>
      </c>
      <c r="BK37" s="19" t="s">
        <v>98</v>
      </c>
      <c r="BL37" s="19" t="s">
        <v>94</v>
      </c>
      <c r="BM37" s="19" t="s">
        <v>95</v>
      </c>
      <c r="BN37" s="19" t="s">
        <v>95</v>
      </c>
      <c r="BO37" s="19" t="s">
        <v>92</v>
      </c>
      <c r="BP37" s="19" t="s">
        <v>93</v>
      </c>
      <c r="BQ37" s="19" t="s">
        <v>95</v>
      </c>
      <c r="BR37" s="19" t="s">
        <v>93</v>
      </c>
      <c r="BS37" s="19" t="s">
        <v>93</v>
      </c>
      <c r="BT37" s="19" t="s">
        <v>98</v>
      </c>
      <c r="BU37" s="19" t="s">
        <v>98</v>
      </c>
      <c r="BV37" s="19" t="s">
        <v>96</v>
      </c>
      <c r="BW37" s="19" t="s">
        <v>97</v>
      </c>
      <c r="BX37" s="19" t="s">
        <v>93</v>
      </c>
      <c r="BY37" s="19" t="s">
        <v>98</v>
      </c>
      <c r="BZ37" s="19" t="s">
        <v>93</v>
      </c>
      <c r="CA37" s="19" t="s">
        <v>96</v>
      </c>
      <c r="CB37" s="19" t="s">
        <v>97</v>
      </c>
      <c r="CC37" s="19" t="s">
        <v>95</v>
      </c>
      <c r="CD37" s="19" t="s">
        <v>94</v>
      </c>
      <c r="CE37" s="19" t="s">
        <v>93</v>
      </c>
      <c r="CF37" s="19" t="s">
        <v>92</v>
      </c>
    </row>
    <row r="38" spans="2:84">
      <c r="B38" s="19" t="s">
        <v>64</v>
      </c>
      <c r="C38" s="23">
        <v>0.10590000000000001</v>
      </c>
      <c r="D38" s="23">
        <v>0.11260000000000002</v>
      </c>
      <c r="E38" s="23">
        <v>9.9800000000000014E-2</v>
      </c>
      <c r="F38" s="23">
        <v>9.5700000000000007E-2</v>
      </c>
      <c r="G38" s="23">
        <v>9.1900000000000009E-2</v>
      </c>
      <c r="H38" s="23">
        <v>9.5100000000000018E-2</v>
      </c>
      <c r="I38" s="23">
        <v>0.10950000000000001</v>
      </c>
      <c r="J38" s="23">
        <v>0.10050000000000002</v>
      </c>
      <c r="K38" s="23">
        <v>9.0200000000000016E-2</v>
      </c>
      <c r="L38" s="23">
        <v>0.11090000000000001</v>
      </c>
      <c r="M38" s="23">
        <v>9.5900000000000013E-2</v>
      </c>
      <c r="N38" s="23">
        <v>9.7500000000000017E-2</v>
      </c>
      <c r="O38" s="23">
        <v>0.11680000000000001</v>
      </c>
      <c r="P38" s="23">
        <v>9.710000000000002E-2</v>
      </c>
      <c r="Q38" s="23">
        <v>8.9600000000000013E-2</v>
      </c>
      <c r="R38" s="23">
        <v>9.1200000000000017E-2</v>
      </c>
      <c r="S38" s="23">
        <v>0.10460000000000001</v>
      </c>
      <c r="T38" s="23">
        <v>0.10200000000000001</v>
      </c>
      <c r="U38" s="23">
        <v>0.10300000000000001</v>
      </c>
      <c r="V38" s="23">
        <v>0.11710000000000001</v>
      </c>
      <c r="W38" s="23">
        <v>0.10350000000000001</v>
      </c>
      <c r="X38" s="23">
        <v>9.1900000000000009E-2</v>
      </c>
      <c r="Y38" s="23">
        <v>8.6200000000000013E-2</v>
      </c>
      <c r="Z38" s="23">
        <v>0.10160000000000001</v>
      </c>
      <c r="AA38" s="23">
        <v>0.10270000000000001</v>
      </c>
      <c r="AB38" s="23">
        <v>9.2300000000000021E-2</v>
      </c>
      <c r="AD38" s="19" t="s">
        <v>64</v>
      </c>
      <c r="AE38" s="21">
        <v>5.0461954930821548E-2</v>
      </c>
      <c r="AF38" s="21">
        <v>3.9655905376288901E-2</v>
      </c>
      <c r="AG38" s="21">
        <v>4.781511714784635E-2</v>
      </c>
      <c r="AH38" s="21">
        <v>4.2663583955984394E-2</v>
      </c>
      <c r="AI38" s="21">
        <v>3.727375241310335E-2</v>
      </c>
      <c r="AJ38" s="21">
        <v>3.2631462443632943E-2</v>
      </c>
      <c r="AK38" s="21">
        <v>2.7639642234563493E-2</v>
      </c>
      <c r="AL38" s="21">
        <v>2.210999329474287E-2</v>
      </c>
      <c r="AM38" s="21">
        <v>2.5743688871722042E-2</v>
      </c>
      <c r="AN38" s="21">
        <v>6.7487133431804125E-2</v>
      </c>
      <c r="AO38" s="21">
        <v>8.1500504565752169E-2</v>
      </c>
      <c r="AP38" s="21">
        <v>5.1619308193603552E-2</v>
      </c>
      <c r="AQ38" s="21">
        <v>5.9384423668079833E-2</v>
      </c>
      <c r="AR38" s="21">
        <v>7.3568501077071816E-2</v>
      </c>
      <c r="AS38" s="21">
        <v>4.2156700079352578E-2</v>
      </c>
      <c r="AT38" s="21">
        <v>4.5646756013485786E-2</v>
      </c>
      <c r="AU38" s="21">
        <v>5.9997298308878816E-2</v>
      </c>
      <c r="AV38" s="21">
        <v>5.3105328173228473E-2</v>
      </c>
      <c r="AW38" s="21">
        <v>4.6615103321096606E-2</v>
      </c>
      <c r="AX38" s="21">
        <v>4.0623959517894229E-2</v>
      </c>
      <c r="AY38" s="21">
        <v>4.870029856837433E-2</v>
      </c>
      <c r="AZ38" s="21">
        <v>6.3926632678650203E-2</v>
      </c>
      <c r="BA38" s="21">
        <v>5.4771799625196016E-2</v>
      </c>
      <c r="BB38" s="21">
        <v>4.922184858462219E-2</v>
      </c>
      <c r="BC38" s="21">
        <v>4.1358394977087987E-2</v>
      </c>
      <c r="BD38" s="21">
        <v>3.613340165512631E-2</v>
      </c>
      <c r="BF38" s="19" t="s">
        <v>64</v>
      </c>
      <c r="BG38" s="19" t="s">
        <v>97</v>
      </c>
      <c r="BH38" s="19" t="s">
        <v>95</v>
      </c>
      <c r="BI38" s="19" t="s">
        <v>96</v>
      </c>
      <c r="BJ38" s="19" t="s">
        <v>96</v>
      </c>
      <c r="BK38" s="19" t="s">
        <v>95</v>
      </c>
      <c r="BL38" s="19" t="s">
        <v>97</v>
      </c>
      <c r="BM38" s="19" t="s">
        <v>95</v>
      </c>
      <c r="BN38" s="19" t="s">
        <v>98</v>
      </c>
      <c r="BO38" s="19" t="s">
        <v>98</v>
      </c>
      <c r="BP38" s="19" t="s">
        <v>95</v>
      </c>
      <c r="BQ38" s="19" t="s">
        <v>97</v>
      </c>
      <c r="BR38" s="19" t="s">
        <v>95</v>
      </c>
      <c r="BS38" s="19" t="s">
        <v>93</v>
      </c>
      <c r="BT38" s="19" t="s">
        <v>93</v>
      </c>
      <c r="BU38" s="19" t="s">
        <v>98</v>
      </c>
      <c r="BV38" s="19" t="s">
        <v>93</v>
      </c>
      <c r="BW38" s="19" t="s">
        <v>96</v>
      </c>
      <c r="BX38" s="19" t="s">
        <v>94</v>
      </c>
      <c r="BY38" s="19" t="s">
        <v>94</v>
      </c>
      <c r="BZ38" s="19" t="s">
        <v>93</v>
      </c>
      <c r="CA38" s="19" t="s">
        <v>95</v>
      </c>
      <c r="CB38" s="19" t="s">
        <v>93</v>
      </c>
      <c r="CC38" s="19" t="s">
        <v>95</v>
      </c>
      <c r="CD38" s="19" t="s">
        <v>93</v>
      </c>
      <c r="CE38" s="19" t="s">
        <v>94</v>
      </c>
      <c r="CF38" s="19" t="s">
        <v>93</v>
      </c>
    </row>
    <row r="39" spans="2:84"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</row>
    <row r="40" spans="2:84">
      <c r="B40" s="18" t="s">
        <v>65</v>
      </c>
      <c r="AD40" s="18" t="s">
        <v>65</v>
      </c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F40" s="18" t="s">
        <v>65</v>
      </c>
    </row>
    <row r="41" spans="2:84">
      <c r="B41" s="19" t="s">
        <v>66</v>
      </c>
      <c r="C41" s="23">
        <v>0.1681</v>
      </c>
      <c r="D41" s="23">
        <v>0.1636</v>
      </c>
      <c r="E41" s="23">
        <v>0.1578</v>
      </c>
      <c r="F41" s="23">
        <v>0.17349999999999999</v>
      </c>
      <c r="G41" s="23">
        <v>0.14599999999999999</v>
      </c>
      <c r="H41" s="23">
        <v>0.1784</v>
      </c>
      <c r="I41" s="23">
        <v>0.17299999999999999</v>
      </c>
      <c r="J41" s="23">
        <v>0.1691</v>
      </c>
      <c r="K41" s="23">
        <v>0.155</v>
      </c>
      <c r="L41" s="23">
        <v>0.17859999999999998</v>
      </c>
      <c r="M41" s="23">
        <v>0.17519999999999999</v>
      </c>
      <c r="N41" s="23">
        <v>0.1512</v>
      </c>
      <c r="O41" s="23">
        <v>0.1794</v>
      </c>
      <c r="P41" s="23">
        <v>0.1502</v>
      </c>
      <c r="Q41" s="23">
        <v>0.1462</v>
      </c>
      <c r="R41" s="23">
        <v>0.15339999999999998</v>
      </c>
      <c r="S41" s="23">
        <v>0.1555</v>
      </c>
      <c r="T41" s="23">
        <v>0.15439999999999998</v>
      </c>
      <c r="U41" s="23">
        <v>0.15179999999999999</v>
      </c>
      <c r="V41" s="23">
        <v>0.16139999999999999</v>
      </c>
      <c r="W41" s="23">
        <v>0.1734</v>
      </c>
      <c r="X41" s="23">
        <v>0.16449999999999998</v>
      </c>
      <c r="Y41" s="23">
        <v>0.1774</v>
      </c>
      <c r="Z41" s="23">
        <v>0.16569999999999999</v>
      </c>
      <c r="AA41" s="23">
        <v>0.15789999999999998</v>
      </c>
      <c r="AB41" s="23">
        <v>0.158</v>
      </c>
      <c r="AD41" s="19" t="s">
        <v>66</v>
      </c>
      <c r="AE41" s="21">
        <v>6.2617733461555455E-2</v>
      </c>
      <c r="AF41" s="21">
        <v>5.3085063888520037E-2</v>
      </c>
      <c r="AG41" s="21">
        <v>6.1481520904841991E-2</v>
      </c>
      <c r="AH41" s="21">
        <v>5.5563945032906223E-2</v>
      </c>
      <c r="AI41" s="21">
        <v>5.0597434115498288E-2</v>
      </c>
      <c r="AJ41" s="21">
        <v>4.5568741622440095E-2</v>
      </c>
      <c r="AK41" s="21">
        <v>4.0452708087615974E-2</v>
      </c>
      <c r="AL41" s="21">
        <v>3.0222432762544792E-2</v>
      </c>
      <c r="AM41" s="21">
        <v>3.328343634053111E-2</v>
      </c>
      <c r="AN41" s="21">
        <v>8.0467064824435594E-2</v>
      </c>
      <c r="AO41" s="21">
        <v>9.4788106828514962E-2</v>
      </c>
      <c r="AP41" s="21">
        <v>6.4983694032489089E-2</v>
      </c>
      <c r="AQ41" s="21">
        <v>7.248737854440393E-2</v>
      </c>
      <c r="AR41" s="21">
        <v>8.6767836095403422E-2</v>
      </c>
      <c r="AS41" s="21">
        <v>5.5289953103177039E-2</v>
      </c>
      <c r="AT41" s="21">
        <v>5.885305781605956E-2</v>
      </c>
      <c r="AU41" s="21">
        <v>7.3444214322375689E-2</v>
      </c>
      <c r="AV41" s="21">
        <v>6.5879995946733272E-2</v>
      </c>
      <c r="AW41" s="21">
        <v>5.9321426315619583E-2</v>
      </c>
      <c r="AX41" s="21">
        <v>5.3503627011432804E-2</v>
      </c>
      <c r="AY41" s="21">
        <v>6.0819900211126335E-2</v>
      </c>
      <c r="AZ41" s="21">
        <v>7.6740037831248456E-2</v>
      </c>
      <c r="BA41" s="21">
        <v>6.784076291585045E-2</v>
      </c>
      <c r="BB41" s="21">
        <v>6.2784431623214121E-2</v>
      </c>
      <c r="BC41" s="21">
        <v>5.4621460205493279E-2</v>
      </c>
      <c r="BD41" s="21">
        <v>4.8671954599051118E-2</v>
      </c>
      <c r="BF41" s="19" t="s">
        <v>66</v>
      </c>
      <c r="BG41" s="19" t="s">
        <v>95</v>
      </c>
      <c r="BH41" s="19" t="s">
        <v>98</v>
      </c>
      <c r="BI41" s="19" t="s">
        <v>92</v>
      </c>
      <c r="BJ41" s="19" t="s">
        <v>95</v>
      </c>
      <c r="BK41" s="19" t="s">
        <v>95</v>
      </c>
      <c r="BL41" s="19" t="s">
        <v>98</v>
      </c>
      <c r="BM41" s="19" t="s">
        <v>97</v>
      </c>
      <c r="BN41" s="19" t="s">
        <v>97</v>
      </c>
      <c r="BO41" s="19" t="s">
        <v>93</v>
      </c>
      <c r="BP41" s="19" t="s">
        <v>98</v>
      </c>
      <c r="BQ41" s="19" t="s">
        <v>94</v>
      </c>
      <c r="BR41" s="19" t="s">
        <v>96</v>
      </c>
      <c r="BS41" s="19" t="s">
        <v>96</v>
      </c>
      <c r="BT41" s="19" t="s">
        <v>96</v>
      </c>
      <c r="BU41" s="19" t="s">
        <v>92</v>
      </c>
      <c r="BV41" s="19" t="s">
        <v>96</v>
      </c>
      <c r="BW41" s="19" t="s">
        <v>93</v>
      </c>
      <c r="BX41" s="19" t="s">
        <v>92</v>
      </c>
      <c r="BY41" s="19" t="s">
        <v>95</v>
      </c>
      <c r="BZ41" s="19" t="s">
        <v>92</v>
      </c>
      <c r="CA41" s="19" t="s">
        <v>95</v>
      </c>
      <c r="CB41" s="19" t="s">
        <v>98</v>
      </c>
      <c r="CC41" s="19" t="s">
        <v>98</v>
      </c>
      <c r="CD41" s="19" t="s">
        <v>92</v>
      </c>
      <c r="CE41" s="19" t="s">
        <v>94</v>
      </c>
      <c r="CF41" s="19" t="s">
        <v>95</v>
      </c>
    </row>
    <row r="42" spans="2:84">
      <c r="B42" s="19" t="s">
        <v>67</v>
      </c>
      <c r="C42" s="23">
        <v>0.10049999999999999</v>
      </c>
      <c r="D42" s="23">
        <v>9.6999999999999989E-2</v>
      </c>
      <c r="E42" s="23">
        <v>0.10879999999999999</v>
      </c>
      <c r="F42" s="23">
        <v>9.1399999999999995E-2</v>
      </c>
      <c r="G42" s="23">
        <v>9.9399999999999988E-2</v>
      </c>
      <c r="H42" s="23">
        <v>0.11899999999999999</v>
      </c>
      <c r="I42" s="23">
        <v>8.9700000000000002E-2</v>
      </c>
      <c r="J42" s="23">
        <v>9.5500000000000002E-2</v>
      </c>
      <c r="K42" s="23">
        <v>0.11459999999999999</v>
      </c>
      <c r="L42" s="23">
        <v>0.11069999999999999</v>
      </c>
      <c r="M42" s="23">
        <v>9.3699999999999992E-2</v>
      </c>
      <c r="N42" s="23">
        <v>0.106</v>
      </c>
      <c r="O42" s="23">
        <v>0.10349999999999999</v>
      </c>
      <c r="P42" s="23">
        <v>0.11889999999999999</v>
      </c>
      <c r="Q42" s="23">
        <v>0.12029999999999999</v>
      </c>
      <c r="R42" s="23">
        <v>9.3699999999999992E-2</v>
      </c>
      <c r="S42" s="23">
        <v>0.1216</v>
      </c>
      <c r="T42" s="23">
        <v>0.105</v>
      </c>
      <c r="U42" s="23">
        <v>0.11059999999999999</v>
      </c>
      <c r="V42" s="23">
        <v>0.11099999999999999</v>
      </c>
      <c r="W42" s="23">
        <v>9.7799999999999998E-2</v>
      </c>
      <c r="X42" s="23">
        <v>8.8099999999999998E-2</v>
      </c>
      <c r="Y42" s="23">
        <v>9.8899999999999988E-2</v>
      </c>
      <c r="Z42" s="23">
        <v>8.8999999999999996E-2</v>
      </c>
      <c r="AA42" s="23">
        <v>9.4199999999999992E-2</v>
      </c>
      <c r="AB42" s="23">
        <v>0.11849999999999999</v>
      </c>
      <c r="AD42" s="19" t="s">
        <v>67</v>
      </c>
      <c r="AE42" s="21">
        <v>6.7571587564590599E-2</v>
      </c>
      <c r="AF42" s="21">
        <v>5.8038917991555181E-2</v>
      </c>
      <c r="AG42" s="21">
        <v>6.6435375007877134E-2</v>
      </c>
      <c r="AH42" s="21">
        <v>6.0517799135941366E-2</v>
      </c>
      <c r="AI42" s="21">
        <v>5.5551288218533432E-2</v>
      </c>
      <c r="AJ42" s="21">
        <v>5.0522595725475239E-2</v>
      </c>
      <c r="AK42" s="21">
        <v>4.5406562190651117E-2</v>
      </c>
      <c r="AL42" s="21">
        <v>3.5393732461568496E-2</v>
      </c>
      <c r="AM42" s="21">
        <v>3.8454736039554814E-2</v>
      </c>
      <c r="AN42" s="21">
        <v>8.5420918927470738E-2</v>
      </c>
      <c r="AO42" s="21">
        <v>9.9741960931550105E-2</v>
      </c>
      <c r="AP42" s="21">
        <v>6.9937548135524233E-2</v>
      </c>
      <c r="AQ42" s="21">
        <v>7.7441232647439073E-2</v>
      </c>
      <c r="AR42" s="21">
        <v>9.1721690198438566E-2</v>
      </c>
      <c r="AS42" s="21">
        <v>6.0243807206212183E-2</v>
      </c>
      <c r="AT42" s="21">
        <v>6.3806911919094711E-2</v>
      </c>
      <c r="AU42" s="21">
        <v>7.8398068425410833E-2</v>
      </c>
      <c r="AV42" s="21">
        <v>7.0833850049768415E-2</v>
      </c>
      <c r="AW42" s="21">
        <v>6.4275280418654726E-2</v>
      </c>
      <c r="AX42" s="21">
        <v>5.8457481114467948E-2</v>
      </c>
      <c r="AY42" s="21">
        <v>6.5773754314161478E-2</v>
      </c>
      <c r="AZ42" s="21">
        <v>8.16938919342836E-2</v>
      </c>
      <c r="BA42" s="21">
        <v>7.2794617018885593E-2</v>
      </c>
      <c r="BB42" s="21">
        <v>6.7738285726249264E-2</v>
      </c>
      <c r="BC42" s="21">
        <v>5.9575314308528422E-2</v>
      </c>
      <c r="BD42" s="21">
        <v>5.3625808702086261E-2</v>
      </c>
      <c r="BF42" s="19" t="s">
        <v>67</v>
      </c>
      <c r="BG42" s="19" t="s">
        <v>96</v>
      </c>
      <c r="BH42" s="19" t="s">
        <v>95</v>
      </c>
      <c r="BI42" s="19" t="s">
        <v>94</v>
      </c>
      <c r="BJ42" s="19" t="s">
        <v>93</v>
      </c>
      <c r="BK42" s="19" t="s">
        <v>92</v>
      </c>
      <c r="BL42" s="19" t="s">
        <v>93</v>
      </c>
      <c r="BM42" s="19" t="s">
        <v>96</v>
      </c>
      <c r="BN42" s="19" t="s">
        <v>98</v>
      </c>
      <c r="BO42" s="19" t="s">
        <v>97</v>
      </c>
      <c r="BP42" s="19" t="s">
        <v>98</v>
      </c>
      <c r="BQ42" s="19" t="s">
        <v>95</v>
      </c>
      <c r="BR42" s="19" t="s">
        <v>95</v>
      </c>
      <c r="BS42" s="19" t="s">
        <v>98</v>
      </c>
      <c r="BT42" s="19" t="s">
        <v>94</v>
      </c>
      <c r="BU42" s="19" t="s">
        <v>97</v>
      </c>
      <c r="BV42" s="19" t="s">
        <v>98</v>
      </c>
      <c r="BW42" s="19" t="s">
        <v>93</v>
      </c>
      <c r="BX42" s="19" t="s">
        <v>95</v>
      </c>
      <c r="BY42" s="19" t="s">
        <v>92</v>
      </c>
      <c r="BZ42" s="19" t="s">
        <v>94</v>
      </c>
      <c r="CA42" s="19" t="s">
        <v>92</v>
      </c>
      <c r="CB42" s="19" t="s">
        <v>93</v>
      </c>
      <c r="CC42" s="19" t="s">
        <v>97</v>
      </c>
      <c r="CD42" s="19" t="s">
        <v>97</v>
      </c>
      <c r="CE42" s="19" t="s">
        <v>94</v>
      </c>
      <c r="CF42" s="19" t="s">
        <v>93</v>
      </c>
    </row>
    <row r="43" spans="2:84">
      <c r="B43" s="19" t="s">
        <v>68</v>
      </c>
      <c r="C43" s="23">
        <v>4.8000000000000001E-2</v>
      </c>
      <c r="D43" s="23">
        <v>3.7099999999999994E-2</v>
      </c>
      <c r="E43" s="23">
        <v>4.0800000000000003E-2</v>
      </c>
      <c r="F43" s="23">
        <v>3.8699999999999998E-2</v>
      </c>
      <c r="G43" s="23">
        <v>4.2699999999999995E-2</v>
      </c>
      <c r="H43" s="23">
        <v>4.6699999999999992E-2</v>
      </c>
      <c r="I43" s="23">
        <v>3.8199999999999984E-2</v>
      </c>
      <c r="J43" s="23">
        <v>4.1299999999999996E-2</v>
      </c>
      <c r="K43" s="23">
        <v>4.0099999999999997E-2</v>
      </c>
      <c r="L43" s="23">
        <v>3.6100000000000007E-2</v>
      </c>
      <c r="M43" s="23">
        <v>4.3800000000000006E-2</v>
      </c>
      <c r="N43" s="23">
        <v>4.7399999999999984E-2</v>
      </c>
      <c r="O43" s="23">
        <v>4.5499999999999999E-2</v>
      </c>
      <c r="P43" s="23">
        <v>4.5699999999999998E-2</v>
      </c>
      <c r="Q43" s="23">
        <v>4.6700000000000012E-2</v>
      </c>
      <c r="R43" s="23">
        <v>3.8700000000000005E-2</v>
      </c>
      <c r="S43" s="23">
        <v>4.2100000000000005E-2</v>
      </c>
      <c r="T43" s="23">
        <v>4.6199999999999984E-2</v>
      </c>
      <c r="U43" s="23">
        <v>4.1299999999999996E-2</v>
      </c>
      <c r="V43" s="23">
        <v>3.709999999999998E-2</v>
      </c>
      <c r="W43" s="23">
        <v>4.6099999999999988E-2</v>
      </c>
      <c r="X43" s="23">
        <v>4.7E-2</v>
      </c>
      <c r="Y43" s="23">
        <v>4.1599999999999984E-2</v>
      </c>
      <c r="Z43" s="23">
        <v>3.6600000000000001E-2</v>
      </c>
      <c r="AA43" s="23">
        <v>4.300000000000001E-2</v>
      </c>
      <c r="AB43" s="23">
        <v>3.8400000000000004E-2</v>
      </c>
      <c r="AD43" s="19" t="s">
        <v>68</v>
      </c>
      <c r="AE43" s="21">
        <v>7.3617733461555465E-2</v>
      </c>
      <c r="AF43" s="21">
        <v>6.4085063888520047E-2</v>
      </c>
      <c r="AG43" s="21">
        <v>7.2481520904842001E-2</v>
      </c>
      <c r="AH43" s="21">
        <v>6.6563945032906233E-2</v>
      </c>
      <c r="AI43" s="21">
        <v>6.1597434115498298E-2</v>
      </c>
      <c r="AJ43" s="21">
        <v>5.6568741622440105E-2</v>
      </c>
      <c r="AK43" s="21">
        <v>5.1452708087615984E-2</v>
      </c>
      <c r="AL43" s="21">
        <v>3.8921251480977172E-2</v>
      </c>
      <c r="AM43" s="21">
        <v>4.198225505896349E-2</v>
      </c>
      <c r="AN43" s="21">
        <v>9.1467064824435604E-2</v>
      </c>
      <c r="AO43" s="21">
        <v>0.10578810682851497</v>
      </c>
      <c r="AP43" s="21">
        <v>7.5983694032489099E-2</v>
      </c>
      <c r="AQ43" s="21">
        <v>8.348737854440394E-2</v>
      </c>
      <c r="AR43" s="21">
        <v>9.7767836095403432E-2</v>
      </c>
      <c r="AS43" s="21">
        <v>6.6289953103177049E-2</v>
      </c>
      <c r="AT43" s="21">
        <v>6.9853057816059577E-2</v>
      </c>
      <c r="AU43" s="21">
        <v>8.4444214322375699E-2</v>
      </c>
      <c r="AV43" s="21">
        <v>7.6879995946733282E-2</v>
      </c>
      <c r="AW43" s="21">
        <v>7.0321426315619592E-2</v>
      </c>
      <c r="AX43" s="21">
        <v>6.4503627011432807E-2</v>
      </c>
      <c r="AY43" s="21">
        <v>7.1819900211126345E-2</v>
      </c>
      <c r="AZ43" s="21">
        <v>8.7740037831248466E-2</v>
      </c>
      <c r="BA43" s="21">
        <v>7.884076291585046E-2</v>
      </c>
      <c r="BB43" s="21">
        <v>7.3784431623214131E-2</v>
      </c>
      <c r="BC43" s="21">
        <v>6.5621460205493282E-2</v>
      </c>
      <c r="BD43" s="21">
        <v>5.9671954599051127E-2</v>
      </c>
      <c r="BF43" s="19" t="s">
        <v>68</v>
      </c>
      <c r="BG43" s="19" t="s">
        <v>94</v>
      </c>
      <c r="BH43" s="19" t="s">
        <v>94</v>
      </c>
      <c r="BI43" s="19" t="s">
        <v>92</v>
      </c>
      <c r="BJ43" s="19" t="s">
        <v>92</v>
      </c>
      <c r="BK43" s="19" t="s">
        <v>94</v>
      </c>
      <c r="BL43" s="19" t="s">
        <v>93</v>
      </c>
      <c r="BM43" s="19" t="s">
        <v>95</v>
      </c>
      <c r="BN43" s="19" t="s">
        <v>95</v>
      </c>
      <c r="BO43" s="19" t="s">
        <v>92</v>
      </c>
      <c r="BP43" s="19" t="s">
        <v>92</v>
      </c>
      <c r="BQ43" s="19" t="s">
        <v>96</v>
      </c>
      <c r="BR43" s="19" t="s">
        <v>93</v>
      </c>
      <c r="BS43" s="19" t="s">
        <v>93</v>
      </c>
      <c r="BT43" s="19" t="s">
        <v>92</v>
      </c>
      <c r="BU43" s="19" t="s">
        <v>96</v>
      </c>
      <c r="BV43" s="19" t="s">
        <v>97</v>
      </c>
      <c r="BW43" s="19" t="s">
        <v>93</v>
      </c>
      <c r="BX43" s="19" t="s">
        <v>93</v>
      </c>
      <c r="BY43" s="19" t="s">
        <v>96</v>
      </c>
      <c r="BZ43" s="19" t="s">
        <v>95</v>
      </c>
      <c r="CA43" s="19" t="s">
        <v>94</v>
      </c>
      <c r="CB43" s="19" t="s">
        <v>93</v>
      </c>
      <c r="CC43" s="19" t="s">
        <v>96</v>
      </c>
      <c r="CD43" s="19" t="s">
        <v>98</v>
      </c>
      <c r="CE43" s="19" t="s">
        <v>92</v>
      </c>
      <c r="CF43" s="19" t="s">
        <v>93</v>
      </c>
    </row>
    <row r="44" spans="2:84">
      <c r="B44" s="19" t="s">
        <v>69</v>
      </c>
      <c r="C44" s="23">
        <f>1-SUM(C41:C43,C45:C48)</f>
        <v>0.2652000000000001</v>
      </c>
      <c r="D44" s="23">
        <f t="shared" ref="D44:AB44" si="28">1-SUM(D41:D43,D45:D48)</f>
        <v>0.29140000000000021</v>
      </c>
      <c r="E44" s="23">
        <f t="shared" si="28"/>
        <v>0.26539999999999997</v>
      </c>
      <c r="F44" s="23">
        <f t="shared" si="28"/>
        <v>0.23350000000000015</v>
      </c>
      <c r="G44" s="23">
        <f t="shared" si="28"/>
        <v>0.3054</v>
      </c>
      <c r="H44" s="23">
        <f t="shared" si="28"/>
        <v>0.21880000000000011</v>
      </c>
      <c r="I44" s="23">
        <f t="shared" si="28"/>
        <v>0.24800000000000022</v>
      </c>
      <c r="J44" s="23">
        <f t="shared" si="28"/>
        <v>0.27390000000000003</v>
      </c>
      <c r="K44" s="23">
        <f t="shared" si="28"/>
        <v>0.27610000000000001</v>
      </c>
      <c r="L44" s="23">
        <f t="shared" si="28"/>
        <v>0.23590000000000011</v>
      </c>
      <c r="M44" s="23">
        <f t="shared" si="28"/>
        <v>0.26530000000000009</v>
      </c>
      <c r="N44" s="23">
        <f t="shared" si="28"/>
        <v>0.2651</v>
      </c>
      <c r="O44" s="23">
        <f t="shared" si="28"/>
        <v>0.23270000000000013</v>
      </c>
      <c r="P44" s="23">
        <f t="shared" si="28"/>
        <v>0.21880000000000011</v>
      </c>
      <c r="Q44" s="23">
        <f t="shared" si="28"/>
        <v>0.26270000000000016</v>
      </c>
      <c r="R44" s="23">
        <f t="shared" si="28"/>
        <v>0.30690000000000006</v>
      </c>
      <c r="S44" s="23">
        <f t="shared" si="28"/>
        <v>0.25250000000000006</v>
      </c>
      <c r="T44" s="23">
        <f t="shared" si="28"/>
        <v>0.27390000000000014</v>
      </c>
      <c r="U44" s="23">
        <f t="shared" si="28"/>
        <v>0.2451000000000001</v>
      </c>
      <c r="V44" s="23">
        <f t="shared" si="28"/>
        <v>0.25250000000000006</v>
      </c>
      <c r="W44" s="23">
        <f t="shared" si="28"/>
        <v>0.22980000000000012</v>
      </c>
      <c r="X44" s="23">
        <f t="shared" si="28"/>
        <v>0.30690000000000017</v>
      </c>
      <c r="Y44" s="23">
        <f t="shared" si="28"/>
        <v>0.27790000000000015</v>
      </c>
      <c r="Z44" s="23">
        <f t="shared" si="28"/>
        <v>0.27300000000000002</v>
      </c>
      <c r="AA44" s="23">
        <f t="shared" si="28"/>
        <v>0.27860000000000007</v>
      </c>
      <c r="AB44" s="23">
        <f t="shared" si="28"/>
        <v>0.27540000000000009</v>
      </c>
      <c r="AD44" s="19" t="s">
        <v>69</v>
      </c>
      <c r="AE44" s="21">
        <v>5.6608606093173877E-2</v>
      </c>
      <c r="AF44" s="21">
        <v>4.7075936520138459E-2</v>
      </c>
      <c r="AG44" s="21">
        <v>5.5472393536460413E-2</v>
      </c>
      <c r="AH44" s="21">
        <v>4.9554817664524645E-2</v>
      </c>
      <c r="AI44" s="21">
        <v>4.458830674711671E-2</v>
      </c>
      <c r="AJ44" s="21">
        <v>3.9559614254058517E-2</v>
      </c>
      <c r="AK44" s="21">
        <v>3.4443580719234396E-2</v>
      </c>
      <c r="AL44" s="21">
        <v>2.6569746781743793E-2</v>
      </c>
      <c r="AM44" s="21">
        <v>2.9630750359730111E-2</v>
      </c>
      <c r="AN44" s="21">
        <v>7.4457937456054016E-2</v>
      </c>
      <c r="AO44" s="21">
        <v>8.8778979460133384E-2</v>
      </c>
      <c r="AP44" s="21">
        <v>5.8974566664107511E-2</v>
      </c>
      <c r="AQ44" s="21">
        <v>6.6478251176022352E-2</v>
      </c>
      <c r="AR44" s="21">
        <v>8.0758708727021844E-2</v>
      </c>
      <c r="AS44" s="21">
        <v>4.9280825734795461E-2</v>
      </c>
      <c r="AT44" s="21">
        <v>5.2843930447677982E-2</v>
      </c>
      <c r="AU44" s="21">
        <v>6.7435086953994111E-2</v>
      </c>
      <c r="AV44" s="21">
        <v>5.9870868578351687E-2</v>
      </c>
      <c r="AW44" s="21">
        <v>5.3312298947238004E-2</v>
      </c>
      <c r="AX44" s="21">
        <v>4.7494499643051226E-2</v>
      </c>
      <c r="AY44" s="21">
        <v>5.4810772842744757E-2</v>
      </c>
      <c r="AZ44" s="21">
        <v>7.0730910462866878E-2</v>
      </c>
      <c r="BA44" s="21">
        <v>6.1831635547468872E-2</v>
      </c>
      <c r="BB44" s="21">
        <v>5.6775304254832543E-2</v>
      </c>
      <c r="BC44" s="21">
        <v>4.8612332837111701E-2</v>
      </c>
      <c r="BD44" s="21">
        <v>4.2662827230669539E-2</v>
      </c>
      <c r="BF44" s="19" t="s">
        <v>69</v>
      </c>
      <c r="BG44" s="19" t="s">
        <v>93</v>
      </c>
      <c r="BH44" s="19" t="s">
        <v>96</v>
      </c>
      <c r="BI44" s="19" t="s">
        <v>96</v>
      </c>
      <c r="BJ44" s="19" t="s">
        <v>92</v>
      </c>
      <c r="BK44" s="19" t="s">
        <v>94</v>
      </c>
      <c r="BL44" s="19" t="s">
        <v>95</v>
      </c>
      <c r="BM44" s="19" t="s">
        <v>94</v>
      </c>
      <c r="BN44" s="19" t="s">
        <v>96</v>
      </c>
      <c r="BO44" s="19" t="s">
        <v>94</v>
      </c>
      <c r="BP44" s="19" t="s">
        <v>92</v>
      </c>
      <c r="BQ44" s="19" t="s">
        <v>95</v>
      </c>
      <c r="BR44" s="19" t="s">
        <v>98</v>
      </c>
      <c r="BS44" s="19" t="s">
        <v>93</v>
      </c>
      <c r="BT44" s="19" t="s">
        <v>95</v>
      </c>
      <c r="BU44" s="19" t="s">
        <v>97</v>
      </c>
      <c r="BV44" s="19" t="s">
        <v>97</v>
      </c>
      <c r="BW44" s="19" t="s">
        <v>92</v>
      </c>
      <c r="BX44" s="19" t="s">
        <v>92</v>
      </c>
      <c r="BY44" s="19" t="s">
        <v>94</v>
      </c>
      <c r="BZ44" s="19" t="s">
        <v>95</v>
      </c>
      <c r="CA44" s="19" t="s">
        <v>98</v>
      </c>
      <c r="CB44" s="19" t="s">
        <v>93</v>
      </c>
      <c r="CC44" s="19" t="s">
        <v>95</v>
      </c>
      <c r="CD44" s="19" t="s">
        <v>94</v>
      </c>
      <c r="CE44" s="19" t="s">
        <v>96</v>
      </c>
      <c r="CF44" s="19" t="s">
        <v>98</v>
      </c>
    </row>
    <row r="45" spans="2:84">
      <c r="B45" s="19" t="s">
        <v>70</v>
      </c>
      <c r="C45" s="23">
        <v>0.1694</v>
      </c>
      <c r="D45" s="23">
        <v>0.1673</v>
      </c>
      <c r="E45" s="23">
        <v>0.19259999999999999</v>
      </c>
      <c r="F45" s="23">
        <v>0.1875</v>
      </c>
      <c r="G45" s="23">
        <v>0.1704</v>
      </c>
      <c r="H45" s="23">
        <v>0.1666</v>
      </c>
      <c r="I45" s="23">
        <v>0.19519999999999998</v>
      </c>
      <c r="J45" s="23">
        <v>0.1772</v>
      </c>
      <c r="K45" s="23">
        <v>0.1802</v>
      </c>
      <c r="L45" s="23">
        <v>0.19599999999999998</v>
      </c>
      <c r="M45" s="23">
        <v>0.1915</v>
      </c>
      <c r="N45" s="23">
        <v>0.1923</v>
      </c>
      <c r="O45" s="23">
        <v>0.1968</v>
      </c>
      <c r="P45" s="23">
        <v>0.19929999999999998</v>
      </c>
      <c r="Q45" s="23">
        <v>0.18919999999999998</v>
      </c>
      <c r="R45" s="23">
        <v>0.17849999999999999</v>
      </c>
      <c r="S45" s="23">
        <v>0.1777</v>
      </c>
      <c r="T45" s="23">
        <v>0.1913</v>
      </c>
      <c r="U45" s="23">
        <v>0.18029999999999999</v>
      </c>
      <c r="V45" s="23">
        <v>0.1918</v>
      </c>
      <c r="W45" s="23">
        <v>0.19849999999999998</v>
      </c>
      <c r="X45" s="23">
        <v>0.1706</v>
      </c>
      <c r="Y45" s="23">
        <v>0.17449999999999999</v>
      </c>
      <c r="Z45" s="23">
        <v>0.18819999999999998</v>
      </c>
      <c r="AA45" s="23">
        <v>0.17989999999999998</v>
      </c>
      <c r="AB45" s="23">
        <v>0.17409999999999998</v>
      </c>
      <c r="AD45" s="19" t="s">
        <v>70</v>
      </c>
      <c r="AE45" s="21">
        <v>5.1617733461555466E-2</v>
      </c>
      <c r="AF45" s="21">
        <v>4.2085063888520048E-2</v>
      </c>
      <c r="AG45" s="21">
        <v>5.0481520904842002E-2</v>
      </c>
      <c r="AH45" s="21">
        <v>4.4563945032906234E-2</v>
      </c>
      <c r="AI45" s="21">
        <v>3.9597434115498299E-2</v>
      </c>
      <c r="AJ45" s="21">
        <v>3.4568741622440106E-2</v>
      </c>
      <c r="AK45" s="21">
        <v>2.9452708087615985E-2</v>
      </c>
      <c r="AL45" s="21">
        <v>2.1612757303630565E-2</v>
      </c>
      <c r="AM45" s="21">
        <v>2.4673760881616883E-2</v>
      </c>
      <c r="AN45" s="21">
        <v>6.9467064824435598E-2</v>
      </c>
      <c r="AO45" s="21">
        <v>8.378810682851498E-2</v>
      </c>
      <c r="AP45" s="21">
        <v>5.39836940324891E-2</v>
      </c>
      <c r="AQ45" s="21">
        <v>6.1487378544403948E-2</v>
      </c>
      <c r="AR45" s="21">
        <v>7.576783609540344E-2</v>
      </c>
      <c r="AS45" s="21">
        <v>4.428995310317705E-2</v>
      </c>
      <c r="AT45" s="21">
        <v>4.7853057816059572E-2</v>
      </c>
      <c r="AU45" s="21">
        <v>6.24442143223757E-2</v>
      </c>
      <c r="AV45" s="21">
        <v>5.4879995946733276E-2</v>
      </c>
      <c r="AW45" s="21">
        <v>4.8321426315619594E-2</v>
      </c>
      <c r="AX45" s="21">
        <v>4.2503627011432815E-2</v>
      </c>
      <c r="AY45" s="21">
        <v>4.9819900211126346E-2</v>
      </c>
      <c r="AZ45" s="21">
        <v>6.574003783124846E-2</v>
      </c>
      <c r="BA45" s="21">
        <v>5.6840762915850461E-2</v>
      </c>
      <c r="BB45" s="21">
        <v>5.1784431623214132E-2</v>
      </c>
      <c r="BC45" s="21">
        <v>4.362146020549329E-2</v>
      </c>
      <c r="BD45" s="21">
        <v>3.7671954599051129E-2</v>
      </c>
      <c r="BF45" s="19" t="s">
        <v>70</v>
      </c>
      <c r="BG45" s="19" t="s">
        <v>96</v>
      </c>
      <c r="BH45" s="19" t="s">
        <v>93</v>
      </c>
      <c r="BI45" s="19" t="s">
        <v>98</v>
      </c>
      <c r="BJ45" s="19" t="s">
        <v>98</v>
      </c>
      <c r="BK45" s="19" t="s">
        <v>92</v>
      </c>
      <c r="BL45" s="19" t="s">
        <v>94</v>
      </c>
      <c r="BM45" s="19" t="s">
        <v>96</v>
      </c>
      <c r="BN45" s="19" t="s">
        <v>96</v>
      </c>
      <c r="BO45" s="19" t="s">
        <v>98</v>
      </c>
      <c r="BP45" s="19" t="s">
        <v>96</v>
      </c>
      <c r="BQ45" s="19" t="s">
        <v>96</v>
      </c>
      <c r="BR45" s="19" t="s">
        <v>97</v>
      </c>
      <c r="BS45" s="19" t="s">
        <v>94</v>
      </c>
      <c r="BT45" s="19" t="s">
        <v>98</v>
      </c>
      <c r="BU45" s="19" t="s">
        <v>94</v>
      </c>
      <c r="BV45" s="19" t="s">
        <v>97</v>
      </c>
      <c r="BW45" s="19" t="s">
        <v>92</v>
      </c>
      <c r="BX45" s="19" t="s">
        <v>95</v>
      </c>
      <c r="BY45" s="19" t="s">
        <v>92</v>
      </c>
      <c r="BZ45" s="19" t="s">
        <v>98</v>
      </c>
      <c r="CA45" s="19" t="s">
        <v>98</v>
      </c>
      <c r="CB45" s="19" t="s">
        <v>92</v>
      </c>
      <c r="CC45" s="19" t="s">
        <v>97</v>
      </c>
      <c r="CD45" s="19" t="s">
        <v>93</v>
      </c>
      <c r="CE45" s="19" t="s">
        <v>92</v>
      </c>
      <c r="CF45" s="19" t="s">
        <v>93</v>
      </c>
    </row>
    <row r="46" spans="2:84">
      <c r="B46" s="19" t="s">
        <v>71</v>
      </c>
      <c r="C46" s="23">
        <v>7.8399999999999997E-2</v>
      </c>
      <c r="D46" s="23">
        <v>7.1999999999999995E-2</v>
      </c>
      <c r="E46" s="23">
        <v>6.720000000000001E-2</v>
      </c>
      <c r="F46" s="23">
        <v>0.08</v>
      </c>
      <c r="G46" s="23">
        <v>6.8600000000000008E-2</v>
      </c>
      <c r="H46" s="23">
        <v>7.6100000000000015E-2</v>
      </c>
      <c r="I46" s="23">
        <v>7.9600000000000004E-2</v>
      </c>
      <c r="J46" s="23">
        <v>6.6200000000000009E-2</v>
      </c>
      <c r="K46" s="23">
        <v>7.4300000000000005E-2</v>
      </c>
      <c r="L46" s="23">
        <v>7.9700000000000007E-2</v>
      </c>
      <c r="M46" s="23">
        <v>6.54E-2</v>
      </c>
      <c r="N46" s="23">
        <v>7.0400000000000004E-2</v>
      </c>
      <c r="O46" s="23">
        <v>7.5300000000000006E-2</v>
      </c>
      <c r="P46" s="23">
        <v>7.9799999999999982E-2</v>
      </c>
      <c r="Q46" s="23">
        <v>6.7900000000000002E-2</v>
      </c>
      <c r="R46" s="23">
        <v>7.0400000000000004E-2</v>
      </c>
      <c r="S46" s="23">
        <v>6.5799999999999997E-2</v>
      </c>
      <c r="T46" s="23">
        <v>6.7400000000000002E-2</v>
      </c>
      <c r="U46" s="23">
        <v>7.8699999999999992E-2</v>
      </c>
      <c r="V46" s="23">
        <v>6.6500000000000004E-2</v>
      </c>
      <c r="W46" s="23">
        <v>7.7300000000000008E-2</v>
      </c>
      <c r="X46" s="23">
        <v>6.7300000000000013E-2</v>
      </c>
      <c r="Y46" s="23">
        <v>7.2999999999999995E-2</v>
      </c>
      <c r="Z46" s="23">
        <v>6.9800000000000001E-2</v>
      </c>
      <c r="AA46" s="23">
        <v>6.8200000000000011E-2</v>
      </c>
      <c r="AB46" s="23">
        <v>7.4899999999999994E-2</v>
      </c>
      <c r="AD46" s="19" t="s">
        <v>71</v>
      </c>
      <c r="AE46" s="21">
        <v>7.9596517369355482E-2</v>
      </c>
      <c r="AF46" s="21">
        <v>7.0063847796320064E-2</v>
      </c>
      <c r="AG46" s="21">
        <v>7.8460304812642018E-2</v>
      </c>
      <c r="AH46" s="21">
        <v>7.254272894070625E-2</v>
      </c>
      <c r="AI46" s="21">
        <v>6.7576218023298315E-2</v>
      </c>
      <c r="AJ46" s="21">
        <v>6.2547525530240122E-2</v>
      </c>
      <c r="AK46" s="21">
        <v>5.7431491995416001E-2</v>
      </c>
      <c r="AL46" s="21">
        <v>4.315935962029422E-2</v>
      </c>
      <c r="AM46" s="21">
        <v>4.6220363198280538E-2</v>
      </c>
      <c r="AN46" s="21">
        <v>9.7445848732235621E-2</v>
      </c>
      <c r="AO46" s="21">
        <v>0.11176689073631499</v>
      </c>
      <c r="AP46" s="21">
        <v>8.1962477940289116E-2</v>
      </c>
      <c r="AQ46" s="21">
        <v>8.9466162452203957E-2</v>
      </c>
      <c r="AR46" s="21">
        <v>0.10374662000320345</v>
      </c>
      <c r="AS46" s="21">
        <v>7.2268737010977066E-2</v>
      </c>
      <c r="AT46" s="21">
        <v>7.5831841723859594E-2</v>
      </c>
      <c r="AU46" s="21">
        <v>9.0422998230175716E-2</v>
      </c>
      <c r="AV46" s="21">
        <v>8.2858779854533299E-2</v>
      </c>
      <c r="AW46" s="21">
        <v>7.6300210223419609E-2</v>
      </c>
      <c r="AX46" s="21">
        <v>7.0482410919232824E-2</v>
      </c>
      <c r="AY46" s="21">
        <v>7.7798684118926362E-2</v>
      </c>
      <c r="AZ46" s="21">
        <v>9.3718821739048483E-2</v>
      </c>
      <c r="BA46" s="21">
        <v>8.4819546823650477E-2</v>
      </c>
      <c r="BB46" s="21">
        <v>7.9763215531014148E-2</v>
      </c>
      <c r="BC46" s="21">
        <v>7.1600244113293299E-2</v>
      </c>
      <c r="BD46" s="21">
        <v>6.5650738506851145E-2</v>
      </c>
      <c r="BF46" s="19" t="s">
        <v>71</v>
      </c>
      <c r="BG46" s="19" t="s">
        <v>92</v>
      </c>
      <c r="BH46" s="19" t="s">
        <v>97</v>
      </c>
      <c r="BI46" s="19" t="s">
        <v>98</v>
      </c>
      <c r="BJ46" s="19" t="s">
        <v>98</v>
      </c>
      <c r="BK46" s="19" t="s">
        <v>95</v>
      </c>
      <c r="BL46" s="19" t="s">
        <v>92</v>
      </c>
      <c r="BM46" s="19" t="s">
        <v>94</v>
      </c>
      <c r="BN46" s="19" t="s">
        <v>93</v>
      </c>
      <c r="BO46" s="19" t="s">
        <v>95</v>
      </c>
      <c r="BP46" s="19" t="s">
        <v>98</v>
      </c>
      <c r="BQ46" s="19" t="s">
        <v>96</v>
      </c>
      <c r="BR46" s="19" t="s">
        <v>96</v>
      </c>
      <c r="BS46" s="19" t="s">
        <v>97</v>
      </c>
      <c r="BT46" s="19" t="s">
        <v>95</v>
      </c>
      <c r="BU46" s="19" t="s">
        <v>97</v>
      </c>
      <c r="BV46" s="19" t="s">
        <v>95</v>
      </c>
      <c r="BW46" s="19" t="s">
        <v>93</v>
      </c>
      <c r="BX46" s="19" t="s">
        <v>94</v>
      </c>
      <c r="BY46" s="19" t="s">
        <v>95</v>
      </c>
      <c r="BZ46" s="19" t="s">
        <v>96</v>
      </c>
      <c r="CA46" s="19" t="s">
        <v>94</v>
      </c>
      <c r="CB46" s="19" t="s">
        <v>94</v>
      </c>
      <c r="CC46" s="19" t="s">
        <v>96</v>
      </c>
      <c r="CD46" s="19" t="s">
        <v>92</v>
      </c>
      <c r="CE46" s="19" t="s">
        <v>98</v>
      </c>
      <c r="CF46" s="19" t="s">
        <v>94</v>
      </c>
    </row>
    <row r="47" spans="2:84">
      <c r="B47" s="19" t="s">
        <v>72</v>
      </c>
      <c r="C47" s="23">
        <v>6.0899999999999996E-2</v>
      </c>
      <c r="D47" s="23">
        <v>4.87E-2</v>
      </c>
      <c r="E47" s="23">
        <v>5.4200000000000005E-2</v>
      </c>
      <c r="F47" s="23">
        <v>6.1900000000000004E-2</v>
      </c>
      <c r="G47" s="23">
        <v>4.9900000000000007E-2</v>
      </c>
      <c r="H47" s="23">
        <v>6.0899999999999996E-2</v>
      </c>
      <c r="I47" s="23">
        <v>4.8600000000000004E-2</v>
      </c>
      <c r="J47" s="23">
        <v>5.1600000000000007E-2</v>
      </c>
      <c r="K47" s="23">
        <v>4.8600000000000011E-2</v>
      </c>
      <c r="L47" s="23">
        <v>5.6900000000000006E-2</v>
      </c>
      <c r="M47" s="23">
        <v>4.8200000000000007E-2</v>
      </c>
      <c r="N47" s="23">
        <v>6.0499999999999998E-2</v>
      </c>
      <c r="O47" s="23">
        <v>5.1899999999999988E-2</v>
      </c>
      <c r="P47" s="23">
        <v>6.0599999999999987E-2</v>
      </c>
      <c r="Q47" s="23">
        <v>5.2300000000000013E-2</v>
      </c>
      <c r="R47" s="23">
        <v>4.9000000000000009E-2</v>
      </c>
      <c r="S47" s="23">
        <v>5.7200000000000001E-2</v>
      </c>
      <c r="T47" s="23">
        <v>5.0200000000000002E-2</v>
      </c>
      <c r="U47" s="23">
        <v>6.0499999999999998E-2</v>
      </c>
      <c r="V47" s="23">
        <v>0.05</v>
      </c>
      <c r="W47" s="23">
        <v>6.019999999999999E-2</v>
      </c>
      <c r="X47" s="23">
        <v>5.4599999999999982E-2</v>
      </c>
      <c r="Y47" s="23">
        <v>5.2000000000000005E-2</v>
      </c>
      <c r="Z47" s="23">
        <v>5.1000000000000004E-2</v>
      </c>
      <c r="AA47" s="23">
        <v>5.6899999999999992E-2</v>
      </c>
      <c r="AB47" s="23">
        <v>5.220000000000001E-2</v>
      </c>
      <c r="AD47" s="19" t="s">
        <v>72</v>
      </c>
      <c r="AE47" s="21">
        <v>4.5638861030635698E-2</v>
      </c>
      <c r="AF47" s="21">
        <v>3.610619145760028E-2</v>
      </c>
      <c r="AG47" s="21">
        <v>4.4502648473922234E-2</v>
      </c>
      <c r="AH47" s="21">
        <v>3.8585072601986466E-2</v>
      </c>
      <c r="AI47" s="21">
        <v>3.3618561684578531E-2</v>
      </c>
      <c r="AJ47" s="21">
        <v>2.8589869191520338E-2</v>
      </c>
      <c r="AK47" s="21">
        <v>2.3473835656696217E-2</v>
      </c>
      <c r="AL47" s="21">
        <v>1.7784858128440009E-2</v>
      </c>
      <c r="AM47" s="21">
        <v>2.0845861706426327E-2</v>
      </c>
      <c r="AN47" s="21">
        <v>6.348819239351583E-2</v>
      </c>
      <c r="AO47" s="21">
        <v>7.7809234397595212E-2</v>
      </c>
      <c r="AP47" s="21">
        <v>4.8004821601569332E-2</v>
      </c>
      <c r="AQ47" s="21">
        <v>5.550850611348418E-2</v>
      </c>
      <c r="AR47" s="21">
        <v>6.9788963664483672E-2</v>
      </c>
      <c r="AS47" s="21">
        <v>3.8311080672257282E-2</v>
      </c>
      <c r="AT47" s="21">
        <v>4.1874185385139803E-2</v>
      </c>
      <c r="AU47" s="21">
        <v>5.6465341891455932E-2</v>
      </c>
      <c r="AV47" s="21">
        <v>4.8901123515813508E-2</v>
      </c>
      <c r="AW47" s="21">
        <v>4.2342553884699825E-2</v>
      </c>
      <c r="AX47" s="21">
        <v>3.6524754580513047E-2</v>
      </c>
      <c r="AY47" s="21">
        <v>4.3841027780206578E-2</v>
      </c>
      <c r="AZ47" s="21">
        <v>5.9761165400328699E-2</v>
      </c>
      <c r="BA47" s="21">
        <v>5.0861890484930693E-2</v>
      </c>
      <c r="BB47" s="21">
        <v>4.5805559192294364E-2</v>
      </c>
      <c r="BC47" s="21">
        <v>3.7642587774573522E-2</v>
      </c>
      <c r="BD47" s="21">
        <v>3.169308216813136E-2</v>
      </c>
      <c r="BF47" s="19" t="s">
        <v>72</v>
      </c>
      <c r="BG47" s="19" t="s">
        <v>97</v>
      </c>
      <c r="BH47" s="19" t="s">
        <v>93</v>
      </c>
      <c r="BI47" s="19" t="s">
        <v>92</v>
      </c>
      <c r="BJ47" s="19" t="s">
        <v>92</v>
      </c>
      <c r="BK47" s="19" t="s">
        <v>96</v>
      </c>
      <c r="BL47" s="19" t="s">
        <v>97</v>
      </c>
      <c r="BM47" s="19" t="s">
        <v>94</v>
      </c>
      <c r="BN47" s="19" t="s">
        <v>96</v>
      </c>
      <c r="BO47" s="19" t="s">
        <v>94</v>
      </c>
      <c r="BP47" s="19" t="s">
        <v>94</v>
      </c>
      <c r="BQ47" s="19" t="s">
        <v>94</v>
      </c>
      <c r="BR47" s="19" t="s">
        <v>95</v>
      </c>
      <c r="BS47" s="19" t="s">
        <v>98</v>
      </c>
      <c r="BT47" s="19" t="s">
        <v>92</v>
      </c>
      <c r="BU47" s="19" t="s">
        <v>96</v>
      </c>
      <c r="BV47" s="19" t="s">
        <v>97</v>
      </c>
      <c r="BW47" s="19" t="s">
        <v>98</v>
      </c>
      <c r="BX47" s="19" t="s">
        <v>92</v>
      </c>
      <c r="BY47" s="19" t="s">
        <v>92</v>
      </c>
      <c r="BZ47" s="19" t="s">
        <v>96</v>
      </c>
      <c r="CA47" s="19" t="s">
        <v>95</v>
      </c>
      <c r="CB47" s="19" t="s">
        <v>94</v>
      </c>
      <c r="CC47" s="19" t="s">
        <v>97</v>
      </c>
      <c r="CD47" s="19" t="s">
        <v>94</v>
      </c>
      <c r="CE47" s="19" t="s">
        <v>92</v>
      </c>
      <c r="CF47" s="19" t="s">
        <v>98</v>
      </c>
    </row>
    <row r="48" spans="2:84">
      <c r="B48" s="19" t="s">
        <v>73</v>
      </c>
      <c r="C48" s="23">
        <v>0.10949999999999993</v>
      </c>
      <c r="D48" s="23">
        <v>0.12289999999999993</v>
      </c>
      <c r="E48" s="23">
        <v>0.11319999999999993</v>
      </c>
      <c r="F48" s="23">
        <v>0.13349999999999992</v>
      </c>
      <c r="G48" s="23">
        <v>0.11759999999999993</v>
      </c>
      <c r="H48" s="23">
        <v>0.13349999999999992</v>
      </c>
      <c r="I48" s="23">
        <v>0.12769999999999992</v>
      </c>
      <c r="J48" s="23">
        <v>0.12519999999999992</v>
      </c>
      <c r="K48" s="23">
        <v>0.11109999999999992</v>
      </c>
      <c r="L48" s="23">
        <v>0.10609999999999993</v>
      </c>
      <c r="M48" s="23">
        <v>0.11689999999999992</v>
      </c>
      <c r="N48" s="23">
        <v>0.10709999999999993</v>
      </c>
      <c r="O48" s="23">
        <v>0.11489999999999993</v>
      </c>
      <c r="P48" s="23">
        <v>0.12669999999999992</v>
      </c>
      <c r="Q48" s="23">
        <v>0.11469999999999993</v>
      </c>
      <c r="R48" s="23">
        <v>0.10939999999999993</v>
      </c>
      <c r="S48" s="23">
        <v>0.12759999999999994</v>
      </c>
      <c r="T48" s="23">
        <v>0.11159999999999992</v>
      </c>
      <c r="U48" s="23">
        <v>0.13169999999999993</v>
      </c>
      <c r="V48" s="23">
        <v>0.12969999999999993</v>
      </c>
      <c r="W48" s="23">
        <v>0.11689999999999992</v>
      </c>
      <c r="X48" s="23">
        <v>0.10099999999999992</v>
      </c>
      <c r="Y48" s="23">
        <v>0.10469999999999993</v>
      </c>
      <c r="Z48" s="23">
        <v>0.12669999999999992</v>
      </c>
      <c r="AA48" s="23">
        <v>0.12129999999999992</v>
      </c>
      <c r="AB48" s="23">
        <v>0.10849999999999993</v>
      </c>
      <c r="AD48" s="19" t="s">
        <v>73</v>
      </c>
      <c r="AE48" s="21">
        <v>4.0660209043670223E-2</v>
      </c>
      <c r="AF48" s="21">
        <v>3.1127539470634805E-2</v>
      </c>
      <c r="AG48" s="21">
        <v>3.9523996486956758E-2</v>
      </c>
      <c r="AH48" s="21">
        <v>3.360642061502099E-2</v>
      </c>
      <c r="AI48" s="21">
        <v>2.8639909697613056E-2</v>
      </c>
      <c r="AJ48" s="21">
        <v>2.3611217204554863E-2</v>
      </c>
      <c r="AK48" s="21">
        <v>1.8495183669730741E-2</v>
      </c>
      <c r="AL48" s="21">
        <v>1.3741253203896134E-2</v>
      </c>
      <c r="AM48" s="21">
        <v>1.7139982143198288E-2</v>
      </c>
      <c r="AN48" s="21">
        <v>5.8509540406550362E-2</v>
      </c>
      <c r="AO48" s="21">
        <v>7.2830582410629729E-2</v>
      </c>
      <c r="AP48" s="21">
        <v>4.3026169614603857E-2</v>
      </c>
      <c r="AQ48" s="21">
        <v>5.0529854126518704E-2</v>
      </c>
      <c r="AR48" s="21">
        <v>6.481031167751819E-2</v>
      </c>
      <c r="AS48" s="21">
        <v>3.3332428685291807E-2</v>
      </c>
      <c r="AT48" s="21">
        <v>3.6895533398174328E-2</v>
      </c>
      <c r="AU48" s="21">
        <v>5.1486689904490457E-2</v>
      </c>
      <c r="AV48" s="21">
        <v>4.3922471528848032E-2</v>
      </c>
      <c r="AW48" s="21">
        <v>3.736390189773435E-2</v>
      </c>
      <c r="AX48" s="21">
        <v>3.1546102593547572E-2</v>
      </c>
      <c r="AY48" s="21">
        <v>3.8862375793241102E-2</v>
      </c>
      <c r="AZ48" s="21">
        <v>5.4782513413363224E-2</v>
      </c>
      <c r="BA48" s="21">
        <v>4.5883238497965217E-2</v>
      </c>
      <c r="BB48" s="21">
        <v>4.0826907205328888E-2</v>
      </c>
      <c r="BC48" s="21">
        <v>3.2663935787608046E-2</v>
      </c>
      <c r="BD48" s="21">
        <v>2.6714430181165885E-2</v>
      </c>
      <c r="BF48" s="19" t="s">
        <v>73</v>
      </c>
      <c r="BG48" s="19" t="s">
        <v>92</v>
      </c>
      <c r="BH48" s="19" t="s">
        <v>94</v>
      </c>
      <c r="BI48" s="19" t="s">
        <v>98</v>
      </c>
      <c r="BJ48" s="19" t="s">
        <v>98</v>
      </c>
      <c r="BK48" s="19" t="s">
        <v>93</v>
      </c>
      <c r="BL48" s="19" t="s">
        <v>95</v>
      </c>
      <c r="BM48" s="19" t="s">
        <v>94</v>
      </c>
      <c r="BN48" s="19" t="s">
        <v>93</v>
      </c>
      <c r="BO48" s="19" t="s">
        <v>96</v>
      </c>
      <c r="BP48" s="19" t="s">
        <v>93</v>
      </c>
      <c r="BQ48" s="19" t="s">
        <v>93</v>
      </c>
      <c r="BR48" s="19" t="s">
        <v>94</v>
      </c>
      <c r="BS48" s="19" t="s">
        <v>98</v>
      </c>
      <c r="BT48" s="19" t="s">
        <v>92</v>
      </c>
      <c r="BU48" s="19" t="s">
        <v>93</v>
      </c>
      <c r="BV48" s="19" t="s">
        <v>96</v>
      </c>
      <c r="BW48" s="19" t="s">
        <v>97</v>
      </c>
      <c r="BX48" s="19" t="s">
        <v>93</v>
      </c>
      <c r="BY48" s="19" t="s">
        <v>95</v>
      </c>
      <c r="BZ48" s="19" t="s">
        <v>94</v>
      </c>
      <c r="CA48" s="19" t="s">
        <v>94</v>
      </c>
      <c r="CB48" s="19" t="s">
        <v>94</v>
      </c>
      <c r="CC48" s="19" t="s">
        <v>98</v>
      </c>
      <c r="CD48" s="19" t="s">
        <v>96</v>
      </c>
      <c r="CE48" s="19" t="s">
        <v>95</v>
      </c>
      <c r="CF48" s="19" t="s">
        <v>97</v>
      </c>
    </row>
    <row r="49" spans="2:84"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</row>
    <row r="50" spans="2:84">
      <c r="B50" s="18" t="s">
        <v>74</v>
      </c>
      <c r="AD50" s="18" t="s">
        <v>74</v>
      </c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F50" s="18" t="s">
        <v>74</v>
      </c>
    </row>
    <row r="51" spans="2:84">
      <c r="B51" s="19" t="s">
        <v>75</v>
      </c>
      <c r="C51" s="23">
        <f>1-C52</f>
        <v>0.69710000000000005</v>
      </c>
      <c r="D51" s="23">
        <f t="shared" ref="D51:AB51" si="29">1-D52</f>
        <v>0.70404862268405055</v>
      </c>
      <c r="E51" s="23">
        <f t="shared" si="29"/>
        <v>0.69640000000000002</v>
      </c>
      <c r="F51" s="23">
        <f t="shared" si="29"/>
        <v>0.68811200000000006</v>
      </c>
      <c r="G51" s="23">
        <f t="shared" si="29"/>
        <v>0.68960396039603955</v>
      </c>
      <c r="H51" s="23">
        <f t="shared" si="29"/>
        <v>0.6794</v>
      </c>
      <c r="I51" s="23">
        <f t="shared" si="29"/>
        <v>0.68237623762376243</v>
      </c>
      <c r="J51" s="23">
        <f t="shared" si="29"/>
        <v>0.67680000000000007</v>
      </c>
      <c r="K51" s="23">
        <f t="shared" si="29"/>
        <v>0.67193583999999995</v>
      </c>
      <c r="L51" s="23">
        <f t="shared" si="29"/>
        <v>0.68559999999999999</v>
      </c>
      <c r="M51" s="23">
        <f t="shared" si="29"/>
        <v>0.67120000000000002</v>
      </c>
      <c r="N51" s="23">
        <f t="shared" si="29"/>
        <v>0.66759999999999997</v>
      </c>
      <c r="O51" s="23">
        <f t="shared" si="29"/>
        <v>0.67999999999999994</v>
      </c>
      <c r="P51" s="23">
        <f t="shared" si="29"/>
        <v>0.66579999999999995</v>
      </c>
      <c r="Q51" s="23">
        <f t="shared" si="29"/>
        <v>0.68140000000000001</v>
      </c>
      <c r="R51" s="23">
        <f t="shared" si="29"/>
        <v>0.67989261999999995</v>
      </c>
      <c r="S51" s="23">
        <f t="shared" si="29"/>
        <v>0.68669350024895648</v>
      </c>
      <c r="T51" s="23">
        <f t="shared" si="29"/>
        <v>0.69640000000000002</v>
      </c>
      <c r="U51" s="23">
        <f t="shared" si="29"/>
        <v>0.67660000000000009</v>
      </c>
      <c r="V51" s="23">
        <f t="shared" si="29"/>
        <v>0.68630000000000002</v>
      </c>
      <c r="W51" s="23">
        <f t="shared" si="29"/>
        <v>0.67300000000000004</v>
      </c>
      <c r="X51" s="23">
        <f t="shared" si="29"/>
        <v>0.68316478042401552</v>
      </c>
      <c r="Y51" s="23">
        <f t="shared" si="29"/>
        <v>0.69579999999999997</v>
      </c>
      <c r="Z51" s="23">
        <f t="shared" si="29"/>
        <v>0.68699455620000005</v>
      </c>
      <c r="AA51" s="23">
        <f t="shared" si="29"/>
        <v>0.67690000000000006</v>
      </c>
      <c r="AB51" s="23">
        <f t="shared" si="29"/>
        <v>0.69320000000000004</v>
      </c>
      <c r="AD51" s="19" t="s">
        <v>75</v>
      </c>
      <c r="AE51" s="21">
        <v>6.0773493674385781E-2</v>
      </c>
      <c r="AF51" s="21">
        <v>5.0711689149922509E-2</v>
      </c>
      <c r="AG51" s="21">
        <v>5.9191375656427438E-2</v>
      </c>
      <c r="AH51" s="21">
        <v>5.3126864872768929E-2</v>
      </c>
      <c r="AI51" s="21">
        <v>4.8346071259522568E-2</v>
      </c>
      <c r="AJ51" s="21">
        <v>4.3702872507052293E-2</v>
      </c>
      <c r="AK51" s="21">
        <v>3.8227271898509288E-2</v>
      </c>
      <c r="AL51" s="21">
        <v>2.9575352341532211E-2</v>
      </c>
      <c r="AM51" s="21">
        <v>3.3108574960120291E-2</v>
      </c>
      <c r="AN51" s="21">
        <v>7.8692852022835075E-2</v>
      </c>
      <c r="AO51" s="21">
        <v>9.2683069279086733E-2</v>
      </c>
      <c r="AP51" s="21">
        <v>6.309484844193583E-2</v>
      </c>
      <c r="AQ51" s="21">
        <v>7.0658097898923272E-2</v>
      </c>
      <c r="AR51" s="21">
        <v>8.4868963122835053E-2</v>
      </c>
      <c r="AS51" s="21">
        <v>5.3319928040569405E-2</v>
      </c>
      <c r="AT51" s="21">
        <v>5.6743616314245064E-2</v>
      </c>
      <c r="AU51" s="21">
        <v>7.116863534518654E-2</v>
      </c>
      <c r="AV51" s="21">
        <v>6.3700091755669819E-2</v>
      </c>
      <c r="AW51" s="21">
        <v>5.7161169307062672E-2</v>
      </c>
      <c r="AX51" s="21">
        <v>5.1056959397676349E-2</v>
      </c>
      <c r="AY51" s="21">
        <v>5.8879088444429871E-2</v>
      </c>
      <c r="AZ51" s="21">
        <v>7.4788677804948467E-2</v>
      </c>
      <c r="BA51" s="21">
        <v>6.5962166543276385E-2</v>
      </c>
      <c r="BB51" s="21">
        <v>6.0238438065736657E-2</v>
      </c>
      <c r="BC51" s="21">
        <v>5.2310290836471228E-2</v>
      </c>
      <c r="BD51" s="21">
        <v>4.684322760746816E-2</v>
      </c>
      <c r="BF51" s="19" t="s">
        <v>75</v>
      </c>
      <c r="BG51" s="19" t="s">
        <v>92</v>
      </c>
      <c r="BH51" s="19" t="s">
        <v>95</v>
      </c>
      <c r="BI51" s="19" t="s">
        <v>97</v>
      </c>
      <c r="BJ51" s="19" t="s">
        <v>94</v>
      </c>
      <c r="BK51" s="19" t="s">
        <v>95</v>
      </c>
      <c r="BL51" s="19" t="s">
        <v>96</v>
      </c>
      <c r="BM51" s="19" t="s">
        <v>93</v>
      </c>
      <c r="BN51" s="19" t="s">
        <v>98</v>
      </c>
      <c r="BO51" s="19" t="s">
        <v>95</v>
      </c>
      <c r="BP51" s="19" t="s">
        <v>92</v>
      </c>
      <c r="BQ51" s="19" t="s">
        <v>95</v>
      </c>
      <c r="BR51" s="19" t="s">
        <v>98</v>
      </c>
      <c r="BS51" s="19" t="s">
        <v>97</v>
      </c>
      <c r="BT51" s="19" t="s">
        <v>92</v>
      </c>
      <c r="BU51" s="19" t="s">
        <v>92</v>
      </c>
      <c r="BV51" s="19" t="s">
        <v>97</v>
      </c>
      <c r="BW51" s="19" t="s">
        <v>92</v>
      </c>
      <c r="BX51" s="19" t="s">
        <v>95</v>
      </c>
      <c r="BY51" s="19" t="s">
        <v>98</v>
      </c>
      <c r="BZ51" s="19" t="s">
        <v>95</v>
      </c>
      <c r="CA51" s="19" t="s">
        <v>95</v>
      </c>
      <c r="CB51" s="19" t="s">
        <v>96</v>
      </c>
      <c r="CC51" s="19" t="s">
        <v>98</v>
      </c>
      <c r="CD51" s="19" t="s">
        <v>97</v>
      </c>
      <c r="CE51" s="19" t="s">
        <v>93</v>
      </c>
      <c r="CF51" s="19" t="s">
        <v>96</v>
      </c>
    </row>
    <row r="52" spans="2:84">
      <c r="B52" s="19" t="s">
        <v>76</v>
      </c>
      <c r="C52" s="23">
        <v>0.3029</v>
      </c>
      <c r="D52" s="23">
        <v>0.29595137731594939</v>
      </c>
      <c r="E52" s="23">
        <v>0.30359999999999998</v>
      </c>
      <c r="F52" s="23">
        <v>0.31188799999999994</v>
      </c>
      <c r="G52" s="23">
        <v>0.31039603960396039</v>
      </c>
      <c r="H52" s="23">
        <v>0.3206</v>
      </c>
      <c r="I52" s="23">
        <v>0.31762376237623757</v>
      </c>
      <c r="J52" s="23">
        <v>0.32319999999999999</v>
      </c>
      <c r="K52" s="23">
        <v>0.32806415999999999</v>
      </c>
      <c r="L52" s="23">
        <v>0.31439999999999996</v>
      </c>
      <c r="M52" s="23">
        <v>0.32879999999999998</v>
      </c>
      <c r="N52" s="23">
        <v>0.33239999999999997</v>
      </c>
      <c r="O52" s="23">
        <v>0.32</v>
      </c>
      <c r="P52" s="23">
        <v>0.3342</v>
      </c>
      <c r="Q52" s="23">
        <v>0.31859999999999999</v>
      </c>
      <c r="R52" s="23">
        <v>0.32010738</v>
      </c>
      <c r="S52" s="23">
        <v>0.31330649975104358</v>
      </c>
      <c r="T52" s="23">
        <v>0.30359999999999998</v>
      </c>
      <c r="U52" s="23">
        <v>0.32339999999999997</v>
      </c>
      <c r="V52" s="23">
        <v>0.31369999999999998</v>
      </c>
      <c r="W52" s="23">
        <v>0.32699999999999996</v>
      </c>
      <c r="X52" s="23">
        <v>0.31683521957598454</v>
      </c>
      <c r="Y52" s="23">
        <v>0.30419999999999997</v>
      </c>
      <c r="Z52" s="23">
        <v>0.31300544379999995</v>
      </c>
      <c r="AA52" s="23">
        <v>0.3231</v>
      </c>
      <c r="AB52" s="23">
        <v>0.30679999999999996</v>
      </c>
      <c r="AD52" s="19" t="s">
        <v>76</v>
      </c>
      <c r="AE52" s="21">
        <v>5.1878993674385782E-2</v>
      </c>
      <c r="AF52" s="21">
        <v>4.181718914992251E-2</v>
      </c>
      <c r="AG52" s="21">
        <v>5.0296875656427438E-2</v>
      </c>
      <c r="AH52" s="21">
        <v>4.423236487276893E-2</v>
      </c>
      <c r="AI52" s="21">
        <v>3.9451571259522568E-2</v>
      </c>
      <c r="AJ52" s="21">
        <v>3.4808372507052293E-2</v>
      </c>
      <c r="AK52" s="21">
        <v>2.9332771898509288E-2</v>
      </c>
      <c r="AL52" s="21">
        <v>2.0680852341532212E-2</v>
      </c>
      <c r="AM52" s="21">
        <v>2.4214074960120291E-2</v>
      </c>
      <c r="AN52" s="21">
        <v>6.9798352022835075E-2</v>
      </c>
      <c r="AO52" s="21">
        <v>8.3788569279086733E-2</v>
      </c>
      <c r="AP52" s="21">
        <v>5.4200348441935838E-2</v>
      </c>
      <c r="AQ52" s="21">
        <v>6.1763597898923273E-2</v>
      </c>
      <c r="AR52" s="21">
        <v>7.5974463122835054E-2</v>
      </c>
      <c r="AS52" s="21">
        <v>4.4425428040569405E-2</v>
      </c>
      <c r="AT52" s="21">
        <v>4.7849116314245065E-2</v>
      </c>
      <c r="AU52" s="21">
        <v>6.227413534518654E-2</v>
      </c>
      <c r="AV52" s="21">
        <v>5.4805591755669812E-2</v>
      </c>
      <c r="AW52" s="21">
        <v>4.8266669307062672E-2</v>
      </c>
      <c r="AX52" s="21">
        <v>4.216245939767635E-2</v>
      </c>
      <c r="AY52" s="21">
        <v>4.9984588444429871E-2</v>
      </c>
      <c r="AZ52" s="21">
        <v>6.5894177804948467E-2</v>
      </c>
      <c r="BA52" s="21">
        <v>5.7067666543276378E-2</v>
      </c>
      <c r="BB52" s="21">
        <v>5.1343938065736658E-2</v>
      </c>
      <c r="BC52" s="21">
        <v>4.3415790836471228E-2</v>
      </c>
      <c r="BD52" s="21">
        <v>3.7948727607468161E-2</v>
      </c>
      <c r="BF52" s="19" t="s">
        <v>76</v>
      </c>
      <c r="BG52" s="19" t="s">
        <v>95</v>
      </c>
      <c r="BH52" s="19" t="s">
        <v>97</v>
      </c>
      <c r="BI52" s="19" t="s">
        <v>93</v>
      </c>
      <c r="BJ52" s="19" t="s">
        <v>94</v>
      </c>
      <c r="BK52" s="19" t="s">
        <v>97</v>
      </c>
      <c r="BL52" s="19" t="s">
        <v>96</v>
      </c>
      <c r="BM52" s="19" t="s">
        <v>92</v>
      </c>
      <c r="BN52" s="19" t="s">
        <v>92</v>
      </c>
      <c r="BO52" s="19" t="s">
        <v>92</v>
      </c>
      <c r="BP52" s="19" t="s">
        <v>93</v>
      </c>
      <c r="BQ52" s="19" t="s">
        <v>93</v>
      </c>
      <c r="BR52" s="19" t="s">
        <v>97</v>
      </c>
      <c r="BS52" s="19" t="s">
        <v>96</v>
      </c>
      <c r="BT52" s="19" t="s">
        <v>95</v>
      </c>
      <c r="BU52" s="19" t="s">
        <v>95</v>
      </c>
      <c r="BV52" s="19" t="s">
        <v>96</v>
      </c>
      <c r="BW52" s="19" t="s">
        <v>94</v>
      </c>
      <c r="BX52" s="19" t="s">
        <v>97</v>
      </c>
      <c r="BY52" s="19" t="s">
        <v>98</v>
      </c>
      <c r="BZ52" s="19" t="s">
        <v>96</v>
      </c>
      <c r="CA52" s="19" t="s">
        <v>97</v>
      </c>
      <c r="CB52" s="19" t="s">
        <v>94</v>
      </c>
      <c r="CC52" s="19" t="s">
        <v>92</v>
      </c>
      <c r="CD52" s="19" t="s">
        <v>96</v>
      </c>
      <c r="CE52" s="19" t="s">
        <v>95</v>
      </c>
      <c r="CF52" s="19" t="s">
        <v>93</v>
      </c>
    </row>
    <row r="55" spans="2:84">
      <c r="B55" s="25" t="s">
        <v>89</v>
      </c>
      <c r="C55" s="26" t="s">
        <v>90</v>
      </c>
      <c r="D55" s="26" t="s">
        <v>0</v>
      </c>
      <c r="E55" s="26">
        <v>63544.933399179761</v>
      </c>
    </row>
    <row r="56" spans="2:84">
      <c r="B56" s="17" t="s">
        <v>3</v>
      </c>
      <c r="C56" s="27">
        <v>0.33400000000000002</v>
      </c>
      <c r="D56" s="27">
        <v>5.6839349624385783E-2</v>
      </c>
      <c r="E56" s="24">
        <f>C56*$E$55</f>
        <v>21224.007755326042</v>
      </c>
    </row>
    <row r="57" spans="2:84">
      <c r="B57" s="17" t="s">
        <v>9</v>
      </c>
      <c r="C57" s="27">
        <v>0.215</v>
      </c>
      <c r="D57" s="27">
        <v>4.6222057257007503E-2</v>
      </c>
      <c r="E57" s="24">
        <f t="shared" ref="E57:E61" si="30">C57*$E$55</f>
        <v>13662.160680823648</v>
      </c>
    </row>
    <row r="58" spans="2:84">
      <c r="B58" s="17" t="s">
        <v>24</v>
      </c>
      <c r="C58" s="27">
        <v>0.3755</v>
      </c>
      <c r="D58" s="27">
        <v>7.4484293123371653E-2</v>
      </c>
      <c r="E58" s="24">
        <f t="shared" si="30"/>
        <v>23861.122491392001</v>
      </c>
    </row>
    <row r="59" spans="2:84">
      <c r="B59" s="17" t="s">
        <v>39</v>
      </c>
      <c r="C59" s="27">
        <v>3.1E-2</v>
      </c>
      <c r="D59" s="27">
        <v>6.2816644525138965E-2</v>
      </c>
      <c r="E59" s="24">
        <f t="shared" si="30"/>
        <v>1969.8929353745725</v>
      </c>
    </row>
    <row r="60" spans="2:84">
      <c r="B60" s="17" t="s">
        <v>49</v>
      </c>
      <c r="C60" s="27">
        <v>2.9000000000000001E-2</v>
      </c>
      <c r="D60" s="27">
        <v>6.7429768137550722E-2</v>
      </c>
      <c r="E60" s="24">
        <f t="shared" si="30"/>
        <v>1842.8030685762133</v>
      </c>
    </row>
    <row r="61" spans="2:84">
      <c r="B61" s="17" t="s">
        <v>56</v>
      </c>
      <c r="C61" s="27">
        <v>1.5499999999999847E-2</v>
      </c>
      <c r="D61" s="27">
        <v>5.0843692538022893E-2</v>
      </c>
      <c r="E61" s="24">
        <f t="shared" si="30"/>
        <v>984.94646768727659</v>
      </c>
    </row>
    <row r="63" spans="2:84">
      <c r="C63" s="26" t="s">
        <v>90</v>
      </c>
      <c r="D63" s="26" t="s">
        <v>0</v>
      </c>
      <c r="E63" s="26" t="s">
        <v>91</v>
      </c>
    </row>
    <row r="64" spans="2:84">
      <c r="B64" s="16" t="s">
        <v>3</v>
      </c>
      <c r="C64" s="28">
        <v>0.33400000000000002</v>
      </c>
      <c r="D64" s="28">
        <v>5.6839349624385783E-2</v>
      </c>
      <c r="E64" s="31">
        <f>VLOOKUP($B64,$B$55:$E$61,4,0)</f>
        <v>21224.007755326042</v>
      </c>
    </row>
    <row r="65" spans="2:5">
      <c r="B65" s="29" t="s">
        <v>5</v>
      </c>
      <c r="C65" s="30">
        <v>0.87599999999999989</v>
      </c>
      <c r="D65" s="30">
        <v>5.8079349624385782E-2</v>
      </c>
      <c r="E65" s="32">
        <f>C65*$E$64</f>
        <v>18592.230793665611</v>
      </c>
    </row>
    <row r="66" spans="2:5">
      <c r="B66" s="29" t="s">
        <v>7</v>
      </c>
      <c r="C66" s="30">
        <v>0.12400000000000011</v>
      </c>
      <c r="D66" s="30">
        <v>4.8079349624385787E-2</v>
      </c>
      <c r="E66" s="32">
        <f>C66*$E$64</f>
        <v>2631.7769616604314</v>
      </c>
    </row>
    <row r="67" spans="2:5">
      <c r="B67" s="16" t="s">
        <v>9</v>
      </c>
      <c r="C67" s="28">
        <v>0.215</v>
      </c>
      <c r="D67" s="28">
        <v>4.6222057257007509E-2</v>
      </c>
      <c r="E67" s="31">
        <f>VLOOKUP($B67,$B$55:$E$61,4,0)</f>
        <v>13662.160680823648</v>
      </c>
    </row>
    <row r="68" spans="2:5">
      <c r="B68" s="29" t="s">
        <v>11</v>
      </c>
      <c r="C68" s="30">
        <v>0.30599999999999999</v>
      </c>
      <c r="D68" s="30">
        <v>5.6491005456427434E-2</v>
      </c>
      <c r="E68" s="32">
        <f>C68*$E$67</f>
        <v>4180.6211683320362</v>
      </c>
    </row>
    <row r="69" spans="2:5">
      <c r="B69" s="29" t="s">
        <v>13</v>
      </c>
      <c r="C69" s="30">
        <v>0.20399999999999999</v>
      </c>
      <c r="D69" s="30">
        <v>5.0352777056768931E-2</v>
      </c>
      <c r="E69" s="32">
        <f t="shared" ref="E69:E74" si="31">C69*$E$67</f>
        <v>2787.0807788880243</v>
      </c>
    </row>
    <row r="70" spans="2:5">
      <c r="B70" s="29" t="s">
        <v>15</v>
      </c>
      <c r="C70" s="30">
        <v>0.153</v>
      </c>
      <c r="D70" s="30">
        <v>4.5585253685265135E-2</v>
      </c>
      <c r="E70" s="32">
        <f t="shared" si="31"/>
        <v>2090.3105841660181</v>
      </c>
    </row>
    <row r="71" spans="2:5">
      <c r="B71" s="29" t="s">
        <v>16</v>
      </c>
      <c r="C71" s="30">
        <v>0.122</v>
      </c>
      <c r="D71" s="30">
        <v>4.0851295807052289E-2</v>
      </c>
      <c r="E71" s="32">
        <f t="shared" si="31"/>
        <v>1666.7836030604851</v>
      </c>
    </row>
    <row r="72" spans="2:5">
      <c r="B72" s="29" t="s">
        <v>18</v>
      </c>
      <c r="C72" s="30">
        <v>8.199999999999999E-2</v>
      </c>
      <c r="D72" s="30">
        <v>3.5402167344053839E-2</v>
      </c>
      <c r="E72" s="32">
        <f t="shared" si="31"/>
        <v>1120.2971758275389</v>
      </c>
    </row>
    <row r="73" spans="2:5">
      <c r="B73" s="29" t="s">
        <v>20</v>
      </c>
      <c r="C73" s="30">
        <v>6.0999999999999999E-2</v>
      </c>
      <c r="D73" s="30">
        <v>2.6700649941532213E-2</v>
      </c>
      <c r="E73" s="32">
        <f t="shared" si="31"/>
        <v>833.39180153024256</v>
      </c>
    </row>
    <row r="74" spans="2:5">
      <c r="B74" s="29" t="s">
        <v>22</v>
      </c>
      <c r="C74" s="30">
        <v>7.2000000000000064E-2</v>
      </c>
      <c r="D74" s="30">
        <v>3.019060828900029E-2</v>
      </c>
      <c r="E74" s="32">
        <f t="shared" si="31"/>
        <v>983.67556901930357</v>
      </c>
    </row>
    <row r="75" spans="2:5">
      <c r="B75" s="16" t="s">
        <v>24</v>
      </c>
      <c r="C75" s="28">
        <v>0.3755</v>
      </c>
      <c r="D75" s="28">
        <v>7.4484293123371639E-2</v>
      </c>
      <c r="E75" s="31">
        <f>VLOOKUP($B75,$B$55:$E$61,4,0)</f>
        <v>23861.122491392001</v>
      </c>
    </row>
    <row r="76" spans="2:5">
      <c r="B76" s="29" t="s">
        <v>26</v>
      </c>
      <c r="C76" s="30">
        <v>0.45399999999999996</v>
      </c>
      <c r="D76" s="30">
        <v>7.5896421222835075E-2</v>
      </c>
      <c r="E76" s="32">
        <f>C76*$E$75</f>
        <v>10832.949611091968</v>
      </c>
    </row>
    <row r="77" spans="2:5">
      <c r="B77" s="29" t="s">
        <v>28</v>
      </c>
      <c r="C77" s="30">
        <v>0.14699999999999999</v>
      </c>
      <c r="D77" s="30">
        <v>8.9758557679086734E-2</v>
      </c>
      <c r="E77" s="32">
        <f t="shared" ref="E77:E82" si="32">C77*$E$75</f>
        <v>3507.585006234624</v>
      </c>
    </row>
    <row r="78" spans="2:5">
      <c r="B78" s="29" t="s">
        <v>30</v>
      </c>
      <c r="C78" s="30">
        <v>0.13500000000000001</v>
      </c>
      <c r="D78" s="30">
        <v>6.0138316641935835E-2</v>
      </c>
      <c r="E78" s="32">
        <f t="shared" si="32"/>
        <v>3221.2515363379202</v>
      </c>
    </row>
    <row r="79" spans="2:5">
      <c r="B79" s="29" t="s">
        <v>32</v>
      </c>
      <c r="C79" s="30">
        <v>7.0999999999999994E-2</v>
      </c>
      <c r="D79" s="30">
        <v>6.7811857898923272E-2</v>
      </c>
      <c r="E79" s="32">
        <f t="shared" si="32"/>
        <v>1694.1396968888318</v>
      </c>
    </row>
    <row r="80" spans="2:5">
      <c r="B80" s="29" t="s">
        <v>33</v>
      </c>
      <c r="C80" s="30">
        <v>0.13100000000000001</v>
      </c>
      <c r="D80" s="30">
        <v>8.1896421222835053E-2</v>
      </c>
      <c r="E80" s="32">
        <f t="shared" si="32"/>
        <v>3125.8070463723525</v>
      </c>
    </row>
    <row r="81" spans="2:5">
      <c r="B81" s="29" t="s">
        <v>35</v>
      </c>
      <c r="C81" s="30">
        <v>0.05</v>
      </c>
      <c r="D81" s="30">
        <v>5.0486140340569412E-2</v>
      </c>
      <c r="E81" s="32">
        <f t="shared" si="32"/>
        <v>1193.0561245696001</v>
      </c>
    </row>
    <row r="82" spans="2:5">
      <c r="B82" s="29" t="s">
        <v>37</v>
      </c>
      <c r="C82" s="30">
        <v>1.2000000000000011E-2</v>
      </c>
      <c r="D82" s="30">
        <v>5.3896421222835063E-2</v>
      </c>
      <c r="E82" s="32">
        <f t="shared" si="32"/>
        <v>286.33346989670429</v>
      </c>
    </row>
    <row r="83" spans="2:5">
      <c r="B83" s="16" t="s">
        <v>39</v>
      </c>
      <c r="C83" s="28">
        <v>3.1E-2</v>
      </c>
      <c r="D83" s="28">
        <v>6.2816644525138965E-2</v>
      </c>
      <c r="E83" s="31">
        <f>VLOOKUP($B83,$B$55:$E$61,4,0)</f>
        <v>1969.8929353745725</v>
      </c>
    </row>
    <row r="84" spans="2:5">
      <c r="B84" s="29" t="s">
        <v>41</v>
      </c>
      <c r="C84" s="30">
        <v>0.46399999999999997</v>
      </c>
      <c r="D84" s="30">
        <v>6.8381930683150891E-2</v>
      </c>
      <c r="E84" s="32">
        <f>C84*$E$83</f>
        <v>914.03032201380154</v>
      </c>
    </row>
    <row r="85" spans="2:5">
      <c r="B85" s="29" t="s">
        <v>43</v>
      </c>
      <c r="C85" s="30">
        <v>0.36099999999999999</v>
      </c>
      <c r="D85" s="30">
        <v>6.0999721555669809E-2</v>
      </c>
      <c r="E85" s="32">
        <f t="shared" ref="E85:E87" si="33">C85*$E$83</f>
        <v>711.13134967022063</v>
      </c>
    </row>
    <row r="86" spans="2:5">
      <c r="B86" s="29" t="s">
        <v>45</v>
      </c>
      <c r="C86" s="30">
        <v>0.10300000000000001</v>
      </c>
      <c r="D86" s="30">
        <v>5.4284688007062674E-2</v>
      </c>
      <c r="E86" s="32">
        <f t="shared" si="33"/>
        <v>202.89897234358099</v>
      </c>
    </row>
    <row r="87" spans="2:5">
      <c r="B87" s="29" t="s">
        <v>47</v>
      </c>
      <c r="C87" s="30">
        <v>7.2000000000000064E-2</v>
      </c>
      <c r="D87" s="30">
        <v>4.8266754747676346E-2</v>
      </c>
      <c r="E87" s="32">
        <f t="shared" si="33"/>
        <v>141.83229134696936</v>
      </c>
    </row>
    <row r="88" spans="2:5">
      <c r="B88" s="16" t="s">
        <v>49</v>
      </c>
      <c r="C88" s="28">
        <v>2.9000000000000001E-2</v>
      </c>
      <c r="D88" s="28">
        <v>6.7429768137550722E-2</v>
      </c>
      <c r="E88" s="31">
        <f>VLOOKUP($B88,$B$55:$E$61,4,0)</f>
        <v>1842.8030685762133</v>
      </c>
    </row>
    <row r="89" spans="2:5">
      <c r="B89" s="29" t="s">
        <v>50</v>
      </c>
      <c r="C89" s="30">
        <v>0.152</v>
      </c>
      <c r="D89" s="30">
        <v>5.5970586944429877E-2</v>
      </c>
      <c r="E89" s="32">
        <f>C89*$E$88</f>
        <v>280.10606642358442</v>
      </c>
    </row>
    <row r="90" spans="2:5">
      <c r="B90" s="29" t="s">
        <v>52</v>
      </c>
      <c r="C90" s="30">
        <v>0.60599999999999998</v>
      </c>
      <c r="D90" s="30">
        <v>7.1970586944429871E-2</v>
      </c>
      <c r="E90" s="32">
        <f t="shared" ref="E90:E91" si="34">C90*$E$88</f>
        <v>1116.7386595571852</v>
      </c>
    </row>
    <row r="91" spans="2:5">
      <c r="B91" s="29" t="s">
        <v>54</v>
      </c>
      <c r="C91" s="30">
        <v>0.24199999999999999</v>
      </c>
      <c r="D91" s="30">
        <v>6.3256459643276378E-2</v>
      </c>
      <c r="E91" s="32">
        <f t="shared" si="34"/>
        <v>445.95834259544358</v>
      </c>
    </row>
    <row r="92" spans="2:5">
      <c r="B92" s="16" t="s">
        <v>56</v>
      </c>
      <c r="C92" s="28">
        <v>1.5499999999999847E-2</v>
      </c>
      <c r="D92" s="28">
        <v>5.08436925380229E-2</v>
      </c>
      <c r="E92" s="31">
        <f>VLOOKUP($B92,$B$55:$E$61,4,0)</f>
        <v>984.94646768727659</v>
      </c>
    </row>
    <row r="93" spans="2:5">
      <c r="B93" s="29" t="s">
        <v>58</v>
      </c>
      <c r="C93" s="30">
        <v>0.44500000000000001</v>
      </c>
      <c r="D93" s="30">
        <v>5.7454411145857559E-2</v>
      </c>
      <c r="E93" s="32">
        <f>C93*$E$92</f>
        <v>438.30117812083807</v>
      </c>
    </row>
    <row r="94" spans="2:5">
      <c r="B94" s="29" t="s">
        <v>60</v>
      </c>
      <c r="C94" s="30">
        <v>0.14899999999999999</v>
      </c>
      <c r="D94" s="30">
        <v>4.9436477886471229E-2</v>
      </c>
      <c r="E94" s="32">
        <f t="shared" ref="E94:E95" si="35">C94*$E$92</f>
        <v>146.75702368540419</v>
      </c>
    </row>
    <row r="95" spans="2:5">
      <c r="B95" s="29" t="s">
        <v>62</v>
      </c>
      <c r="C95" s="30">
        <v>0.40600000000000003</v>
      </c>
      <c r="D95" s="30">
        <v>4.4114395007468159E-2</v>
      </c>
      <c r="E95" s="32">
        <f t="shared" si="35"/>
        <v>399.88826588103433</v>
      </c>
    </row>
  </sheetData>
  <conditionalFormatting sqref="C20:Z20 AB20">
    <cfRule type="cellIs" dxfId="27" priority="15" operator="greaterThan">
      <formula>0.055</formula>
    </cfRule>
    <cfRule type="cellIs" dxfId="26" priority="16" operator="lessThan">
      <formula>0.043</formula>
    </cfRule>
  </conditionalFormatting>
  <conditionalFormatting sqref="C10:AB10">
    <cfRule type="cellIs" dxfId="25" priority="21" operator="greaterThan">
      <formula>0.06</formula>
    </cfRule>
    <cfRule type="cellIs" dxfId="24" priority="22" operator="lessThan">
      <formula>0.048</formula>
    </cfRule>
  </conditionalFormatting>
  <conditionalFormatting sqref="C18:AB18">
    <cfRule type="cellIs" dxfId="23" priority="13" operator="greaterThan">
      <formula>0.048</formula>
    </cfRule>
    <cfRule type="cellIs" dxfId="22" priority="14" operator="lessThan">
      <formula>0.037</formula>
    </cfRule>
  </conditionalFormatting>
  <conditionalFormatting sqref="C19:AB19">
    <cfRule type="cellIs" dxfId="21" priority="11" operator="greaterThan">
      <formula>0.072</formula>
    </cfRule>
    <cfRule type="cellIs" dxfId="20" priority="12" operator="lessThan">
      <formula>0.058</formula>
    </cfRule>
  </conditionalFormatting>
  <conditionalFormatting sqref="C28:AB28">
    <cfRule type="cellIs" dxfId="19" priority="19" operator="greaterThan">
      <formula>0.047</formula>
    </cfRule>
    <cfRule type="cellIs" dxfId="18" priority="20" operator="lessThan">
      <formula>0.036</formula>
    </cfRule>
  </conditionalFormatting>
  <conditionalFormatting sqref="C29:AB29">
    <cfRule type="cellIs" dxfId="17" priority="17" operator="greaterThan">
      <formula>0.07</formula>
    </cfRule>
    <cfRule type="cellIs" dxfId="16" priority="18" operator="lessThan">
      <formula>0.055</formula>
    </cfRule>
  </conditionalFormatting>
  <conditionalFormatting sqref="C34:AB34">
    <cfRule type="cellIs" dxfId="15" priority="9" operator="greaterThan">
      <formula>0.08</formula>
    </cfRule>
    <cfRule type="cellIs" dxfId="14" priority="10" operator="lessThan">
      <formula>0.064</formula>
    </cfRule>
  </conditionalFormatting>
  <conditionalFormatting sqref="C35:AB35">
    <cfRule type="cellIs" dxfId="13" priority="7" operator="lessThan">
      <formula>0.057</formula>
    </cfRule>
    <cfRule type="cellIs" dxfId="12" priority="8" operator="greaterThan">
      <formula>0.07</formula>
    </cfRule>
  </conditionalFormatting>
  <conditionalFormatting sqref="C43:AB43">
    <cfRule type="cellIs" dxfId="11" priority="37" operator="greaterThan">
      <formula>0.048</formula>
    </cfRule>
    <cfRule type="cellIs" dxfId="10" priority="38" operator="lessThan">
      <formula>0.036</formula>
    </cfRule>
  </conditionalFormatting>
  <conditionalFormatting sqref="C46:AB46">
    <cfRule type="cellIs" dxfId="9" priority="39" operator="greaterThan">
      <formula>0.08</formula>
    </cfRule>
    <cfRule type="cellIs" dxfId="8" priority="40" operator="lessThan">
      <formula>0.065</formula>
    </cfRule>
  </conditionalFormatting>
  <conditionalFormatting sqref="C47:AB47">
    <cfRule type="cellIs" dxfId="7" priority="41" operator="greaterThan">
      <formula>0.062</formula>
    </cfRule>
    <cfRule type="cellIs" dxfId="6" priority="42" operator="lessThan">
      <formula>0.047</formula>
    </cfRule>
  </conditionalFormatting>
  <conditionalFormatting sqref="AE5:BD11">
    <cfRule type="cellIs" dxfId="5" priority="6" operator="lessThan">
      <formula>0.017</formula>
    </cfRule>
  </conditionalFormatting>
  <conditionalFormatting sqref="AE14:BD20">
    <cfRule type="cellIs" dxfId="4" priority="5" operator="lessThan">
      <formula>0.017</formula>
    </cfRule>
  </conditionalFormatting>
  <conditionalFormatting sqref="AE23:BD29">
    <cfRule type="cellIs" dxfId="3" priority="4" operator="lessThan">
      <formula>0.017</formula>
    </cfRule>
  </conditionalFormatting>
  <conditionalFormatting sqref="AE32:BD38">
    <cfRule type="cellIs" dxfId="2" priority="3" operator="lessThan">
      <formula>0.017</formula>
    </cfRule>
  </conditionalFormatting>
  <conditionalFormatting sqref="AE41:BD48">
    <cfRule type="cellIs" dxfId="1" priority="2" operator="lessThan">
      <formula>0.017</formula>
    </cfRule>
  </conditionalFormatting>
  <conditionalFormatting sqref="AE51:BD52">
    <cfRule type="cellIs" dxfId="0" priority="1" operator="lessThan">
      <formula>0.017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2EFF-65B9-482C-AE58-AFD46802A711}">
  <dimension ref="A1:BD59"/>
  <sheetViews>
    <sheetView topLeftCell="AN1" workbookViewId="0">
      <selection activeCell="C15" sqref="C15"/>
    </sheetView>
  </sheetViews>
  <sheetFormatPr defaultRowHeight="14.5"/>
  <cols>
    <col min="1" max="1" width="8.33203125" style="1" bestFit="1" customWidth="1"/>
    <col min="2" max="2" width="9.25" style="1" bestFit="1" customWidth="1"/>
    <col min="3" max="3" width="9.5" style="1" bestFit="1" customWidth="1"/>
    <col min="4" max="16384" width="8.6640625" style="1"/>
  </cols>
  <sheetData>
    <row r="1" spans="1:56">
      <c r="B1" s="1">
        <v>79.400000000000006</v>
      </c>
    </row>
    <row r="2" spans="1:56">
      <c r="B2" s="2">
        <f t="shared" ref="B2:AB2" si="0">B40</f>
        <v>23544.447905389756</v>
      </c>
      <c r="C2" s="2">
        <f t="shared" si="0"/>
        <v>5963.0835439134935</v>
      </c>
      <c r="D2" s="2">
        <f t="shared" si="0"/>
        <v>851.31706091273497</v>
      </c>
      <c r="E2" s="2">
        <f t="shared" si="0"/>
        <v>1254.0477502580688</v>
      </c>
      <c r="F2" s="2">
        <f t="shared" si="0"/>
        <v>831.74077262863352</v>
      </c>
      <c r="G2" s="2">
        <f t="shared" si="0"/>
        <v>634.17993064901862</v>
      </c>
      <c r="H2" s="2">
        <f t="shared" si="0"/>
        <v>506.02610892781217</v>
      </c>
      <c r="I2" s="2">
        <f t="shared" si="0"/>
        <v>344.11902147078433</v>
      </c>
      <c r="J2" s="2">
        <f t="shared" si="0"/>
        <v>256.60542014317605</v>
      </c>
      <c r="K2" s="2">
        <f t="shared" si="0"/>
        <v>297.01656668861773</v>
      </c>
      <c r="L2" s="2">
        <f t="shared" si="0"/>
        <v>4770.9194139772389</v>
      </c>
      <c r="M2" s="2">
        <f t="shared" si="0"/>
        <v>1563.9008315327055</v>
      </c>
      <c r="N2" s="2">
        <f t="shared" si="0"/>
        <v>1444.3729591367121</v>
      </c>
      <c r="O2" s="2">
        <f t="shared" si="0"/>
        <v>764.34620514549806</v>
      </c>
      <c r="P2" s="2">
        <f t="shared" si="0"/>
        <v>1379.8495776962327</v>
      </c>
      <c r="Q2" s="2">
        <f t="shared" si="0"/>
        <v>509.59381339508371</v>
      </c>
      <c r="R2" s="2">
        <f t="shared" si="0"/>
        <v>124.32438976224211</v>
      </c>
      <c r="S2" s="2">
        <f t="shared" si="0"/>
        <v>400.5503595001029</v>
      </c>
      <c r="T2" s="2">
        <f t="shared" si="0"/>
        <v>300.57721603280419</v>
      </c>
      <c r="U2" s="2">
        <f t="shared" si="0"/>
        <v>85.478417164723979</v>
      </c>
      <c r="V2" s="2">
        <f t="shared" si="0"/>
        <v>60.639519166315026</v>
      </c>
      <c r="W2" s="2">
        <f t="shared" si="0"/>
        <v>116.44768208447844</v>
      </c>
      <c r="X2" s="2">
        <f t="shared" si="0"/>
        <v>484.77711519434985</v>
      </c>
      <c r="Y2" s="2">
        <f t="shared" si="0"/>
        <v>187.70531186164911</v>
      </c>
      <c r="Z2" s="2">
        <f t="shared" si="0"/>
        <v>180.48384322812345</v>
      </c>
      <c r="AA2" s="2">
        <f t="shared" si="0"/>
        <v>62.15181285405788</v>
      </c>
      <c r="AB2" s="2">
        <f t="shared" si="0"/>
        <v>170.19326206509444</v>
      </c>
    </row>
    <row r="3" spans="1:56">
      <c r="A3" s="3"/>
      <c r="B3" s="4"/>
      <c r="C3" s="5" t="s">
        <v>5</v>
      </c>
      <c r="D3" s="5" t="s">
        <v>7</v>
      </c>
      <c r="E3" s="5" t="s">
        <v>11</v>
      </c>
      <c r="F3" s="5" t="s">
        <v>13</v>
      </c>
      <c r="G3" s="5" t="s">
        <v>15</v>
      </c>
      <c r="H3" s="5" t="s">
        <v>16</v>
      </c>
      <c r="I3" s="5" t="s">
        <v>18</v>
      </c>
      <c r="J3" s="5" t="s">
        <v>20</v>
      </c>
      <c r="K3" s="5" t="s">
        <v>22</v>
      </c>
      <c r="L3" s="5" t="s">
        <v>26</v>
      </c>
      <c r="M3" s="5" t="s">
        <v>28</v>
      </c>
      <c r="N3" s="5" t="s">
        <v>30</v>
      </c>
      <c r="O3" s="5" t="s">
        <v>32</v>
      </c>
      <c r="P3" s="5" t="s">
        <v>33</v>
      </c>
      <c r="Q3" s="5" t="s">
        <v>35</v>
      </c>
      <c r="R3" s="5" t="s">
        <v>37</v>
      </c>
      <c r="S3" s="5" t="s">
        <v>41</v>
      </c>
      <c r="T3" s="5" t="s">
        <v>43</v>
      </c>
      <c r="U3" s="5" t="s">
        <v>45</v>
      </c>
      <c r="V3" s="5" t="s">
        <v>47</v>
      </c>
      <c r="W3" s="5" t="s">
        <v>50</v>
      </c>
      <c r="X3" s="5" t="s">
        <v>52</v>
      </c>
      <c r="Y3" s="5" t="s">
        <v>54</v>
      </c>
      <c r="Z3" s="5" t="s">
        <v>58</v>
      </c>
      <c r="AA3" s="5" t="s">
        <v>60</v>
      </c>
      <c r="AB3" s="5" t="s">
        <v>62</v>
      </c>
      <c r="AE3" s="5" t="s">
        <v>5</v>
      </c>
      <c r="AF3" s="5" t="s">
        <v>7</v>
      </c>
      <c r="AG3" s="5" t="s">
        <v>11</v>
      </c>
      <c r="AH3" s="5" t="s">
        <v>13</v>
      </c>
      <c r="AI3" s="5" t="s">
        <v>15</v>
      </c>
      <c r="AJ3" s="5" t="s">
        <v>16</v>
      </c>
      <c r="AK3" s="5" t="s">
        <v>18</v>
      </c>
      <c r="AL3" s="5" t="s">
        <v>20</v>
      </c>
      <c r="AM3" s="5" t="s">
        <v>22</v>
      </c>
      <c r="AN3" s="5" t="s">
        <v>26</v>
      </c>
      <c r="AO3" s="5" t="s">
        <v>28</v>
      </c>
      <c r="AP3" s="5" t="s">
        <v>30</v>
      </c>
      <c r="AQ3" s="5" t="s">
        <v>32</v>
      </c>
      <c r="AR3" s="5" t="s">
        <v>33</v>
      </c>
      <c r="AS3" s="5" t="s">
        <v>35</v>
      </c>
      <c r="AT3" s="5" t="s">
        <v>37</v>
      </c>
      <c r="AU3" s="5" t="s">
        <v>41</v>
      </c>
      <c r="AV3" s="5" t="s">
        <v>43</v>
      </c>
      <c r="AW3" s="5" t="s">
        <v>45</v>
      </c>
      <c r="AX3" s="5" t="s">
        <v>47</v>
      </c>
      <c r="AY3" s="5" t="s">
        <v>50</v>
      </c>
      <c r="AZ3" s="5" t="s">
        <v>52</v>
      </c>
      <c r="BA3" s="5" t="s">
        <v>54</v>
      </c>
      <c r="BB3" s="5" t="s">
        <v>58</v>
      </c>
      <c r="BC3" s="5" t="s">
        <v>60</v>
      </c>
      <c r="BD3" s="5" t="s">
        <v>62</v>
      </c>
    </row>
    <row r="4" spans="1:56">
      <c r="B4" s="6" t="s">
        <v>77</v>
      </c>
      <c r="AD4" s="6" t="s">
        <v>77</v>
      </c>
    </row>
    <row r="5" spans="1:56">
      <c r="B5" s="19" t="s">
        <v>2</v>
      </c>
      <c r="C5" s="8">
        <v>2402.5563836009997</v>
      </c>
      <c r="D5" s="8">
        <v>2400.1295589710994</v>
      </c>
      <c r="E5" s="8">
        <v>2540.5820344265621</v>
      </c>
      <c r="F5" s="8">
        <v>2599.015421218372</v>
      </c>
      <c r="G5" s="8">
        <v>2515.1762140822966</v>
      </c>
      <c r="H5" s="8">
        <v>2583.7719290118134</v>
      </c>
      <c r="I5" s="8">
        <v>2565.9878547708272</v>
      </c>
      <c r="J5" s="8">
        <v>2522.7979601855759</v>
      </c>
      <c r="K5" s="8">
        <v>2550.7443625642682</v>
      </c>
      <c r="L5" s="8">
        <v>1794.8643286201025</v>
      </c>
      <c r="M5" s="8">
        <v>1763.4672849707713</v>
      </c>
      <c r="N5" s="8">
        <v>1747.7687631461058</v>
      </c>
      <c r="O5" s="8">
        <v>1744.2802027406249</v>
      </c>
      <c r="P5" s="8">
        <v>1794.8643286201025</v>
      </c>
      <c r="Q5" s="8">
        <v>1796.6086088228437</v>
      </c>
      <c r="R5" s="8">
        <v>1732.0702413214401</v>
      </c>
      <c r="S5" s="8">
        <v>2021.7724315157529</v>
      </c>
      <c r="T5" s="8">
        <v>2039.8598588354755</v>
      </c>
      <c r="U5" s="8">
        <v>2023.7821456623881</v>
      </c>
      <c r="V5" s="8">
        <v>2039.8598588354755</v>
      </c>
      <c r="W5" s="8">
        <v>2150.2045412262419</v>
      </c>
      <c r="X5" s="8">
        <v>2079.2957590713513</v>
      </c>
      <c r="Y5" s="8">
        <v>2131.4345694793587</v>
      </c>
      <c r="Z5" s="8">
        <v>2219.1036092344962</v>
      </c>
      <c r="AA5" s="8">
        <v>2236.6980878012714</v>
      </c>
      <c r="AB5" s="8">
        <v>2179.516032459253</v>
      </c>
      <c r="AD5" s="19" t="s">
        <v>2</v>
      </c>
      <c r="AE5" s="7" t="s">
        <v>85</v>
      </c>
      <c r="AF5" s="7" t="s">
        <v>85</v>
      </c>
      <c r="AG5" s="7" t="s">
        <v>83</v>
      </c>
      <c r="AH5" s="7" t="s">
        <v>87</v>
      </c>
      <c r="AI5" s="7" t="s">
        <v>83</v>
      </c>
      <c r="AJ5" s="7" t="s">
        <v>86</v>
      </c>
      <c r="AK5" s="7" t="s">
        <v>83</v>
      </c>
      <c r="AL5" s="7" t="s">
        <v>81</v>
      </c>
      <c r="AM5" s="7" t="s">
        <v>86</v>
      </c>
      <c r="AN5" s="7" t="s">
        <v>79</v>
      </c>
      <c r="AO5" s="7" t="s">
        <v>87</v>
      </c>
      <c r="AP5" s="7" t="s">
        <v>79</v>
      </c>
      <c r="AQ5" s="7" t="s">
        <v>80</v>
      </c>
      <c r="AR5" s="7" t="s">
        <v>80</v>
      </c>
      <c r="AS5" s="7" t="s">
        <v>83</v>
      </c>
      <c r="AT5" s="7" t="s">
        <v>84</v>
      </c>
      <c r="AU5" s="7" t="s">
        <v>80</v>
      </c>
      <c r="AV5" s="7" t="s">
        <v>80</v>
      </c>
      <c r="AW5" s="7" t="s">
        <v>79</v>
      </c>
      <c r="AX5" s="7" t="s">
        <v>82</v>
      </c>
      <c r="AY5" s="7" t="s">
        <v>87</v>
      </c>
      <c r="AZ5" s="7" t="s">
        <v>80</v>
      </c>
      <c r="BA5" s="7" t="s">
        <v>85</v>
      </c>
      <c r="BB5" s="7" t="s">
        <v>84</v>
      </c>
      <c r="BC5" s="7" t="s">
        <v>81</v>
      </c>
      <c r="BD5" s="7" t="s">
        <v>86</v>
      </c>
    </row>
    <row r="6" spans="1:56">
      <c r="B6" s="19" t="s">
        <v>4</v>
      </c>
      <c r="C6" s="8">
        <v>3088.134341547749</v>
      </c>
      <c r="D6" s="8">
        <v>3082.0672799729996</v>
      </c>
      <c r="E6" s="8">
        <v>3172.4664974367743</v>
      </c>
      <c r="F6" s="8">
        <v>3258.4670952588554</v>
      </c>
      <c r="G6" s="8">
        <v>3156.5404608030558</v>
      </c>
      <c r="H6" s="8">
        <v>3252.096680605368</v>
      </c>
      <c r="I6" s="8">
        <v>3159.725668129799</v>
      </c>
      <c r="J6" s="8">
        <v>3274.3931318925743</v>
      </c>
      <c r="K6" s="8">
        <v>3217.0594000111873</v>
      </c>
      <c r="L6" s="8">
        <v>2252.3966096259369</v>
      </c>
      <c r="M6" s="8">
        <v>2291.0741271649686</v>
      </c>
      <c r="N6" s="8">
        <v>2250.1214615354061</v>
      </c>
      <c r="O6" s="8">
        <v>2302.4498676176249</v>
      </c>
      <c r="P6" s="8">
        <v>2302.4498676176249</v>
      </c>
      <c r="Q6" s="8">
        <v>2304.7250157081553</v>
      </c>
      <c r="R6" s="8">
        <v>2279.6983867123117</v>
      </c>
      <c r="S6" s="8">
        <v>2288.7989790744373</v>
      </c>
      <c r="T6" s="8">
        <v>2313.8256080702804</v>
      </c>
      <c r="U6" s="8">
        <v>2284.2486828933747</v>
      </c>
      <c r="V6" s="8">
        <v>2252.3966096259369</v>
      </c>
      <c r="W6" s="8">
        <v>2347.95282942825</v>
      </c>
      <c r="X6" s="8">
        <v>2318.3759042513434</v>
      </c>
      <c r="Y6" s="8">
        <v>2272.8729424407184</v>
      </c>
      <c r="Z6" s="8">
        <v>2256.9469058069999</v>
      </c>
      <c r="AA6" s="8">
        <v>2281.9735348028435</v>
      </c>
      <c r="AB6" s="8">
        <v>2291.0741271649686</v>
      </c>
      <c r="AD6" s="19" t="s">
        <v>4</v>
      </c>
      <c r="AE6" s="7" t="s">
        <v>85</v>
      </c>
      <c r="AF6" s="7" t="s">
        <v>80</v>
      </c>
      <c r="AG6" s="7" t="s">
        <v>79</v>
      </c>
      <c r="AH6" s="7" t="s">
        <v>87</v>
      </c>
      <c r="AI6" s="7" t="s">
        <v>83</v>
      </c>
      <c r="AJ6" s="7" t="s">
        <v>84</v>
      </c>
      <c r="AK6" s="7" t="s">
        <v>87</v>
      </c>
      <c r="AL6" s="7" t="s">
        <v>85</v>
      </c>
      <c r="AM6" s="7" t="s">
        <v>79</v>
      </c>
      <c r="AN6" s="7" t="s">
        <v>79</v>
      </c>
      <c r="AO6" s="7" t="s">
        <v>79</v>
      </c>
      <c r="AP6" s="7" t="s">
        <v>81</v>
      </c>
      <c r="AQ6" s="7" t="s">
        <v>80</v>
      </c>
      <c r="AR6" s="7" t="s">
        <v>87</v>
      </c>
      <c r="AS6" s="7" t="s">
        <v>87</v>
      </c>
      <c r="AT6" s="7" t="s">
        <v>82</v>
      </c>
      <c r="AU6" s="7" t="s">
        <v>85</v>
      </c>
      <c r="AV6" s="7" t="s">
        <v>79</v>
      </c>
      <c r="AW6" s="7" t="s">
        <v>81</v>
      </c>
      <c r="AX6" s="7" t="s">
        <v>80</v>
      </c>
      <c r="AY6" s="7" t="s">
        <v>79</v>
      </c>
      <c r="AZ6" s="7" t="s">
        <v>86</v>
      </c>
      <c r="BA6" s="7" t="s">
        <v>85</v>
      </c>
      <c r="BB6" s="7" t="s">
        <v>84</v>
      </c>
      <c r="BC6" s="7" t="s">
        <v>79</v>
      </c>
      <c r="BD6" s="7" t="s">
        <v>86</v>
      </c>
    </row>
    <row r="7" spans="1:56">
      <c r="B7" s="19" t="s">
        <v>6</v>
      </c>
      <c r="C7" s="8">
        <v>4720.7806113129736</v>
      </c>
      <c r="D7" s="8">
        <v>4800.7141475603048</v>
      </c>
      <c r="E7" s="8">
        <v>4949.2054796023122</v>
      </c>
      <c r="F7" s="8">
        <v>4880.19265418953</v>
      </c>
      <c r="G7" s="8">
        <v>4875.2631666600455</v>
      </c>
      <c r="H7" s="8">
        <v>4885.1221417190136</v>
      </c>
      <c r="I7" s="8">
        <v>4939.3465045433413</v>
      </c>
      <c r="J7" s="8">
        <v>5003.429842426639</v>
      </c>
      <c r="K7" s="8">
        <v>5067.5131803099357</v>
      </c>
      <c r="L7" s="8">
        <v>3544.3773719689489</v>
      </c>
      <c r="M7" s="8">
        <v>3512.9803283196179</v>
      </c>
      <c r="N7" s="8">
        <v>3502.5146471031744</v>
      </c>
      <c r="O7" s="8">
        <v>3446.6976806154735</v>
      </c>
      <c r="P7" s="8">
        <v>3443.2091202099923</v>
      </c>
      <c r="Q7" s="8">
        <v>3544.3773719689489</v>
      </c>
      <c r="R7" s="8">
        <v>3558.3316135908749</v>
      </c>
      <c r="S7" s="8">
        <v>3509.4917679141367</v>
      </c>
      <c r="T7" s="8">
        <v>3593.2172176456875</v>
      </c>
      <c r="U7" s="8">
        <v>3509.4917679141367</v>
      </c>
      <c r="V7" s="8">
        <v>3526.9345699415426</v>
      </c>
      <c r="W7" s="8">
        <v>3547.8659323744296</v>
      </c>
      <c r="X7" s="8">
        <v>3467.6290430483614</v>
      </c>
      <c r="Y7" s="8">
        <v>3526.9345699415426</v>
      </c>
      <c r="Z7" s="8">
        <v>3600.1943384566498</v>
      </c>
      <c r="AA7" s="8">
        <v>3460.651922237399</v>
      </c>
      <c r="AB7" s="8">
        <v>3523.4460095360619</v>
      </c>
      <c r="AD7" s="19" t="s">
        <v>6</v>
      </c>
      <c r="AE7" s="7" t="s">
        <v>81</v>
      </c>
      <c r="AF7" s="7" t="s">
        <v>87</v>
      </c>
      <c r="AG7" s="7" t="s">
        <v>80</v>
      </c>
      <c r="AH7" s="7" t="s">
        <v>86</v>
      </c>
      <c r="AI7" s="7" t="s">
        <v>87</v>
      </c>
      <c r="AJ7" s="7" t="s">
        <v>86</v>
      </c>
      <c r="AK7" s="7" t="s">
        <v>81</v>
      </c>
      <c r="AL7" s="7" t="s">
        <v>83</v>
      </c>
      <c r="AM7" s="7" t="s">
        <v>79</v>
      </c>
      <c r="AN7" s="7" t="s">
        <v>84</v>
      </c>
      <c r="AO7" s="7" t="s">
        <v>84</v>
      </c>
      <c r="AP7" s="7" t="s">
        <v>82</v>
      </c>
      <c r="AQ7" s="7" t="s">
        <v>83</v>
      </c>
      <c r="AR7" s="7" t="s">
        <v>83</v>
      </c>
      <c r="AS7" s="7" t="s">
        <v>79</v>
      </c>
      <c r="AT7" s="7" t="s">
        <v>83</v>
      </c>
      <c r="AU7" s="7" t="s">
        <v>83</v>
      </c>
      <c r="AV7" s="7" t="s">
        <v>87</v>
      </c>
      <c r="AW7" s="7" t="s">
        <v>87</v>
      </c>
      <c r="AX7" s="7" t="s">
        <v>85</v>
      </c>
      <c r="AY7" s="7" t="s">
        <v>85</v>
      </c>
      <c r="AZ7" s="7" t="s">
        <v>80</v>
      </c>
      <c r="BA7" s="7" t="s">
        <v>86</v>
      </c>
      <c r="BB7" s="7" t="s">
        <v>81</v>
      </c>
      <c r="BC7" s="7" t="s">
        <v>85</v>
      </c>
      <c r="BD7" s="7" t="s">
        <v>86</v>
      </c>
    </row>
    <row r="8" spans="1:56">
      <c r="B8" s="19" t="s">
        <v>8</v>
      </c>
      <c r="C8" s="8">
        <v>5591.4039472895993</v>
      </c>
      <c r="D8" s="8">
        <v>5433.0536401886247</v>
      </c>
      <c r="E8" s="8">
        <v>5824.3791117599994</v>
      </c>
      <c r="F8" s="8">
        <v>5716.3095774597632</v>
      </c>
      <c r="G8" s="8">
        <v>5653.7430049701543</v>
      </c>
      <c r="H8" s="8">
        <v>5807.3155010810133</v>
      </c>
      <c r="I8" s="8">
        <v>5733.3731881387484</v>
      </c>
      <c r="J8" s="8">
        <v>5693.5580965544505</v>
      </c>
      <c r="K8" s="8">
        <v>5665.1187454228102</v>
      </c>
      <c r="L8" s="8">
        <v>4038.2361841535985</v>
      </c>
      <c r="M8" s="8">
        <v>4018.5182340356619</v>
      </c>
      <c r="N8" s="8">
        <v>3900.210533328036</v>
      </c>
      <c r="O8" s="8">
        <v>3994.8566938941362</v>
      </c>
      <c r="P8" s="8">
        <v>3983.0259238233734</v>
      </c>
      <c r="Q8" s="8">
        <v>4022.461824059249</v>
      </c>
      <c r="R8" s="8">
        <v>4006.6874639648986</v>
      </c>
      <c r="S8" s="8">
        <v>3931.759253516736</v>
      </c>
      <c r="T8" s="8">
        <v>3959.3643836818487</v>
      </c>
      <c r="U8" s="8">
        <v>3904.1541233516241</v>
      </c>
      <c r="V8" s="8">
        <v>3986.9695138469615</v>
      </c>
      <c r="W8" s="8">
        <v>3955.4207936582607</v>
      </c>
      <c r="X8" s="8">
        <v>3923.8720734695617</v>
      </c>
      <c r="Y8" s="8">
        <v>3986.9695138469615</v>
      </c>
      <c r="Z8" s="8">
        <v>4061.8977242951232</v>
      </c>
      <c r="AA8" s="8">
        <v>4010.6310539884848</v>
      </c>
      <c r="AB8" s="8">
        <v>4057.9541342715361</v>
      </c>
      <c r="AD8" s="19" t="s">
        <v>8</v>
      </c>
      <c r="AE8" s="7" t="s">
        <v>83</v>
      </c>
      <c r="AF8" s="7" t="s">
        <v>85</v>
      </c>
      <c r="AG8" s="7" t="s">
        <v>81</v>
      </c>
      <c r="AH8" s="7" t="s">
        <v>85</v>
      </c>
      <c r="AI8" s="7" t="s">
        <v>84</v>
      </c>
      <c r="AJ8" s="7" t="s">
        <v>82</v>
      </c>
      <c r="AK8" s="7" t="s">
        <v>79</v>
      </c>
      <c r="AL8" s="7" t="s">
        <v>80</v>
      </c>
      <c r="AM8" s="7" t="s">
        <v>81</v>
      </c>
      <c r="AN8" s="7" t="s">
        <v>87</v>
      </c>
      <c r="AO8" s="7" t="s">
        <v>85</v>
      </c>
      <c r="AP8" s="7" t="s">
        <v>87</v>
      </c>
      <c r="AQ8" s="7" t="s">
        <v>79</v>
      </c>
      <c r="AR8" s="7" t="s">
        <v>82</v>
      </c>
      <c r="AS8" s="7" t="s">
        <v>81</v>
      </c>
      <c r="AT8" s="7" t="s">
        <v>83</v>
      </c>
      <c r="AU8" s="7" t="s">
        <v>79</v>
      </c>
      <c r="AV8" s="7" t="s">
        <v>85</v>
      </c>
      <c r="AW8" s="7" t="s">
        <v>79</v>
      </c>
      <c r="AX8" s="7" t="s">
        <v>85</v>
      </c>
      <c r="AY8" s="7" t="s">
        <v>80</v>
      </c>
      <c r="AZ8" s="7" t="s">
        <v>79</v>
      </c>
      <c r="BA8" s="7" t="s">
        <v>82</v>
      </c>
      <c r="BB8" s="7" t="s">
        <v>84</v>
      </c>
      <c r="BC8" s="7" t="s">
        <v>87</v>
      </c>
      <c r="BD8" s="7" t="s">
        <v>87</v>
      </c>
    </row>
    <row r="9" spans="1:56">
      <c r="B9" s="19" t="s">
        <v>10</v>
      </c>
      <c r="C9" s="8">
        <v>2134.088908918312</v>
      </c>
      <c r="D9" s="8">
        <v>2191.4226407996998</v>
      </c>
      <c r="E9" s="8">
        <v>2286.5238309839056</v>
      </c>
      <c r="F9" s="8">
        <v>2345.6776813377178</v>
      </c>
      <c r="G9" s="8">
        <v>2347.95282942825</v>
      </c>
      <c r="H9" s="8">
        <v>2343.4025332471874</v>
      </c>
      <c r="I9" s="8">
        <v>2343.4025332471874</v>
      </c>
      <c r="J9" s="8">
        <v>2256.9469058069999</v>
      </c>
      <c r="K9" s="8">
        <v>2309.2753118892183</v>
      </c>
      <c r="L9" s="8">
        <v>1536.483343805437</v>
      </c>
      <c r="M9" s="8">
        <v>1544.0671707738745</v>
      </c>
      <c r="N9" s="8">
        <v>1541.0336399864998</v>
      </c>
      <c r="O9" s="8">
        <v>1501.5977397506247</v>
      </c>
      <c r="P9" s="8">
        <v>1498.5642089632495</v>
      </c>
      <c r="Q9" s="8">
        <v>1503.1145051443123</v>
      </c>
      <c r="R9" s="8">
        <v>1507.6648013253748</v>
      </c>
      <c r="S9" s="8">
        <v>1525.8659860496248</v>
      </c>
      <c r="T9" s="8">
        <v>1510.6983321127498</v>
      </c>
      <c r="U9" s="8">
        <v>1531.9330476243747</v>
      </c>
      <c r="V9" s="8">
        <v>1497.0474435695621</v>
      </c>
      <c r="W9" s="8">
        <v>1538.0001091991248</v>
      </c>
      <c r="X9" s="8">
        <v>1509.1815667190622</v>
      </c>
      <c r="Y9" s="8">
        <v>1504.6312705379999</v>
      </c>
      <c r="Z9" s="8">
        <v>1513.7318629001247</v>
      </c>
      <c r="AA9" s="8">
        <v>1565.3018862854994</v>
      </c>
      <c r="AB9" s="8">
        <v>1538.0001091991248</v>
      </c>
      <c r="AD9" s="19" t="s">
        <v>10</v>
      </c>
      <c r="AE9" s="7" t="s">
        <v>81</v>
      </c>
      <c r="AF9" s="7" t="s">
        <v>83</v>
      </c>
      <c r="AG9" s="7" t="s">
        <v>86</v>
      </c>
      <c r="AH9" s="7" t="s">
        <v>82</v>
      </c>
      <c r="AI9" s="7" t="s">
        <v>84</v>
      </c>
      <c r="AJ9" s="7" t="s">
        <v>85</v>
      </c>
      <c r="AK9" s="7" t="s">
        <v>86</v>
      </c>
      <c r="AL9" s="7" t="s">
        <v>86</v>
      </c>
      <c r="AM9" s="7" t="s">
        <v>87</v>
      </c>
      <c r="AN9" s="7" t="s">
        <v>84</v>
      </c>
      <c r="AO9" s="7" t="s">
        <v>85</v>
      </c>
      <c r="AP9" s="7" t="s">
        <v>85</v>
      </c>
      <c r="AQ9" s="7" t="s">
        <v>82</v>
      </c>
      <c r="AR9" s="7" t="s">
        <v>83</v>
      </c>
      <c r="AS9" s="7" t="s">
        <v>82</v>
      </c>
      <c r="AT9" s="7" t="s">
        <v>80</v>
      </c>
      <c r="AU9" s="7" t="s">
        <v>81</v>
      </c>
      <c r="AV9" s="7" t="s">
        <v>86</v>
      </c>
      <c r="AW9" s="7" t="s">
        <v>84</v>
      </c>
      <c r="AX9" s="7" t="s">
        <v>80</v>
      </c>
      <c r="AY9" s="7" t="s">
        <v>86</v>
      </c>
      <c r="AZ9" s="7" t="s">
        <v>82</v>
      </c>
      <c r="BA9" s="7" t="s">
        <v>84</v>
      </c>
      <c r="BB9" s="7" t="s">
        <v>86</v>
      </c>
      <c r="BC9" s="7" t="s">
        <v>86</v>
      </c>
      <c r="BD9" s="7" t="s">
        <v>85</v>
      </c>
    </row>
    <row r="10" spans="1:56">
      <c r="B10" s="19" t="s">
        <v>12</v>
      </c>
      <c r="C10" s="8">
        <v>11688.781737689389</v>
      </c>
      <c r="D10" s="8">
        <v>11794.297320075757</v>
      </c>
      <c r="E10" s="8">
        <v>12593.089358585854</v>
      </c>
      <c r="F10" s="8">
        <v>12868.211469696966</v>
      </c>
      <c r="G10" s="8">
        <v>12493.044954545452</v>
      </c>
      <c r="H10" s="8">
        <v>12868.211469696966</v>
      </c>
      <c r="I10" s="8">
        <v>12543.067156565652</v>
      </c>
      <c r="J10" s="8">
        <v>12355.483898989896</v>
      </c>
      <c r="K10" s="8">
        <v>12568.078257575755</v>
      </c>
      <c r="L10" s="8">
        <v>7761.2572821969688</v>
      </c>
      <c r="M10" s="8">
        <v>7917.5766635100981</v>
      </c>
      <c r="N10" s="8">
        <v>7987.9203851010088</v>
      </c>
      <c r="O10" s="8">
        <v>8058.2641066919159</v>
      </c>
      <c r="P10" s="8">
        <v>7894.1287563131291</v>
      </c>
      <c r="Q10" s="8">
        <v>7948.8405397727256</v>
      </c>
      <c r="R10" s="8">
        <v>7878.4968181818158</v>
      </c>
      <c r="S10" s="8">
        <v>7909.7606944444433</v>
      </c>
      <c r="T10" s="8">
        <v>7980.1044160353504</v>
      </c>
      <c r="U10" s="8">
        <v>7941.024570707069</v>
      </c>
      <c r="V10" s="8">
        <v>7722.1774368686847</v>
      </c>
      <c r="W10" s="8">
        <v>8019.1842613636345</v>
      </c>
      <c r="X10" s="8">
        <v>8058.2641066919159</v>
      </c>
      <c r="Y10" s="8">
        <v>7808.1530965909069</v>
      </c>
      <c r="Z10" s="8">
        <v>7987.9203851010088</v>
      </c>
      <c r="AA10" s="8">
        <v>7917.5766635100981</v>
      </c>
      <c r="AB10" s="8">
        <v>7761.2572821969688</v>
      </c>
      <c r="AD10" s="19" t="s">
        <v>12</v>
      </c>
      <c r="AE10" s="7" t="s">
        <v>80</v>
      </c>
      <c r="AF10" s="7" t="s">
        <v>82</v>
      </c>
      <c r="AG10" s="7" t="s">
        <v>79</v>
      </c>
      <c r="AH10" s="7" t="s">
        <v>82</v>
      </c>
      <c r="AI10" s="7" t="s">
        <v>82</v>
      </c>
      <c r="AJ10" s="7" t="s">
        <v>81</v>
      </c>
      <c r="AK10" s="7" t="s">
        <v>87</v>
      </c>
      <c r="AL10" s="7" t="s">
        <v>81</v>
      </c>
      <c r="AM10" s="7" t="s">
        <v>80</v>
      </c>
      <c r="AN10" s="7" t="s">
        <v>82</v>
      </c>
      <c r="AO10" s="7" t="s">
        <v>81</v>
      </c>
      <c r="AP10" s="7" t="s">
        <v>82</v>
      </c>
      <c r="AQ10" s="7" t="s">
        <v>80</v>
      </c>
      <c r="AR10" s="7" t="s">
        <v>82</v>
      </c>
      <c r="AS10" s="7" t="s">
        <v>79</v>
      </c>
      <c r="AT10" s="7" t="s">
        <v>79</v>
      </c>
      <c r="AU10" s="7" t="s">
        <v>79</v>
      </c>
      <c r="AV10" s="7" t="s">
        <v>85</v>
      </c>
      <c r="AW10" s="7" t="s">
        <v>82</v>
      </c>
      <c r="AX10" s="7" t="s">
        <v>83</v>
      </c>
      <c r="AY10" s="7" t="s">
        <v>84</v>
      </c>
      <c r="AZ10" s="7" t="s">
        <v>84</v>
      </c>
      <c r="BA10" s="7" t="s">
        <v>84</v>
      </c>
      <c r="BB10" s="7" t="s">
        <v>83</v>
      </c>
      <c r="BC10" s="7" t="s">
        <v>83</v>
      </c>
      <c r="BD10" s="7" t="s">
        <v>79</v>
      </c>
    </row>
    <row r="11" spans="1:56">
      <c r="B11" s="19" t="s">
        <v>14</v>
      </c>
      <c r="C11" s="8">
        <v>2369.7942510973489</v>
      </c>
      <c r="D11" s="8">
        <v>2407.4100328607997</v>
      </c>
      <c r="E11" s="8">
        <v>2492.3488949072994</v>
      </c>
      <c r="F11" s="8">
        <v>2499.6293687969996</v>
      </c>
      <c r="G11" s="8">
        <v>2421.9709806401997</v>
      </c>
      <c r="H11" s="8">
        <v>2426.8246298999993</v>
      </c>
      <c r="I11" s="8">
        <v>2407.4100328607997</v>
      </c>
      <c r="J11" s="8">
        <v>2429.2514545298995</v>
      </c>
      <c r="K11" s="8">
        <v>2451.0928761989994</v>
      </c>
      <c r="L11" s="8">
        <v>1656.762839524856</v>
      </c>
      <c r="M11" s="8">
        <v>1685.1263523868117</v>
      </c>
      <c r="N11" s="8">
        <v>1655.0943975917994</v>
      </c>
      <c r="O11" s="8">
        <v>1660.0997233909682</v>
      </c>
      <c r="P11" s="8">
        <v>1708.4845394495994</v>
      </c>
      <c r="Q11" s="8">
        <v>1725.1689587801616</v>
      </c>
      <c r="R11" s="8">
        <v>1655.0943975917994</v>
      </c>
      <c r="S11" s="8">
        <v>1681.7894685206998</v>
      </c>
      <c r="T11" s="8">
        <v>1666.7734911231933</v>
      </c>
      <c r="U11" s="8">
        <v>1720.163632980993</v>
      </c>
      <c r="V11" s="8">
        <v>1650.0890717926306</v>
      </c>
      <c r="W11" s="8">
        <v>1703.4792136504307</v>
      </c>
      <c r="X11" s="8">
        <v>1675.1157007884742</v>
      </c>
      <c r="Y11" s="8">
        <v>1700.142329784318</v>
      </c>
      <c r="Z11" s="8">
        <v>1711.8214233157121</v>
      </c>
      <c r="AA11" s="8">
        <v>1691.8001201190373</v>
      </c>
      <c r="AB11" s="8">
        <v>1696.8054459182058</v>
      </c>
      <c r="AD11" s="19" t="s">
        <v>14</v>
      </c>
      <c r="AE11" s="7" t="s">
        <v>84</v>
      </c>
      <c r="AF11" s="7" t="s">
        <v>83</v>
      </c>
      <c r="AG11" s="7" t="s">
        <v>80</v>
      </c>
      <c r="AH11" s="7" t="s">
        <v>80</v>
      </c>
      <c r="AI11" s="7" t="s">
        <v>86</v>
      </c>
      <c r="AJ11" s="7" t="s">
        <v>80</v>
      </c>
      <c r="AK11" s="7" t="s">
        <v>84</v>
      </c>
      <c r="AL11" s="7" t="s">
        <v>80</v>
      </c>
      <c r="AM11" s="7" t="s">
        <v>83</v>
      </c>
      <c r="AN11" s="7" t="s">
        <v>82</v>
      </c>
      <c r="AO11" s="7" t="s">
        <v>87</v>
      </c>
      <c r="AP11" s="7" t="s">
        <v>81</v>
      </c>
      <c r="AQ11" s="7" t="s">
        <v>81</v>
      </c>
      <c r="AR11" s="7" t="s">
        <v>84</v>
      </c>
      <c r="AS11" s="7" t="s">
        <v>85</v>
      </c>
      <c r="AT11" s="7" t="s">
        <v>82</v>
      </c>
      <c r="AU11" s="7" t="s">
        <v>79</v>
      </c>
      <c r="AV11" s="7" t="s">
        <v>83</v>
      </c>
      <c r="AW11" s="7" t="s">
        <v>83</v>
      </c>
      <c r="AX11" s="7" t="s">
        <v>81</v>
      </c>
      <c r="AY11" s="7" t="s">
        <v>82</v>
      </c>
      <c r="AZ11" s="7" t="s">
        <v>81</v>
      </c>
      <c r="BA11" s="7" t="s">
        <v>85</v>
      </c>
      <c r="BB11" s="7" t="s">
        <v>87</v>
      </c>
      <c r="BC11" s="7" t="s">
        <v>82</v>
      </c>
      <c r="BD11" s="7" t="s">
        <v>80</v>
      </c>
    </row>
    <row r="12" spans="1:56">
      <c r="C12" s="33"/>
    </row>
    <row r="15" spans="1:56">
      <c r="C15" s="5" t="s">
        <v>5</v>
      </c>
      <c r="D15" s="5" t="s">
        <v>7</v>
      </c>
      <c r="E15" s="5" t="s">
        <v>11</v>
      </c>
      <c r="F15" s="5" t="s">
        <v>13</v>
      </c>
      <c r="G15" s="5" t="s">
        <v>15</v>
      </c>
      <c r="H15" s="5" t="s">
        <v>16</v>
      </c>
      <c r="I15" s="5" t="s">
        <v>18</v>
      </c>
      <c r="J15" s="5" t="s">
        <v>20</v>
      </c>
      <c r="K15" s="5" t="s">
        <v>22</v>
      </c>
      <c r="L15" s="5" t="s">
        <v>26</v>
      </c>
      <c r="M15" s="5" t="s">
        <v>28</v>
      </c>
      <c r="N15" s="5" t="s">
        <v>30</v>
      </c>
      <c r="O15" s="5" t="s">
        <v>32</v>
      </c>
      <c r="P15" s="5" t="s">
        <v>33</v>
      </c>
      <c r="Q15" s="5" t="s">
        <v>35</v>
      </c>
      <c r="R15" s="5" t="s">
        <v>37</v>
      </c>
      <c r="S15" s="5" t="s">
        <v>41</v>
      </c>
      <c r="T15" s="5" t="s">
        <v>43</v>
      </c>
      <c r="U15" s="5" t="s">
        <v>45</v>
      </c>
      <c r="V15" s="5" t="s">
        <v>47</v>
      </c>
      <c r="W15" s="5" t="s">
        <v>50</v>
      </c>
      <c r="X15" s="5" t="s">
        <v>52</v>
      </c>
      <c r="Y15" s="5" t="s">
        <v>54</v>
      </c>
      <c r="Z15" s="5" t="s">
        <v>58</v>
      </c>
      <c r="AA15" s="5" t="s">
        <v>60</v>
      </c>
      <c r="AB15" s="5" t="s">
        <v>62</v>
      </c>
    </row>
    <row r="16" spans="1:56">
      <c r="B16" s="9" t="s">
        <v>77</v>
      </c>
    </row>
    <row r="17" spans="2:28">
      <c r="B17" s="9" t="s">
        <v>78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2:28">
      <c r="B18" s="19" t="s">
        <v>2</v>
      </c>
      <c r="C18" s="23">
        <v>0.1744</v>
      </c>
      <c r="D18" s="23">
        <v>0.16340000000000002</v>
      </c>
      <c r="E18" s="23">
        <v>0.1918</v>
      </c>
      <c r="F18" s="23">
        <v>0.17430000000000001</v>
      </c>
      <c r="G18" s="23">
        <v>0.16700000000000001</v>
      </c>
      <c r="H18" s="23">
        <v>0.15770000000000001</v>
      </c>
      <c r="I18" s="23">
        <v>0.1661</v>
      </c>
      <c r="J18" s="23">
        <v>0.1701</v>
      </c>
      <c r="K18" s="23">
        <v>0.188</v>
      </c>
      <c r="L18" s="23">
        <v>0.159</v>
      </c>
      <c r="M18" s="23">
        <v>0.19090000000000001</v>
      </c>
      <c r="N18" s="23">
        <v>0.17220000000000002</v>
      </c>
      <c r="O18" s="23">
        <v>0.1731</v>
      </c>
      <c r="P18" s="23">
        <v>0.18510000000000001</v>
      </c>
      <c r="Q18" s="23">
        <v>0.16840000000000002</v>
      </c>
      <c r="R18" s="23">
        <v>0.18940000000000001</v>
      </c>
      <c r="S18" s="23">
        <v>0.16790000000000002</v>
      </c>
      <c r="T18" s="23">
        <v>0.18560000000000001</v>
      </c>
      <c r="U18" s="23">
        <v>0.18150000000000002</v>
      </c>
      <c r="V18" s="23">
        <v>0.18530000000000002</v>
      </c>
      <c r="W18" s="23">
        <v>0.17150000000000001</v>
      </c>
      <c r="X18" s="23">
        <v>0.1772</v>
      </c>
      <c r="Y18" s="23">
        <v>0.18110000000000001</v>
      </c>
      <c r="Z18" s="23">
        <v>0.15840000000000001</v>
      </c>
      <c r="AA18" s="23">
        <v>0.16390000000000002</v>
      </c>
      <c r="AB18" s="23">
        <v>0.1706</v>
      </c>
    </row>
    <row r="19" spans="2:28">
      <c r="B19" s="19" t="s">
        <v>4</v>
      </c>
      <c r="C19" s="23">
        <v>0.16869999999999999</v>
      </c>
      <c r="D19" s="23">
        <v>0.17809999999999998</v>
      </c>
      <c r="E19" s="23">
        <v>0.1865</v>
      </c>
      <c r="F19" s="23">
        <v>0.1754</v>
      </c>
      <c r="G19" s="23">
        <v>0.17069999999999999</v>
      </c>
      <c r="H19" s="23">
        <v>0.17259999999999998</v>
      </c>
      <c r="I19" s="23">
        <v>0.17409999999999998</v>
      </c>
      <c r="J19" s="23">
        <v>0.19819999999999999</v>
      </c>
      <c r="K19" s="23">
        <v>0.1706</v>
      </c>
      <c r="L19" s="23">
        <v>0.1764</v>
      </c>
      <c r="M19" s="23">
        <v>0.18389999999999998</v>
      </c>
      <c r="N19" s="23">
        <v>0.16819999999999999</v>
      </c>
      <c r="O19" s="23">
        <v>0.17679999999999998</v>
      </c>
      <c r="P19" s="23">
        <v>0.18669999999999998</v>
      </c>
      <c r="Q19" s="23">
        <v>0.183</v>
      </c>
      <c r="R19" s="23">
        <v>0.17979999999999999</v>
      </c>
      <c r="S19" s="23">
        <v>0.16649999999999998</v>
      </c>
      <c r="T19" s="23">
        <v>0.17929999999999999</v>
      </c>
      <c r="U19" s="23">
        <v>0.19719999999999999</v>
      </c>
      <c r="V19" s="23">
        <v>0.186</v>
      </c>
      <c r="W19" s="23">
        <v>0.19639999999999999</v>
      </c>
      <c r="X19" s="23">
        <v>0.1789</v>
      </c>
      <c r="Y19" s="23">
        <v>0.18279999999999999</v>
      </c>
      <c r="Z19" s="23">
        <v>0.17529999999999998</v>
      </c>
      <c r="AA19" s="23">
        <v>0.19999999999999998</v>
      </c>
      <c r="AB19" s="23">
        <v>0.1769</v>
      </c>
    </row>
    <row r="20" spans="2:28">
      <c r="B20" s="19" t="s">
        <v>6</v>
      </c>
      <c r="C20" s="23">
        <v>0.19850000000000001</v>
      </c>
      <c r="D20" s="23">
        <v>0.1694</v>
      </c>
      <c r="E20" s="23">
        <v>0.18340000000000001</v>
      </c>
      <c r="F20" s="23">
        <v>0.1767</v>
      </c>
      <c r="G20" s="23">
        <v>0.1807</v>
      </c>
      <c r="H20" s="23">
        <v>0.18030000000000002</v>
      </c>
      <c r="I20" s="23">
        <v>0.16770000000000002</v>
      </c>
      <c r="J20" s="23">
        <v>0.1678</v>
      </c>
      <c r="K20" s="23">
        <v>0.19450000000000001</v>
      </c>
      <c r="L20" s="23">
        <v>0.17580000000000001</v>
      </c>
      <c r="M20" s="23">
        <v>0.17</v>
      </c>
      <c r="N20" s="23">
        <v>0.17900000000000002</v>
      </c>
      <c r="O20" s="23">
        <v>0.1678</v>
      </c>
      <c r="P20" s="23">
        <v>0.17420000000000002</v>
      </c>
      <c r="Q20" s="23">
        <v>0.19890000000000002</v>
      </c>
      <c r="R20" s="23">
        <v>0.1963</v>
      </c>
      <c r="S20" s="23">
        <v>0.1711</v>
      </c>
      <c r="T20" s="23">
        <v>0.1784</v>
      </c>
      <c r="U20" s="23">
        <v>0.19170000000000001</v>
      </c>
      <c r="V20" s="23">
        <v>0.19600000000000001</v>
      </c>
      <c r="W20" s="23">
        <v>0.1777</v>
      </c>
      <c r="X20" s="23">
        <v>0.18290000000000001</v>
      </c>
      <c r="Y20" s="23">
        <v>0.19</v>
      </c>
      <c r="Z20" s="23">
        <v>0.19980000000000001</v>
      </c>
      <c r="AA20" s="23">
        <v>0.18060000000000001</v>
      </c>
      <c r="AB20" s="23">
        <v>0.1686</v>
      </c>
    </row>
    <row r="21" spans="2:28">
      <c r="B21" s="19" t="s">
        <v>8</v>
      </c>
      <c r="C21" s="23">
        <v>0.11680000000000001</v>
      </c>
      <c r="D21" s="23">
        <v>0.1275</v>
      </c>
      <c r="E21" s="23">
        <v>0.1464</v>
      </c>
      <c r="F21" s="23">
        <v>0.14380000000000001</v>
      </c>
      <c r="G21" s="23">
        <v>0.14800000000000002</v>
      </c>
      <c r="H21" s="23">
        <v>0.1346</v>
      </c>
      <c r="I21" s="23">
        <v>0.1467</v>
      </c>
      <c r="J21" s="23">
        <v>0.12380000000000001</v>
      </c>
      <c r="K21" s="23">
        <v>0.13490000000000002</v>
      </c>
      <c r="L21" s="23">
        <v>0.14850000000000002</v>
      </c>
      <c r="M21" s="23">
        <v>0.1242</v>
      </c>
      <c r="N21" s="23">
        <v>0.1391</v>
      </c>
      <c r="O21" s="23">
        <v>0.1255</v>
      </c>
      <c r="P21" s="23">
        <v>0.12720000000000001</v>
      </c>
      <c r="Q21" s="23">
        <v>0.14850000000000002</v>
      </c>
      <c r="R21" s="23">
        <v>0.14080000000000001</v>
      </c>
      <c r="S21" s="23">
        <v>0.13220000000000001</v>
      </c>
      <c r="T21" s="23">
        <v>0.13950000000000001</v>
      </c>
      <c r="U21" s="23">
        <v>0.13720000000000002</v>
      </c>
      <c r="V21" s="23">
        <v>0.12870000000000001</v>
      </c>
      <c r="W21" s="23">
        <v>0.1331</v>
      </c>
      <c r="X21" s="23">
        <v>0.1198</v>
      </c>
      <c r="Y21" s="23">
        <v>0.12610000000000002</v>
      </c>
      <c r="Z21" s="23">
        <v>0.1479</v>
      </c>
      <c r="AA21" s="23">
        <v>0.1241</v>
      </c>
      <c r="AB21" s="23">
        <v>0.12720000000000001</v>
      </c>
    </row>
    <row r="22" spans="2:28">
      <c r="B22" s="19" t="s">
        <v>10</v>
      </c>
      <c r="C22" s="23">
        <v>0.13250000000000001</v>
      </c>
      <c r="D22" s="23">
        <v>0.125</v>
      </c>
      <c r="E22" s="23">
        <v>0.10479999999999999</v>
      </c>
      <c r="F22" s="23">
        <v>0.11639999999999999</v>
      </c>
      <c r="G22" s="23">
        <v>0.1182</v>
      </c>
      <c r="H22" s="23">
        <v>0.1221</v>
      </c>
      <c r="I22" s="23">
        <v>0.13009999999999999</v>
      </c>
      <c r="J22" s="23">
        <v>0.12559999999999999</v>
      </c>
      <c r="K22" s="23">
        <v>0.129</v>
      </c>
      <c r="L22" s="23">
        <v>0.10669999999999999</v>
      </c>
      <c r="M22" s="23">
        <v>0.1202</v>
      </c>
      <c r="N22" s="23">
        <v>0.11609999999999999</v>
      </c>
      <c r="O22" s="23">
        <v>0.12959999999999999</v>
      </c>
      <c r="P22" s="23">
        <v>0.1132</v>
      </c>
      <c r="Q22" s="23">
        <v>0.1154</v>
      </c>
      <c r="R22" s="23">
        <v>0.10869999999999999</v>
      </c>
      <c r="S22" s="23">
        <v>0.13</v>
      </c>
      <c r="T22" s="23">
        <v>0.1047</v>
      </c>
      <c r="U22" s="23">
        <v>0.10589999999999999</v>
      </c>
      <c r="V22" s="23">
        <v>0.1147</v>
      </c>
      <c r="W22" s="23">
        <v>0.10009999999999999</v>
      </c>
      <c r="X22" s="23">
        <v>0.12139999999999999</v>
      </c>
      <c r="Y22" s="23">
        <v>0.10249999999999999</v>
      </c>
      <c r="Z22" s="23">
        <v>0.1037</v>
      </c>
      <c r="AA22" s="23">
        <v>0.12589999999999998</v>
      </c>
      <c r="AB22" s="23">
        <v>0.1051</v>
      </c>
    </row>
    <row r="23" spans="2:28">
      <c r="B23" s="19" t="s">
        <v>12</v>
      </c>
      <c r="C23" s="23">
        <v>5.8700000000000002E-2</v>
      </c>
      <c r="D23" s="23">
        <v>4.9800000000000011E-2</v>
      </c>
      <c r="E23" s="23">
        <v>5.4100000000000002E-2</v>
      </c>
      <c r="F23" s="23">
        <v>5.8400000000000001E-2</v>
      </c>
      <c r="G23" s="23">
        <v>5.8900000000000001E-2</v>
      </c>
      <c r="H23" s="23">
        <v>5.5600000000000004E-2</v>
      </c>
      <c r="I23" s="23">
        <v>5.11E-2</v>
      </c>
      <c r="J23" s="23">
        <v>5.8299999999999998E-2</v>
      </c>
      <c r="K23" s="23">
        <v>5.3299999999999993E-2</v>
      </c>
      <c r="L23" s="23">
        <v>4.9099999999999998E-2</v>
      </c>
      <c r="M23" s="23">
        <v>5.3300000000000014E-2</v>
      </c>
      <c r="N23" s="23">
        <v>4.8399999999999999E-2</v>
      </c>
      <c r="O23" s="23">
        <v>5.8799999999999991E-2</v>
      </c>
      <c r="P23" s="23">
        <v>5.6399999999999999E-2</v>
      </c>
      <c r="Q23" s="23">
        <v>5.1799999999999999E-2</v>
      </c>
      <c r="R23" s="23">
        <v>5.91E-2</v>
      </c>
      <c r="S23" s="23">
        <v>4.9699999999999994E-2</v>
      </c>
      <c r="T23" s="23">
        <v>5.79E-2</v>
      </c>
      <c r="U23" s="23">
        <v>4.8400000000000012E-2</v>
      </c>
      <c r="V23" s="23">
        <v>5.2600000000000001E-2</v>
      </c>
      <c r="W23" s="23">
        <v>5.7000000000000009E-2</v>
      </c>
      <c r="X23" s="23">
        <v>4.9100000000000005E-2</v>
      </c>
      <c r="Y23" s="23">
        <v>5.6599999999999998E-2</v>
      </c>
      <c r="Z23" s="23">
        <v>5.0599999999999992E-2</v>
      </c>
      <c r="AA23" s="23">
        <v>4.830000000000001E-2</v>
      </c>
      <c r="AB23" s="23">
        <v>5.5799999999999995E-2</v>
      </c>
    </row>
    <row r="24" spans="2:28">
      <c r="B24" s="19" t="s">
        <v>14</v>
      </c>
      <c r="C24" s="23">
        <f>1-SUM(C18:C23)</f>
        <v>0.15040000000000009</v>
      </c>
      <c r="D24" s="23">
        <f t="shared" ref="D24" si="1">1-SUM(D18:D23)</f>
        <v>0.18679999999999986</v>
      </c>
      <c r="E24" s="23">
        <f t="shared" ref="E24" si="2">1-SUM(E18:E23)</f>
        <v>0.13300000000000001</v>
      </c>
      <c r="F24" s="23">
        <f t="shared" ref="F24" si="3">1-SUM(F18:F23)</f>
        <v>0.15500000000000003</v>
      </c>
      <c r="G24" s="23">
        <f t="shared" ref="G24" si="4">1-SUM(G18:G23)</f>
        <v>0.15650000000000008</v>
      </c>
      <c r="H24" s="23">
        <f t="shared" ref="H24" si="5">1-SUM(H18:H23)</f>
        <v>0.17710000000000004</v>
      </c>
      <c r="I24" s="23">
        <f t="shared" ref="I24" si="6">1-SUM(I18:I23)</f>
        <v>0.1641999999999999</v>
      </c>
      <c r="J24" s="23">
        <f t="shared" ref="J24" si="7">1-SUM(J18:J23)</f>
        <v>0.15619999999999989</v>
      </c>
      <c r="K24" s="23">
        <f t="shared" ref="K24" si="8">1-SUM(K18:K23)</f>
        <v>0.12969999999999993</v>
      </c>
      <c r="L24" s="23">
        <f t="shared" ref="L24" si="9">1-SUM(L18:L23)</f>
        <v>0.18449999999999978</v>
      </c>
      <c r="M24" s="23">
        <f t="shared" ref="M24" si="10">1-SUM(M18:M23)</f>
        <v>0.15749999999999997</v>
      </c>
      <c r="N24" s="23">
        <f t="shared" ref="N24" si="11">1-SUM(N18:N23)</f>
        <v>0.17699999999999994</v>
      </c>
      <c r="O24" s="23">
        <f t="shared" ref="O24" si="12">1-SUM(O18:O23)</f>
        <v>0.16840000000000011</v>
      </c>
      <c r="P24" s="23">
        <f t="shared" ref="P24" si="13">1-SUM(P18:P23)</f>
        <v>0.15720000000000001</v>
      </c>
      <c r="Q24" s="23">
        <f t="shared" ref="Q24" si="14">1-SUM(Q18:Q23)</f>
        <v>0.13400000000000001</v>
      </c>
      <c r="R24" s="23">
        <f t="shared" ref="R24" si="15">1-SUM(R18:R23)</f>
        <v>0.1258999999999999</v>
      </c>
      <c r="S24" s="23">
        <f t="shared" ref="S24" si="16">1-SUM(S18:S23)</f>
        <v>0.18259999999999998</v>
      </c>
      <c r="T24" s="23">
        <f t="shared" ref="T24" si="17">1-SUM(T18:T23)</f>
        <v>0.15459999999999996</v>
      </c>
      <c r="U24" s="23">
        <f t="shared" ref="U24" si="18">1-SUM(U18:U23)</f>
        <v>0.1381</v>
      </c>
      <c r="V24" s="23">
        <f t="shared" ref="V24" si="19">1-SUM(V18:V23)</f>
        <v>0.13669999999999993</v>
      </c>
      <c r="W24" s="23">
        <f t="shared" ref="W24" si="20">1-SUM(W18:W23)</f>
        <v>0.16420000000000001</v>
      </c>
      <c r="X24" s="23">
        <f t="shared" ref="X24" si="21">1-SUM(X18:X23)</f>
        <v>0.17070000000000007</v>
      </c>
      <c r="Y24" s="23">
        <f t="shared" ref="Y24" si="22">1-SUM(Y18:Y23)</f>
        <v>0.16089999999999993</v>
      </c>
      <c r="Z24" s="23">
        <f t="shared" ref="Z24" si="23">1-SUM(Z18:Z23)</f>
        <v>0.1643</v>
      </c>
      <c r="AA24" s="23">
        <f t="shared" ref="AA24" si="24">1-SUM(AA18:AA23)</f>
        <v>0.15720000000000001</v>
      </c>
      <c r="AB24" s="23">
        <f t="shared" ref="AB24" si="25">1-SUM(AB18:AB23)</f>
        <v>0.19580000000000009</v>
      </c>
    </row>
    <row r="28" spans="2:28">
      <c r="C28" s="1">
        <f>VLOOKUP(C29,Data!$B$64:$E$95,4,0)</f>
        <v>18592.230793665611</v>
      </c>
      <c r="D28" s="1">
        <f>VLOOKUP(D29,Data!$B$64:$E$95,4,0)</f>
        <v>2631.7769616604314</v>
      </c>
      <c r="E28" s="1">
        <f>VLOOKUP(E29,Data!$B$64:$E$95,4,0)</f>
        <v>4180.6211683320362</v>
      </c>
      <c r="F28" s="1">
        <f>VLOOKUP(F29,Data!$B$64:$E$95,4,0)</f>
        <v>2787.0807788880243</v>
      </c>
      <c r="G28" s="1">
        <f>VLOOKUP(G29,Data!$B$64:$E$95,4,0)</f>
        <v>2090.3105841660181</v>
      </c>
      <c r="H28" s="1">
        <f>VLOOKUP(H29,Data!$B$64:$E$95,4,0)</f>
        <v>1666.7836030604851</v>
      </c>
      <c r="I28" s="1">
        <f>VLOOKUP(I29,Data!$B$64:$E$95,4,0)</f>
        <v>1120.2971758275389</v>
      </c>
      <c r="J28" s="1">
        <f>VLOOKUP(J29,Data!$B$64:$E$95,4,0)</f>
        <v>833.39180153024256</v>
      </c>
      <c r="K28" s="1">
        <f>VLOOKUP(K29,Data!$B$64:$E$95,4,0)</f>
        <v>983.67556901930357</v>
      </c>
      <c r="L28" s="1">
        <f>VLOOKUP(L29,Data!$B$64:$E$95,4,0)</f>
        <v>10832.949611091968</v>
      </c>
      <c r="M28" s="1">
        <f>VLOOKUP(M29,Data!$B$64:$E$95,4,0)</f>
        <v>3507.585006234624</v>
      </c>
      <c r="N28" s="1">
        <f>VLOOKUP(N29,Data!$B$64:$E$95,4,0)</f>
        <v>3221.2515363379202</v>
      </c>
      <c r="O28" s="1">
        <f>VLOOKUP(O29,Data!$B$64:$E$95,4,0)</f>
        <v>1694.1396968888318</v>
      </c>
      <c r="P28" s="1">
        <f>VLOOKUP(P29,Data!$B$64:$E$95,4,0)</f>
        <v>3125.8070463723525</v>
      </c>
      <c r="Q28" s="1">
        <f>VLOOKUP(Q29,Data!$B$64:$E$95,4,0)</f>
        <v>1193.0561245696001</v>
      </c>
      <c r="R28" s="1">
        <f>VLOOKUP(R29,Data!$B$64:$E$95,4,0)</f>
        <v>286.33346989670429</v>
      </c>
      <c r="S28" s="1">
        <f>VLOOKUP(S29,Data!$B$64:$E$95,4,0)</f>
        <v>914.03032201380154</v>
      </c>
      <c r="T28" s="1">
        <f>VLOOKUP(T29,Data!$B$64:$E$95,4,0)</f>
        <v>711.13134967022063</v>
      </c>
      <c r="U28" s="1">
        <f>VLOOKUP(U29,Data!$B$64:$E$95,4,0)</f>
        <v>202.89897234358099</v>
      </c>
      <c r="V28" s="1">
        <f>VLOOKUP(V29,Data!$B$64:$E$95,4,0)</f>
        <v>141.83229134696936</v>
      </c>
      <c r="W28" s="1">
        <f>VLOOKUP(W29,Data!$B$64:$E$95,4,0)</f>
        <v>280.10606642358442</v>
      </c>
      <c r="X28" s="1">
        <f>VLOOKUP(X29,Data!$B$64:$E$95,4,0)</f>
        <v>1116.7386595571852</v>
      </c>
      <c r="Y28" s="1">
        <f>VLOOKUP(Y29,Data!$B$64:$E$95,4,0)</f>
        <v>445.95834259544358</v>
      </c>
      <c r="Z28" s="1">
        <f>VLOOKUP(Z29,Data!$B$64:$E$95,4,0)</f>
        <v>438.30117812083807</v>
      </c>
      <c r="AA28" s="1">
        <f>VLOOKUP(AA29,Data!$B$64:$E$95,4,0)</f>
        <v>146.75702368540419</v>
      </c>
      <c r="AB28" s="1">
        <f>VLOOKUP(AB29,Data!$B$64:$E$95,4,0)</f>
        <v>399.88826588103433</v>
      </c>
    </row>
    <row r="29" spans="2:28">
      <c r="C29" s="5" t="s">
        <v>5</v>
      </c>
      <c r="D29" s="5" t="s">
        <v>7</v>
      </c>
      <c r="E29" s="5" t="s">
        <v>11</v>
      </c>
      <c r="F29" s="5" t="s">
        <v>13</v>
      </c>
      <c r="G29" s="5" t="s">
        <v>15</v>
      </c>
      <c r="H29" s="5" t="s">
        <v>16</v>
      </c>
      <c r="I29" s="5" t="s">
        <v>18</v>
      </c>
      <c r="J29" s="5" t="s">
        <v>20</v>
      </c>
      <c r="K29" s="5" t="s">
        <v>22</v>
      </c>
      <c r="L29" s="5" t="s">
        <v>26</v>
      </c>
      <c r="M29" s="5" t="s">
        <v>28</v>
      </c>
      <c r="N29" s="5" t="s">
        <v>30</v>
      </c>
      <c r="O29" s="5" t="s">
        <v>32</v>
      </c>
      <c r="P29" s="5" t="s">
        <v>33</v>
      </c>
      <c r="Q29" s="5" t="s">
        <v>35</v>
      </c>
      <c r="R29" s="5" t="s">
        <v>37</v>
      </c>
      <c r="S29" s="5" t="s">
        <v>41</v>
      </c>
      <c r="T29" s="5" t="s">
        <v>43</v>
      </c>
      <c r="U29" s="5" t="s">
        <v>45</v>
      </c>
      <c r="V29" s="5" t="s">
        <v>47</v>
      </c>
      <c r="W29" s="5" t="s">
        <v>50</v>
      </c>
      <c r="X29" s="5" t="s">
        <v>52</v>
      </c>
      <c r="Y29" s="5" t="s">
        <v>54</v>
      </c>
      <c r="Z29" s="5" t="s">
        <v>58</v>
      </c>
      <c r="AA29" s="5" t="s">
        <v>60</v>
      </c>
      <c r="AB29" s="5" t="s">
        <v>62</v>
      </c>
    </row>
    <row r="30" spans="2:28">
      <c r="B30" s="9" t="s">
        <v>77</v>
      </c>
    </row>
    <row r="31" spans="2:28">
      <c r="B31" s="19" t="s">
        <v>2</v>
      </c>
      <c r="C31" s="34">
        <f>C18*C$28</f>
        <v>3242.4850504152823</v>
      </c>
      <c r="D31" s="34">
        <f t="shared" ref="D31:AB37" si="26">D18*D$28</f>
        <v>430.03235553531454</v>
      </c>
      <c r="E31" s="34">
        <f t="shared" si="26"/>
        <v>801.84314008608453</v>
      </c>
      <c r="F31" s="34">
        <f t="shared" si="26"/>
        <v>485.78817976018269</v>
      </c>
      <c r="G31" s="34">
        <f t="shared" si="26"/>
        <v>349.08186755572507</v>
      </c>
      <c r="H31" s="34">
        <f t="shared" si="26"/>
        <v>262.85177420263852</v>
      </c>
      <c r="I31" s="34">
        <f t="shared" si="26"/>
        <v>186.08136090495421</v>
      </c>
      <c r="J31" s="34">
        <f t="shared" si="26"/>
        <v>141.75994544029427</v>
      </c>
      <c r="K31" s="34">
        <f t="shared" si="26"/>
        <v>184.93100697562906</v>
      </c>
      <c r="L31" s="34">
        <f t="shared" si="26"/>
        <v>1722.438988163623</v>
      </c>
      <c r="M31" s="34">
        <f t="shared" si="26"/>
        <v>669.59797769018974</v>
      </c>
      <c r="N31" s="34">
        <f t="shared" si="26"/>
        <v>554.69951455738988</v>
      </c>
      <c r="O31" s="34">
        <f t="shared" si="26"/>
        <v>293.25558153145681</v>
      </c>
      <c r="P31" s="34">
        <f t="shared" si="26"/>
        <v>578.58688428352252</v>
      </c>
      <c r="Q31" s="34">
        <f t="shared" si="26"/>
        <v>200.91065137752068</v>
      </c>
      <c r="R31" s="34">
        <f t="shared" si="26"/>
        <v>54.231559198435797</v>
      </c>
      <c r="S31" s="34">
        <f t="shared" si="26"/>
        <v>153.4656910661173</v>
      </c>
      <c r="T31" s="34">
        <f t="shared" si="26"/>
        <v>131.98597849879295</v>
      </c>
      <c r="U31" s="34">
        <f t="shared" si="26"/>
        <v>36.826163480359952</v>
      </c>
      <c r="V31" s="34">
        <f t="shared" si="26"/>
        <v>26.281523586593426</v>
      </c>
      <c r="W31" s="34">
        <f t="shared" si="26"/>
        <v>48.038190391644733</v>
      </c>
      <c r="X31" s="34">
        <f t="shared" si="26"/>
        <v>197.88609047353322</v>
      </c>
      <c r="Y31" s="34">
        <f t="shared" si="26"/>
        <v>80.763055844034838</v>
      </c>
      <c r="Z31" s="34">
        <f t="shared" si="26"/>
        <v>69.426906614340751</v>
      </c>
      <c r="AA31" s="34">
        <f t="shared" si="26"/>
        <v>24.053476182037748</v>
      </c>
      <c r="AB31" s="34">
        <f t="shared" si="26"/>
        <v>68.220938159304453</v>
      </c>
    </row>
    <row r="32" spans="2:28">
      <c r="B32" s="19" t="s">
        <v>4</v>
      </c>
      <c r="C32" s="34">
        <f t="shared" ref="C32:R37" si="27">C19*C$28</f>
        <v>3136.5093348913883</v>
      </c>
      <c r="D32" s="34">
        <f t="shared" si="27"/>
        <v>468.7194768717228</v>
      </c>
      <c r="E32" s="34">
        <f t="shared" si="27"/>
        <v>779.68584789392469</v>
      </c>
      <c r="F32" s="34">
        <f t="shared" si="27"/>
        <v>488.85396861695943</v>
      </c>
      <c r="G32" s="34">
        <f t="shared" si="27"/>
        <v>356.81601671713929</v>
      </c>
      <c r="H32" s="34">
        <f t="shared" si="27"/>
        <v>287.68684988823969</v>
      </c>
      <c r="I32" s="34">
        <f t="shared" si="27"/>
        <v>195.04373831157449</v>
      </c>
      <c r="J32" s="34">
        <f t="shared" si="27"/>
        <v>165.17825506329407</v>
      </c>
      <c r="K32" s="34">
        <f t="shared" si="27"/>
        <v>167.8150520746932</v>
      </c>
      <c r="L32" s="34">
        <f t="shared" si="27"/>
        <v>1910.9323113966232</v>
      </c>
      <c r="M32" s="34">
        <f t="shared" si="27"/>
        <v>645.04488264654731</v>
      </c>
      <c r="N32" s="34">
        <f t="shared" si="27"/>
        <v>541.81450841203809</v>
      </c>
      <c r="O32" s="34">
        <f t="shared" si="27"/>
        <v>299.52389840994545</v>
      </c>
      <c r="P32" s="34">
        <f t="shared" si="27"/>
        <v>583.58817555771816</v>
      </c>
      <c r="Q32" s="34">
        <f t="shared" si="27"/>
        <v>218.32927079623681</v>
      </c>
      <c r="R32" s="34">
        <f t="shared" si="27"/>
        <v>51.482757887427425</v>
      </c>
      <c r="S32" s="34">
        <f t="shared" si="26"/>
        <v>152.18604861529795</v>
      </c>
      <c r="T32" s="34">
        <f t="shared" si="26"/>
        <v>127.50585099587055</v>
      </c>
      <c r="U32" s="34">
        <f t="shared" si="26"/>
        <v>40.011677346154173</v>
      </c>
      <c r="V32" s="34">
        <f t="shared" si="26"/>
        <v>26.380806190536301</v>
      </c>
      <c r="W32" s="34">
        <f t="shared" si="26"/>
        <v>55.012831445591978</v>
      </c>
      <c r="X32" s="34">
        <f t="shared" si="26"/>
        <v>199.78454619478043</v>
      </c>
      <c r="Y32" s="34">
        <f t="shared" si="26"/>
        <v>81.521185026447085</v>
      </c>
      <c r="Z32" s="34">
        <f t="shared" si="26"/>
        <v>76.834196524582907</v>
      </c>
      <c r="AA32" s="34">
        <f t="shared" si="26"/>
        <v>29.351404737080838</v>
      </c>
      <c r="AB32" s="34">
        <f t="shared" si="26"/>
        <v>70.740234234354972</v>
      </c>
    </row>
    <row r="33" spans="1:28">
      <c r="B33" s="19" t="s">
        <v>6</v>
      </c>
      <c r="C33" s="34">
        <f t="shared" si="27"/>
        <v>3690.5578125426241</v>
      </c>
      <c r="D33" s="34">
        <f t="shared" si="26"/>
        <v>445.82301730527706</v>
      </c>
      <c r="E33" s="34">
        <f t="shared" si="26"/>
        <v>766.72592227209543</v>
      </c>
      <c r="F33" s="34">
        <f t="shared" si="26"/>
        <v>492.47717362951386</v>
      </c>
      <c r="G33" s="34">
        <f t="shared" si="26"/>
        <v>377.71912255879948</v>
      </c>
      <c r="H33" s="34">
        <f t="shared" si="26"/>
        <v>300.52108363180548</v>
      </c>
      <c r="I33" s="34">
        <f t="shared" si="26"/>
        <v>187.8738363862783</v>
      </c>
      <c r="J33" s="34">
        <f t="shared" si="26"/>
        <v>139.84314429677471</v>
      </c>
      <c r="K33" s="34">
        <f t="shared" si="26"/>
        <v>191.32489817425454</v>
      </c>
      <c r="L33" s="34">
        <f t="shared" si="26"/>
        <v>1904.4325416299682</v>
      </c>
      <c r="M33" s="34">
        <f t="shared" si="26"/>
        <v>596.28945105988612</v>
      </c>
      <c r="N33" s="34">
        <f t="shared" si="26"/>
        <v>576.60402500448777</v>
      </c>
      <c r="O33" s="34">
        <f t="shared" si="26"/>
        <v>284.276641137946</v>
      </c>
      <c r="P33" s="34">
        <f t="shared" si="26"/>
        <v>544.51558747806382</v>
      </c>
      <c r="Q33" s="34">
        <f t="shared" si="26"/>
        <v>237.29886317689349</v>
      </c>
      <c r="R33" s="34">
        <f t="shared" si="26"/>
        <v>56.207260140723051</v>
      </c>
      <c r="S33" s="34">
        <f t="shared" si="26"/>
        <v>156.39058809656146</v>
      </c>
      <c r="T33" s="34">
        <f t="shared" si="26"/>
        <v>126.86583278116736</v>
      </c>
      <c r="U33" s="34">
        <f t="shared" si="26"/>
        <v>38.895732998264478</v>
      </c>
      <c r="V33" s="34">
        <f t="shared" si="26"/>
        <v>27.799129104005996</v>
      </c>
      <c r="W33" s="34">
        <f t="shared" si="26"/>
        <v>49.77484800347095</v>
      </c>
      <c r="X33" s="34">
        <f t="shared" si="26"/>
        <v>204.25150083300917</v>
      </c>
      <c r="Y33" s="34">
        <f t="shared" si="26"/>
        <v>84.732085093134287</v>
      </c>
      <c r="Z33" s="34">
        <f t="shared" si="26"/>
        <v>87.572575388543456</v>
      </c>
      <c r="AA33" s="34">
        <f t="shared" si="26"/>
        <v>26.504318477584</v>
      </c>
      <c r="AB33" s="34">
        <f t="shared" si="26"/>
        <v>67.421161627542389</v>
      </c>
    </row>
    <row r="34" spans="1:28">
      <c r="B34" s="19" t="s">
        <v>8</v>
      </c>
      <c r="C34" s="34">
        <f t="shared" si="27"/>
        <v>2171.5725567001437</v>
      </c>
      <c r="D34" s="34">
        <f t="shared" si="26"/>
        <v>335.55156261170504</v>
      </c>
      <c r="E34" s="34">
        <f t="shared" si="26"/>
        <v>612.04293904381007</v>
      </c>
      <c r="F34" s="34">
        <f t="shared" si="26"/>
        <v>400.7822160040979</v>
      </c>
      <c r="G34" s="34">
        <f t="shared" si="26"/>
        <v>309.36596645657073</v>
      </c>
      <c r="H34" s="34">
        <f t="shared" si="26"/>
        <v>224.3490729719413</v>
      </c>
      <c r="I34" s="34">
        <f t="shared" si="26"/>
        <v>164.34759569389996</v>
      </c>
      <c r="J34" s="34">
        <f t="shared" si="26"/>
        <v>103.17390502944403</v>
      </c>
      <c r="K34" s="34">
        <f t="shared" si="26"/>
        <v>132.69783426070407</v>
      </c>
      <c r="L34" s="34">
        <f t="shared" si="26"/>
        <v>1608.6930172471575</v>
      </c>
      <c r="M34" s="34">
        <f t="shared" si="26"/>
        <v>435.64205777434029</v>
      </c>
      <c r="N34" s="34">
        <f t="shared" si="26"/>
        <v>448.07608870460473</v>
      </c>
      <c r="O34" s="34">
        <f t="shared" si="26"/>
        <v>212.6145319595484</v>
      </c>
      <c r="P34" s="34">
        <f t="shared" si="26"/>
        <v>397.60265629856326</v>
      </c>
      <c r="Q34" s="34">
        <f t="shared" si="26"/>
        <v>177.16883449858565</v>
      </c>
      <c r="R34" s="34">
        <f t="shared" si="26"/>
        <v>40.315752561455966</v>
      </c>
      <c r="S34" s="34">
        <f t="shared" si="26"/>
        <v>120.83480857022458</v>
      </c>
      <c r="T34" s="34">
        <f t="shared" si="26"/>
        <v>99.202823278995794</v>
      </c>
      <c r="U34" s="34">
        <f t="shared" si="26"/>
        <v>27.837739005539316</v>
      </c>
      <c r="V34" s="34">
        <f t="shared" si="26"/>
        <v>18.253815896354958</v>
      </c>
      <c r="W34" s="34">
        <f t="shared" si="26"/>
        <v>37.282117440979086</v>
      </c>
      <c r="X34" s="34">
        <f t="shared" si="26"/>
        <v>133.78529141495079</v>
      </c>
      <c r="Y34" s="34">
        <f t="shared" si="26"/>
        <v>56.23534700128544</v>
      </c>
      <c r="Z34" s="34">
        <f t="shared" si="26"/>
        <v>64.824744244071951</v>
      </c>
      <c r="AA34" s="34">
        <f t="shared" si="26"/>
        <v>18.21254663935866</v>
      </c>
      <c r="AB34" s="34">
        <f t="shared" si="26"/>
        <v>50.865787420067569</v>
      </c>
    </row>
    <row r="35" spans="1:28">
      <c r="B35" s="19" t="s">
        <v>10</v>
      </c>
      <c r="C35" s="34">
        <f t="shared" si="27"/>
        <v>2463.4705801606933</v>
      </c>
      <c r="D35" s="34">
        <f t="shared" si="26"/>
        <v>328.97212020755393</v>
      </c>
      <c r="E35" s="34">
        <f t="shared" si="26"/>
        <v>438.12909844119736</v>
      </c>
      <c r="F35" s="34">
        <f t="shared" si="26"/>
        <v>324.41620266256598</v>
      </c>
      <c r="G35" s="34">
        <f t="shared" si="26"/>
        <v>247.07471104842332</v>
      </c>
      <c r="H35" s="34">
        <f t="shared" si="26"/>
        <v>203.51427793368524</v>
      </c>
      <c r="I35" s="34">
        <f t="shared" si="26"/>
        <v>145.75066257516281</v>
      </c>
      <c r="J35" s="34">
        <f t="shared" si="26"/>
        <v>104.67401027219846</v>
      </c>
      <c r="K35" s="34">
        <f t="shared" si="26"/>
        <v>126.89414840349016</v>
      </c>
      <c r="L35" s="34">
        <f t="shared" si="26"/>
        <v>1155.875723503513</v>
      </c>
      <c r="M35" s="34">
        <f t="shared" si="26"/>
        <v>421.61171774940181</v>
      </c>
      <c r="N35" s="34">
        <f t="shared" si="26"/>
        <v>373.9873033688325</v>
      </c>
      <c r="O35" s="34">
        <f t="shared" si="26"/>
        <v>219.56050471679259</v>
      </c>
      <c r="P35" s="34">
        <f t="shared" si="26"/>
        <v>353.8413576493503</v>
      </c>
      <c r="Q35" s="34">
        <f t="shared" si="26"/>
        <v>137.67867677533187</v>
      </c>
      <c r="R35" s="34">
        <f t="shared" si="26"/>
        <v>31.124448177771754</v>
      </c>
      <c r="S35" s="34">
        <f t="shared" si="26"/>
        <v>118.82394186179421</v>
      </c>
      <c r="T35" s="34">
        <f t="shared" si="26"/>
        <v>74.455452310472097</v>
      </c>
      <c r="U35" s="34">
        <f t="shared" si="26"/>
        <v>21.487001171185227</v>
      </c>
      <c r="V35" s="34">
        <f t="shared" si="26"/>
        <v>16.268163817497385</v>
      </c>
      <c r="W35" s="34">
        <f t="shared" si="26"/>
        <v>28.038617249000801</v>
      </c>
      <c r="X35" s="34">
        <f t="shared" si="26"/>
        <v>135.57207327024227</v>
      </c>
      <c r="Y35" s="34">
        <f t="shared" si="26"/>
        <v>45.710730116032963</v>
      </c>
      <c r="Z35" s="34">
        <f t="shared" si="26"/>
        <v>45.45183217113091</v>
      </c>
      <c r="AA35" s="34">
        <f t="shared" si="26"/>
        <v>18.476709281992385</v>
      </c>
      <c r="AB35" s="34">
        <f t="shared" si="26"/>
        <v>42.028256744096709</v>
      </c>
    </row>
    <row r="36" spans="1:28">
      <c r="B36" s="19" t="s">
        <v>12</v>
      </c>
      <c r="C36" s="34">
        <f t="shared" si="27"/>
        <v>1091.3639475881714</v>
      </c>
      <c r="D36" s="34">
        <f t="shared" si="26"/>
        <v>131.06249269068951</v>
      </c>
      <c r="E36" s="34">
        <f t="shared" si="26"/>
        <v>226.17160520676316</v>
      </c>
      <c r="F36" s="34">
        <f t="shared" si="26"/>
        <v>162.76551748706061</v>
      </c>
      <c r="G36" s="34">
        <f t="shared" si="26"/>
        <v>123.11929340737846</v>
      </c>
      <c r="H36" s="34">
        <f t="shared" si="26"/>
        <v>92.67316833016298</v>
      </c>
      <c r="I36" s="34">
        <f t="shared" si="26"/>
        <v>57.24718568478724</v>
      </c>
      <c r="J36" s="34">
        <f t="shared" si="26"/>
        <v>48.586742029213141</v>
      </c>
      <c r="K36" s="34">
        <f t="shared" si="26"/>
        <v>52.429907828728872</v>
      </c>
      <c r="L36" s="34">
        <f t="shared" si="26"/>
        <v>531.89782590461562</v>
      </c>
      <c r="M36" s="34">
        <f t="shared" si="26"/>
        <v>186.9542808323055</v>
      </c>
      <c r="N36" s="34">
        <f t="shared" si="26"/>
        <v>155.90857435875535</v>
      </c>
      <c r="O36" s="34">
        <f t="shared" si="26"/>
        <v>99.6154141770633</v>
      </c>
      <c r="P36" s="34">
        <f t="shared" si="26"/>
        <v>176.29551741540067</v>
      </c>
      <c r="Q36" s="34">
        <f t="shared" si="26"/>
        <v>61.800307252705288</v>
      </c>
      <c r="R36" s="34">
        <f t="shared" si="26"/>
        <v>16.922308070895223</v>
      </c>
      <c r="S36" s="34">
        <f t="shared" si="26"/>
        <v>45.427307004085932</v>
      </c>
      <c r="T36" s="34">
        <f t="shared" si="26"/>
        <v>41.174505145905776</v>
      </c>
      <c r="U36" s="34">
        <f t="shared" si="26"/>
        <v>9.8203102614293218</v>
      </c>
      <c r="V36" s="34">
        <f t="shared" si="26"/>
        <v>7.4603785248505883</v>
      </c>
      <c r="W36" s="34">
        <f t="shared" si="26"/>
        <v>15.966045786144315</v>
      </c>
      <c r="X36" s="34">
        <f t="shared" si="26"/>
        <v>54.8318681842578</v>
      </c>
      <c r="Y36" s="34">
        <f t="shared" si="26"/>
        <v>25.241242190902106</v>
      </c>
      <c r="Z36" s="34">
        <f t="shared" si="26"/>
        <v>22.178039612914404</v>
      </c>
      <c r="AA36" s="34">
        <f t="shared" si="26"/>
        <v>7.0883642440050236</v>
      </c>
      <c r="AB36" s="34">
        <f t="shared" si="26"/>
        <v>22.313765236161714</v>
      </c>
    </row>
    <row r="37" spans="1:28">
      <c r="B37" s="19" t="s">
        <v>14</v>
      </c>
      <c r="C37" s="34">
        <f t="shared" si="27"/>
        <v>2796.2715113673094</v>
      </c>
      <c r="D37" s="34">
        <f t="shared" si="26"/>
        <v>491.61593643816821</v>
      </c>
      <c r="E37" s="34">
        <f t="shared" si="26"/>
        <v>556.02261538816083</v>
      </c>
      <c r="F37" s="34">
        <f t="shared" si="26"/>
        <v>431.99752072764386</v>
      </c>
      <c r="G37" s="34">
        <f t="shared" si="26"/>
        <v>327.13360642198199</v>
      </c>
      <c r="H37" s="34">
        <f t="shared" si="26"/>
        <v>295.18737610201197</v>
      </c>
      <c r="I37" s="34">
        <f t="shared" si="26"/>
        <v>183.95279627088178</v>
      </c>
      <c r="J37" s="34">
        <f t="shared" si="26"/>
        <v>130.17579939902379</v>
      </c>
      <c r="K37" s="34">
        <f t="shared" si="26"/>
        <v>127.5827213018036</v>
      </c>
      <c r="L37" s="34">
        <f t="shared" si="26"/>
        <v>1998.6792032464657</v>
      </c>
      <c r="M37" s="34">
        <f t="shared" si="26"/>
        <v>552.44463848195323</v>
      </c>
      <c r="N37" s="34">
        <f t="shared" si="26"/>
        <v>570.16152193181165</v>
      </c>
      <c r="O37" s="34">
        <f t="shared" si="26"/>
        <v>285.29312495607945</v>
      </c>
      <c r="P37" s="34">
        <f t="shared" si="26"/>
        <v>491.37686768973384</v>
      </c>
      <c r="Q37" s="34">
        <f t="shared" si="26"/>
        <v>159.86952069232643</v>
      </c>
      <c r="R37" s="34">
        <f t="shared" si="26"/>
        <v>36.049383859995039</v>
      </c>
      <c r="S37" s="34">
        <f t="shared" si="26"/>
        <v>166.90193679972015</v>
      </c>
      <c r="T37" s="34">
        <f t="shared" si="26"/>
        <v>109.94090665901608</v>
      </c>
      <c r="U37" s="34">
        <f t="shared" si="26"/>
        <v>28.020348080648535</v>
      </c>
      <c r="V37" s="34">
        <f t="shared" si="26"/>
        <v>19.3884742271307</v>
      </c>
      <c r="W37" s="34">
        <f t="shared" si="26"/>
        <v>45.993416106752569</v>
      </c>
      <c r="X37" s="34">
        <f t="shared" si="26"/>
        <v>190.62728918641159</v>
      </c>
      <c r="Y37" s="34">
        <f t="shared" si="26"/>
        <v>71.754697323606848</v>
      </c>
      <c r="Z37" s="34">
        <f t="shared" si="26"/>
        <v>72.012883565253702</v>
      </c>
      <c r="AA37" s="34">
        <f t="shared" si="26"/>
        <v>23.07020412334554</v>
      </c>
      <c r="AB37" s="34">
        <f t="shared" si="26"/>
        <v>78.298122459506558</v>
      </c>
    </row>
    <row r="38" spans="1:28"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spans="1:28"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spans="1:28">
      <c r="A40" s="1" t="s">
        <v>88</v>
      </c>
      <c r="B40" s="14">
        <f>SUM(C40:AB40)</f>
        <v>23544.447905389756</v>
      </c>
      <c r="C40" s="13">
        <f>SUM(C43:C49)</f>
        <v>5963.0835439134935</v>
      </c>
      <c r="D40" s="13">
        <f t="shared" ref="D40:AB40" si="28">SUM(D43:D49)</f>
        <v>851.31706091273497</v>
      </c>
      <c r="E40" s="13">
        <f t="shared" si="28"/>
        <v>1254.0477502580688</v>
      </c>
      <c r="F40" s="13">
        <f t="shared" si="28"/>
        <v>831.74077262863352</v>
      </c>
      <c r="G40" s="13">
        <f t="shared" si="28"/>
        <v>634.17993064901862</v>
      </c>
      <c r="H40" s="13">
        <f t="shared" si="28"/>
        <v>506.02610892781217</v>
      </c>
      <c r="I40" s="13">
        <f t="shared" si="28"/>
        <v>344.11902147078433</v>
      </c>
      <c r="J40" s="13">
        <f t="shared" si="28"/>
        <v>256.60542014317605</v>
      </c>
      <c r="K40" s="13">
        <f t="shared" si="28"/>
        <v>297.01656668861773</v>
      </c>
      <c r="L40" s="13">
        <f t="shared" si="28"/>
        <v>4770.9194139772389</v>
      </c>
      <c r="M40" s="13">
        <f t="shared" si="28"/>
        <v>1563.9008315327055</v>
      </c>
      <c r="N40" s="13">
        <f t="shared" si="28"/>
        <v>1444.3729591367121</v>
      </c>
      <c r="O40" s="13">
        <f t="shared" si="28"/>
        <v>764.34620514549806</v>
      </c>
      <c r="P40" s="13">
        <f t="shared" si="28"/>
        <v>1379.8495776962327</v>
      </c>
      <c r="Q40" s="13">
        <f t="shared" si="28"/>
        <v>509.59381339508371</v>
      </c>
      <c r="R40" s="13">
        <f t="shared" si="28"/>
        <v>124.32438976224211</v>
      </c>
      <c r="S40" s="13">
        <f t="shared" si="28"/>
        <v>400.5503595001029</v>
      </c>
      <c r="T40" s="13">
        <f t="shared" si="28"/>
        <v>300.57721603280419</v>
      </c>
      <c r="U40" s="13">
        <f t="shared" si="28"/>
        <v>85.478417164723979</v>
      </c>
      <c r="V40" s="13">
        <f t="shared" si="28"/>
        <v>60.639519166315026</v>
      </c>
      <c r="W40" s="13">
        <f t="shared" si="28"/>
        <v>116.44768208447844</v>
      </c>
      <c r="X40" s="13">
        <f t="shared" si="28"/>
        <v>484.77711519434985</v>
      </c>
      <c r="Y40" s="13">
        <f t="shared" si="28"/>
        <v>187.70531186164911</v>
      </c>
      <c r="Z40" s="13">
        <f t="shared" si="28"/>
        <v>180.48384322812345</v>
      </c>
      <c r="AA40" s="13">
        <f t="shared" si="28"/>
        <v>62.15181285405788</v>
      </c>
      <c r="AB40" s="13">
        <f t="shared" si="28"/>
        <v>170.19326206509444</v>
      </c>
    </row>
    <row r="41" spans="1:28">
      <c r="A41" s="2"/>
      <c r="C41" s="15" t="s">
        <v>5</v>
      </c>
      <c r="D41" s="15" t="s">
        <v>7</v>
      </c>
      <c r="E41" s="15" t="s">
        <v>11</v>
      </c>
      <c r="F41" s="15" t="s">
        <v>13</v>
      </c>
      <c r="G41" s="15" t="s">
        <v>15</v>
      </c>
      <c r="H41" s="15" t="s">
        <v>16</v>
      </c>
      <c r="I41" s="15" t="s">
        <v>18</v>
      </c>
      <c r="J41" s="15" t="s">
        <v>20</v>
      </c>
      <c r="K41" s="15" t="s">
        <v>22</v>
      </c>
      <c r="L41" s="15" t="s">
        <v>26</v>
      </c>
      <c r="M41" s="15" t="s">
        <v>28</v>
      </c>
      <c r="N41" s="15" t="s">
        <v>30</v>
      </c>
      <c r="O41" s="15" t="s">
        <v>32</v>
      </c>
      <c r="P41" s="15" t="s">
        <v>33</v>
      </c>
      <c r="Q41" s="15" t="s">
        <v>35</v>
      </c>
      <c r="R41" s="15" t="s">
        <v>37</v>
      </c>
      <c r="S41" s="15" t="s">
        <v>41</v>
      </c>
      <c r="T41" s="15" t="s">
        <v>43</v>
      </c>
      <c r="U41" s="15" t="s">
        <v>45</v>
      </c>
      <c r="V41" s="15" t="s">
        <v>47</v>
      </c>
      <c r="W41" s="15" t="s">
        <v>50</v>
      </c>
      <c r="X41" s="15" t="s">
        <v>52</v>
      </c>
      <c r="Y41" s="15" t="s">
        <v>54</v>
      </c>
      <c r="Z41" s="15" t="s">
        <v>58</v>
      </c>
      <c r="AA41" s="15" t="s">
        <v>60</v>
      </c>
      <c r="AB41" s="15" t="s">
        <v>62</v>
      </c>
    </row>
    <row r="42" spans="1:28">
      <c r="B42" s="9" t="s">
        <v>77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spans="1:28">
      <c r="B43" s="19" t="s">
        <v>2</v>
      </c>
      <c r="C43" s="12">
        <f>C31/C5*1000</f>
        <v>1349.5979001980302</v>
      </c>
      <c r="D43" s="12">
        <f t="shared" ref="D43:AB49" si="29">D31/D5*1000</f>
        <v>179.17047599699706</v>
      </c>
      <c r="E43" s="12">
        <f t="shared" si="29"/>
        <v>315.61395350379604</v>
      </c>
      <c r="F43" s="12">
        <f t="shared" si="29"/>
        <v>186.91238835837837</v>
      </c>
      <c r="G43" s="12">
        <f t="shared" si="29"/>
        <v>138.79022296777458</v>
      </c>
      <c r="H43" s="12">
        <f t="shared" si="29"/>
        <v>101.73180196410313</v>
      </c>
      <c r="I43" s="12">
        <f t="shared" si="29"/>
        <v>72.518410622630725</v>
      </c>
      <c r="J43" s="12">
        <f t="shared" si="29"/>
        <v>56.191557024196456</v>
      </c>
      <c r="K43" s="12">
        <f t="shared" si="29"/>
        <v>72.500800036941982</v>
      </c>
      <c r="L43" s="12">
        <f t="shared" si="29"/>
        <v>959.6485710359176</v>
      </c>
      <c r="M43" s="12">
        <f t="shared" si="29"/>
        <v>379.7053585268456</v>
      </c>
      <c r="N43" s="12">
        <f t="shared" si="29"/>
        <v>317.37580294025395</v>
      </c>
      <c r="O43" s="12">
        <f t="shared" si="29"/>
        <v>168.12412424947073</v>
      </c>
      <c r="P43" s="12">
        <f t="shared" si="29"/>
        <v>322.35689074524197</v>
      </c>
      <c r="Q43" s="12">
        <f t="shared" si="29"/>
        <v>111.8277238519743</v>
      </c>
      <c r="R43" s="12">
        <f t="shared" si="29"/>
        <v>31.310253998164164</v>
      </c>
      <c r="S43" s="12">
        <f t="shared" si="29"/>
        <v>75.906510878210852</v>
      </c>
      <c r="T43" s="12">
        <f t="shared" si="29"/>
        <v>64.703453978520713</v>
      </c>
      <c r="U43" s="12">
        <f t="shared" si="29"/>
        <v>18.196703414589454</v>
      </c>
      <c r="V43" s="12">
        <f t="shared" si="29"/>
        <v>12.883984883940578</v>
      </c>
      <c r="W43" s="12">
        <f t="shared" si="29"/>
        <v>22.341218926199922</v>
      </c>
      <c r="X43" s="12">
        <f t="shared" si="29"/>
        <v>95.169765825864289</v>
      </c>
      <c r="Y43" s="12">
        <f t="shared" si="29"/>
        <v>37.891407505773294</v>
      </c>
      <c r="Z43" s="12">
        <f t="shared" si="29"/>
        <v>31.286014012788847</v>
      </c>
      <c r="AA43" s="12">
        <f t="shared" si="29"/>
        <v>10.754011152968301</v>
      </c>
      <c r="AB43" s="12">
        <f t="shared" si="29"/>
        <v>31.300957250737671</v>
      </c>
    </row>
    <row r="44" spans="1:28">
      <c r="B44" s="19" t="s">
        <v>4</v>
      </c>
      <c r="C44" s="12">
        <f t="shared" ref="C44:R49" si="30">C32/C6*1000</f>
        <v>1015.6647956317192</v>
      </c>
      <c r="D44" s="12">
        <f t="shared" si="30"/>
        <v>152.07957331672171</v>
      </c>
      <c r="E44" s="12">
        <f t="shared" si="30"/>
        <v>245.76645601265753</v>
      </c>
      <c r="F44" s="12">
        <f t="shared" si="30"/>
        <v>150.02574963186007</v>
      </c>
      <c r="G44" s="12">
        <f t="shared" si="30"/>
        <v>113.0402163849855</v>
      </c>
      <c r="H44" s="12">
        <f t="shared" si="30"/>
        <v>88.461961049290721</v>
      </c>
      <c r="I44" s="12">
        <f t="shared" si="30"/>
        <v>61.728060849984608</v>
      </c>
      <c r="J44" s="12">
        <f t="shared" si="30"/>
        <v>50.445456122680753</v>
      </c>
      <c r="K44" s="12">
        <f t="shared" si="30"/>
        <v>52.164113623177002</v>
      </c>
      <c r="L44" s="12">
        <f t="shared" si="30"/>
        <v>848.39956836641579</v>
      </c>
      <c r="M44" s="12">
        <f t="shared" si="30"/>
        <v>281.54692814096836</v>
      </c>
      <c r="N44" s="12">
        <f t="shared" si="30"/>
        <v>240.79344945331192</v>
      </c>
      <c r="O44" s="12">
        <f t="shared" si="30"/>
        <v>130.08921610956367</v>
      </c>
      <c r="P44" s="12">
        <f t="shared" si="30"/>
        <v>253.46400969049742</v>
      </c>
      <c r="Q44" s="12">
        <f t="shared" si="30"/>
        <v>94.731158514870557</v>
      </c>
      <c r="R44" s="12">
        <f t="shared" si="30"/>
        <v>22.583144413973887</v>
      </c>
      <c r="S44" s="12">
        <f t="shared" si="29"/>
        <v>66.491662224019407</v>
      </c>
      <c r="T44" s="12">
        <f t="shared" si="29"/>
        <v>55.106076512918278</v>
      </c>
      <c r="U44" s="12">
        <f t="shared" si="29"/>
        <v>17.516340337984932</v>
      </c>
      <c r="V44" s="12">
        <f t="shared" si="29"/>
        <v>11.712327250802181</v>
      </c>
      <c r="W44" s="12">
        <f t="shared" si="29"/>
        <v>23.430126344994825</v>
      </c>
      <c r="X44" s="12">
        <f t="shared" si="29"/>
        <v>86.174354136627997</v>
      </c>
      <c r="Y44" s="12">
        <f t="shared" si="29"/>
        <v>35.867022526523542</v>
      </c>
      <c r="Z44" s="12">
        <f t="shared" si="29"/>
        <v>34.043422256364451</v>
      </c>
      <c r="AA44" s="12">
        <f t="shared" si="29"/>
        <v>12.862289719594282</v>
      </c>
      <c r="AB44" s="12">
        <f t="shared" si="29"/>
        <v>30.87644934556992</v>
      </c>
    </row>
    <row r="45" spans="1:28">
      <c r="B45" s="19" t="s">
        <v>6</v>
      </c>
      <c r="C45" s="12">
        <f t="shared" si="30"/>
        <v>781.76854982383566</v>
      </c>
      <c r="D45" s="12">
        <f t="shared" si="29"/>
        <v>92.865978602754709</v>
      </c>
      <c r="E45" s="12">
        <f t="shared" si="29"/>
        <v>154.91899163049194</v>
      </c>
      <c r="F45" s="12">
        <f t="shared" si="29"/>
        <v>100.91346971860503</v>
      </c>
      <c r="G45" s="12">
        <f t="shared" si="29"/>
        <v>77.476663237764868</v>
      </c>
      <c r="H45" s="12">
        <f t="shared" si="29"/>
        <v>61.517619194277891</v>
      </c>
      <c r="I45" s="12">
        <f t="shared" si="29"/>
        <v>38.036172642163692</v>
      </c>
      <c r="J45" s="12">
        <f t="shared" si="29"/>
        <v>27.949456413073531</v>
      </c>
      <c r="K45" s="12">
        <f t="shared" si="29"/>
        <v>37.755185110846199</v>
      </c>
      <c r="L45" s="12">
        <f t="shared" si="29"/>
        <v>537.31088475266688</v>
      </c>
      <c r="M45" s="12">
        <f t="shared" si="29"/>
        <v>169.73890979489553</v>
      </c>
      <c r="N45" s="12">
        <f t="shared" si="29"/>
        <v>164.62572839813242</v>
      </c>
      <c r="O45" s="12">
        <f t="shared" si="29"/>
        <v>82.47797384050898</v>
      </c>
      <c r="P45" s="12">
        <f t="shared" si="29"/>
        <v>158.14188696295483</v>
      </c>
      <c r="Q45" s="12">
        <f t="shared" si="29"/>
        <v>66.950789454191451</v>
      </c>
      <c r="R45" s="12">
        <f t="shared" si="29"/>
        <v>15.795958961790449</v>
      </c>
      <c r="S45" s="12">
        <f t="shared" si="29"/>
        <v>44.562175505404326</v>
      </c>
      <c r="T45" s="12">
        <f t="shared" si="29"/>
        <v>35.30703130279754</v>
      </c>
      <c r="U45" s="12">
        <f t="shared" si="29"/>
        <v>11.083010182235624</v>
      </c>
      <c r="V45" s="12">
        <f t="shared" si="29"/>
        <v>7.8819520330559341</v>
      </c>
      <c r="W45" s="12">
        <f t="shared" si="29"/>
        <v>14.029517730439958</v>
      </c>
      <c r="X45" s="12">
        <f t="shared" si="29"/>
        <v>58.90235036601652</v>
      </c>
      <c r="Y45" s="12">
        <f t="shared" si="29"/>
        <v>24.024286079834674</v>
      </c>
      <c r="Z45" s="12">
        <f t="shared" si="29"/>
        <v>24.324402283817971</v>
      </c>
      <c r="AA45" s="12">
        <f t="shared" si="29"/>
        <v>7.6587646123185626</v>
      </c>
      <c r="AB45" s="12">
        <f t="shared" si="29"/>
        <v>19.135006310603252</v>
      </c>
    </row>
    <row r="46" spans="1:28">
      <c r="B46" s="19" t="s">
        <v>8</v>
      </c>
      <c r="C46" s="12">
        <f t="shared" si="30"/>
        <v>388.37697601025604</v>
      </c>
      <c r="D46" s="12">
        <f t="shared" si="29"/>
        <v>61.761135603302343</v>
      </c>
      <c r="E46" s="12">
        <f t="shared" si="29"/>
        <v>105.08295001059162</v>
      </c>
      <c r="F46" s="12">
        <f t="shared" si="29"/>
        <v>70.112055789357569</v>
      </c>
      <c r="G46" s="12">
        <f t="shared" si="29"/>
        <v>54.718788276122545</v>
      </c>
      <c r="H46" s="12">
        <f t="shared" si="29"/>
        <v>38.63214818106222</v>
      </c>
      <c r="I46" s="12">
        <f t="shared" si="29"/>
        <v>28.665079055712557</v>
      </c>
      <c r="J46" s="12">
        <f t="shared" si="29"/>
        <v>18.121164881391376</v>
      </c>
      <c r="K46" s="12">
        <f t="shared" si="29"/>
        <v>23.423663337669421</v>
      </c>
      <c r="L46" s="12">
        <f t="shared" si="29"/>
        <v>398.36526242813966</v>
      </c>
      <c r="M46" s="12">
        <f t="shared" si="29"/>
        <v>108.40863034652445</v>
      </c>
      <c r="N46" s="12">
        <f t="shared" si="29"/>
        <v>114.88510296449637</v>
      </c>
      <c r="O46" s="12">
        <f t="shared" si="29"/>
        <v>53.222067335860906</v>
      </c>
      <c r="P46" s="12">
        <f t="shared" si="29"/>
        <v>99.824270266586112</v>
      </c>
      <c r="Q46" s="12">
        <f t="shared" si="29"/>
        <v>44.044876557659038</v>
      </c>
      <c r="R46" s="12">
        <f t="shared" si="29"/>
        <v>10.062115631440017</v>
      </c>
      <c r="S46" s="12">
        <f t="shared" si="29"/>
        <v>30.733013081140378</v>
      </c>
      <c r="T46" s="12">
        <f t="shared" si="29"/>
        <v>25.055239595489361</v>
      </c>
      <c r="U46" s="12">
        <f t="shared" si="29"/>
        <v>7.1302869010819876</v>
      </c>
      <c r="V46" s="12">
        <f t="shared" si="29"/>
        <v>4.5783685661398881</v>
      </c>
      <c r="W46" s="12">
        <f t="shared" si="29"/>
        <v>9.4255755293478831</v>
      </c>
      <c r="X46" s="12">
        <f t="shared" si="29"/>
        <v>34.095222502158521</v>
      </c>
      <c r="Y46" s="12">
        <f t="shared" si="29"/>
        <v>14.104784801081882</v>
      </c>
      <c r="Z46" s="12">
        <f t="shared" si="29"/>
        <v>15.959226116487518</v>
      </c>
      <c r="AA46" s="12">
        <f t="shared" si="29"/>
        <v>4.541067576197686</v>
      </c>
      <c r="AB46" s="12">
        <f t="shared" si="29"/>
        <v>12.534835470534155</v>
      </c>
    </row>
    <row r="47" spans="1:28">
      <c r="B47" s="19" t="s">
        <v>10</v>
      </c>
      <c r="C47" s="12">
        <f t="shared" si="30"/>
        <v>1154.3429938021336</v>
      </c>
      <c r="D47" s="12">
        <f t="shared" si="29"/>
        <v>150.11806215870098</v>
      </c>
      <c r="E47" s="12">
        <f t="shared" si="29"/>
        <v>191.61361561347368</v>
      </c>
      <c r="F47" s="12">
        <f t="shared" si="29"/>
        <v>138.30382803384757</v>
      </c>
      <c r="G47" s="12">
        <f t="shared" si="29"/>
        <v>105.22984446352294</v>
      </c>
      <c r="H47" s="12">
        <f t="shared" si="29"/>
        <v>86.845633665711361</v>
      </c>
      <c r="I47" s="12">
        <f t="shared" si="29"/>
        <v>62.196170101941547</v>
      </c>
      <c r="J47" s="12">
        <f t="shared" si="29"/>
        <v>46.378587818294712</v>
      </c>
      <c r="K47" s="12">
        <f t="shared" si="29"/>
        <v>54.949770497341895</v>
      </c>
      <c r="L47" s="12">
        <f t="shared" si="29"/>
        <v>752.28653025338622</v>
      </c>
      <c r="M47" s="12">
        <f t="shared" si="29"/>
        <v>273.05270504397379</v>
      </c>
      <c r="N47" s="12">
        <f t="shared" si="29"/>
        <v>242.68600870524074</v>
      </c>
      <c r="O47" s="12">
        <f t="shared" si="29"/>
        <v>146.2179243512019</v>
      </c>
      <c r="P47" s="12">
        <f t="shared" si="29"/>
        <v>236.12025132653346</v>
      </c>
      <c r="Q47" s="12">
        <f t="shared" si="29"/>
        <v>91.595601202792935</v>
      </c>
      <c r="R47" s="12">
        <f t="shared" si="29"/>
        <v>20.64414328066194</v>
      </c>
      <c r="S47" s="12">
        <f t="shared" si="29"/>
        <v>77.87311792002275</v>
      </c>
      <c r="T47" s="12">
        <f t="shared" si="29"/>
        <v>49.285453440823133</v>
      </c>
      <c r="U47" s="12">
        <f t="shared" si="29"/>
        <v>14.026070659227512</v>
      </c>
      <c r="V47" s="12">
        <f t="shared" si="29"/>
        <v>10.866832502453999</v>
      </c>
      <c r="W47" s="12">
        <f t="shared" si="29"/>
        <v>18.230569088581671</v>
      </c>
      <c r="X47" s="12">
        <f t="shared" si="29"/>
        <v>89.831519453934163</v>
      </c>
      <c r="Y47" s="12">
        <f t="shared" si="29"/>
        <v>30.380021345487865</v>
      </c>
      <c r="Z47" s="12">
        <f t="shared" si="29"/>
        <v>30.026343030165709</v>
      </c>
      <c r="AA47" s="12">
        <f t="shared" si="29"/>
        <v>11.803927053226824</v>
      </c>
      <c r="AB47" s="12">
        <f t="shared" si="29"/>
        <v>27.326562912912845</v>
      </c>
    </row>
    <row r="48" spans="1:28">
      <c r="B48" s="19" t="s">
        <v>12</v>
      </c>
      <c r="C48" s="12">
        <f t="shared" si="30"/>
        <v>93.368494003884933</v>
      </c>
      <c r="D48" s="12">
        <f t="shared" si="29"/>
        <v>11.112361265270161</v>
      </c>
      <c r="E48" s="12">
        <f t="shared" si="29"/>
        <v>17.959977791514788</v>
      </c>
      <c r="F48" s="12">
        <f t="shared" si="29"/>
        <v>12.648651125321738</v>
      </c>
      <c r="G48" s="12">
        <f t="shared" si="29"/>
        <v>9.8550268453635006</v>
      </c>
      <c r="H48" s="12">
        <f t="shared" si="29"/>
        <v>7.2017131944401704</v>
      </c>
      <c r="I48" s="12">
        <f t="shared" si="29"/>
        <v>4.5640500023011743</v>
      </c>
      <c r="J48" s="12">
        <f t="shared" si="29"/>
        <v>3.9324030063432223</v>
      </c>
      <c r="K48" s="12">
        <f t="shared" si="29"/>
        <v>4.1716726101005381</v>
      </c>
      <c r="L48" s="12">
        <f t="shared" si="29"/>
        <v>68.532430579862435</v>
      </c>
      <c r="M48" s="12">
        <f t="shared" si="29"/>
        <v>23.612563386209523</v>
      </c>
      <c r="N48" s="12">
        <f t="shared" si="29"/>
        <v>19.51804310037372</v>
      </c>
      <c r="O48" s="12">
        <f t="shared" si="29"/>
        <v>12.361894926518794</v>
      </c>
      <c r="P48" s="12">
        <f t="shared" si="29"/>
        <v>22.332485681135211</v>
      </c>
      <c r="Q48" s="12">
        <f t="shared" si="29"/>
        <v>7.7747574559436678</v>
      </c>
      <c r="R48" s="12">
        <f t="shared" si="29"/>
        <v>2.1479107577783498</v>
      </c>
      <c r="S48" s="12">
        <f t="shared" si="29"/>
        <v>5.7431961293080063</v>
      </c>
      <c r="T48" s="12">
        <f t="shared" si="29"/>
        <v>5.1596449118095569</v>
      </c>
      <c r="U48" s="12">
        <f t="shared" si="29"/>
        <v>1.236655317457974</v>
      </c>
      <c r="V48" s="12">
        <f t="shared" si="29"/>
        <v>0.96609778599904128</v>
      </c>
      <c r="W48" s="12">
        <f t="shared" si="29"/>
        <v>1.9909812851001061</v>
      </c>
      <c r="X48" s="12">
        <f t="shared" si="29"/>
        <v>6.8044267919592194</v>
      </c>
      <c r="Y48" s="12">
        <f t="shared" si="29"/>
        <v>3.2326776740485026</v>
      </c>
      <c r="Z48" s="12">
        <f t="shared" si="29"/>
        <v>2.7764472533152267</v>
      </c>
      <c r="AA48" s="12">
        <f t="shared" si="29"/>
        <v>0.89526941705197716</v>
      </c>
      <c r="AB48" s="12">
        <f t="shared" si="29"/>
        <v>2.8750193976104583</v>
      </c>
    </row>
    <row r="49" spans="2:28">
      <c r="B49" s="19" t="s">
        <v>14</v>
      </c>
      <c r="C49" s="12">
        <f t="shared" si="30"/>
        <v>1179.9638344436348</v>
      </c>
      <c r="D49" s="12">
        <f t="shared" si="29"/>
        <v>204.20947396898808</v>
      </c>
      <c r="E49" s="12">
        <f t="shared" si="29"/>
        <v>223.09180569554309</v>
      </c>
      <c r="F49" s="12">
        <f t="shared" si="29"/>
        <v>172.82462997126328</v>
      </c>
      <c r="G49" s="12">
        <f t="shared" si="29"/>
        <v>135.06916847348467</v>
      </c>
      <c r="H49" s="12">
        <f t="shared" si="29"/>
        <v>121.6352316789267</v>
      </c>
      <c r="I49" s="12">
        <f t="shared" si="29"/>
        <v>76.411078196049957</v>
      </c>
      <c r="J49" s="12">
        <f t="shared" si="29"/>
        <v>53.58679487719602</v>
      </c>
      <c r="K49" s="12">
        <f t="shared" si="29"/>
        <v>52.051361472540712</v>
      </c>
      <c r="L49" s="12">
        <f t="shared" si="29"/>
        <v>1206.3761665608508</v>
      </c>
      <c r="M49" s="12">
        <f t="shared" si="29"/>
        <v>327.83573629328805</v>
      </c>
      <c r="N49" s="12">
        <f t="shared" si="29"/>
        <v>344.48882357490294</v>
      </c>
      <c r="O49" s="12">
        <f t="shared" si="29"/>
        <v>171.8530043323731</v>
      </c>
      <c r="P49" s="12">
        <f t="shared" si="29"/>
        <v>287.60978302328357</v>
      </c>
      <c r="Q49" s="12">
        <f t="shared" si="29"/>
        <v>92.668906357651792</v>
      </c>
      <c r="R49" s="12">
        <f t="shared" si="29"/>
        <v>21.780862718433298</v>
      </c>
      <c r="S49" s="12">
        <f t="shared" si="29"/>
        <v>99.240683761997232</v>
      </c>
      <c r="T49" s="12">
        <f t="shared" si="29"/>
        <v>65.960316290445618</v>
      </c>
      <c r="U49" s="12">
        <f t="shared" si="29"/>
        <v>16.289350352146496</v>
      </c>
      <c r="V49" s="12">
        <f t="shared" si="29"/>
        <v>11.749956143923413</v>
      </c>
      <c r="W49" s="12">
        <f t="shared" si="29"/>
        <v>26.99969317981407</v>
      </c>
      <c r="X49" s="12">
        <f t="shared" si="29"/>
        <v>113.79947611778914</v>
      </c>
      <c r="Y49" s="12">
        <f t="shared" si="29"/>
        <v>42.205111928899349</v>
      </c>
      <c r="Z49" s="12">
        <f t="shared" si="29"/>
        <v>42.06798827518373</v>
      </c>
      <c r="AA49" s="12">
        <f t="shared" si="29"/>
        <v>13.636483322700254</v>
      </c>
      <c r="AB49" s="12">
        <f t="shared" si="29"/>
        <v>46.144431377126132</v>
      </c>
    </row>
    <row r="50" spans="2:28"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2:28">
      <c r="B51" s="1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2:28"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2:28">
      <c r="B53" s="9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2:28"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2:28">
      <c r="B55" s="1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2:28">
      <c r="B56" s="11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2:28"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2:28">
      <c r="B58" s="11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2:28">
      <c r="B59" s="1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</sheetData>
  <conditionalFormatting sqref="C23:AB23">
    <cfRule type="cellIs" dxfId="29" priority="1" operator="greaterThan">
      <formula>0.06</formula>
    </cfRule>
    <cfRule type="cellIs" dxfId="28" priority="2" operator="lessThan">
      <formula>0.048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Munde</cp:lastModifiedBy>
  <dcterms:modified xsi:type="dcterms:W3CDTF">2026-06-19T08:26:35Z</dcterms:modified>
</cp:coreProperties>
</file>